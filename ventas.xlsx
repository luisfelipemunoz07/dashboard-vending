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isf\maquinas\da\"/>
    </mc:Choice>
  </mc:AlternateContent>
  <bookViews>
    <workbookView xWindow="0" yWindow="0" windowWidth="23040" windowHeight="9072"/>
  </bookViews>
  <sheets>
    <sheet name="HOJA PARA TABLA DINÁMICA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000" i="1" l="1"/>
  <c r="L3000" i="1"/>
  <c r="J3000" i="1"/>
  <c r="H3000" i="1"/>
  <c r="G3000" i="1"/>
  <c r="I3000" i="1" s="1"/>
  <c r="K3000" i="1" s="1"/>
  <c r="D3000" i="1"/>
  <c r="C3000" i="1"/>
  <c r="F3000" i="1" s="1"/>
  <c r="B3000" i="1"/>
  <c r="A3000" i="1"/>
  <c r="L2999" i="1"/>
  <c r="M2999" i="1" s="1"/>
  <c r="J2999" i="1"/>
  <c r="I2999" i="1"/>
  <c r="K2999" i="1" s="1"/>
  <c r="H2999" i="1"/>
  <c r="G2999" i="1"/>
  <c r="C2999" i="1"/>
  <c r="B2999" i="1"/>
  <c r="A2999" i="1"/>
  <c r="M2998" i="1"/>
  <c r="L2998" i="1"/>
  <c r="K2998" i="1"/>
  <c r="J2998" i="1"/>
  <c r="I2998" i="1"/>
  <c r="H2998" i="1"/>
  <c r="G2998" i="1"/>
  <c r="F2998" i="1"/>
  <c r="D2998" i="1"/>
  <c r="C2998" i="1"/>
  <c r="E2998" i="1" s="1"/>
  <c r="B2998" i="1"/>
  <c r="A2998" i="1"/>
  <c r="L2997" i="1"/>
  <c r="M2997" i="1" s="1"/>
  <c r="J2997" i="1"/>
  <c r="H2997" i="1"/>
  <c r="G2997" i="1"/>
  <c r="I2997" i="1" s="1"/>
  <c r="K2997" i="1" s="1"/>
  <c r="E2997" i="1"/>
  <c r="D2997" i="1"/>
  <c r="C2997" i="1"/>
  <c r="F2997" i="1" s="1"/>
  <c r="B2997" i="1"/>
  <c r="A2997" i="1"/>
  <c r="M2996" i="1"/>
  <c r="L2996" i="1"/>
  <c r="J2996" i="1"/>
  <c r="H2996" i="1"/>
  <c r="G2996" i="1"/>
  <c r="I2996" i="1" s="1"/>
  <c r="K2996" i="1" s="1"/>
  <c r="F2996" i="1"/>
  <c r="E2996" i="1"/>
  <c r="C2996" i="1"/>
  <c r="D2996" i="1" s="1"/>
  <c r="B2996" i="1"/>
  <c r="A2996" i="1"/>
  <c r="L2995" i="1"/>
  <c r="M2995" i="1" s="1"/>
  <c r="J2995" i="1"/>
  <c r="H2995" i="1"/>
  <c r="G2995" i="1"/>
  <c r="I2995" i="1" s="1"/>
  <c r="K2995" i="1" s="1"/>
  <c r="F2995" i="1"/>
  <c r="E2995" i="1"/>
  <c r="D2995" i="1"/>
  <c r="C2995" i="1"/>
  <c r="B2995" i="1"/>
  <c r="A2995" i="1"/>
  <c r="M2994" i="1"/>
  <c r="L2994" i="1"/>
  <c r="J2994" i="1"/>
  <c r="H2994" i="1"/>
  <c r="G2994" i="1"/>
  <c r="I2994" i="1" s="1"/>
  <c r="K2994" i="1" s="1"/>
  <c r="F2994" i="1"/>
  <c r="E2994" i="1"/>
  <c r="C2994" i="1"/>
  <c r="D2994" i="1" s="1"/>
  <c r="B2994" i="1"/>
  <c r="A2994" i="1"/>
  <c r="M2993" i="1"/>
  <c r="L2993" i="1"/>
  <c r="J2993" i="1"/>
  <c r="I2993" i="1"/>
  <c r="K2993" i="1" s="1"/>
  <c r="H2993" i="1"/>
  <c r="G2993" i="1"/>
  <c r="F2993" i="1"/>
  <c r="D2993" i="1"/>
  <c r="C2993" i="1"/>
  <c r="E2993" i="1" s="1"/>
  <c r="B2993" i="1"/>
  <c r="A2993" i="1"/>
  <c r="L2992" i="1"/>
  <c r="M2992" i="1" s="1"/>
  <c r="J2992" i="1"/>
  <c r="H2992" i="1"/>
  <c r="G2992" i="1"/>
  <c r="I2992" i="1" s="1"/>
  <c r="E2992" i="1"/>
  <c r="C2992" i="1"/>
  <c r="F2992" i="1" s="1"/>
  <c r="B2992" i="1"/>
  <c r="A2992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L2990" i="1"/>
  <c r="M2990" i="1" s="1"/>
  <c r="J2990" i="1"/>
  <c r="I2990" i="1"/>
  <c r="K2990" i="1" s="1"/>
  <c r="H2990" i="1"/>
  <c r="G2990" i="1"/>
  <c r="F2990" i="1"/>
  <c r="E2990" i="1"/>
  <c r="D2990" i="1"/>
  <c r="C2990" i="1"/>
  <c r="B2990" i="1"/>
  <c r="A2990" i="1"/>
  <c r="M2989" i="1"/>
  <c r="L2989" i="1"/>
  <c r="J2989" i="1"/>
  <c r="H2989" i="1"/>
  <c r="G2989" i="1"/>
  <c r="I2989" i="1" s="1"/>
  <c r="K2989" i="1" s="1"/>
  <c r="C2989" i="1"/>
  <c r="F2989" i="1" s="1"/>
  <c r="B2989" i="1"/>
  <c r="A2989" i="1"/>
  <c r="M2988" i="1"/>
  <c r="L2988" i="1"/>
  <c r="K2988" i="1"/>
  <c r="J2988" i="1"/>
  <c r="I2988" i="1"/>
  <c r="H2988" i="1"/>
  <c r="G2988" i="1"/>
  <c r="F2988" i="1"/>
  <c r="D2988" i="1"/>
  <c r="C2988" i="1"/>
  <c r="E2988" i="1" s="1"/>
  <c r="B2988" i="1"/>
  <c r="A2988" i="1"/>
  <c r="L2987" i="1"/>
  <c r="M2987" i="1" s="1"/>
  <c r="J2987" i="1"/>
  <c r="H2987" i="1"/>
  <c r="G2987" i="1"/>
  <c r="I2987" i="1" s="1"/>
  <c r="K2987" i="1" s="1"/>
  <c r="C2987" i="1"/>
  <c r="B2987" i="1"/>
  <c r="A2987" i="1"/>
  <c r="M2986" i="1"/>
  <c r="L2986" i="1"/>
  <c r="K2986" i="1"/>
  <c r="J2986" i="1"/>
  <c r="I2986" i="1"/>
  <c r="H2986" i="1"/>
  <c r="G2986" i="1"/>
  <c r="F2986" i="1"/>
  <c r="D2986" i="1"/>
  <c r="C2986" i="1"/>
  <c r="E2986" i="1" s="1"/>
  <c r="B2986" i="1"/>
  <c r="A2986" i="1"/>
  <c r="L2985" i="1"/>
  <c r="M2985" i="1" s="1"/>
  <c r="J2985" i="1"/>
  <c r="H2985" i="1"/>
  <c r="G2985" i="1"/>
  <c r="I2985" i="1" s="1"/>
  <c r="K2985" i="1" s="1"/>
  <c r="E2985" i="1"/>
  <c r="D2985" i="1"/>
  <c r="C2985" i="1"/>
  <c r="F2985" i="1" s="1"/>
  <c r="B2985" i="1"/>
  <c r="A2985" i="1"/>
  <c r="M2984" i="1"/>
  <c r="L2984" i="1"/>
  <c r="J2984" i="1"/>
  <c r="H2984" i="1"/>
  <c r="G2984" i="1"/>
  <c r="I2984" i="1" s="1"/>
  <c r="K2984" i="1" s="1"/>
  <c r="F2984" i="1"/>
  <c r="E2984" i="1"/>
  <c r="C2984" i="1"/>
  <c r="D2984" i="1" s="1"/>
  <c r="B2984" i="1"/>
  <c r="A2984" i="1"/>
  <c r="L2983" i="1"/>
  <c r="M2983" i="1" s="1"/>
  <c r="J2983" i="1"/>
  <c r="H2983" i="1"/>
  <c r="G2983" i="1"/>
  <c r="I2983" i="1" s="1"/>
  <c r="K2983" i="1" s="1"/>
  <c r="F2983" i="1"/>
  <c r="E2983" i="1"/>
  <c r="D2983" i="1"/>
  <c r="C2983" i="1"/>
  <c r="B2983" i="1"/>
  <c r="A2983" i="1"/>
  <c r="M2982" i="1"/>
  <c r="L2982" i="1"/>
  <c r="J2982" i="1"/>
  <c r="H2982" i="1"/>
  <c r="G2982" i="1"/>
  <c r="I2982" i="1" s="1"/>
  <c r="K2982" i="1" s="1"/>
  <c r="E2982" i="1"/>
  <c r="C2982" i="1"/>
  <c r="F2982" i="1" s="1"/>
  <c r="B2982" i="1"/>
  <c r="A2982" i="1"/>
  <c r="M2981" i="1"/>
  <c r="L2981" i="1"/>
  <c r="J2981" i="1"/>
  <c r="I2981" i="1"/>
  <c r="K2981" i="1" s="1"/>
  <c r="H2981" i="1"/>
  <c r="G2981" i="1"/>
  <c r="F2981" i="1"/>
  <c r="D2981" i="1"/>
  <c r="C2981" i="1"/>
  <c r="E2981" i="1" s="1"/>
  <c r="B2981" i="1"/>
  <c r="A2981" i="1"/>
  <c r="L2980" i="1"/>
  <c r="M2980" i="1" s="1"/>
  <c r="J2980" i="1"/>
  <c r="H2980" i="1"/>
  <c r="G2980" i="1"/>
  <c r="I2980" i="1" s="1"/>
  <c r="E2980" i="1"/>
  <c r="C2980" i="1"/>
  <c r="F2980" i="1" s="1"/>
  <c r="B2980" i="1"/>
  <c r="A2980" i="1"/>
  <c r="M2979" i="1"/>
  <c r="L2979" i="1"/>
  <c r="K2979" i="1"/>
  <c r="J2979" i="1"/>
  <c r="I2979" i="1"/>
  <c r="H2979" i="1"/>
  <c r="G2979" i="1"/>
  <c r="F2979" i="1"/>
  <c r="D2979" i="1"/>
  <c r="C2979" i="1"/>
  <c r="E2979" i="1" s="1"/>
  <c r="B2979" i="1"/>
  <c r="A2979" i="1"/>
  <c r="L2978" i="1"/>
  <c r="M2978" i="1" s="1"/>
  <c r="J2978" i="1"/>
  <c r="I2978" i="1"/>
  <c r="K2978" i="1" s="1"/>
  <c r="H2978" i="1"/>
  <c r="G2978" i="1"/>
  <c r="F2978" i="1"/>
  <c r="E2978" i="1"/>
  <c r="D2978" i="1"/>
  <c r="C2978" i="1"/>
  <c r="B2978" i="1"/>
  <c r="A2978" i="1"/>
  <c r="M2977" i="1"/>
  <c r="L2977" i="1"/>
  <c r="J2977" i="1"/>
  <c r="H2977" i="1"/>
  <c r="G2977" i="1"/>
  <c r="I2977" i="1" s="1"/>
  <c r="K2977" i="1" s="1"/>
  <c r="C2977" i="1"/>
  <c r="F2977" i="1" s="1"/>
  <c r="B2977" i="1"/>
  <c r="A2977" i="1"/>
  <c r="M2976" i="1"/>
  <c r="L2976" i="1"/>
  <c r="J2976" i="1"/>
  <c r="I2976" i="1"/>
  <c r="K2976" i="1" s="1"/>
  <c r="H2976" i="1"/>
  <c r="G2976" i="1"/>
  <c r="F2976" i="1"/>
  <c r="D2976" i="1"/>
  <c r="C2976" i="1"/>
  <c r="E2976" i="1" s="1"/>
  <c r="B2976" i="1"/>
  <c r="A2976" i="1"/>
  <c r="L2975" i="1"/>
  <c r="M2975" i="1" s="1"/>
  <c r="J2975" i="1"/>
  <c r="H2975" i="1"/>
  <c r="G2975" i="1"/>
  <c r="I2975" i="1" s="1"/>
  <c r="K2975" i="1" s="1"/>
  <c r="C2975" i="1"/>
  <c r="B2975" i="1"/>
  <c r="A2975" i="1"/>
  <c r="M2974" i="1"/>
  <c r="L2974" i="1"/>
  <c r="K2974" i="1"/>
  <c r="J2974" i="1"/>
  <c r="I2974" i="1"/>
  <c r="H2974" i="1"/>
  <c r="G2974" i="1"/>
  <c r="F2974" i="1"/>
  <c r="D2974" i="1"/>
  <c r="C2974" i="1"/>
  <c r="E2974" i="1" s="1"/>
  <c r="B2974" i="1"/>
  <c r="A2974" i="1"/>
  <c r="L2973" i="1"/>
  <c r="M2973" i="1" s="1"/>
  <c r="J2973" i="1"/>
  <c r="H2973" i="1"/>
  <c r="G2973" i="1"/>
  <c r="I2973" i="1" s="1"/>
  <c r="K2973" i="1" s="1"/>
  <c r="E2973" i="1"/>
  <c r="D2973" i="1"/>
  <c r="C2973" i="1"/>
  <c r="F2973" i="1" s="1"/>
  <c r="B2973" i="1"/>
  <c r="A2973" i="1"/>
  <c r="M2972" i="1"/>
  <c r="L2972" i="1"/>
  <c r="J2972" i="1"/>
  <c r="H2972" i="1"/>
  <c r="G2972" i="1"/>
  <c r="I2972" i="1" s="1"/>
  <c r="K2972" i="1" s="1"/>
  <c r="F2972" i="1"/>
  <c r="E2972" i="1"/>
  <c r="C2972" i="1"/>
  <c r="D2972" i="1" s="1"/>
  <c r="B2972" i="1"/>
  <c r="A2972" i="1"/>
  <c r="L2971" i="1"/>
  <c r="M2971" i="1" s="1"/>
  <c r="J2971" i="1"/>
  <c r="H2971" i="1"/>
  <c r="G2971" i="1"/>
  <c r="I2971" i="1" s="1"/>
  <c r="K2971" i="1" s="1"/>
  <c r="F2971" i="1"/>
  <c r="E2971" i="1"/>
  <c r="D2971" i="1"/>
  <c r="C2971" i="1"/>
  <c r="B2971" i="1"/>
  <c r="A2971" i="1"/>
  <c r="L2970" i="1"/>
  <c r="M2970" i="1" s="1"/>
  <c r="J2970" i="1"/>
  <c r="H2970" i="1"/>
  <c r="G2970" i="1"/>
  <c r="I2970" i="1" s="1"/>
  <c r="K2970" i="1" s="1"/>
  <c r="E2970" i="1"/>
  <c r="C2970" i="1"/>
  <c r="F2970" i="1" s="1"/>
  <c r="B2970" i="1"/>
  <c r="A2970" i="1"/>
  <c r="M2969" i="1"/>
  <c r="L2969" i="1"/>
  <c r="J2969" i="1"/>
  <c r="I2969" i="1"/>
  <c r="K2969" i="1" s="1"/>
  <c r="H2969" i="1"/>
  <c r="G2969" i="1"/>
  <c r="F2969" i="1"/>
  <c r="D2969" i="1"/>
  <c r="C2969" i="1"/>
  <c r="E2969" i="1" s="1"/>
  <c r="B2969" i="1"/>
  <c r="A2969" i="1"/>
  <c r="L2968" i="1"/>
  <c r="M2968" i="1" s="1"/>
  <c r="J2968" i="1"/>
  <c r="H2968" i="1"/>
  <c r="G2968" i="1"/>
  <c r="I2968" i="1" s="1"/>
  <c r="E2968" i="1"/>
  <c r="C2968" i="1"/>
  <c r="F2968" i="1" s="1"/>
  <c r="B2968" i="1"/>
  <c r="A2968" i="1"/>
  <c r="M2967" i="1"/>
  <c r="L2967" i="1"/>
  <c r="K2967" i="1"/>
  <c r="J2967" i="1"/>
  <c r="I2967" i="1"/>
  <c r="H2967" i="1"/>
  <c r="G2967" i="1"/>
  <c r="F2967" i="1"/>
  <c r="C2967" i="1"/>
  <c r="E2967" i="1" s="1"/>
  <c r="B2967" i="1"/>
  <c r="A2967" i="1"/>
  <c r="L2966" i="1"/>
  <c r="M2966" i="1" s="1"/>
  <c r="J2966" i="1"/>
  <c r="H2966" i="1"/>
  <c r="G2966" i="1"/>
  <c r="I2966" i="1" s="1"/>
  <c r="K2966" i="1" s="1"/>
  <c r="F2966" i="1"/>
  <c r="E2966" i="1"/>
  <c r="D2966" i="1"/>
  <c r="C2966" i="1"/>
  <c r="B2966" i="1"/>
  <c r="A2966" i="1"/>
  <c r="M2965" i="1"/>
  <c r="L2965" i="1"/>
  <c r="J2965" i="1"/>
  <c r="H2965" i="1"/>
  <c r="G2965" i="1"/>
  <c r="I2965" i="1" s="1"/>
  <c r="K2965" i="1" s="1"/>
  <c r="C2965" i="1"/>
  <c r="F2965" i="1" s="1"/>
  <c r="B2965" i="1"/>
  <c r="A2965" i="1"/>
  <c r="M2964" i="1"/>
  <c r="L2964" i="1"/>
  <c r="J2964" i="1"/>
  <c r="I2964" i="1"/>
  <c r="K2964" i="1" s="1"/>
  <c r="H2964" i="1"/>
  <c r="G2964" i="1"/>
  <c r="F2964" i="1"/>
  <c r="D2964" i="1"/>
  <c r="C2964" i="1"/>
  <c r="E2964" i="1" s="1"/>
  <c r="B2964" i="1"/>
  <c r="A2964" i="1"/>
  <c r="L2963" i="1"/>
  <c r="M2963" i="1" s="1"/>
  <c r="J2963" i="1"/>
  <c r="H2963" i="1"/>
  <c r="G2963" i="1"/>
  <c r="I2963" i="1" s="1"/>
  <c r="K2963" i="1" s="1"/>
  <c r="C2963" i="1"/>
  <c r="B2963" i="1"/>
  <c r="A2963" i="1"/>
  <c r="M2962" i="1"/>
  <c r="L2962" i="1"/>
  <c r="K2962" i="1"/>
  <c r="J2962" i="1"/>
  <c r="I2962" i="1"/>
  <c r="H2962" i="1"/>
  <c r="G2962" i="1"/>
  <c r="F2962" i="1"/>
  <c r="D2962" i="1"/>
  <c r="C2962" i="1"/>
  <c r="E2962" i="1" s="1"/>
  <c r="B2962" i="1"/>
  <c r="A2962" i="1"/>
  <c r="L2961" i="1"/>
  <c r="M2961" i="1" s="1"/>
  <c r="J2961" i="1"/>
  <c r="H2961" i="1"/>
  <c r="G2961" i="1"/>
  <c r="I2961" i="1" s="1"/>
  <c r="K2961" i="1" s="1"/>
  <c r="E2961" i="1"/>
  <c r="D2961" i="1"/>
  <c r="C2961" i="1"/>
  <c r="F2961" i="1" s="1"/>
  <c r="B2961" i="1"/>
  <c r="A2961" i="1"/>
  <c r="M2960" i="1"/>
  <c r="L2960" i="1"/>
  <c r="J2960" i="1"/>
  <c r="H2960" i="1"/>
  <c r="G2960" i="1"/>
  <c r="I2960" i="1" s="1"/>
  <c r="K2960" i="1" s="1"/>
  <c r="F2960" i="1"/>
  <c r="E2960" i="1"/>
  <c r="C2960" i="1"/>
  <c r="D2960" i="1" s="1"/>
  <c r="B2960" i="1"/>
  <c r="A2960" i="1"/>
  <c r="L2959" i="1"/>
  <c r="M2959" i="1" s="1"/>
  <c r="J2959" i="1"/>
  <c r="H2959" i="1"/>
  <c r="G2959" i="1"/>
  <c r="I2959" i="1" s="1"/>
  <c r="K2959" i="1" s="1"/>
  <c r="F2959" i="1"/>
  <c r="E2959" i="1"/>
  <c r="D2959" i="1"/>
  <c r="C2959" i="1"/>
  <c r="B2959" i="1"/>
  <c r="A2959" i="1"/>
  <c r="L2958" i="1"/>
  <c r="M2958" i="1" s="1"/>
  <c r="J2958" i="1"/>
  <c r="H2958" i="1"/>
  <c r="G2958" i="1"/>
  <c r="I2958" i="1" s="1"/>
  <c r="K2958" i="1" s="1"/>
  <c r="C2958" i="1"/>
  <c r="F2958" i="1" s="1"/>
  <c r="B2958" i="1"/>
  <c r="A2958" i="1"/>
  <c r="M2957" i="1"/>
  <c r="L2957" i="1"/>
  <c r="J2957" i="1"/>
  <c r="I2957" i="1"/>
  <c r="K2957" i="1" s="1"/>
  <c r="H2957" i="1"/>
  <c r="G2957" i="1"/>
  <c r="F2957" i="1"/>
  <c r="D2957" i="1"/>
  <c r="C2957" i="1"/>
  <c r="E2957" i="1" s="1"/>
  <c r="B2957" i="1"/>
  <c r="A2957" i="1"/>
  <c r="L2956" i="1"/>
  <c r="M2956" i="1" s="1"/>
  <c r="J2956" i="1"/>
  <c r="I2956" i="1"/>
  <c r="H2956" i="1"/>
  <c r="G2956" i="1"/>
  <c r="E2956" i="1"/>
  <c r="C2956" i="1"/>
  <c r="F2956" i="1" s="1"/>
  <c r="B2956" i="1"/>
  <c r="A2956" i="1"/>
  <c r="M2955" i="1"/>
  <c r="L2955" i="1"/>
  <c r="K2955" i="1"/>
  <c r="J2955" i="1"/>
  <c r="I2955" i="1"/>
  <c r="H2955" i="1"/>
  <c r="G2955" i="1"/>
  <c r="F2955" i="1"/>
  <c r="C2955" i="1"/>
  <c r="E2955" i="1" s="1"/>
  <c r="B2955" i="1"/>
  <c r="A2955" i="1"/>
  <c r="L2954" i="1"/>
  <c r="M2954" i="1" s="1"/>
  <c r="J2954" i="1"/>
  <c r="H2954" i="1"/>
  <c r="G2954" i="1"/>
  <c r="I2954" i="1" s="1"/>
  <c r="K2954" i="1" s="1"/>
  <c r="F2954" i="1"/>
  <c r="E2954" i="1"/>
  <c r="D2954" i="1"/>
  <c r="C2954" i="1"/>
  <c r="B2954" i="1"/>
  <c r="A2954" i="1"/>
  <c r="M2953" i="1"/>
  <c r="L2953" i="1"/>
  <c r="J2953" i="1"/>
  <c r="H2953" i="1"/>
  <c r="G2953" i="1"/>
  <c r="I2953" i="1" s="1"/>
  <c r="K2953" i="1" s="1"/>
  <c r="C2953" i="1"/>
  <c r="F2953" i="1" s="1"/>
  <c r="B2953" i="1"/>
  <c r="A2953" i="1"/>
  <c r="M2952" i="1"/>
  <c r="L2952" i="1"/>
  <c r="J2952" i="1"/>
  <c r="I2952" i="1"/>
  <c r="K2952" i="1" s="1"/>
  <c r="H2952" i="1"/>
  <c r="G2952" i="1"/>
  <c r="F2952" i="1"/>
  <c r="D2952" i="1"/>
  <c r="C2952" i="1"/>
  <c r="E2952" i="1" s="1"/>
  <c r="B2952" i="1"/>
  <c r="A2952" i="1"/>
  <c r="L2951" i="1"/>
  <c r="M2951" i="1" s="1"/>
  <c r="J2951" i="1"/>
  <c r="H2951" i="1"/>
  <c r="G2951" i="1"/>
  <c r="I2951" i="1" s="1"/>
  <c r="K2951" i="1" s="1"/>
  <c r="C2951" i="1"/>
  <c r="B2951" i="1"/>
  <c r="A2951" i="1"/>
  <c r="M2950" i="1"/>
  <c r="L2950" i="1"/>
  <c r="K2950" i="1"/>
  <c r="J2950" i="1"/>
  <c r="I2950" i="1"/>
  <c r="H2950" i="1"/>
  <c r="G2950" i="1"/>
  <c r="F2950" i="1"/>
  <c r="D2950" i="1"/>
  <c r="C2950" i="1"/>
  <c r="E2950" i="1" s="1"/>
  <c r="B2950" i="1"/>
  <c r="A2950" i="1"/>
  <c r="L2949" i="1"/>
  <c r="M2949" i="1" s="1"/>
  <c r="J2949" i="1"/>
  <c r="H2949" i="1"/>
  <c r="G2949" i="1"/>
  <c r="I2949" i="1" s="1"/>
  <c r="K2949" i="1" s="1"/>
  <c r="E2949" i="1"/>
  <c r="D2949" i="1"/>
  <c r="C2949" i="1"/>
  <c r="F2949" i="1" s="1"/>
  <c r="B2949" i="1"/>
  <c r="A2949" i="1"/>
  <c r="M2948" i="1"/>
  <c r="L2948" i="1"/>
  <c r="J2948" i="1"/>
  <c r="H2948" i="1"/>
  <c r="G2948" i="1"/>
  <c r="I2948" i="1" s="1"/>
  <c r="K2948" i="1" s="1"/>
  <c r="F2948" i="1"/>
  <c r="E2948" i="1"/>
  <c r="C2948" i="1"/>
  <c r="D2948" i="1" s="1"/>
  <c r="B2948" i="1"/>
  <c r="A2948" i="1"/>
  <c r="L2947" i="1"/>
  <c r="M2947" i="1" s="1"/>
  <c r="J2947" i="1"/>
  <c r="H2947" i="1"/>
  <c r="G2947" i="1"/>
  <c r="I2947" i="1" s="1"/>
  <c r="K2947" i="1" s="1"/>
  <c r="F2947" i="1"/>
  <c r="E2947" i="1"/>
  <c r="D2947" i="1"/>
  <c r="C2947" i="1"/>
  <c r="B2947" i="1"/>
  <c r="A2947" i="1"/>
  <c r="L2946" i="1"/>
  <c r="M2946" i="1" s="1"/>
  <c r="J2946" i="1"/>
  <c r="H2946" i="1"/>
  <c r="G2946" i="1"/>
  <c r="I2946" i="1" s="1"/>
  <c r="K2946" i="1" s="1"/>
  <c r="C2946" i="1"/>
  <c r="F2946" i="1" s="1"/>
  <c r="B2946" i="1"/>
  <c r="A2946" i="1"/>
  <c r="M2945" i="1"/>
  <c r="L2945" i="1"/>
  <c r="J2945" i="1"/>
  <c r="I2945" i="1"/>
  <c r="K2945" i="1" s="1"/>
  <c r="H2945" i="1"/>
  <c r="G2945" i="1"/>
  <c r="F2945" i="1"/>
  <c r="D2945" i="1"/>
  <c r="C2945" i="1"/>
  <c r="E2945" i="1" s="1"/>
  <c r="B2945" i="1"/>
  <c r="A2945" i="1"/>
  <c r="L2944" i="1"/>
  <c r="M2944" i="1" s="1"/>
  <c r="J2944" i="1"/>
  <c r="I2944" i="1"/>
  <c r="K2944" i="1" s="1"/>
  <c r="H2944" i="1"/>
  <c r="G2944" i="1"/>
  <c r="E2944" i="1"/>
  <c r="C2944" i="1"/>
  <c r="F2944" i="1" s="1"/>
  <c r="B2944" i="1"/>
  <c r="A2944" i="1"/>
  <c r="M2943" i="1"/>
  <c r="L2943" i="1"/>
  <c r="K2943" i="1"/>
  <c r="J2943" i="1"/>
  <c r="I2943" i="1"/>
  <c r="H2943" i="1"/>
  <c r="G2943" i="1"/>
  <c r="F2943" i="1"/>
  <c r="C2943" i="1"/>
  <c r="E2943" i="1" s="1"/>
  <c r="B2943" i="1"/>
  <c r="A2943" i="1"/>
  <c r="L2942" i="1"/>
  <c r="M2942" i="1" s="1"/>
  <c r="J2942" i="1"/>
  <c r="H2942" i="1"/>
  <c r="G2942" i="1"/>
  <c r="I2942" i="1" s="1"/>
  <c r="K2942" i="1" s="1"/>
  <c r="F2942" i="1"/>
  <c r="E2942" i="1"/>
  <c r="D2942" i="1"/>
  <c r="C2942" i="1"/>
  <c r="B2942" i="1"/>
  <c r="A2942" i="1"/>
  <c r="M2941" i="1"/>
  <c r="L2941" i="1"/>
  <c r="J2941" i="1"/>
  <c r="H2941" i="1"/>
  <c r="G2941" i="1"/>
  <c r="I2941" i="1" s="1"/>
  <c r="K2941" i="1" s="1"/>
  <c r="C2941" i="1"/>
  <c r="F2941" i="1" s="1"/>
  <c r="B2941" i="1"/>
  <c r="A2941" i="1"/>
  <c r="M2940" i="1"/>
  <c r="L2940" i="1"/>
  <c r="J2940" i="1"/>
  <c r="I2940" i="1"/>
  <c r="K2940" i="1" s="1"/>
  <c r="H2940" i="1"/>
  <c r="G2940" i="1"/>
  <c r="F2940" i="1"/>
  <c r="D2940" i="1"/>
  <c r="C2940" i="1"/>
  <c r="E2940" i="1" s="1"/>
  <c r="B2940" i="1"/>
  <c r="A2940" i="1"/>
  <c r="L2939" i="1"/>
  <c r="M2939" i="1" s="1"/>
  <c r="J2939" i="1"/>
  <c r="H2939" i="1"/>
  <c r="G2939" i="1"/>
  <c r="I2939" i="1" s="1"/>
  <c r="K2939" i="1" s="1"/>
  <c r="C2939" i="1"/>
  <c r="B2939" i="1"/>
  <c r="A2939" i="1"/>
  <c r="M2938" i="1"/>
  <c r="L2938" i="1"/>
  <c r="K2938" i="1"/>
  <c r="J2938" i="1"/>
  <c r="I2938" i="1"/>
  <c r="H2938" i="1"/>
  <c r="G2938" i="1"/>
  <c r="F2938" i="1"/>
  <c r="D2938" i="1"/>
  <c r="C2938" i="1"/>
  <c r="E2938" i="1" s="1"/>
  <c r="B2938" i="1"/>
  <c r="A2938" i="1"/>
  <c r="L2937" i="1"/>
  <c r="M2937" i="1" s="1"/>
  <c r="J2937" i="1"/>
  <c r="H2937" i="1"/>
  <c r="G2937" i="1"/>
  <c r="I2937" i="1" s="1"/>
  <c r="K2937" i="1" s="1"/>
  <c r="E2937" i="1"/>
  <c r="D2937" i="1"/>
  <c r="C2937" i="1"/>
  <c r="F2937" i="1" s="1"/>
  <c r="B2937" i="1"/>
  <c r="A2937" i="1"/>
  <c r="M2936" i="1"/>
  <c r="L2936" i="1"/>
  <c r="J2936" i="1"/>
  <c r="H2936" i="1"/>
  <c r="G2936" i="1"/>
  <c r="I2936" i="1" s="1"/>
  <c r="K2936" i="1" s="1"/>
  <c r="F2936" i="1"/>
  <c r="E2936" i="1"/>
  <c r="C2936" i="1"/>
  <c r="D2936" i="1" s="1"/>
  <c r="B2936" i="1"/>
  <c r="A2936" i="1"/>
  <c r="L2935" i="1"/>
  <c r="M2935" i="1" s="1"/>
  <c r="J2935" i="1"/>
  <c r="H2935" i="1"/>
  <c r="G2935" i="1"/>
  <c r="I2935" i="1" s="1"/>
  <c r="K2935" i="1" s="1"/>
  <c r="F2935" i="1"/>
  <c r="E2935" i="1"/>
  <c r="D2935" i="1"/>
  <c r="C2935" i="1"/>
  <c r="B2935" i="1"/>
  <c r="A2935" i="1"/>
  <c r="L2934" i="1"/>
  <c r="M2934" i="1" s="1"/>
  <c r="J2934" i="1"/>
  <c r="H2934" i="1"/>
  <c r="G2934" i="1"/>
  <c r="I2934" i="1" s="1"/>
  <c r="K2934" i="1" s="1"/>
  <c r="C2934" i="1"/>
  <c r="F2934" i="1" s="1"/>
  <c r="B2934" i="1"/>
  <c r="A2934" i="1"/>
  <c r="M2933" i="1"/>
  <c r="L2933" i="1"/>
  <c r="J2933" i="1"/>
  <c r="I2933" i="1"/>
  <c r="K2933" i="1" s="1"/>
  <c r="H2933" i="1"/>
  <c r="G2933" i="1"/>
  <c r="F2933" i="1"/>
  <c r="D2933" i="1"/>
  <c r="C2933" i="1"/>
  <c r="E2933" i="1" s="1"/>
  <c r="B2933" i="1"/>
  <c r="A2933" i="1"/>
  <c r="L2932" i="1"/>
  <c r="M2932" i="1" s="1"/>
  <c r="J2932" i="1"/>
  <c r="I2932" i="1"/>
  <c r="K2932" i="1" s="1"/>
  <c r="H2932" i="1"/>
  <c r="G2932" i="1"/>
  <c r="E2932" i="1"/>
  <c r="C2932" i="1"/>
  <c r="F2932" i="1" s="1"/>
  <c r="B2932" i="1"/>
  <c r="A2932" i="1"/>
  <c r="M2931" i="1"/>
  <c r="L2931" i="1"/>
  <c r="K2931" i="1"/>
  <c r="J2931" i="1"/>
  <c r="I2931" i="1"/>
  <c r="H2931" i="1"/>
  <c r="G2931" i="1"/>
  <c r="F2931" i="1"/>
  <c r="C2931" i="1"/>
  <c r="E2931" i="1" s="1"/>
  <c r="B2931" i="1"/>
  <c r="A2931" i="1"/>
  <c r="L2930" i="1"/>
  <c r="M2930" i="1" s="1"/>
  <c r="J2930" i="1"/>
  <c r="H2930" i="1"/>
  <c r="G2930" i="1"/>
  <c r="I2930" i="1" s="1"/>
  <c r="K2930" i="1" s="1"/>
  <c r="F2930" i="1"/>
  <c r="E2930" i="1"/>
  <c r="D2930" i="1"/>
  <c r="C2930" i="1"/>
  <c r="B2930" i="1"/>
  <c r="A2930" i="1"/>
  <c r="M2929" i="1"/>
  <c r="L2929" i="1"/>
  <c r="J2929" i="1"/>
  <c r="H2929" i="1"/>
  <c r="G2929" i="1"/>
  <c r="I2929" i="1" s="1"/>
  <c r="K2929" i="1" s="1"/>
  <c r="C2929" i="1"/>
  <c r="F2929" i="1" s="1"/>
  <c r="B2929" i="1"/>
  <c r="A2929" i="1"/>
  <c r="M2928" i="1"/>
  <c r="L2928" i="1"/>
  <c r="J2928" i="1"/>
  <c r="I2928" i="1"/>
  <c r="K2928" i="1" s="1"/>
  <c r="H2928" i="1"/>
  <c r="G2928" i="1"/>
  <c r="F2928" i="1"/>
  <c r="D2928" i="1"/>
  <c r="C2928" i="1"/>
  <c r="E2928" i="1" s="1"/>
  <c r="B2928" i="1"/>
  <c r="A2928" i="1"/>
  <c r="L2927" i="1"/>
  <c r="M2927" i="1" s="1"/>
  <c r="J2927" i="1"/>
  <c r="H2927" i="1"/>
  <c r="G2927" i="1"/>
  <c r="I2927" i="1" s="1"/>
  <c r="C2927" i="1"/>
  <c r="B2927" i="1"/>
  <c r="A2927" i="1"/>
  <c r="M2926" i="1"/>
  <c r="L2926" i="1"/>
  <c r="K2926" i="1"/>
  <c r="J2926" i="1"/>
  <c r="I2926" i="1"/>
  <c r="H2926" i="1"/>
  <c r="G2926" i="1"/>
  <c r="D2926" i="1"/>
  <c r="C2926" i="1"/>
  <c r="F2926" i="1" s="1"/>
  <c r="B2926" i="1"/>
  <c r="A2926" i="1"/>
  <c r="L2925" i="1"/>
  <c r="M2925" i="1" s="1"/>
  <c r="J2925" i="1"/>
  <c r="H2925" i="1"/>
  <c r="G2925" i="1"/>
  <c r="I2925" i="1" s="1"/>
  <c r="K2925" i="1" s="1"/>
  <c r="E2925" i="1"/>
  <c r="D2925" i="1"/>
  <c r="C2925" i="1"/>
  <c r="F2925" i="1" s="1"/>
  <c r="B2925" i="1"/>
  <c r="A2925" i="1"/>
  <c r="M2924" i="1"/>
  <c r="L2924" i="1"/>
  <c r="J2924" i="1"/>
  <c r="H2924" i="1"/>
  <c r="G2924" i="1"/>
  <c r="I2924" i="1" s="1"/>
  <c r="K2924" i="1" s="1"/>
  <c r="F2924" i="1"/>
  <c r="E2924" i="1"/>
  <c r="C2924" i="1"/>
  <c r="D2924" i="1" s="1"/>
  <c r="B2924" i="1"/>
  <c r="A2924" i="1"/>
  <c r="L2923" i="1"/>
  <c r="M2923" i="1" s="1"/>
  <c r="J2923" i="1"/>
  <c r="H2923" i="1"/>
  <c r="G2923" i="1"/>
  <c r="I2923" i="1" s="1"/>
  <c r="K2923" i="1" s="1"/>
  <c r="F2923" i="1"/>
  <c r="E2923" i="1"/>
  <c r="D2923" i="1"/>
  <c r="C2923" i="1"/>
  <c r="B2923" i="1"/>
  <c r="A2923" i="1"/>
  <c r="L2922" i="1"/>
  <c r="M2922" i="1" s="1"/>
  <c r="J2922" i="1"/>
  <c r="H2922" i="1"/>
  <c r="G2922" i="1"/>
  <c r="I2922" i="1" s="1"/>
  <c r="K2922" i="1" s="1"/>
  <c r="C2922" i="1"/>
  <c r="B2922" i="1"/>
  <c r="A2922" i="1"/>
  <c r="M2921" i="1"/>
  <c r="L2921" i="1"/>
  <c r="J2921" i="1"/>
  <c r="I2921" i="1"/>
  <c r="K2921" i="1" s="1"/>
  <c r="H2921" i="1"/>
  <c r="G2921" i="1"/>
  <c r="F2921" i="1"/>
  <c r="D2921" i="1"/>
  <c r="C2921" i="1"/>
  <c r="E2921" i="1" s="1"/>
  <c r="B2921" i="1"/>
  <c r="A2921" i="1"/>
  <c r="L2920" i="1"/>
  <c r="M2920" i="1" s="1"/>
  <c r="J2920" i="1"/>
  <c r="I2920" i="1"/>
  <c r="K2920" i="1" s="1"/>
  <c r="H2920" i="1"/>
  <c r="G2920" i="1"/>
  <c r="E2920" i="1"/>
  <c r="C2920" i="1"/>
  <c r="F2920" i="1" s="1"/>
  <c r="B2920" i="1"/>
  <c r="A2920" i="1"/>
  <c r="M2919" i="1"/>
  <c r="L2919" i="1"/>
  <c r="J2919" i="1"/>
  <c r="K2919" i="1" s="1"/>
  <c r="I2919" i="1"/>
  <c r="H2919" i="1"/>
  <c r="G2919" i="1"/>
  <c r="F2919" i="1"/>
  <c r="C2919" i="1"/>
  <c r="B2919" i="1"/>
  <c r="A2919" i="1"/>
  <c r="L2918" i="1"/>
  <c r="M2918" i="1" s="1"/>
  <c r="K2918" i="1"/>
  <c r="J2918" i="1"/>
  <c r="H2918" i="1"/>
  <c r="G2918" i="1"/>
  <c r="I2918" i="1" s="1"/>
  <c r="F2918" i="1"/>
  <c r="E2918" i="1"/>
  <c r="D2918" i="1"/>
  <c r="C2918" i="1"/>
  <c r="B2918" i="1"/>
  <c r="A2918" i="1"/>
  <c r="M2917" i="1"/>
  <c r="L2917" i="1"/>
  <c r="J2917" i="1"/>
  <c r="H2917" i="1"/>
  <c r="G2917" i="1"/>
  <c r="I2917" i="1" s="1"/>
  <c r="K2917" i="1" s="1"/>
  <c r="C2917" i="1"/>
  <c r="B2917" i="1"/>
  <c r="A2917" i="1"/>
  <c r="M2916" i="1"/>
  <c r="L2916" i="1"/>
  <c r="J2916" i="1"/>
  <c r="I2916" i="1"/>
  <c r="K2916" i="1" s="1"/>
  <c r="H2916" i="1"/>
  <c r="G2916" i="1"/>
  <c r="F2916" i="1"/>
  <c r="D2916" i="1"/>
  <c r="C2916" i="1"/>
  <c r="E2916" i="1" s="1"/>
  <c r="B2916" i="1"/>
  <c r="A2916" i="1"/>
  <c r="L2915" i="1"/>
  <c r="M2915" i="1" s="1"/>
  <c r="J2915" i="1"/>
  <c r="H2915" i="1"/>
  <c r="G2915" i="1"/>
  <c r="I2915" i="1" s="1"/>
  <c r="E2915" i="1"/>
  <c r="C2915" i="1"/>
  <c r="B2915" i="1"/>
  <c r="A2915" i="1"/>
  <c r="M2914" i="1"/>
  <c r="L2914" i="1"/>
  <c r="K2914" i="1"/>
  <c r="J2914" i="1"/>
  <c r="I2914" i="1"/>
  <c r="H2914" i="1"/>
  <c r="G2914" i="1"/>
  <c r="D2914" i="1"/>
  <c r="C2914" i="1"/>
  <c r="E2914" i="1" s="1"/>
  <c r="B2914" i="1"/>
  <c r="A2914" i="1"/>
  <c r="L2913" i="1"/>
  <c r="M2913" i="1" s="1"/>
  <c r="J2913" i="1"/>
  <c r="I2913" i="1"/>
  <c r="K2913" i="1" s="1"/>
  <c r="H2913" i="1"/>
  <c r="G2913" i="1"/>
  <c r="E2913" i="1"/>
  <c r="D2913" i="1"/>
  <c r="C2913" i="1"/>
  <c r="F2913" i="1" s="1"/>
  <c r="B2913" i="1"/>
  <c r="A2913" i="1"/>
  <c r="M2912" i="1"/>
  <c r="L2912" i="1"/>
  <c r="J2912" i="1"/>
  <c r="H2912" i="1"/>
  <c r="G2912" i="1"/>
  <c r="I2912" i="1" s="1"/>
  <c r="K2912" i="1" s="1"/>
  <c r="C2912" i="1"/>
  <c r="B2912" i="1"/>
  <c r="A2912" i="1"/>
  <c r="L2911" i="1"/>
  <c r="M2911" i="1" s="1"/>
  <c r="K2911" i="1"/>
  <c r="J2911" i="1"/>
  <c r="I2911" i="1"/>
  <c r="H2911" i="1"/>
  <c r="G2911" i="1"/>
  <c r="F2911" i="1"/>
  <c r="E2911" i="1"/>
  <c r="D2911" i="1"/>
  <c r="C2911" i="1"/>
  <c r="B2911" i="1"/>
  <c r="A2911" i="1"/>
  <c r="L2910" i="1"/>
  <c r="M2910" i="1" s="1"/>
  <c r="J2910" i="1"/>
  <c r="H2910" i="1"/>
  <c r="G2910" i="1"/>
  <c r="I2910" i="1" s="1"/>
  <c r="C2910" i="1"/>
  <c r="B2910" i="1"/>
  <c r="A2910" i="1"/>
  <c r="M2909" i="1"/>
  <c r="L2909" i="1"/>
  <c r="J2909" i="1"/>
  <c r="I2909" i="1"/>
  <c r="K2909" i="1" s="1"/>
  <c r="H2909" i="1"/>
  <c r="G2909" i="1"/>
  <c r="F2909" i="1"/>
  <c r="D2909" i="1"/>
  <c r="C2909" i="1"/>
  <c r="E2909" i="1" s="1"/>
  <c r="B2909" i="1"/>
  <c r="A2909" i="1"/>
  <c r="L2908" i="1"/>
  <c r="M2908" i="1" s="1"/>
  <c r="J2908" i="1"/>
  <c r="H2908" i="1"/>
  <c r="G2908" i="1"/>
  <c r="I2908" i="1" s="1"/>
  <c r="K2908" i="1" s="1"/>
  <c r="E2908" i="1"/>
  <c r="C2908" i="1"/>
  <c r="F2908" i="1" s="1"/>
  <c r="B2908" i="1"/>
  <c r="A2908" i="1"/>
  <c r="M2907" i="1"/>
  <c r="L2907" i="1"/>
  <c r="K2907" i="1"/>
  <c r="J2907" i="1"/>
  <c r="I2907" i="1"/>
  <c r="H2907" i="1"/>
  <c r="G2907" i="1"/>
  <c r="F2907" i="1"/>
  <c r="C2907" i="1"/>
  <c r="B2907" i="1"/>
  <c r="A2907" i="1"/>
  <c r="L2906" i="1"/>
  <c r="M2906" i="1" s="1"/>
  <c r="J2906" i="1"/>
  <c r="H2906" i="1"/>
  <c r="G2906" i="1"/>
  <c r="I2906" i="1" s="1"/>
  <c r="K2906" i="1" s="1"/>
  <c r="F2906" i="1"/>
  <c r="E2906" i="1"/>
  <c r="D2906" i="1"/>
  <c r="C2906" i="1"/>
  <c r="B2906" i="1"/>
  <c r="A2906" i="1"/>
  <c r="L2905" i="1"/>
  <c r="M2905" i="1" s="1"/>
  <c r="J2905" i="1"/>
  <c r="H2905" i="1"/>
  <c r="G2905" i="1"/>
  <c r="I2905" i="1" s="1"/>
  <c r="E2905" i="1"/>
  <c r="C2905" i="1"/>
  <c r="B2905" i="1"/>
  <c r="A2905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L2903" i="1"/>
  <c r="M2903" i="1" s="1"/>
  <c r="J2903" i="1"/>
  <c r="H2903" i="1"/>
  <c r="G2903" i="1"/>
  <c r="I2903" i="1" s="1"/>
  <c r="C2903" i="1"/>
  <c r="B2903" i="1"/>
  <c r="A2903" i="1"/>
  <c r="M2902" i="1"/>
  <c r="L2902" i="1"/>
  <c r="K2902" i="1"/>
  <c r="J2902" i="1"/>
  <c r="I2902" i="1"/>
  <c r="H2902" i="1"/>
  <c r="G2902" i="1"/>
  <c r="C2902" i="1"/>
  <c r="E2902" i="1" s="1"/>
  <c r="B2902" i="1"/>
  <c r="A2902" i="1"/>
  <c r="L2901" i="1"/>
  <c r="M2901" i="1" s="1"/>
  <c r="J2901" i="1"/>
  <c r="I2901" i="1"/>
  <c r="K2901" i="1" s="1"/>
  <c r="H2901" i="1"/>
  <c r="G2901" i="1"/>
  <c r="E2901" i="1"/>
  <c r="D2901" i="1"/>
  <c r="C2901" i="1"/>
  <c r="F2901" i="1" s="1"/>
  <c r="B2901" i="1"/>
  <c r="A2901" i="1"/>
  <c r="M2900" i="1"/>
  <c r="L2900" i="1"/>
  <c r="J2900" i="1"/>
  <c r="K2900" i="1" s="1"/>
  <c r="I2900" i="1"/>
  <c r="H2900" i="1"/>
  <c r="G2900" i="1"/>
  <c r="F2900" i="1"/>
  <c r="C2900" i="1"/>
  <c r="D2900" i="1" s="1"/>
  <c r="B2900" i="1"/>
  <c r="A2900" i="1"/>
  <c r="L2899" i="1"/>
  <c r="M2899" i="1" s="1"/>
  <c r="J2899" i="1"/>
  <c r="H2899" i="1"/>
  <c r="G2899" i="1"/>
  <c r="I2899" i="1" s="1"/>
  <c r="K2899" i="1" s="1"/>
  <c r="F2899" i="1"/>
  <c r="E2899" i="1"/>
  <c r="D2899" i="1"/>
  <c r="C2899" i="1"/>
  <c r="B2899" i="1"/>
  <c r="A2899" i="1"/>
  <c r="L2898" i="1"/>
  <c r="M2898" i="1" s="1"/>
  <c r="J2898" i="1"/>
  <c r="H2898" i="1"/>
  <c r="G2898" i="1"/>
  <c r="I2898" i="1" s="1"/>
  <c r="K2898" i="1" s="1"/>
  <c r="C2898" i="1"/>
  <c r="B2898" i="1"/>
  <c r="A2898" i="1"/>
  <c r="M2897" i="1"/>
  <c r="L2897" i="1"/>
  <c r="J2897" i="1"/>
  <c r="I2897" i="1"/>
  <c r="K2897" i="1" s="1"/>
  <c r="H2897" i="1"/>
  <c r="G2897" i="1"/>
  <c r="F2897" i="1"/>
  <c r="D2897" i="1"/>
  <c r="C2897" i="1"/>
  <c r="E2897" i="1" s="1"/>
  <c r="B2897" i="1"/>
  <c r="A2897" i="1"/>
  <c r="L2896" i="1"/>
  <c r="M2896" i="1" s="1"/>
  <c r="J2896" i="1"/>
  <c r="H2896" i="1"/>
  <c r="G2896" i="1"/>
  <c r="I2896" i="1" s="1"/>
  <c r="K2896" i="1" s="1"/>
  <c r="C2896" i="1"/>
  <c r="B2896" i="1"/>
  <c r="A2896" i="1"/>
  <c r="M2895" i="1"/>
  <c r="L2895" i="1"/>
  <c r="J2895" i="1"/>
  <c r="K2895" i="1" s="1"/>
  <c r="I2895" i="1"/>
  <c r="H2895" i="1"/>
  <c r="G2895" i="1"/>
  <c r="F2895" i="1"/>
  <c r="C2895" i="1"/>
  <c r="E2895" i="1" s="1"/>
  <c r="B2895" i="1"/>
  <c r="A2895" i="1"/>
  <c r="L2894" i="1"/>
  <c r="M2894" i="1" s="1"/>
  <c r="J2894" i="1"/>
  <c r="H2894" i="1"/>
  <c r="G2894" i="1"/>
  <c r="I2894" i="1" s="1"/>
  <c r="K2894" i="1" s="1"/>
  <c r="F2894" i="1"/>
  <c r="E2894" i="1"/>
  <c r="D2894" i="1"/>
  <c r="C2894" i="1"/>
  <c r="B2894" i="1"/>
  <c r="A2894" i="1"/>
  <c r="M2893" i="1"/>
  <c r="L2893" i="1"/>
  <c r="J2893" i="1"/>
  <c r="H2893" i="1"/>
  <c r="G2893" i="1"/>
  <c r="I2893" i="1" s="1"/>
  <c r="K2893" i="1" s="1"/>
  <c r="C2893" i="1"/>
  <c r="B2893" i="1"/>
  <c r="A2893" i="1"/>
  <c r="M2892" i="1"/>
  <c r="L2892" i="1"/>
  <c r="J2892" i="1"/>
  <c r="H2892" i="1"/>
  <c r="G2892" i="1"/>
  <c r="I2892" i="1" s="1"/>
  <c r="K2892" i="1" s="1"/>
  <c r="F2892" i="1"/>
  <c r="E2892" i="1"/>
  <c r="D2892" i="1"/>
  <c r="C2892" i="1"/>
  <c r="B2892" i="1"/>
  <c r="A2892" i="1"/>
  <c r="L2891" i="1"/>
  <c r="M2891" i="1" s="1"/>
  <c r="J2891" i="1"/>
  <c r="H2891" i="1"/>
  <c r="G2891" i="1"/>
  <c r="I2891" i="1" s="1"/>
  <c r="C2891" i="1"/>
  <c r="B2891" i="1"/>
  <c r="A2891" i="1"/>
  <c r="M2890" i="1"/>
  <c r="L2890" i="1"/>
  <c r="J2890" i="1"/>
  <c r="I2890" i="1"/>
  <c r="K2890" i="1" s="1"/>
  <c r="H2890" i="1"/>
  <c r="G2890" i="1"/>
  <c r="C2890" i="1"/>
  <c r="E2890" i="1" s="1"/>
  <c r="B2890" i="1"/>
  <c r="A2890" i="1"/>
  <c r="L2889" i="1"/>
  <c r="M2889" i="1" s="1"/>
  <c r="J2889" i="1"/>
  <c r="H2889" i="1"/>
  <c r="G2889" i="1"/>
  <c r="I2889" i="1" s="1"/>
  <c r="K2889" i="1" s="1"/>
  <c r="E2889" i="1"/>
  <c r="D2889" i="1"/>
  <c r="C2889" i="1"/>
  <c r="F2889" i="1" s="1"/>
  <c r="B2889" i="1"/>
  <c r="A2889" i="1"/>
  <c r="M2888" i="1"/>
  <c r="L2888" i="1"/>
  <c r="K2888" i="1"/>
  <c r="J2888" i="1"/>
  <c r="I2888" i="1"/>
  <c r="H2888" i="1"/>
  <c r="G2888" i="1"/>
  <c r="F2888" i="1"/>
  <c r="E2888" i="1"/>
  <c r="C2888" i="1"/>
  <c r="D2888" i="1" s="1"/>
  <c r="B2888" i="1"/>
  <c r="A2888" i="1"/>
  <c r="L2887" i="1"/>
  <c r="M2887" i="1" s="1"/>
  <c r="J2887" i="1"/>
  <c r="H2887" i="1"/>
  <c r="G2887" i="1"/>
  <c r="I2887" i="1" s="1"/>
  <c r="K2887" i="1" s="1"/>
  <c r="F2887" i="1"/>
  <c r="E2887" i="1"/>
  <c r="D2887" i="1"/>
  <c r="C2887" i="1"/>
  <c r="B2887" i="1"/>
  <c r="A2887" i="1"/>
  <c r="M2886" i="1"/>
  <c r="L2886" i="1"/>
  <c r="J2886" i="1"/>
  <c r="H2886" i="1"/>
  <c r="G2886" i="1"/>
  <c r="I2886" i="1" s="1"/>
  <c r="C2886" i="1"/>
  <c r="D2886" i="1" s="1"/>
  <c r="B2886" i="1"/>
  <c r="A2886" i="1"/>
  <c r="M2885" i="1"/>
  <c r="L2885" i="1"/>
  <c r="J2885" i="1"/>
  <c r="I2885" i="1"/>
  <c r="K2885" i="1" s="1"/>
  <c r="H2885" i="1"/>
  <c r="G2885" i="1"/>
  <c r="C2885" i="1"/>
  <c r="E2885" i="1" s="1"/>
  <c r="B2885" i="1"/>
  <c r="A2885" i="1"/>
  <c r="L2884" i="1"/>
  <c r="M2884" i="1" s="1"/>
  <c r="J2884" i="1"/>
  <c r="H2884" i="1"/>
  <c r="G2884" i="1"/>
  <c r="I2884" i="1" s="1"/>
  <c r="K2884" i="1" s="1"/>
  <c r="C2884" i="1"/>
  <c r="F2884" i="1" s="1"/>
  <c r="B2884" i="1"/>
  <c r="A2884" i="1"/>
  <c r="M2883" i="1"/>
  <c r="L2883" i="1"/>
  <c r="J2883" i="1"/>
  <c r="I2883" i="1"/>
  <c r="K2883" i="1" s="1"/>
  <c r="H2883" i="1"/>
  <c r="G2883" i="1"/>
  <c r="D2883" i="1"/>
  <c r="C2883" i="1"/>
  <c r="F2883" i="1" s="1"/>
  <c r="B2883" i="1"/>
  <c r="A2883" i="1"/>
  <c r="L2882" i="1"/>
  <c r="M2882" i="1" s="1"/>
  <c r="J2882" i="1"/>
  <c r="H2882" i="1"/>
  <c r="G2882" i="1"/>
  <c r="I2882" i="1" s="1"/>
  <c r="K2882" i="1" s="1"/>
  <c r="D2882" i="1"/>
  <c r="C2882" i="1"/>
  <c r="F2882" i="1" s="1"/>
  <c r="B2882" i="1"/>
  <c r="A2882" i="1"/>
  <c r="L2881" i="1"/>
  <c r="M2881" i="1" s="1"/>
  <c r="J2881" i="1"/>
  <c r="H2881" i="1"/>
  <c r="G2881" i="1"/>
  <c r="I2881" i="1" s="1"/>
  <c r="K2881" i="1" s="1"/>
  <c r="D2881" i="1"/>
  <c r="C2881" i="1"/>
  <c r="F2881" i="1" s="1"/>
  <c r="B2881" i="1"/>
  <c r="A2881" i="1"/>
  <c r="L2880" i="1"/>
  <c r="M2880" i="1" s="1"/>
  <c r="J2880" i="1"/>
  <c r="H2880" i="1"/>
  <c r="G2880" i="1"/>
  <c r="I2880" i="1" s="1"/>
  <c r="K2880" i="1" s="1"/>
  <c r="F2880" i="1"/>
  <c r="E2880" i="1"/>
  <c r="D2880" i="1"/>
  <c r="C2880" i="1"/>
  <c r="B2880" i="1"/>
  <c r="A2880" i="1"/>
  <c r="L2879" i="1"/>
  <c r="M2879" i="1" s="1"/>
  <c r="J2879" i="1"/>
  <c r="H2879" i="1"/>
  <c r="G2879" i="1"/>
  <c r="I2879" i="1" s="1"/>
  <c r="K2879" i="1" s="1"/>
  <c r="E2879" i="1"/>
  <c r="C2879" i="1"/>
  <c r="D2879" i="1" s="1"/>
  <c r="B2879" i="1"/>
  <c r="A2879" i="1"/>
  <c r="M2878" i="1"/>
  <c r="L2878" i="1"/>
  <c r="J2878" i="1"/>
  <c r="H2878" i="1"/>
  <c r="G2878" i="1"/>
  <c r="I2878" i="1" s="1"/>
  <c r="K2878" i="1" s="1"/>
  <c r="D2878" i="1"/>
  <c r="C2878" i="1"/>
  <c r="E2878" i="1" s="1"/>
  <c r="B2878" i="1"/>
  <c r="A2878" i="1"/>
  <c r="L2877" i="1"/>
  <c r="M2877" i="1" s="1"/>
  <c r="J2877" i="1"/>
  <c r="H2877" i="1"/>
  <c r="G2877" i="1"/>
  <c r="I2877" i="1" s="1"/>
  <c r="K2877" i="1" s="1"/>
  <c r="C2877" i="1"/>
  <c r="F2877" i="1" s="1"/>
  <c r="B2877" i="1"/>
  <c r="A2877" i="1"/>
  <c r="M2876" i="1"/>
  <c r="L2876" i="1"/>
  <c r="J2876" i="1"/>
  <c r="I2876" i="1"/>
  <c r="K2876" i="1" s="1"/>
  <c r="H2876" i="1"/>
  <c r="G2876" i="1"/>
  <c r="D2876" i="1"/>
  <c r="C2876" i="1"/>
  <c r="F2876" i="1" s="1"/>
  <c r="B2876" i="1"/>
  <c r="A2876" i="1"/>
  <c r="L2875" i="1"/>
  <c r="M2875" i="1" s="1"/>
  <c r="J2875" i="1"/>
  <c r="H2875" i="1"/>
  <c r="G2875" i="1"/>
  <c r="I2875" i="1" s="1"/>
  <c r="K2875" i="1" s="1"/>
  <c r="F2875" i="1"/>
  <c r="E2875" i="1"/>
  <c r="D2875" i="1"/>
  <c r="C2875" i="1"/>
  <c r="B2875" i="1"/>
  <c r="A2875" i="1"/>
  <c r="L2874" i="1"/>
  <c r="M2874" i="1" s="1"/>
  <c r="K2874" i="1"/>
  <c r="J2874" i="1"/>
  <c r="H2874" i="1"/>
  <c r="G2874" i="1"/>
  <c r="I2874" i="1" s="1"/>
  <c r="E2874" i="1"/>
  <c r="C2874" i="1"/>
  <c r="D2874" i="1" s="1"/>
  <c r="B2874" i="1"/>
  <c r="A2874" i="1"/>
  <c r="L2873" i="1"/>
  <c r="M2873" i="1" s="1"/>
  <c r="J2873" i="1"/>
  <c r="H2873" i="1"/>
  <c r="G2873" i="1"/>
  <c r="I2873" i="1" s="1"/>
  <c r="K2873" i="1" s="1"/>
  <c r="D2873" i="1"/>
  <c r="C2873" i="1"/>
  <c r="E2873" i="1" s="1"/>
  <c r="B2873" i="1"/>
  <c r="A2873" i="1"/>
  <c r="L2872" i="1"/>
  <c r="M2872" i="1" s="1"/>
  <c r="J2872" i="1"/>
  <c r="H2872" i="1"/>
  <c r="G2872" i="1"/>
  <c r="I2872" i="1" s="1"/>
  <c r="K2872" i="1" s="1"/>
  <c r="C2872" i="1"/>
  <c r="B2872" i="1"/>
  <c r="A2872" i="1"/>
  <c r="M2871" i="1"/>
  <c r="L2871" i="1"/>
  <c r="J2871" i="1"/>
  <c r="I2871" i="1"/>
  <c r="K2871" i="1" s="1"/>
  <c r="H2871" i="1"/>
  <c r="G2871" i="1"/>
  <c r="D2871" i="1"/>
  <c r="C2871" i="1"/>
  <c r="F2871" i="1" s="1"/>
  <c r="B2871" i="1"/>
  <c r="A2871" i="1"/>
  <c r="L2870" i="1"/>
  <c r="M2870" i="1" s="1"/>
  <c r="J2870" i="1"/>
  <c r="H2870" i="1"/>
  <c r="G2870" i="1"/>
  <c r="I2870" i="1" s="1"/>
  <c r="K2870" i="1" s="1"/>
  <c r="D2870" i="1"/>
  <c r="C2870" i="1"/>
  <c r="F2870" i="1" s="1"/>
  <c r="B2870" i="1"/>
  <c r="A2870" i="1"/>
  <c r="L2869" i="1"/>
  <c r="M2869" i="1" s="1"/>
  <c r="J2869" i="1"/>
  <c r="H2869" i="1"/>
  <c r="G2869" i="1"/>
  <c r="I2869" i="1" s="1"/>
  <c r="K2869" i="1" s="1"/>
  <c r="D2869" i="1"/>
  <c r="C2869" i="1"/>
  <c r="F2869" i="1" s="1"/>
  <c r="B2869" i="1"/>
  <c r="A2869" i="1"/>
  <c r="L2868" i="1"/>
  <c r="M2868" i="1" s="1"/>
  <c r="J2868" i="1"/>
  <c r="H2868" i="1"/>
  <c r="G2868" i="1"/>
  <c r="I2868" i="1" s="1"/>
  <c r="K2868" i="1" s="1"/>
  <c r="F2868" i="1"/>
  <c r="E2868" i="1"/>
  <c r="D2868" i="1"/>
  <c r="C2868" i="1"/>
  <c r="B2868" i="1"/>
  <c r="A2868" i="1"/>
  <c r="L2867" i="1"/>
  <c r="M2867" i="1" s="1"/>
  <c r="J2867" i="1"/>
  <c r="H2867" i="1"/>
  <c r="G2867" i="1"/>
  <c r="I2867" i="1" s="1"/>
  <c r="K2867" i="1" s="1"/>
  <c r="C2867" i="1"/>
  <c r="B2867" i="1"/>
  <c r="A2867" i="1"/>
  <c r="M2866" i="1"/>
  <c r="L2866" i="1"/>
  <c r="J2866" i="1"/>
  <c r="H2866" i="1"/>
  <c r="G2866" i="1"/>
  <c r="I2866" i="1" s="1"/>
  <c r="K2866" i="1" s="1"/>
  <c r="D2866" i="1"/>
  <c r="C2866" i="1"/>
  <c r="B2866" i="1"/>
  <c r="A2866" i="1"/>
  <c r="L2865" i="1"/>
  <c r="M2865" i="1" s="1"/>
  <c r="J2865" i="1"/>
  <c r="H2865" i="1"/>
  <c r="G2865" i="1"/>
  <c r="I2865" i="1" s="1"/>
  <c r="K2865" i="1" s="1"/>
  <c r="C2865" i="1"/>
  <c r="B2865" i="1"/>
  <c r="A2865" i="1"/>
  <c r="M2864" i="1"/>
  <c r="L2864" i="1"/>
  <c r="J2864" i="1"/>
  <c r="I2864" i="1"/>
  <c r="K2864" i="1" s="1"/>
  <c r="H2864" i="1"/>
  <c r="G2864" i="1"/>
  <c r="D2864" i="1"/>
  <c r="C2864" i="1"/>
  <c r="B2864" i="1"/>
  <c r="A2864" i="1"/>
  <c r="L2863" i="1"/>
  <c r="M2863" i="1" s="1"/>
  <c r="J2863" i="1"/>
  <c r="H2863" i="1"/>
  <c r="G2863" i="1"/>
  <c r="I2863" i="1" s="1"/>
  <c r="K2863" i="1" s="1"/>
  <c r="F2863" i="1"/>
  <c r="E2863" i="1"/>
  <c r="D2863" i="1"/>
  <c r="C2863" i="1"/>
  <c r="B2863" i="1"/>
  <c r="A2863" i="1"/>
  <c r="L2862" i="1"/>
  <c r="M2862" i="1" s="1"/>
  <c r="K2862" i="1"/>
  <c r="J2862" i="1"/>
  <c r="H2862" i="1"/>
  <c r="G2862" i="1"/>
  <c r="I2862" i="1" s="1"/>
  <c r="E2862" i="1"/>
  <c r="C2862" i="1"/>
  <c r="B2862" i="1"/>
  <c r="A2862" i="1"/>
  <c r="L2861" i="1"/>
  <c r="M2861" i="1" s="1"/>
  <c r="J2861" i="1"/>
  <c r="H2861" i="1"/>
  <c r="G2861" i="1"/>
  <c r="I2861" i="1" s="1"/>
  <c r="K2861" i="1" s="1"/>
  <c r="C2861" i="1"/>
  <c r="B2861" i="1"/>
  <c r="A2861" i="1"/>
  <c r="L2860" i="1"/>
  <c r="M2860" i="1" s="1"/>
  <c r="J2860" i="1"/>
  <c r="H2860" i="1"/>
  <c r="G2860" i="1"/>
  <c r="I2860" i="1" s="1"/>
  <c r="K2860" i="1" s="1"/>
  <c r="C2860" i="1"/>
  <c r="B2860" i="1"/>
  <c r="A2860" i="1"/>
  <c r="M2859" i="1"/>
  <c r="L2859" i="1"/>
  <c r="J2859" i="1"/>
  <c r="I2859" i="1"/>
  <c r="K2859" i="1" s="1"/>
  <c r="H2859" i="1"/>
  <c r="G2859" i="1"/>
  <c r="D2859" i="1"/>
  <c r="C2859" i="1"/>
  <c r="B2859" i="1"/>
  <c r="A2859" i="1"/>
  <c r="L2858" i="1"/>
  <c r="M2858" i="1" s="1"/>
  <c r="J2858" i="1"/>
  <c r="H2858" i="1"/>
  <c r="G2858" i="1"/>
  <c r="I2858" i="1" s="1"/>
  <c r="K2858" i="1" s="1"/>
  <c r="C2858" i="1"/>
  <c r="B2858" i="1"/>
  <c r="A2858" i="1"/>
  <c r="L2857" i="1"/>
  <c r="M2857" i="1" s="1"/>
  <c r="J2857" i="1"/>
  <c r="H2857" i="1"/>
  <c r="G2857" i="1"/>
  <c r="I2857" i="1" s="1"/>
  <c r="K2857" i="1" s="1"/>
  <c r="D2857" i="1"/>
  <c r="C2857" i="1"/>
  <c r="B2857" i="1"/>
  <c r="A2857" i="1"/>
  <c r="L2856" i="1"/>
  <c r="M2856" i="1" s="1"/>
  <c r="J2856" i="1"/>
  <c r="H2856" i="1"/>
  <c r="G2856" i="1"/>
  <c r="I2856" i="1" s="1"/>
  <c r="K2856" i="1" s="1"/>
  <c r="F2856" i="1"/>
  <c r="E2856" i="1"/>
  <c r="D2856" i="1"/>
  <c r="C2856" i="1"/>
  <c r="B2856" i="1"/>
  <c r="A2856" i="1"/>
  <c r="L2855" i="1"/>
  <c r="M2855" i="1" s="1"/>
  <c r="J2855" i="1"/>
  <c r="H2855" i="1"/>
  <c r="G2855" i="1"/>
  <c r="I2855" i="1" s="1"/>
  <c r="K2855" i="1" s="1"/>
  <c r="C2855" i="1"/>
  <c r="B2855" i="1"/>
  <c r="A2855" i="1"/>
  <c r="M2854" i="1"/>
  <c r="L2854" i="1"/>
  <c r="J2854" i="1"/>
  <c r="H2854" i="1"/>
  <c r="G2854" i="1"/>
  <c r="I2854" i="1" s="1"/>
  <c r="K2854" i="1" s="1"/>
  <c r="C2854" i="1"/>
  <c r="B2854" i="1"/>
  <c r="A2854" i="1"/>
  <c r="L2853" i="1"/>
  <c r="M2853" i="1" s="1"/>
  <c r="J2853" i="1"/>
  <c r="H2853" i="1"/>
  <c r="G2853" i="1"/>
  <c r="I2853" i="1" s="1"/>
  <c r="K2853" i="1" s="1"/>
  <c r="C2853" i="1"/>
  <c r="B2853" i="1"/>
  <c r="A2853" i="1"/>
  <c r="M2852" i="1"/>
  <c r="L2852" i="1"/>
  <c r="J2852" i="1"/>
  <c r="I2852" i="1"/>
  <c r="K2852" i="1" s="1"/>
  <c r="H2852" i="1"/>
  <c r="G2852" i="1"/>
  <c r="C2852" i="1"/>
  <c r="B2852" i="1"/>
  <c r="A2852" i="1"/>
  <c r="L2851" i="1"/>
  <c r="M2851" i="1" s="1"/>
  <c r="J2851" i="1"/>
  <c r="H2851" i="1"/>
  <c r="G2851" i="1"/>
  <c r="I2851" i="1" s="1"/>
  <c r="F2851" i="1"/>
  <c r="E2851" i="1"/>
  <c r="D2851" i="1"/>
  <c r="C2851" i="1"/>
  <c r="B2851" i="1"/>
  <c r="A2851" i="1"/>
  <c r="L2850" i="1"/>
  <c r="M2850" i="1" s="1"/>
  <c r="K2850" i="1"/>
  <c r="J2850" i="1"/>
  <c r="H2850" i="1"/>
  <c r="G2850" i="1"/>
  <c r="I2850" i="1" s="1"/>
  <c r="C2850" i="1"/>
  <c r="B2850" i="1"/>
  <c r="A2850" i="1"/>
  <c r="L2849" i="1"/>
  <c r="M2849" i="1" s="1"/>
  <c r="J2849" i="1"/>
  <c r="H2849" i="1"/>
  <c r="G2849" i="1"/>
  <c r="I2849" i="1" s="1"/>
  <c r="K2849" i="1" s="1"/>
  <c r="D2849" i="1"/>
  <c r="C2849" i="1"/>
  <c r="B2849" i="1"/>
  <c r="A2849" i="1"/>
  <c r="L2848" i="1"/>
  <c r="M2848" i="1" s="1"/>
  <c r="J2848" i="1"/>
  <c r="I2848" i="1"/>
  <c r="K2848" i="1" s="1"/>
  <c r="H2848" i="1"/>
  <c r="G2848" i="1"/>
  <c r="C2848" i="1"/>
  <c r="B2848" i="1"/>
  <c r="A2848" i="1"/>
  <c r="M2847" i="1"/>
  <c r="L2847" i="1"/>
  <c r="J2847" i="1"/>
  <c r="I2847" i="1"/>
  <c r="K2847" i="1" s="1"/>
  <c r="H2847" i="1"/>
  <c r="G2847" i="1"/>
  <c r="C2847" i="1"/>
  <c r="B2847" i="1"/>
  <c r="A2847" i="1"/>
  <c r="L2846" i="1"/>
  <c r="M2846" i="1" s="1"/>
  <c r="J2846" i="1"/>
  <c r="H2846" i="1"/>
  <c r="G2846" i="1"/>
  <c r="I2846" i="1" s="1"/>
  <c r="K2846" i="1" s="1"/>
  <c r="C2846" i="1"/>
  <c r="B2846" i="1"/>
  <c r="A2846" i="1"/>
  <c r="L2845" i="1"/>
  <c r="M2845" i="1" s="1"/>
  <c r="J2845" i="1"/>
  <c r="H2845" i="1"/>
  <c r="G2845" i="1"/>
  <c r="I2845" i="1" s="1"/>
  <c r="C2845" i="1"/>
  <c r="B2845" i="1"/>
  <c r="A2845" i="1"/>
  <c r="L2844" i="1"/>
  <c r="M2844" i="1" s="1"/>
  <c r="J2844" i="1"/>
  <c r="H2844" i="1"/>
  <c r="G2844" i="1"/>
  <c r="I2844" i="1" s="1"/>
  <c r="K2844" i="1" s="1"/>
  <c r="F2844" i="1"/>
  <c r="E2844" i="1"/>
  <c r="D2844" i="1"/>
  <c r="C2844" i="1"/>
  <c r="B2844" i="1"/>
  <c r="A2844" i="1"/>
  <c r="L2843" i="1"/>
  <c r="M2843" i="1" s="1"/>
  <c r="J2843" i="1"/>
  <c r="H2843" i="1"/>
  <c r="G2843" i="1"/>
  <c r="I2843" i="1" s="1"/>
  <c r="E2843" i="1"/>
  <c r="C2843" i="1"/>
  <c r="B2843" i="1"/>
  <c r="A2843" i="1"/>
  <c r="M2842" i="1"/>
  <c r="L2842" i="1"/>
  <c r="J2842" i="1"/>
  <c r="H2842" i="1"/>
  <c r="G2842" i="1"/>
  <c r="I2842" i="1" s="1"/>
  <c r="D2842" i="1"/>
  <c r="C2842" i="1"/>
  <c r="B2842" i="1"/>
  <c r="A2842" i="1"/>
  <c r="L2841" i="1"/>
  <c r="M2841" i="1" s="1"/>
  <c r="J2841" i="1"/>
  <c r="I2841" i="1"/>
  <c r="K2841" i="1" s="1"/>
  <c r="H2841" i="1"/>
  <c r="G2841" i="1"/>
  <c r="C2841" i="1"/>
  <c r="B2841" i="1"/>
  <c r="A2841" i="1"/>
  <c r="M2840" i="1"/>
  <c r="L2840" i="1"/>
  <c r="J2840" i="1"/>
  <c r="I2840" i="1"/>
  <c r="K2840" i="1" s="1"/>
  <c r="H2840" i="1"/>
  <c r="G2840" i="1"/>
  <c r="D2840" i="1"/>
  <c r="C2840" i="1"/>
  <c r="B2840" i="1"/>
  <c r="A2840" i="1"/>
  <c r="M2839" i="1"/>
  <c r="L2839" i="1"/>
  <c r="J2839" i="1"/>
  <c r="H2839" i="1"/>
  <c r="G2839" i="1"/>
  <c r="I2839" i="1" s="1"/>
  <c r="F2839" i="1"/>
  <c r="E2839" i="1"/>
  <c r="D2839" i="1"/>
  <c r="C2839" i="1"/>
  <c r="B2839" i="1"/>
  <c r="A2839" i="1"/>
  <c r="L2838" i="1"/>
  <c r="M2838" i="1" s="1"/>
  <c r="K2838" i="1"/>
  <c r="J2838" i="1"/>
  <c r="H2838" i="1"/>
  <c r="G2838" i="1"/>
  <c r="I2838" i="1" s="1"/>
  <c r="E2838" i="1"/>
  <c r="C2838" i="1"/>
  <c r="D2838" i="1" s="1"/>
  <c r="B2838" i="1"/>
  <c r="A2838" i="1"/>
  <c r="M2837" i="1"/>
  <c r="L2837" i="1"/>
  <c r="J2837" i="1"/>
  <c r="H2837" i="1"/>
  <c r="G2837" i="1"/>
  <c r="I2837" i="1" s="1"/>
  <c r="K2837" i="1" s="1"/>
  <c r="F2837" i="1"/>
  <c r="C2837" i="1"/>
  <c r="E2837" i="1" s="1"/>
  <c r="B2837" i="1"/>
  <c r="A2837" i="1"/>
  <c r="M2836" i="1"/>
  <c r="L2836" i="1"/>
  <c r="J2836" i="1"/>
  <c r="H2836" i="1"/>
  <c r="G2836" i="1"/>
  <c r="I2836" i="1" s="1"/>
  <c r="K2836" i="1" s="1"/>
  <c r="C2836" i="1"/>
  <c r="B2836" i="1"/>
  <c r="A2836" i="1"/>
  <c r="M2835" i="1"/>
  <c r="L2835" i="1"/>
  <c r="J2835" i="1"/>
  <c r="I2835" i="1"/>
  <c r="K2835" i="1" s="1"/>
  <c r="H2835" i="1"/>
  <c r="G2835" i="1"/>
  <c r="E2835" i="1"/>
  <c r="D2835" i="1"/>
  <c r="C2835" i="1"/>
  <c r="F2835" i="1" s="1"/>
  <c r="B2835" i="1"/>
  <c r="A2835" i="1"/>
  <c r="L2834" i="1"/>
  <c r="M2834" i="1" s="1"/>
  <c r="J2834" i="1"/>
  <c r="H2834" i="1"/>
  <c r="G2834" i="1"/>
  <c r="I2834" i="1" s="1"/>
  <c r="K2834" i="1" s="1"/>
  <c r="C2834" i="1"/>
  <c r="F2834" i="1" s="1"/>
  <c r="B2834" i="1"/>
  <c r="A2834" i="1"/>
  <c r="M2833" i="1"/>
  <c r="L2833" i="1"/>
  <c r="J2833" i="1"/>
  <c r="H2833" i="1"/>
  <c r="G2833" i="1"/>
  <c r="I2833" i="1" s="1"/>
  <c r="K2833" i="1" s="1"/>
  <c r="E2833" i="1"/>
  <c r="D2833" i="1"/>
  <c r="C2833" i="1"/>
  <c r="F2833" i="1" s="1"/>
  <c r="B2833" i="1"/>
  <c r="A2833" i="1"/>
  <c r="M2832" i="1"/>
  <c r="L2832" i="1"/>
  <c r="J2832" i="1"/>
  <c r="H2832" i="1"/>
  <c r="G2832" i="1"/>
  <c r="I2832" i="1" s="1"/>
  <c r="K2832" i="1" s="1"/>
  <c r="F2832" i="1"/>
  <c r="E2832" i="1"/>
  <c r="D2832" i="1"/>
  <c r="C2832" i="1"/>
  <c r="B2832" i="1"/>
  <c r="A2832" i="1"/>
  <c r="L2831" i="1"/>
  <c r="M2831" i="1" s="1"/>
  <c r="J2831" i="1"/>
  <c r="I2831" i="1"/>
  <c r="K2831" i="1" s="1"/>
  <c r="H2831" i="1"/>
  <c r="G2831" i="1"/>
  <c r="C2831" i="1"/>
  <c r="D2831" i="1" s="1"/>
  <c r="B2831" i="1"/>
  <c r="A2831" i="1"/>
  <c r="L2830" i="1"/>
  <c r="M2830" i="1" s="1"/>
  <c r="J2830" i="1"/>
  <c r="H2830" i="1"/>
  <c r="G2830" i="1"/>
  <c r="I2830" i="1" s="1"/>
  <c r="K2830" i="1" s="1"/>
  <c r="F2830" i="1"/>
  <c r="E2830" i="1"/>
  <c r="D2830" i="1"/>
  <c r="C2830" i="1"/>
  <c r="B2830" i="1"/>
  <c r="A2830" i="1"/>
  <c r="L2829" i="1"/>
  <c r="M2829" i="1" s="1"/>
  <c r="J2829" i="1"/>
  <c r="H2829" i="1"/>
  <c r="G2829" i="1"/>
  <c r="I2829" i="1" s="1"/>
  <c r="F2829" i="1"/>
  <c r="E2829" i="1"/>
  <c r="D2829" i="1"/>
  <c r="C2829" i="1"/>
  <c r="B2829" i="1"/>
  <c r="A2829" i="1"/>
  <c r="M2828" i="1"/>
  <c r="L2828" i="1"/>
  <c r="J2828" i="1"/>
  <c r="H2828" i="1"/>
  <c r="G2828" i="1"/>
  <c r="I2828" i="1" s="1"/>
  <c r="K2828" i="1" s="1"/>
  <c r="F2828" i="1"/>
  <c r="E2828" i="1"/>
  <c r="D2828" i="1"/>
  <c r="C2828" i="1"/>
  <c r="B2828" i="1"/>
  <c r="A2828" i="1"/>
  <c r="L2827" i="1"/>
  <c r="M2827" i="1" s="1"/>
  <c r="J2827" i="1"/>
  <c r="I2827" i="1"/>
  <c r="K2827" i="1" s="1"/>
  <c r="H2827" i="1"/>
  <c r="G2827" i="1"/>
  <c r="F2827" i="1"/>
  <c r="C2827" i="1"/>
  <c r="E2827" i="1" s="1"/>
  <c r="B2827" i="1"/>
  <c r="A2827" i="1"/>
  <c r="M2826" i="1"/>
  <c r="L2826" i="1"/>
  <c r="J2826" i="1"/>
  <c r="H2826" i="1"/>
  <c r="G2826" i="1"/>
  <c r="I2826" i="1" s="1"/>
  <c r="K2826" i="1" s="1"/>
  <c r="C2826" i="1"/>
  <c r="B2826" i="1"/>
  <c r="A2826" i="1"/>
  <c r="L2825" i="1"/>
  <c r="M2825" i="1" s="1"/>
  <c r="J2825" i="1"/>
  <c r="I2825" i="1"/>
  <c r="K2825" i="1" s="1"/>
  <c r="H2825" i="1"/>
  <c r="G2825" i="1"/>
  <c r="E2825" i="1"/>
  <c r="D2825" i="1"/>
  <c r="C2825" i="1"/>
  <c r="F2825" i="1" s="1"/>
  <c r="B2825" i="1"/>
  <c r="A2825" i="1"/>
  <c r="L2824" i="1"/>
  <c r="M2824" i="1" s="1"/>
  <c r="J2824" i="1"/>
  <c r="I2824" i="1"/>
  <c r="K2824" i="1" s="1"/>
  <c r="H2824" i="1"/>
  <c r="G2824" i="1"/>
  <c r="C2824" i="1"/>
  <c r="B2824" i="1"/>
  <c r="A2824" i="1"/>
  <c r="M2823" i="1"/>
  <c r="L2823" i="1"/>
  <c r="J2823" i="1"/>
  <c r="H2823" i="1"/>
  <c r="G2823" i="1"/>
  <c r="I2823" i="1" s="1"/>
  <c r="K2823" i="1" s="1"/>
  <c r="F2823" i="1"/>
  <c r="D2823" i="1"/>
  <c r="C2823" i="1"/>
  <c r="E2823" i="1" s="1"/>
  <c r="B2823" i="1"/>
  <c r="A2823" i="1"/>
  <c r="L2822" i="1"/>
  <c r="M2822" i="1" s="1"/>
  <c r="J2822" i="1"/>
  <c r="H2822" i="1"/>
  <c r="G2822" i="1"/>
  <c r="I2822" i="1" s="1"/>
  <c r="K2822" i="1" s="1"/>
  <c r="E2822" i="1"/>
  <c r="C2822" i="1"/>
  <c r="B2822" i="1"/>
  <c r="A2822" i="1"/>
  <c r="M2821" i="1"/>
  <c r="L2821" i="1"/>
  <c r="J2821" i="1"/>
  <c r="I2821" i="1"/>
  <c r="K2821" i="1" s="1"/>
  <c r="H2821" i="1"/>
  <c r="G2821" i="1"/>
  <c r="C2821" i="1"/>
  <c r="E2821" i="1" s="1"/>
  <c r="B2821" i="1"/>
  <c r="A2821" i="1"/>
  <c r="M2820" i="1"/>
  <c r="L2820" i="1"/>
  <c r="J2820" i="1"/>
  <c r="H2820" i="1"/>
  <c r="G2820" i="1"/>
  <c r="I2820" i="1" s="1"/>
  <c r="K2820" i="1" s="1"/>
  <c r="C2820" i="1"/>
  <c r="F2820" i="1" s="1"/>
  <c r="B2820" i="1"/>
  <c r="A2820" i="1"/>
  <c r="M2819" i="1"/>
  <c r="L2819" i="1"/>
  <c r="J2819" i="1"/>
  <c r="H2819" i="1"/>
  <c r="G2819" i="1"/>
  <c r="I2819" i="1" s="1"/>
  <c r="F2819" i="1"/>
  <c r="C2819" i="1"/>
  <c r="E2819" i="1" s="1"/>
  <c r="B2819" i="1"/>
  <c r="A2819" i="1"/>
  <c r="L2818" i="1"/>
  <c r="M2818" i="1" s="1"/>
  <c r="J2818" i="1"/>
  <c r="I2818" i="1"/>
  <c r="K2818" i="1" s="1"/>
  <c r="H2818" i="1"/>
  <c r="G2818" i="1"/>
  <c r="F2818" i="1"/>
  <c r="C2818" i="1"/>
  <c r="E2818" i="1" s="1"/>
  <c r="B2818" i="1"/>
  <c r="A2818" i="1"/>
  <c r="L2817" i="1"/>
  <c r="M2817" i="1" s="1"/>
  <c r="J2817" i="1"/>
  <c r="H2817" i="1"/>
  <c r="G2817" i="1"/>
  <c r="I2817" i="1" s="1"/>
  <c r="K2817" i="1" s="1"/>
  <c r="F2817" i="1"/>
  <c r="E2817" i="1"/>
  <c r="D2817" i="1"/>
  <c r="C2817" i="1"/>
  <c r="B2817" i="1"/>
  <c r="A2817" i="1"/>
  <c r="M2816" i="1"/>
  <c r="L2816" i="1"/>
  <c r="J2816" i="1"/>
  <c r="H2816" i="1"/>
  <c r="G2816" i="1"/>
  <c r="I2816" i="1" s="1"/>
  <c r="K2816" i="1" s="1"/>
  <c r="F2816" i="1"/>
  <c r="E2816" i="1"/>
  <c r="D2816" i="1"/>
  <c r="C2816" i="1"/>
  <c r="B2816" i="1"/>
  <c r="A2816" i="1"/>
  <c r="L2815" i="1"/>
  <c r="M2815" i="1" s="1"/>
  <c r="J2815" i="1"/>
  <c r="H2815" i="1"/>
  <c r="G2815" i="1"/>
  <c r="I2815" i="1" s="1"/>
  <c r="K2815" i="1" s="1"/>
  <c r="F2815" i="1"/>
  <c r="C2815" i="1"/>
  <c r="E2815" i="1" s="1"/>
  <c r="B2815" i="1"/>
  <c r="A2815" i="1"/>
  <c r="M2814" i="1"/>
  <c r="L2814" i="1"/>
  <c r="J2814" i="1"/>
  <c r="K2814" i="1" s="1"/>
  <c r="I2814" i="1"/>
  <c r="H2814" i="1"/>
  <c r="G2814" i="1"/>
  <c r="C2814" i="1"/>
  <c r="B2814" i="1"/>
  <c r="A2814" i="1"/>
  <c r="L2813" i="1"/>
  <c r="M2813" i="1" s="1"/>
  <c r="J2813" i="1"/>
  <c r="I2813" i="1"/>
  <c r="K2813" i="1" s="1"/>
  <c r="H2813" i="1"/>
  <c r="G2813" i="1"/>
  <c r="E2813" i="1"/>
  <c r="D2813" i="1"/>
  <c r="C2813" i="1"/>
  <c r="F2813" i="1" s="1"/>
  <c r="B2813" i="1"/>
  <c r="A2813" i="1"/>
  <c r="L2812" i="1"/>
  <c r="M2812" i="1" s="1"/>
  <c r="J2812" i="1"/>
  <c r="I2812" i="1"/>
  <c r="K2812" i="1" s="1"/>
  <c r="H2812" i="1"/>
  <c r="G2812" i="1"/>
  <c r="E2812" i="1"/>
  <c r="C2812" i="1"/>
  <c r="B2812" i="1"/>
  <c r="A2812" i="1"/>
  <c r="M2811" i="1"/>
  <c r="L2811" i="1"/>
  <c r="K2811" i="1"/>
  <c r="J2811" i="1"/>
  <c r="H2811" i="1"/>
  <c r="G2811" i="1"/>
  <c r="I2811" i="1" s="1"/>
  <c r="F2811" i="1"/>
  <c r="D2811" i="1"/>
  <c r="C2811" i="1"/>
  <c r="E2811" i="1" s="1"/>
  <c r="B2811" i="1"/>
  <c r="A2811" i="1"/>
  <c r="M2810" i="1"/>
  <c r="L2810" i="1"/>
  <c r="J2810" i="1"/>
  <c r="H2810" i="1"/>
  <c r="G2810" i="1"/>
  <c r="I2810" i="1" s="1"/>
  <c r="K2810" i="1" s="1"/>
  <c r="C2810" i="1"/>
  <c r="B2810" i="1"/>
  <c r="A2810" i="1"/>
  <c r="L2809" i="1"/>
  <c r="M2809" i="1" s="1"/>
  <c r="J2809" i="1"/>
  <c r="I2809" i="1"/>
  <c r="K2809" i="1" s="1"/>
  <c r="H2809" i="1"/>
  <c r="G2809" i="1"/>
  <c r="C2809" i="1"/>
  <c r="E2809" i="1" s="1"/>
  <c r="B2809" i="1"/>
  <c r="A2809" i="1"/>
  <c r="M2808" i="1"/>
  <c r="L2808" i="1"/>
  <c r="J2808" i="1"/>
  <c r="I2808" i="1"/>
  <c r="K2808" i="1" s="1"/>
  <c r="H2808" i="1"/>
  <c r="G2808" i="1"/>
  <c r="E2808" i="1"/>
  <c r="C2808" i="1"/>
  <c r="F2808" i="1" s="1"/>
  <c r="B2808" i="1"/>
  <c r="A2808" i="1"/>
  <c r="M2807" i="1"/>
  <c r="L2807" i="1"/>
  <c r="J2807" i="1"/>
  <c r="H2807" i="1"/>
  <c r="G2807" i="1"/>
  <c r="I2807" i="1" s="1"/>
  <c r="K2807" i="1" s="1"/>
  <c r="F2807" i="1"/>
  <c r="D2807" i="1"/>
  <c r="C2807" i="1"/>
  <c r="E2807" i="1" s="1"/>
  <c r="B2807" i="1"/>
  <c r="A2807" i="1"/>
  <c r="L2806" i="1"/>
  <c r="M2806" i="1" s="1"/>
  <c r="J2806" i="1"/>
  <c r="H2806" i="1"/>
  <c r="G2806" i="1"/>
  <c r="I2806" i="1" s="1"/>
  <c r="K2806" i="1" s="1"/>
  <c r="F2806" i="1"/>
  <c r="D2806" i="1"/>
  <c r="C2806" i="1"/>
  <c r="E2806" i="1" s="1"/>
  <c r="B2806" i="1"/>
  <c r="A2806" i="1"/>
  <c r="L2805" i="1"/>
  <c r="M2805" i="1" s="1"/>
  <c r="J2805" i="1"/>
  <c r="H2805" i="1"/>
  <c r="G2805" i="1"/>
  <c r="I2805" i="1" s="1"/>
  <c r="F2805" i="1"/>
  <c r="E2805" i="1"/>
  <c r="D2805" i="1"/>
  <c r="C2805" i="1"/>
  <c r="B2805" i="1"/>
  <c r="A2805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L2803" i="1"/>
  <c r="M2803" i="1" s="1"/>
  <c r="J2803" i="1"/>
  <c r="I2803" i="1"/>
  <c r="K2803" i="1" s="1"/>
  <c r="H2803" i="1"/>
  <c r="G2803" i="1"/>
  <c r="C2803" i="1"/>
  <c r="B2803" i="1"/>
  <c r="A2803" i="1"/>
  <c r="M2802" i="1"/>
  <c r="L2802" i="1"/>
  <c r="J2802" i="1"/>
  <c r="I2802" i="1"/>
  <c r="K2802" i="1" s="1"/>
  <c r="H2802" i="1"/>
  <c r="G2802" i="1"/>
  <c r="C2802" i="1"/>
  <c r="B2802" i="1"/>
  <c r="A2802" i="1"/>
  <c r="L2801" i="1"/>
  <c r="M2801" i="1" s="1"/>
  <c r="K2801" i="1"/>
  <c r="J2801" i="1"/>
  <c r="I2801" i="1"/>
  <c r="H2801" i="1"/>
  <c r="G2801" i="1"/>
  <c r="E2801" i="1"/>
  <c r="D2801" i="1"/>
  <c r="C2801" i="1"/>
  <c r="F2801" i="1" s="1"/>
  <c r="B2801" i="1"/>
  <c r="A2801" i="1"/>
  <c r="M2800" i="1"/>
  <c r="L2800" i="1"/>
  <c r="K2800" i="1"/>
  <c r="J2800" i="1"/>
  <c r="I2800" i="1"/>
  <c r="H2800" i="1"/>
  <c r="G2800" i="1"/>
  <c r="F2800" i="1"/>
  <c r="E2800" i="1"/>
  <c r="C2800" i="1"/>
  <c r="D2800" i="1" s="1"/>
  <c r="B2800" i="1"/>
  <c r="A2800" i="1"/>
  <c r="M2799" i="1"/>
  <c r="L2799" i="1"/>
  <c r="K2799" i="1"/>
  <c r="J2799" i="1"/>
  <c r="H2799" i="1"/>
  <c r="G2799" i="1"/>
  <c r="I2799" i="1" s="1"/>
  <c r="F2799" i="1"/>
  <c r="D2799" i="1"/>
  <c r="C2799" i="1"/>
  <c r="E2799" i="1" s="1"/>
  <c r="B2799" i="1"/>
  <c r="A2799" i="1"/>
  <c r="L2798" i="1"/>
  <c r="M2798" i="1" s="1"/>
  <c r="J2798" i="1"/>
  <c r="H2798" i="1"/>
  <c r="G2798" i="1"/>
  <c r="I2798" i="1" s="1"/>
  <c r="K2798" i="1" s="1"/>
  <c r="C2798" i="1"/>
  <c r="B2798" i="1"/>
  <c r="A2798" i="1"/>
  <c r="L2797" i="1"/>
  <c r="M2797" i="1" s="1"/>
  <c r="J2797" i="1"/>
  <c r="I2797" i="1"/>
  <c r="K2797" i="1" s="1"/>
  <c r="H2797" i="1"/>
  <c r="G2797" i="1"/>
  <c r="C2797" i="1"/>
  <c r="E2797" i="1" s="1"/>
  <c r="B2797" i="1"/>
  <c r="A2797" i="1"/>
  <c r="M2796" i="1"/>
  <c r="L2796" i="1"/>
  <c r="J2796" i="1"/>
  <c r="I2796" i="1"/>
  <c r="K2796" i="1" s="1"/>
  <c r="H2796" i="1"/>
  <c r="G2796" i="1"/>
  <c r="E2796" i="1"/>
  <c r="C2796" i="1"/>
  <c r="F2796" i="1" s="1"/>
  <c r="B2796" i="1"/>
  <c r="A2796" i="1"/>
  <c r="M2795" i="1"/>
  <c r="L2795" i="1"/>
  <c r="J2795" i="1"/>
  <c r="H2795" i="1"/>
  <c r="G2795" i="1"/>
  <c r="I2795" i="1" s="1"/>
  <c r="K2795" i="1" s="1"/>
  <c r="E2795" i="1"/>
  <c r="C2795" i="1"/>
  <c r="D2795" i="1" s="1"/>
  <c r="B2795" i="1"/>
  <c r="A2795" i="1"/>
  <c r="L2794" i="1"/>
  <c r="M2794" i="1" s="1"/>
  <c r="J2794" i="1"/>
  <c r="H2794" i="1"/>
  <c r="G2794" i="1"/>
  <c r="I2794" i="1" s="1"/>
  <c r="K2794" i="1" s="1"/>
  <c r="E2794" i="1"/>
  <c r="C2794" i="1"/>
  <c r="D2794" i="1" s="1"/>
  <c r="B2794" i="1"/>
  <c r="A2794" i="1"/>
  <c r="M2793" i="1"/>
  <c r="L2793" i="1"/>
  <c r="J2793" i="1"/>
  <c r="H2793" i="1"/>
  <c r="G2793" i="1"/>
  <c r="I2793" i="1" s="1"/>
  <c r="K2793" i="1" s="1"/>
  <c r="F2793" i="1"/>
  <c r="E2793" i="1"/>
  <c r="D2793" i="1"/>
  <c r="C2793" i="1"/>
  <c r="B2793" i="1"/>
  <c r="A2793" i="1"/>
  <c r="M2792" i="1"/>
  <c r="L2792" i="1"/>
  <c r="J2792" i="1"/>
  <c r="I2792" i="1"/>
  <c r="K2792" i="1" s="1"/>
  <c r="H2792" i="1"/>
  <c r="G2792" i="1"/>
  <c r="F2792" i="1"/>
  <c r="E2792" i="1"/>
  <c r="D2792" i="1"/>
  <c r="C2792" i="1"/>
  <c r="B2792" i="1"/>
  <c r="A2792" i="1"/>
  <c r="L2791" i="1"/>
  <c r="M2791" i="1" s="1"/>
  <c r="J2791" i="1"/>
  <c r="I2791" i="1"/>
  <c r="K2791" i="1" s="1"/>
  <c r="H2791" i="1"/>
  <c r="G2791" i="1"/>
  <c r="F2791" i="1"/>
  <c r="C2791" i="1"/>
  <c r="B2791" i="1"/>
  <c r="A2791" i="1"/>
  <c r="L2790" i="1"/>
  <c r="M2790" i="1" s="1"/>
  <c r="J2790" i="1"/>
  <c r="H2790" i="1"/>
  <c r="G2790" i="1"/>
  <c r="I2790" i="1" s="1"/>
  <c r="K2790" i="1" s="1"/>
  <c r="C2790" i="1"/>
  <c r="B2790" i="1"/>
  <c r="A2790" i="1"/>
  <c r="L2789" i="1"/>
  <c r="M2789" i="1" s="1"/>
  <c r="K2789" i="1"/>
  <c r="J2789" i="1"/>
  <c r="I2789" i="1"/>
  <c r="H2789" i="1"/>
  <c r="G2789" i="1"/>
  <c r="E2789" i="1"/>
  <c r="D2789" i="1"/>
  <c r="C2789" i="1"/>
  <c r="F2789" i="1" s="1"/>
  <c r="B2789" i="1"/>
  <c r="A2789" i="1"/>
  <c r="L2788" i="1"/>
  <c r="M2788" i="1" s="1"/>
  <c r="K2788" i="1"/>
  <c r="J2788" i="1"/>
  <c r="I2788" i="1"/>
  <c r="H2788" i="1"/>
  <c r="G2788" i="1"/>
  <c r="C2788" i="1"/>
  <c r="B2788" i="1"/>
  <c r="A2788" i="1"/>
  <c r="L2787" i="1"/>
  <c r="M2787" i="1" s="1"/>
  <c r="K2787" i="1"/>
  <c r="J2787" i="1"/>
  <c r="H2787" i="1"/>
  <c r="G2787" i="1"/>
  <c r="I2787" i="1" s="1"/>
  <c r="F2787" i="1"/>
  <c r="D2787" i="1"/>
  <c r="C2787" i="1"/>
  <c r="E2787" i="1" s="1"/>
  <c r="B2787" i="1"/>
  <c r="A2787" i="1"/>
  <c r="L2786" i="1"/>
  <c r="M2786" i="1" s="1"/>
  <c r="K2786" i="1"/>
  <c r="J2786" i="1"/>
  <c r="H2786" i="1"/>
  <c r="G2786" i="1"/>
  <c r="I2786" i="1" s="1"/>
  <c r="C2786" i="1"/>
  <c r="F2786" i="1" s="1"/>
  <c r="B2786" i="1"/>
  <c r="A2786" i="1"/>
  <c r="L2785" i="1"/>
  <c r="M2785" i="1" s="1"/>
  <c r="J2785" i="1"/>
  <c r="I2785" i="1"/>
  <c r="K2785" i="1" s="1"/>
  <c r="H2785" i="1"/>
  <c r="G2785" i="1"/>
  <c r="C2785" i="1"/>
  <c r="F2785" i="1" s="1"/>
  <c r="B2785" i="1"/>
  <c r="A2785" i="1"/>
  <c r="M2784" i="1"/>
  <c r="L2784" i="1"/>
  <c r="J2784" i="1"/>
  <c r="H2784" i="1"/>
  <c r="G2784" i="1"/>
  <c r="I2784" i="1" s="1"/>
  <c r="K2784" i="1" s="1"/>
  <c r="C2784" i="1"/>
  <c r="F2784" i="1" s="1"/>
  <c r="B2784" i="1"/>
  <c r="A2784" i="1"/>
  <c r="M2783" i="1"/>
  <c r="L2783" i="1"/>
  <c r="J2783" i="1"/>
  <c r="H2783" i="1"/>
  <c r="G2783" i="1"/>
  <c r="I2783" i="1" s="1"/>
  <c r="K2783" i="1" s="1"/>
  <c r="C2783" i="1"/>
  <c r="F2783" i="1" s="1"/>
  <c r="B2783" i="1"/>
  <c r="A2783" i="1"/>
  <c r="L2782" i="1"/>
  <c r="M2782" i="1" s="1"/>
  <c r="J2782" i="1"/>
  <c r="H2782" i="1"/>
  <c r="G2782" i="1"/>
  <c r="I2782" i="1" s="1"/>
  <c r="K2782" i="1" s="1"/>
  <c r="C2782" i="1"/>
  <c r="F2782" i="1" s="1"/>
  <c r="B2782" i="1"/>
  <c r="A2782" i="1"/>
  <c r="L2781" i="1"/>
  <c r="M2781" i="1" s="1"/>
  <c r="J2781" i="1"/>
  <c r="H2781" i="1"/>
  <c r="G2781" i="1"/>
  <c r="I2781" i="1" s="1"/>
  <c r="K2781" i="1" s="1"/>
  <c r="F2781" i="1"/>
  <c r="E2781" i="1"/>
  <c r="D2781" i="1"/>
  <c r="C2781" i="1"/>
  <c r="B2781" i="1"/>
  <c r="A2781" i="1"/>
  <c r="M2780" i="1"/>
  <c r="L2780" i="1"/>
  <c r="J2780" i="1"/>
  <c r="I2780" i="1"/>
  <c r="K2780" i="1" s="1"/>
  <c r="H2780" i="1"/>
  <c r="G2780" i="1"/>
  <c r="F2780" i="1"/>
  <c r="E2780" i="1"/>
  <c r="D2780" i="1"/>
  <c r="C2780" i="1"/>
  <c r="B2780" i="1"/>
  <c r="A2780" i="1"/>
  <c r="L2779" i="1"/>
  <c r="M2779" i="1" s="1"/>
  <c r="J2779" i="1"/>
  <c r="I2779" i="1"/>
  <c r="K2779" i="1" s="1"/>
  <c r="H2779" i="1"/>
  <c r="G2779" i="1"/>
  <c r="C2779" i="1"/>
  <c r="B2779" i="1"/>
  <c r="A2779" i="1"/>
  <c r="M2778" i="1"/>
  <c r="L2778" i="1"/>
  <c r="J2778" i="1"/>
  <c r="H2778" i="1"/>
  <c r="G2778" i="1"/>
  <c r="I2778" i="1" s="1"/>
  <c r="K2778" i="1" s="1"/>
  <c r="C2778" i="1"/>
  <c r="B2778" i="1"/>
  <c r="A2778" i="1"/>
  <c r="L2777" i="1"/>
  <c r="M2777" i="1" s="1"/>
  <c r="J2777" i="1"/>
  <c r="I2777" i="1"/>
  <c r="K2777" i="1" s="1"/>
  <c r="H2777" i="1"/>
  <c r="G2777" i="1"/>
  <c r="E2777" i="1"/>
  <c r="D2777" i="1"/>
  <c r="C2777" i="1"/>
  <c r="F2777" i="1" s="1"/>
  <c r="B2777" i="1"/>
  <c r="A2777" i="1"/>
  <c r="L2776" i="1"/>
  <c r="M2776" i="1" s="1"/>
  <c r="J2776" i="1"/>
  <c r="I2776" i="1"/>
  <c r="K2776" i="1" s="1"/>
  <c r="H2776" i="1"/>
  <c r="G2776" i="1"/>
  <c r="C2776" i="1"/>
  <c r="F2776" i="1" s="1"/>
  <c r="B2776" i="1"/>
  <c r="A2776" i="1"/>
  <c r="M2775" i="1"/>
  <c r="L2775" i="1"/>
  <c r="J2775" i="1"/>
  <c r="H2775" i="1"/>
  <c r="G2775" i="1"/>
  <c r="I2775" i="1" s="1"/>
  <c r="K2775" i="1" s="1"/>
  <c r="C2775" i="1"/>
  <c r="F2775" i="1" s="1"/>
  <c r="B2775" i="1"/>
  <c r="A2775" i="1"/>
  <c r="M2774" i="1"/>
  <c r="L2774" i="1"/>
  <c r="J2774" i="1"/>
  <c r="H2774" i="1"/>
  <c r="G2774" i="1"/>
  <c r="I2774" i="1" s="1"/>
  <c r="K2774" i="1" s="1"/>
  <c r="C2774" i="1"/>
  <c r="F2774" i="1" s="1"/>
  <c r="B2774" i="1"/>
  <c r="A2774" i="1"/>
  <c r="M2773" i="1"/>
  <c r="L2773" i="1"/>
  <c r="J2773" i="1"/>
  <c r="H2773" i="1"/>
  <c r="G2773" i="1"/>
  <c r="I2773" i="1" s="1"/>
  <c r="K2773" i="1" s="1"/>
  <c r="C2773" i="1"/>
  <c r="F2773" i="1" s="1"/>
  <c r="B2773" i="1"/>
  <c r="A2773" i="1"/>
  <c r="M2772" i="1"/>
  <c r="L2772" i="1"/>
  <c r="J2772" i="1"/>
  <c r="H2772" i="1"/>
  <c r="G2772" i="1"/>
  <c r="I2772" i="1" s="1"/>
  <c r="K2772" i="1" s="1"/>
  <c r="C2772" i="1"/>
  <c r="F2772" i="1" s="1"/>
  <c r="B2772" i="1"/>
  <c r="A2772" i="1"/>
  <c r="M2771" i="1"/>
  <c r="L2771" i="1"/>
  <c r="J2771" i="1"/>
  <c r="H2771" i="1"/>
  <c r="G2771" i="1"/>
  <c r="I2771" i="1" s="1"/>
  <c r="K2771" i="1" s="1"/>
  <c r="C2771" i="1"/>
  <c r="B2771" i="1"/>
  <c r="A2771" i="1"/>
  <c r="L2770" i="1"/>
  <c r="M2770" i="1" s="1"/>
  <c r="J2770" i="1"/>
  <c r="H2770" i="1"/>
  <c r="G2770" i="1"/>
  <c r="I2770" i="1" s="1"/>
  <c r="K2770" i="1" s="1"/>
  <c r="C2770" i="1"/>
  <c r="B2770" i="1"/>
  <c r="A2770" i="1"/>
  <c r="L2769" i="1"/>
  <c r="M2769" i="1" s="1"/>
  <c r="J2769" i="1"/>
  <c r="I2769" i="1"/>
  <c r="K2769" i="1" s="1"/>
  <c r="H2769" i="1"/>
  <c r="G2769" i="1"/>
  <c r="F2769" i="1"/>
  <c r="E2769" i="1"/>
  <c r="D2769" i="1"/>
  <c r="C2769" i="1"/>
  <c r="B2769" i="1"/>
  <c r="A2769" i="1"/>
  <c r="L2768" i="1"/>
  <c r="M2768" i="1" s="1"/>
  <c r="J2768" i="1"/>
  <c r="I2768" i="1"/>
  <c r="K2768" i="1" s="1"/>
  <c r="H2768" i="1"/>
  <c r="G2768" i="1"/>
  <c r="F2768" i="1"/>
  <c r="E2768" i="1"/>
  <c r="D2768" i="1"/>
  <c r="C2768" i="1"/>
  <c r="B2768" i="1"/>
  <c r="A2768" i="1"/>
  <c r="L2767" i="1"/>
  <c r="M2767" i="1" s="1"/>
  <c r="J2767" i="1"/>
  <c r="H2767" i="1"/>
  <c r="G2767" i="1"/>
  <c r="I2767" i="1" s="1"/>
  <c r="K2767" i="1" s="1"/>
  <c r="F2767" i="1"/>
  <c r="C2767" i="1"/>
  <c r="B2767" i="1"/>
  <c r="A2767" i="1"/>
  <c r="L2766" i="1"/>
  <c r="M2766" i="1" s="1"/>
  <c r="J2766" i="1"/>
  <c r="I2766" i="1"/>
  <c r="K2766" i="1" s="1"/>
  <c r="H2766" i="1"/>
  <c r="G2766" i="1"/>
  <c r="C2766" i="1"/>
  <c r="B2766" i="1"/>
  <c r="A2766" i="1"/>
  <c r="L2765" i="1"/>
  <c r="M2765" i="1" s="1"/>
  <c r="J2765" i="1"/>
  <c r="I2765" i="1"/>
  <c r="K2765" i="1" s="1"/>
  <c r="H2765" i="1"/>
  <c r="G2765" i="1"/>
  <c r="C2765" i="1"/>
  <c r="B2765" i="1"/>
  <c r="A2765" i="1"/>
  <c r="L2764" i="1"/>
  <c r="M2764" i="1" s="1"/>
  <c r="J2764" i="1"/>
  <c r="I2764" i="1"/>
  <c r="K2764" i="1" s="1"/>
  <c r="H2764" i="1"/>
  <c r="G2764" i="1"/>
  <c r="F2764" i="1"/>
  <c r="E2764" i="1"/>
  <c r="D2764" i="1"/>
  <c r="C2764" i="1"/>
  <c r="B2764" i="1"/>
  <c r="A2764" i="1"/>
  <c r="L2763" i="1"/>
  <c r="M2763" i="1" s="1"/>
  <c r="J2763" i="1"/>
  <c r="I2763" i="1"/>
  <c r="H2763" i="1"/>
  <c r="G2763" i="1"/>
  <c r="C2763" i="1"/>
  <c r="D2763" i="1" s="1"/>
  <c r="B2763" i="1"/>
  <c r="A2763" i="1"/>
  <c r="L2762" i="1"/>
  <c r="M2762" i="1" s="1"/>
  <c r="K2762" i="1"/>
  <c r="J2762" i="1"/>
  <c r="H2762" i="1"/>
  <c r="G2762" i="1"/>
  <c r="I2762" i="1" s="1"/>
  <c r="E2762" i="1"/>
  <c r="C2762" i="1"/>
  <c r="D2762" i="1" s="1"/>
  <c r="B2762" i="1"/>
  <c r="A2762" i="1"/>
  <c r="L2761" i="1"/>
  <c r="M2761" i="1" s="1"/>
  <c r="K2761" i="1"/>
  <c r="J2761" i="1"/>
  <c r="H2761" i="1"/>
  <c r="G2761" i="1"/>
  <c r="I2761" i="1" s="1"/>
  <c r="F2761" i="1"/>
  <c r="D2761" i="1"/>
  <c r="C2761" i="1"/>
  <c r="E2761" i="1" s="1"/>
  <c r="B2761" i="1"/>
  <c r="A2761" i="1"/>
  <c r="L2760" i="1"/>
  <c r="M2760" i="1" s="1"/>
  <c r="J2760" i="1"/>
  <c r="H2760" i="1"/>
  <c r="G2760" i="1"/>
  <c r="I2760" i="1" s="1"/>
  <c r="K2760" i="1" s="1"/>
  <c r="F2760" i="1"/>
  <c r="D2760" i="1"/>
  <c r="C2760" i="1"/>
  <c r="E2760" i="1" s="1"/>
  <c r="B2760" i="1"/>
  <c r="A2760" i="1"/>
  <c r="M2759" i="1"/>
  <c r="L2759" i="1"/>
  <c r="K2759" i="1"/>
  <c r="J2759" i="1"/>
  <c r="H2759" i="1"/>
  <c r="G2759" i="1"/>
  <c r="I2759" i="1" s="1"/>
  <c r="E2759" i="1"/>
  <c r="C2759" i="1"/>
  <c r="D2759" i="1" s="1"/>
  <c r="B2759" i="1"/>
  <c r="A2759" i="1"/>
  <c r="L2758" i="1"/>
  <c r="M2758" i="1" s="1"/>
  <c r="K2758" i="1"/>
  <c r="J2758" i="1"/>
  <c r="H2758" i="1"/>
  <c r="G2758" i="1"/>
  <c r="I2758" i="1" s="1"/>
  <c r="E2758" i="1"/>
  <c r="C2758" i="1"/>
  <c r="D2758" i="1" s="1"/>
  <c r="B2758" i="1"/>
  <c r="A2758" i="1"/>
  <c r="M2757" i="1"/>
  <c r="L2757" i="1"/>
  <c r="J2757" i="1"/>
  <c r="I2757" i="1"/>
  <c r="K2757" i="1" s="1"/>
  <c r="H2757" i="1"/>
  <c r="G2757" i="1"/>
  <c r="F2757" i="1"/>
  <c r="C2757" i="1"/>
  <c r="E2757" i="1" s="1"/>
  <c r="B2757" i="1"/>
  <c r="A2757" i="1"/>
  <c r="M2756" i="1"/>
  <c r="L2756" i="1"/>
  <c r="J2756" i="1"/>
  <c r="H2756" i="1"/>
  <c r="G2756" i="1"/>
  <c r="I2756" i="1" s="1"/>
  <c r="F2756" i="1"/>
  <c r="E2756" i="1"/>
  <c r="D2756" i="1"/>
  <c r="C2756" i="1"/>
  <c r="B2756" i="1"/>
  <c r="A2756" i="1"/>
  <c r="L2755" i="1"/>
  <c r="M2755" i="1" s="1"/>
  <c r="J2755" i="1"/>
  <c r="K2755" i="1" s="1"/>
  <c r="H2755" i="1"/>
  <c r="G2755" i="1"/>
  <c r="I2755" i="1" s="1"/>
  <c r="C2755" i="1"/>
  <c r="D2755" i="1" s="1"/>
  <c r="B2755" i="1"/>
  <c r="A2755" i="1"/>
  <c r="L2754" i="1"/>
  <c r="M2754" i="1" s="1"/>
  <c r="K2754" i="1"/>
  <c r="J2754" i="1"/>
  <c r="H2754" i="1"/>
  <c r="G2754" i="1"/>
  <c r="I2754" i="1" s="1"/>
  <c r="C2754" i="1"/>
  <c r="B2754" i="1"/>
  <c r="A2754" i="1"/>
  <c r="L2753" i="1"/>
  <c r="M2753" i="1" s="1"/>
  <c r="K2753" i="1"/>
  <c r="J2753" i="1"/>
  <c r="H2753" i="1"/>
  <c r="G2753" i="1"/>
  <c r="I2753" i="1" s="1"/>
  <c r="C2753" i="1"/>
  <c r="B2753" i="1"/>
  <c r="A2753" i="1"/>
  <c r="L2752" i="1"/>
  <c r="M2752" i="1" s="1"/>
  <c r="J2752" i="1"/>
  <c r="K2752" i="1" s="1"/>
  <c r="I2752" i="1"/>
  <c r="H2752" i="1"/>
  <c r="G2752" i="1"/>
  <c r="D2752" i="1"/>
  <c r="C2752" i="1"/>
  <c r="B2752" i="1"/>
  <c r="A2752" i="1"/>
  <c r="L2751" i="1"/>
  <c r="M2751" i="1" s="1"/>
  <c r="K2751" i="1"/>
  <c r="J2751" i="1"/>
  <c r="I2751" i="1"/>
  <c r="H2751" i="1"/>
  <c r="G2751" i="1"/>
  <c r="D2751" i="1"/>
  <c r="C2751" i="1"/>
  <c r="F2751" i="1" s="1"/>
  <c r="B2751" i="1"/>
  <c r="A2751" i="1"/>
  <c r="M2750" i="1"/>
  <c r="L2750" i="1"/>
  <c r="J2750" i="1"/>
  <c r="H2750" i="1"/>
  <c r="G2750" i="1"/>
  <c r="I2750" i="1" s="1"/>
  <c r="E2750" i="1"/>
  <c r="D2750" i="1"/>
  <c r="C2750" i="1"/>
  <c r="F2750" i="1" s="1"/>
  <c r="B2750" i="1"/>
  <c r="A2750" i="1"/>
  <c r="L2749" i="1"/>
  <c r="M2749" i="1" s="1"/>
  <c r="J2749" i="1"/>
  <c r="H2749" i="1"/>
  <c r="G2749" i="1"/>
  <c r="I2749" i="1" s="1"/>
  <c r="K2749" i="1" s="1"/>
  <c r="F2749" i="1"/>
  <c r="E2749" i="1"/>
  <c r="D2749" i="1"/>
  <c r="C2749" i="1"/>
  <c r="B2749" i="1"/>
  <c r="A2749" i="1"/>
  <c r="M2748" i="1"/>
  <c r="L2748" i="1"/>
  <c r="J2748" i="1"/>
  <c r="H2748" i="1"/>
  <c r="G2748" i="1"/>
  <c r="I2748" i="1" s="1"/>
  <c r="F2748" i="1"/>
  <c r="E2748" i="1"/>
  <c r="D2748" i="1"/>
  <c r="C2748" i="1"/>
  <c r="B2748" i="1"/>
  <c r="A2748" i="1"/>
  <c r="M2747" i="1"/>
  <c r="L2747" i="1"/>
  <c r="J2747" i="1"/>
  <c r="H2747" i="1"/>
  <c r="G2747" i="1"/>
  <c r="I2747" i="1" s="1"/>
  <c r="K2747" i="1" s="1"/>
  <c r="F2747" i="1"/>
  <c r="E2747" i="1"/>
  <c r="C2747" i="1"/>
  <c r="D2747" i="1" s="1"/>
  <c r="B2747" i="1"/>
  <c r="A2747" i="1"/>
  <c r="L2746" i="1"/>
  <c r="M2746" i="1" s="1"/>
  <c r="J2746" i="1"/>
  <c r="H2746" i="1"/>
  <c r="G2746" i="1"/>
  <c r="I2746" i="1" s="1"/>
  <c r="K2746" i="1" s="1"/>
  <c r="F2746" i="1"/>
  <c r="E2746" i="1"/>
  <c r="C2746" i="1"/>
  <c r="D2746" i="1" s="1"/>
  <c r="B2746" i="1"/>
  <c r="A2746" i="1"/>
  <c r="L2745" i="1"/>
  <c r="M2745" i="1" s="1"/>
  <c r="J2745" i="1"/>
  <c r="H2745" i="1"/>
  <c r="G2745" i="1"/>
  <c r="I2745" i="1" s="1"/>
  <c r="K2745" i="1" s="1"/>
  <c r="C2745" i="1"/>
  <c r="B2745" i="1"/>
  <c r="A2745" i="1"/>
  <c r="M2744" i="1"/>
  <c r="L2744" i="1"/>
  <c r="J2744" i="1"/>
  <c r="H2744" i="1"/>
  <c r="G2744" i="1"/>
  <c r="I2744" i="1" s="1"/>
  <c r="K2744" i="1" s="1"/>
  <c r="F2744" i="1"/>
  <c r="E2744" i="1"/>
  <c r="D2744" i="1"/>
  <c r="C2744" i="1"/>
  <c r="B2744" i="1"/>
  <c r="A2744" i="1"/>
  <c r="L2743" i="1"/>
  <c r="M2743" i="1" s="1"/>
  <c r="J2743" i="1"/>
  <c r="I2743" i="1"/>
  <c r="H2743" i="1"/>
  <c r="G2743" i="1"/>
  <c r="E2743" i="1"/>
  <c r="C2743" i="1"/>
  <c r="B2743" i="1"/>
  <c r="A2743" i="1"/>
  <c r="L2742" i="1"/>
  <c r="M2742" i="1" s="1"/>
  <c r="K2742" i="1"/>
  <c r="J2742" i="1"/>
  <c r="I2742" i="1"/>
  <c r="H2742" i="1"/>
  <c r="G2742" i="1"/>
  <c r="C2742" i="1"/>
  <c r="B2742" i="1"/>
  <c r="A2742" i="1"/>
  <c r="L2741" i="1"/>
  <c r="M2741" i="1" s="1"/>
  <c r="J2741" i="1"/>
  <c r="I2741" i="1"/>
  <c r="K2741" i="1" s="1"/>
  <c r="H2741" i="1"/>
  <c r="G2741" i="1"/>
  <c r="D2741" i="1"/>
  <c r="C2741" i="1"/>
  <c r="B2741" i="1"/>
  <c r="A2741" i="1"/>
  <c r="L2740" i="1"/>
  <c r="M2740" i="1" s="1"/>
  <c r="J2740" i="1"/>
  <c r="I2740" i="1"/>
  <c r="K2740" i="1" s="1"/>
  <c r="H2740" i="1"/>
  <c r="G2740" i="1"/>
  <c r="F2740" i="1"/>
  <c r="E2740" i="1"/>
  <c r="D2740" i="1"/>
  <c r="C2740" i="1"/>
  <c r="B2740" i="1"/>
  <c r="A2740" i="1"/>
  <c r="M2739" i="1"/>
  <c r="L2739" i="1"/>
  <c r="K2739" i="1"/>
  <c r="J2739" i="1"/>
  <c r="I2739" i="1"/>
  <c r="H2739" i="1"/>
  <c r="G2739" i="1"/>
  <c r="E2739" i="1"/>
  <c r="C2739" i="1"/>
  <c r="D2739" i="1" s="1"/>
  <c r="B2739" i="1"/>
  <c r="A2739" i="1"/>
  <c r="M2738" i="1"/>
  <c r="L2738" i="1"/>
  <c r="K2738" i="1"/>
  <c r="J2738" i="1"/>
  <c r="H2738" i="1"/>
  <c r="G2738" i="1"/>
  <c r="I2738" i="1" s="1"/>
  <c r="C2738" i="1"/>
  <c r="B2738" i="1"/>
  <c r="A2738" i="1"/>
  <c r="M2737" i="1"/>
  <c r="L2737" i="1"/>
  <c r="J2737" i="1"/>
  <c r="H2737" i="1"/>
  <c r="G2737" i="1"/>
  <c r="I2737" i="1" s="1"/>
  <c r="K2737" i="1" s="1"/>
  <c r="F2737" i="1"/>
  <c r="D2737" i="1"/>
  <c r="C2737" i="1"/>
  <c r="E2737" i="1" s="1"/>
  <c r="B2737" i="1"/>
  <c r="A2737" i="1"/>
  <c r="L2736" i="1"/>
  <c r="M2736" i="1" s="1"/>
  <c r="J2736" i="1"/>
  <c r="H2736" i="1"/>
  <c r="G2736" i="1"/>
  <c r="I2736" i="1" s="1"/>
  <c r="K2736" i="1" s="1"/>
  <c r="F2736" i="1"/>
  <c r="D2736" i="1"/>
  <c r="C2736" i="1"/>
  <c r="E2736" i="1" s="1"/>
  <c r="B2736" i="1"/>
  <c r="A2736" i="1"/>
  <c r="M2735" i="1"/>
  <c r="L2735" i="1"/>
  <c r="J2735" i="1"/>
  <c r="H2735" i="1"/>
  <c r="G2735" i="1"/>
  <c r="I2735" i="1" s="1"/>
  <c r="K2735" i="1" s="1"/>
  <c r="E2735" i="1"/>
  <c r="C2735" i="1"/>
  <c r="B2735" i="1"/>
  <c r="A2735" i="1"/>
  <c r="L2734" i="1"/>
  <c r="M2734" i="1" s="1"/>
  <c r="K2734" i="1"/>
  <c r="J2734" i="1"/>
  <c r="H2734" i="1"/>
  <c r="G2734" i="1"/>
  <c r="I2734" i="1" s="1"/>
  <c r="E2734" i="1"/>
  <c r="C2734" i="1"/>
  <c r="B2734" i="1"/>
  <c r="A2734" i="1"/>
  <c r="L2733" i="1"/>
  <c r="M2733" i="1" s="1"/>
  <c r="J2733" i="1"/>
  <c r="I2733" i="1"/>
  <c r="K2733" i="1" s="1"/>
  <c r="H2733" i="1"/>
  <c r="G2733" i="1"/>
  <c r="C2733" i="1"/>
  <c r="B2733" i="1"/>
  <c r="A2733" i="1"/>
  <c r="M2732" i="1"/>
  <c r="L2732" i="1"/>
  <c r="J2732" i="1"/>
  <c r="I2732" i="1"/>
  <c r="H2732" i="1"/>
  <c r="G2732" i="1"/>
  <c r="F2732" i="1"/>
  <c r="E2732" i="1"/>
  <c r="D2732" i="1"/>
  <c r="C2732" i="1"/>
  <c r="B2732" i="1"/>
  <c r="A2732" i="1"/>
  <c r="L2731" i="1"/>
  <c r="M2731" i="1" s="1"/>
  <c r="J2731" i="1"/>
  <c r="K2731" i="1" s="1"/>
  <c r="H2731" i="1"/>
  <c r="G2731" i="1"/>
  <c r="I2731" i="1" s="1"/>
  <c r="E2731" i="1"/>
  <c r="C2731" i="1"/>
  <c r="D2731" i="1" s="1"/>
  <c r="B2731" i="1"/>
  <c r="A2731" i="1"/>
  <c r="L2730" i="1"/>
  <c r="M2730" i="1" s="1"/>
  <c r="J2730" i="1"/>
  <c r="H2730" i="1"/>
  <c r="G2730" i="1"/>
  <c r="I2730" i="1" s="1"/>
  <c r="K2730" i="1" s="1"/>
  <c r="C2730" i="1"/>
  <c r="B2730" i="1"/>
  <c r="A2730" i="1"/>
  <c r="L2729" i="1"/>
  <c r="M2729" i="1" s="1"/>
  <c r="J2729" i="1"/>
  <c r="I2729" i="1"/>
  <c r="K2729" i="1" s="1"/>
  <c r="H2729" i="1"/>
  <c r="G2729" i="1"/>
  <c r="C2729" i="1"/>
  <c r="B2729" i="1"/>
  <c r="A2729" i="1"/>
  <c r="M2728" i="1"/>
  <c r="L2728" i="1"/>
  <c r="J2728" i="1"/>
  <c r="H2728" i="1"/>
  <c r="G2728" i="1"/>
  <c r="I2728" i="1" s="1"/>
  <c r="K2728" i="1" s="1"/>
  <c r="F2728" i="1"/>
  <c r="E2728" i="1"/>
  <c r="D2728" i="1"/>
  <c r="C2728" i="1"/>
  <c r="B2728" i="1"/>
  <c r="A2728" i="1"/>
  <c r="M2727" i="1"/>
  <c r="L2727" i="1"/>
  <c r="J2727" i="1"/>
  <c r="H2727" i="1"/>
  <c r="G2727" i="1"/>
  <c r="I2727" i="1" s="1"/>
  <c r="F2727" i="1"/>
  <c r="E2727" i="1"/>
  <c r="C2727" i="1"/>
  <c r="D2727" i="1" s="1"/>
  <c r="B2727" i="1"/>
  <c r="A2727" i="1"/>
  <c r="L2726" i="1"/>
  <c r="M2726" i="1" s="1"/>
  <c r="J2726" i="1"/>
  <c r="I2726" i="1"/>
  <c r="K2726" i="1" s="1"/>
  <c r="H2726" i="1"/>
  <c r="G2726" i="1"/>
  <c r="F2726" i="1"/>
  <c r="C2726" i="1"/>
  <c r="B2726" i="1"/>
  <c r="A2726" i="1"/>
  <c r="M2725" i="1"/>
  <c r="L2725" i="1"/>
  <c r="J2725" i="1"/>
  <c r="H2725" i="1"/>
  <c r="G2725" i="1"/>
  <c r="I2725" i="1" s="1"/>
  <c r="K2725" i="1" s="1"/>
  <c r="D2725" i="1"/>
  <c r="C2725" i="1"/>
  <c r="B2725" i="1"/>
  <c r="A2725" i="1"/>
  <c r="M2724" i="1"/>
  <c r="L2724" i="1"/>
  <c r="J2724" i="1"/>
  <c r="I2724" i="1"/>
  <c r="H2724" i="1"/>
  <c r="G2724" i="1"/>
  <c r="F2724" i="1"/>
  <c r="E2724" i="1"/>
  <c r="D2724" i="1"/>
  <c r="C2724" i="1"/>
  <c r="B2724" i="1"/>
  <c r="A2724" i="1"/>
  <c r="M2723" i="1"/>
  <c r="L2723" i="1"/>
  <c r="K2723" i="1"/>
  <c r="J2723" i="1"/>
  <c r="I2723" i="1"/>
  <c r="H2723" i="1"/>
  <c r="G2723" i="1"/>
  <c r="F2723" i="1"/>
  <c r="E2723" i="1"/>
  <c r="C2723" i="1"/>
  <c r="D2723" i="1" s="1"/>
  <c r="B2723" i="1"/>
  <c r="A2723" i="1"/>
  <c r="M2722" i="1"/>
  <c r="L2722" i="1"/>
  <c r="K2722" i="1"/>
  <c r="J2722" i="1"/>
  <c r="H2722" i="1"/>
  <c r="G2722" i="1"/>
  <c r="I2722" i="1" s="1"/>
  <c r="D2722" i="1"/>
  <c r="C2722" i="1"/>
  <c r="E2722" i="1" s="1"/>
  <c r="B2722" i="1"/>
  <c r="A2722" i="1"/>
  <c r="M2721" i="1"/>
  <c r="L2721" i="1"/>
  <c r="J2721" i="1"/>
  <c r="H2721" i="1"/>
  <c r="G2721" i="1"/>
  <c r="I2721" i="1" s="1"/>
  <c r="K2721" i="1" s="1"/>
  <c r="E2721" i="1"/>
  <c r="C2721" i="1"/>
  <c r="B2721" i="1"/>
  <c r="A2721" i="1"/>
  <c r="L2720" i="1"/>
  <c r="M2720" i="1" s="1"/>
  <c r="J2720" i="1"/>
  <c r="I2720" i="1"/>
  <c r="K2720" i="1" s="1"/>
  <c r="H2720" i="1"/>
  <c r="G2720" i="1"/>
  <c r="E2720" i="1"/>
  <c r="C2720" i="1"/>
  <c r="B2720" i="1"/>
  <c r="A2720" i="1"/>
  <c r="M2719" i="1"/>
  <c r="L2719" i="1"/>
  <c r="J2719" i="1"/>
  <c r="H2719" i="1"/>
  <c r="G2719" i="1"/>
  <c r="I2719" i="1" s="1"/>
  <c r="K2719" i="1" s="1"/>
  <c r="E2719" i="1"/>
  <c r="C2719" i="1"/>
  <c r="B2719" i="1"/>
  <c r="A2719" i="1"/>
  <c r="L2718" i="1"/>
  <c r="M2718" i="1" s="1"/>
  <c r="K2718" i="1"/>
  <c r="J2718" i="1"/>
  <c r="H2718" i="1"/>
  <c r="G2718" i="1"/>
  <c r="I2718" i="1" s="1"/>
  <c r="F2718" i="1"/>
  <c r="D2718" i="1"/>
  <c r="C2718" i="1"/>
  <c r="E2718" i="1" s="1"/>
  <c r="B2718" i="1"/>
  <c r="A2718" i="1"/>
  <c r="L2717" i="1"/>
  <c r="M2717" i="1" s="1"/>
  <c r="J2717" i="1"/>
  <c r="H2717" i="1"/>
  <c r="G2717" i="1"/>
  <c r="I2717" i="1" s="1"/>
  <c r="K2717" i="1" s="1"/>
  <c r="F2717" i="1"/>
  <c r="D2717" i="1"/>
  <c r="C2717" i="1"/>
  <c r="E2717" i="1" s="1"/>
  <c r="B2717" i="1"/>
  <c r="A2717" i="1"/>
  <c r="L2716" i="1"/>
  <c r="M2716" i="1" s="1"/>
  <c r="J2716" i="1"/>
  <c r="H2716" i="1"/>
  <c r="G2716" i="1"/>
  <c r="I2716" i="1" s="1"/>
  <c r="F2716" i="1"/>
  <c r="E2716" i="1"/>
  <c r="D2716" i="1"/>
  <c r="C2716" i="1"/>
  <c r="B2716" i="1"/>
  <c r="A2716" i="1"/>
  <c r="M2715" i="1"/>
  <c r="L2715" i="1"/>
  <c r="J2715" i="1"/>
  <c r="H2715" i="1"/>
  <c r="G2715" i="1"/>
  <c r="I2715" i="1" s="1"/>
  <c r="K2715" i="1" s="1"/>
  <c r="F2715" i="1"/>
  <c r="E2715" i="1"/>
  <c r="C2715" i="1"/>
  <c r="D2715" i="1" s="1"/>
  <c r="B2715" i="1"/>
  <c r="A2715" i="1"/>
  <c r="L2714" i="1"/>
  <c r="M2714" i="1" s="1"/>
  <c r="J2714" i="1"/>
  <c r="H2714" i="1"/>
  <c r="G2714" i="1"/>
  <c r="I2714" i="1" s="1"/>
  <c r="F2714" i="1"/>
  <c r="C2714" i="1"/>
  <c r="B2714" i="1"/>
  <c r="A2714" i="1"/>
  <c r="L2713" i="1"/>
  <c r="M2713" i="1" s="1"/>
  <c r="J2713" i="1"/>
  <c r="I2713" i="1"/>
  <c r="K2713" i="1" s="1"/>
  <c r="H2713" i="1"/>
  <c r="G2713" i="1"/>
  <c r="D2713" i="1"/>
  <c r="C2713" i="1"/>
  <c r="B2713" i="1"/>
  <c r="A2713" i="1"/>
  <c r="L2712" i="1"/>
  <c r="M2712" i="1" s="1"/>
  <c r="K2712" i="1"/>
  <c r="J2712" i="1"/>
  <c r="I2712" i="1"/>
  <c r="H2712" i="1"/>
  <c r="G2712" i="1"/>
  <c r="F2712" i="1"/>
  <c r="E2712" i="1"/>
  <c r="D2712" i="1"/>
  <c r="C2712" i="1"/>
  <c r="B2712" i="1"/>
  <c r="A2712" i="1"/>
  <c r="L2711" i="1"/>
  <c r="M2711" i="1" s="1"/>
  <c r="J2711" i="1"/>
  <c r="I2711" i="1"/>
  <c r="K2711" i="1" s="1"/>
  <c r="H2711" i="1"/>
  <c r="G2711" i="1"/>
  <c r="F2711" i="1"/>
  <c r="E2711" i="1"/>
  <c r="C2711" i="1"/>
  <c r="D2711" i="1" s="1"/>
  <c r="B2711" i="1"/>
  <c r="A2711" i="1"/>
  <c r="L2710" i="1"/>
  <c r="M2710" i="1" s="1"/>
  <c r="J2710" i="1"/>
  <c r="H2710" i="1"/>
  <c r="G2710" i="1"/>
  <c r="I2710" i="1" s="1"/>
  <c r="K2710" i="1" s="1"/>
  <c r="D2710" i="1"/>
  <c r="C2710" i="1"/>
  <c r="E2710" i="1" s="1"/>
  <c r="B2710" i="1"/>
  <c r="A2710" i="1"/>
  <c r="L2709" i="1"/>
  <c r="M2709" i="1" s="1"/>
  <c r="J2709" i="1"/>
  <c r="H2709" i="1"/>
  <c r="G2709" i="1"/>
  <c r="I2709" i="1" s="1"/>
  <c r="K2709" i="1" s="1"/>
  <c r="C2709" i="1"/>
  <c r="B2709" i="1"/>
  <c r="A2709" i="1"/>
  <c r="M2708" i="1"/>
  <c r="L2708" i="1"/>
  <c r="J2708" i="1"/>
  <c r="I2708" i="1"/>
  <c r="K2708" i="1" s="1"/>
  <c r="H2708" i="1"/>
  <c r="G2708" i="1"/>
  <c r="F2708" i="1"/>
  <c r="C2708" i="1"/>
  <c r="B2708" i="1"/>
  <c r="A2708" i="1"/>
  <c r="M2707" i="1"/>
  <c r="L2707" i="1"/>
  <c r="J2707" i="1"/>
  <c r="I2707" i="1"/>
  <c r="H2707" i="1"/>
  <c r="G2707" i="1"/>
  <c r="F2707" i="1"/>
  <c r="C2707" i="1"/>
  <c r="B2707" i="1"/>
  <c r="A2707" i="1"/>
  <c r="L2706" i="1"/>
  <c r="M2706" i="1" s="1"/>
  <c r="J2706" i="1"/>
  <c r="K2706" i="1" s="1"/>
  <c r="H2706" i="1"/>
  <c r="G2706" i="1"/>
  <c r="I2706" i="1" s="1"/>
  <c r="F2706" i="1"/>
  <c r="E2706" i="1"/>
  <c r="D2706" i="1"/>
  <c r="C2706" i="1"/>
  <c r="B2706" i="1"/>
  <c r="A2706" i="1"/>
  <c r="L2705" i="1"/>
  <c r="M2705" i="1" s="1"/>
  <c r="J2705" i="1"/>
  <c r="I2705" i="1"/>
  <c r="K2705" i="1" s="1"/>
  <c r="H2705" i="1"/>
  <c r="G2705" i="1"/>
  <c r="F2705" i="1"/>
  <c r="E2705" i="1"/>
  <c r="D2705" i="1"/>
  <c r="C2705" i="1"/>
  <c r="B2705" i="1"/>
  <c r="A2705" i="1"/>
  <c r="L2704" i="1"/>
  <c r="M2704" i="1" s="1"/>
  <c r="J2704" i="1"/>
  <c r="I2704" i="1"/>
  <c r="K2704" i="1" s="1"/>
  <c r="H2704" i="1"/>
  <c r="G2704" i="1"/>
  <c r="F2704" i="1"/>
  <c r="E2704" i="1"/>
  <c r="D2704" i="1"/>
  <c r="C2704" i="1"/>
  <c r="B2704" i="1"/>
  <c r="A2704" i="1"/>
  <c r="M2703" i="1"/>
  <c r="L2703" i="1"/>
  <c r="J2703" i="1"/>
  <c r="I2703" i="1"/>
  <c r="K2703" i="1" s="1"/>
  <c r="H2703" i="1"/>
  <c r="G2703" i="1"/>
  <c r="F2703" i="1"/>
  <c r="E2703" i="1"/>
  <c r="C2703" i="1"/>
  <c r="D2703" i="1" s="1"/>
  <c r="B2703" i="1"/>
  <c r="A2703" i="1"/>
  <c r="L2702" i="1"/>
  <c r="M2702" i="1" s="1"/>
  <c r="J2702" i="1"/>
  <c r="I2702" i="1"/>
  <c r="K2702" i="1" s="1"/>
  <c r="H2702" i="1"/>
  <c r="G2702" i="1"/>
  <c r="C2702" i="1"/>
  <c r="B2702" i="1"/>
  <c r="A2702" i="1"/>
  <c r="M2701" i="1"/>
  <c r="L2701" i="1"/>
  <c r="J2701" i="1"/>
  <c r="H2701" i="1"/>
  <c r="G2701" i="1"/>
  <c r="I2701" i="1" s="1"/>
  <c r="C2701" i="1"/>
  <c r="D2701" i="1" s="1"/>
  <c r="B2701" i="1"/>
  <c r="A2701" i="1"/>
  <c r="L2700" i="1"/>
  <c r="M2700" i="1" s="1"/>
  <c r="K2700" i="1"/>
  <c r="J2700" i="1"/>
  <c r="I2700" i="1"/>
  <c r="H2700" i="1"/>
  <c r="G2700" i="1"/>
  <c r="F2700" i="1"/>
  <c r="E2700" i="1"/>
  <c r="D2700" i="1"/>
  <c r="C2700" i="1"/>
  <c r="B2700" i="1"/>
  <c r="A2700" i="1"/>
  <c r="L2699" i="1"/>
  <c r="M2699" i="1" s="1"/>
  <c r="J2699" i="1"/>
  <c r="I2699" i="1"/>
  <c r="H2699" i="1"/>
  <c r="G2699" i="1"/>
  <c r="C2699" i="1"/>
  <c r="B2699" i="1"/>
  <c r="A2699" i="1"/>
  <c r="M2698" i="1"/>
  <c r="L2698" i="1"/>
  <c r="J2698" i="1"/>
  <c r="H2698" i="1"/>
  <c r="G2698" i="1"/>
  <c r="I2698" i="1" s="1"/>
  <c r="K2698" i="1" s="1"/>
  <c r="F2698" i="1"/>
  <c r="C2698" i="1"/>
  <c r="E2698" i="1" s="1"/>
  <c r="B2698" i="1"/>
  <c r="A2698" i="1"/>
  <c r="L2697" i="1"/>
  <c r="M2697" i="1" s="1"/>
  <c r="K2697" i="1"/>
  <c r="J2697" i="1"/>
  <c r="H2697" i="1"/>
  <c r="G2697" i="1"/>
  <c r="I2697" i="1" s="1"/>
  <c r="E2697" i="1"/>
  <c r="D2697" i="1"/>
  <c r="C2697" i="1"/>
  <c r="F2697" i="1" s="1"/>
  <c r="B2697" i="1"/>
  <c r="A2697" i="1"/>
  <c r="M2696" i="1"/>
  <c r="L2696" i="1"/>
  <c r="J2696" i="1"/>
  <c r="I2696" i="1"/>
  <c r="K2696" i="1" s="1"/>
  <c r="H2696" i="1"/>
  <c r="G2696" i="1"/>
  <c r="F2696" i="1"/>
  <c r="E2696" i="1"/>
  <c r="D2696" i="1"/>
  <c r="C2696" i="1"/>
  <c r="B2696" i="1"/>
  <c r="A2696" i="1"/>
  <c r="M2695" i="1"/>
  <c r="L2695" i="1"/>
  <c r="J2695" i="1"/>
  <c r="I2695" i="1"/>
  <c r="K2695" i="1" s="1"/>
  <c r="H2695" i="1"/>
  <c r="G2695" i="1"/>
  <c r="F2695" i="1"/>
  <c r="E2695" i="1"/>
  <c r="D2695" i="1"/>
  <c r="C2695" i="1"/>
  <c r="B2695" i="1"/>
  <c r="A2695" i="1"/>
  <c r="L2694" i="1"/>
  <c r="M2694" i="1" s="1"/>
  <c r="J2694" i="1"/>
  <c r="H2694" i="1"/>
  <c r="G2694" i="1"/>
  <c r="I2694" i="1" s="1"/>
  <c r="K2694" i="1" s="1"/>
  <c r="D2694" i="1"/>
  <c r="C2694" i="1"/>
  <c r="E2694" i="1" s="1"/>
  <c r="B2694" i="1"/>
  <c r="A2694" i="1"/>
  <c r="L2693" i="1"/>
  <c r="M2693" i="1" s="1"/>
  <c r="J2693" i="1"/>
  <c r="I2693" i="1"/>
  <c r="K2693" i="1" s="1"/>
  <c r="H2693" i="1"/>
  <c r="G2693" i="1"/>
  <c r="F2693" i="1"/>
  <c r="D2693" i="1"/>
  <c r="C2693" i="1"/>
  <c r="E2693" i="1" s="1"/>
  <c r="B2693" i="1"/>
  <c r="A2693" i="1"/>
  <c r="M2692" i="1"/>
  <c r="L2692" i="1"/>
  <c r="J2692" i="1"/>
  <c r="I2692" i="1"/>
  <c r="K2692" i="1" s="1"/>
  <c r="H2692" i="1"/>
  <c r="G2692" i="1"/>
  <c r="F2692" i="1"/>
  <c r="E2692" i="1"/>
  <c r="D2692" i="1"/>
  <c r="C2692" i="1"/>
  <c r="B2692" i="1"/>
  <c r="A2692" i="1"/>
  <c r="M2691" i="1"/>
  <c r="L2691" i="1"/>
  <c r="J2691" i="1"/>
  <c r="I2691" i="1"/>
  <c r="K2691" i="1" s="1"/>
  <c r="H2691" i="1"/>
  <c r="G2691" i="1"/>
  <c r="F2691" i="1"/>
  <c r="E2691" i="1"/>
  <c r="C2691" i="1"/>
  <c r="D2691" i="1" s="1"/>
  <c r="B2691" i="1"/>
  <c r="A2691" i="1"/>
  <c r="L2690" i="1"/>
  <c r="M2690" i="1" s="1"/>
  <c r="J2690" i="1"/>
  <c r="I2690" i="1"/>
  <c r="K2690" i="1" s="1"/>
  <c r="H2690" i="1"/>
  <c r="G2690" i="1"/>
  <c r="F2690" i="1"/>
  <c r="C2690" i="1"/>
  <c r="B2690" i="1"/>
  <c r="A2690" i="1"/>
  <c r="L2689" i="1"/>
  <c r="M2689" i="1" s="1"/>
  <c r="J2689" i="1"/>
  <c r="H2689" i="1"/>
  <c r="G2689" i="1"/>
  <c r="I2689" i="1" s="1"/>
  <c r="K2689" i="1" s="1"/>
  <c r="C2689" i="1"/>
  <c r="B2689" i="1"/>
  <c r="A2689" i="1"/>
  <c r="M2688" i="1"/>
  <c r="L2688" i="1"/>
  <c r="J2688" i="1"/>
  <c r="I2688" i="1"/>
  <c r="K2688" i="1" s="1"/>
  <c r="H2688" i="1"/>
  <c r="G2688" i="1"/>
  <c r="F2688" i="1"/>
  <c r="E2688" i="1"/>
  <c r="D2688" i="1"/>
  <c r="C2688" i="1"/>
  <c r="B2688" i="1"/>
  <c r="A2688" i="1"/>
  <c r="L2687" i="1"/>
  <c r="M2687" i="1" s="1"/>
  <c r="K2687" i="1"/>
  <c r="J2687" i="1"/>
  <c r="I2687" i="1"/>
  <c r="H2687" i="1"/>
  <c r="G2687" i="1"/>
  <c r="E2687" i="1"/>
  <c r="C2687" i="1"/>
  <c r="D2687" i="1" s="1"/>
  <c r="B2687" i="1"/>
  <c r="A2687" i="1"/>
  <c r="L2686" i="1"/>
  <c r="M2686" i="1" s="1"/>
  <c r="K2686" i="1"/>
  <c r="J2686" i="1"/>
  <c r="H2686" i="1"/>
  <c r="G2686" i="1"/>
  <c r="I2686" i="1" s="1"/>
  <c r="C2686" i="1"/>
  <c r="B2686" i="1"/>
  <c r="A2686" i="1"/>
  <c r="M2685" i="1"/>
  <c r="L2685" i="1"/>
  <c r="K2685" i="1"/>
  <c r="J2685" i="1"/>
  <c r="H2685" i="1"/>
  <c r="G2685" i="1"/>
  <c r="I2685" i="1" s="1"/>
  <c r="E2685" i="1"/>
  <c r="D2685" i="1"/>
  <c r="C2685" i="1"/>
  <c r="F2685" i="1" s="1"/>
  <c r="B2685" i="1"/>
  <c r="A2685" i="1"/>
  <c r="M2684" i="1"/>
  <c r="L2684" i="1"/>
  <c r="J2684" i="1"/>
  <c r="I2684" i="1"/>
  <c r="K2684" i="1" s="1"/>
  <c r="H2684" i="1"/>
  <c r="G2684" i="1"/>
  <c r="E2684" i="1"/>
  <c r="D2684" i="1"/>
  <c r="C2684" i="1"/>
  <c r="F2684" i="1" s="1"/>
  <c r="B2684" i="1"/>
  <c r="A2684" i="1"/>
  <c r="M2683" i="1"/>
  <c r="L2683" i="1"/>
  <c r="J2683" i="1"/>
  <c r="H2683" i="1"/>
  <c r="G2683" i="1"/>
  <c r="I2683" i="1" s="1"/>
  <c r="K2683" i="1" s="1"/>
  <c r="E2683" i="1"/>
  <c r="D2683" i="1"/>
  <c r="C2683" i="1"/>
  <c r="F2683" i="1" s="1"/>
  <c r="B2683" i="1"/>
  <c r="A2683" i="1"/>
  <c r="L2682" i="1"/>
  <c r="M2682" i="1" s="1"/>
  <c r="K2682" i="1"/>
  <c r="J2682" i="1"/>
  <c r="H2682" i="1"/>
  <c r="G2682" i="1"/>
  <c r="I2682" i="1" s="1"/>
  <c r="D2682" i="1"/>
  <c r="C2682" i="1"/>
  <c r="E2682" i="1" s="1"/>
  <c r="B2682" i="1"/>
  <c r="A2682" i="1"/>
  <c r="L2681" i="1"/>
  <c r="M2681" i="1" s="1"/>
  <c r="K2681" i="1"/>
  <c r="J2681" i="1"/>
  <c r="H2681" i="1"/>
  <c r="G2681" i="1"/>
  <c r="I2681" i="1" s="1"/>
  <c r="F2681" i="1"/>
  <c r="C2681" i="1"/>
  <c r="E2681" i="1" s="1"/>
  <c r="B2681" i="1"/>
  <c r="A2681" i="1"/>
  <c r="L2680" i="1"/>
  <c r="M2680" i="1" s="1"/>
  <c r="J2680" i="1"/>
  <c r="H2680" i="1"/>
  <c r="G2680" i="1"/>
  <c r="I2680" i="1" s="1"/>
  <c r="F2680" i="1"/>
  <c r="E2680" i="1"/>
  <c r="D2680" i="1"/>
  <c r="C2680" i="1"/>
  <c r="B2680" i="1"/>
  <c r="A2680" i="1"/>
  <c r="M2679" i="1"/>
  <c r="L2679" i="1"/>
  <c r="K2679" i="1"/>
  <c r="J2679" i="1"/>
  <c r="H2679" i="1"/>
  <c r="G2679" i="1"/>
  <c r="I2679" i="1" s="1"/>
  <c r="F2679" i="1"/>
  <c r="E2679" i="1"/>
  <c r="C2679" i="1"/>
  <c r="D2679" i="1" s="1"/>
  <c r="B2679" i="1"/>
  <c r="A2679" i="1"/>
  <c r="L2678" i="1"/>
  <c r="M2678" i="1" s="1"/>
  <c r="K2678" i="1"/>
  <c r="J2678" i="1"/>
  <c r="H2678" i="1"/>
  <c r="G2678" i="1"/>
  <c r="I2678" i="1" s="1"/>
  <c r="F2678" i="1"/>
  <c r="C2678" i="1"/>
  <c r="B2678" i="1"/>
  <c r="A2678" i="1"/>
  <c r="L2677" i="1"/>
  <c r="M2677" i="1" s="1"/>
  <c r="J2677" i="1"/>
  <c r="I2677" i="1"/>
  <c r="H2677" i="1"/>
  <c r="G2677" i="1"/>
  <c r="E2677" i="1"/>
  <c r="D2677" i="1"/>
  <c r="C2677" i="1"/>
  <c r="F2677" i="1" s="1"/>
  <c r="B2677" i="1"/>
  <c r="A2677" i="1"/>
  <c r="L2676" i="1"/>
  <c r="M2676" i="1" s="1"/>
  <c r="J2676" i="1"/>
  <c r="I2676" i="1"/>
  <c r="H2676" i="1"/>
  <c r="G2676" i="1"/>
  <c r="F2676" i="1"/>
  <c r="E2676" i="1"/>
  <c r="D2676" i="1"/>
  <c r="C2676" i="1"/>
  <c r="B2676" i="1"/>
  <c r="A2676" i="1"/>
  <c r="M2675" i="1"/>
  <c r="L2675" i="1"/>
  <c r="K2675" i="1"/>
  <c r="J2675" i="1"/>
  <c r="H2675" i="1"/>
  <c r="G2675" i="1"/>
  <c r="I2675" i="1" s="1"/>
  <c r="C2675" i="1"/>
  <c r="B2675" i="1"/>
  <c r="A2675" i="1"/>
  <c r="M2674" i="1"/>
  <c r="L2674" i="1"/>
  <c r="J2674" i="1"/>
  <c r="K2674" i="1" s="1"/>
  <c r="H2674" i="1"/>
  <c r="G2674" i="1"/>
  <c r="I2674" i="1" s="1"/>
  <c r="F2674" i="1"/>
  <c r="D2674" i="1"/>
  <c r="C2674" i="1"/>
  <c r="E2674" i="1" s="1"/>
  <c r="B2674" i="1"/>
  <c r="A2674" i="1"/>
  <c r="L2673" i="1"/>
  <c r="M2673" i="1" s="1"/>
  <c r="J2673" i="1"/>
  <c r="I2673" i="1"/>
  <c r="K2673" i="1" s="1"/>
  <c r="H2673" i="1"/>
  <c r="G2673" i="1"/>
  <c r="E2673" i="1"/>
  <c r="D2673" i="1"/>
  <c r="C2673" i="1"/>
  <c r="F2673" i="1" s="1"/>
  <c r="B2673" i="1"/>
  <c r="A2673" i="1"/>
  <c r="L2672" i="1"/>
  <c r="M2672" i="1" s="1"/>
  <c r="J2672" i="1"/>
  <c r="I2672" i="1"/>
  <c r="K2672" i="1" s="1"/>
  <c r="H2672" i="1"/>
  <c r="G2672" i="1"/>
  <c r="F2672" i="1"/>
  <c r="E2672" i="1"/>
  <c r="D2672" i="1"/>
  <c r="C2672" i="1"/>
  <c r="B2672" i="1"/>
  <c r="A2672" i="1"/>
  <c r="M2671" i="1"/>
  <c r="L2671" i="1"/>
  <c r="J2671" i="1"/>
  <c r="I2671" i="1"/>
  <c r="K2671" i="1" s="1"/>
  <c r="H2671" i="1"/>
  <c r="G2671" i="1"/>
  <c r="C2671" i="1"/>
  <c r="D2671" i="1" s="1"/>
  <c r="B2671" i="1"/>
  <c r="A2671" i="1"/>
  <c r="L2670" i="1"/>
  <c r="M2670" i="1" s="1"/>
  <c r="J2670" i="1"/>
  <c r="K2670" i="1" s="1"/>
  <c r="H2670" i="1"/>
  <c r="G2670" i="1"/>
  <c r="I2670" i="1" s="1"/>
  <c r="F2670" i="1"/>
  <c r="E2670" i="1"/>
  <c r="D2670" i="1"/>
  <c r="C2670" i="1"/>
  <c r="B2670" i="1"/>
  <c r="A2670" i="1"/>
  <c r="L2669" i="1"/>
  <c r="M2669" i="1" s="1"/>
  <c r="J2669" i="1"/>
  <c r="I2669" i="1"/>
  <c r="K2669" i="1" s="1"/>
  <c r="H2669" i="1"/>
  <c r="G2669" i="1"/>
  <c r="F2669" i="1"/>
  <c r="E2669" i="1"/>
  <c r="C2669" i="1"/>
  <c r="D2669" i="1" s="1"/>
  <c r="B2669" i="1"/>
  <c r="A2669" i="1"/>
  <c r="M2668" i="1"/>
  <c r="L2668" i="1"/>
  <c r="J2668" i="1"/>
  <c r="I2668" i="1"/>
  <c r="K2668" i="1" s="1"/>
  <c r="H2668" i="1"/>
  <c r="G2668" i="1"/>
  <c r="F2668" i="1"/>
  <c r="E2668" i="1"/>
  <c r="D2668" i="1"/>
  <c r="C2668" i="1"/>
  <c r="B2668" i="1"/>
  <c r="A2668" i="1"/>
  <c r="M2667" i="1"/>
  <c r="L2667" i="1"/>
  <c r="J2667" i="1"/>
  <c r="H2667" i="1"/>
  <c r="G2667" i="1"/>
  <c r="I2667" i="1" s="1"/>
  <c r="K2667" i="1" s="1"/>
  <c r="F2667" i="1"/>
  <c r="C2667" i="1"/>
  <c r="B2667" i="1"/>
  <c r="A2667" i="1"/>
  <c r="L2666" i="1"/>
  <c r="M2666" i="1" s="1"/>
  <c r="J2666" i="1"/>
  <c r="I2666" i="1"/>
  <c r="H2666" i="1"/>
  <c r="G2666" i="1"/>
  <c r="F2666" i="1"/>
  <c r="D2666" i="1"/>
  <c r="C2666" i="1"/>
  <c r="E2666" i="1" s="1"/>
  <c r="B2666" i="1"/>
  <c r="A2666" i="1"/>
  <c r="L2665" i="1"/>
  <c r="M2665" i="1" s="1"/>
  <c r="J2665" i="1"/>
  <c r="I2665" i="1"/>
  <c r="H2665" i="1"/>
  <c r="G2665" i="1"/>
  <c r="E2665" i="1"/>
  <c r="D2665" i="1"/>
  <c r="C2665" i="1"/>
  <c r="F2665" i="1" s="1"/>
  <c r="B2665" i="1"/>
  <c r="A2665" i="1"/>
  <c r="L2664" i="1"/>
  <c r="M2664" i="1" s="1"/>
  <c r="J2664" i="1"/>
  <c r="I2664" i="1"/>
  <c r="K2664" i="1" s="1"/>
  <c r="H2664" i="1"/>
  <c r="G2664" i="1"/>
  <c r="F2664" i="1"/>
  <c r="E2664" i="1"/>
  <c r="D2664" i="1"/>
  <c r="C2664" i="1"/>
  <c r="B2664" i="1"/>
  <c r="A2664" i="1"/>
  <c r="M2663" i="1"/>
  <c r="L2663" i="1"/>
  <c r="J2663" i="1"/>
  <c r="K2663" i="1" s="1"/>
  <c r="H2663" i="1"/>
  <c r="G2663" i="1"/>
  <c r="I2663" i="1" s="1"/>
  <c r="F2663" i="1"/>
  <c r="C2663" i="1"/>
  <c r="B2663" i="1"/>
  <c r="A2663" i="1"/>
  <c r="M2662" i="1"/>
  <c r="L2662" i="1"/>
  <c r="J2662" i="1"/>
  <c r="K2662" i="1" s="1"/>
  <c r="H2662" i="1"/>
  <c r="G2662" i="1"/>
  <c r="I2662" i="1" s="1"/>
  <c r="F2662" i="1"/>
  <c r="D2662" i="1"/>
  <c r="C2662" i="1"/>
  <c r="E2662" i="1" s="1"/>
  <c r="B2662" i="1"/>
  <c r="A2662" i="1"/>
  <c r="L2661" i="1"/>
  <c r="M2661" i="1" s="1"/>
  <c r="J2661" i="1"/>
  <c r="I2661" i="1"/>
  <c r="K2661" i="1" s="1"/>
  <c r="H2661" i="1"/>
  <c r="G2661" i="1"/>
  <c r="E2661" i="1"/>
  <c r="D2661" i="1"/>
  <c r="C2661" i="1"/>
  <c r="F2661" i="1" s="1"/>
  <c r="B2661" i="1"/>
  <c r="A2661" i="1"/>
  <c r="L2660" i="1"/>
  <c r="M2660" i="1" s="1"/>
  <c r="J2660" i="1"/>
  <c r="I2660" i="1"/>
  <c r="K2660" i="1" s="1"/>
  <c r="H2660" i="1"/>
  <c r="G2660" i="1"/>
  <c r="F2660" i="1"/>
  <c r="E2660" i="1"/>
  <c r="D2660" i="1"/>
  <c r="C2660" i="1"/>
  <c r="B2660" i="1"/>
  <c r="A2660" i="1"/>
  <c r="M2659" i="1"/>
  <c r="L2659" i="1"/>
  <c r="J2659" i="1"/>
  <c r="I2659" i="1"/>
  <c r="H2659" i="1"/>
  <c r="G2659" i="1"/>
  <c r="E2659" i="1"/>
  <c r="C2659" i="1"/>
  <c r="D2659" i="1" s="1"/>
  <c r="B2659" i="1"/>
  <c r="A2659" i="1"/>
  <c r="L2658" i="1"/>
  <c r="M2658" i="1" s="1"/>
  <c r="J2658" i="1"/>
  <c r="K2658" i="1" s="1"/>
  <c r="H2658" i="1"/>
  <c r="G2658" i="1"/>
  <c r="I2658" i="1" s="1"/>
  <c r="F2658" i="1"/>
  <c r="E2658" i="1"/>
  <c r="D2658" i="1"/>
  <c r="C2658" i="1"/>
  <c r="B2658" i="1"/>
  <c r="A2658" i="1"/>
  <c r="L2657" i="1"/>
  <c r="M2657" i="1" s="1"/>
  <c r="J2657" i="1"/>
  <c r="I2657" i="1"/>
  <c r="K2657" i="1" s="1"/>
  <c r="H2657" i="1"/>
  <c r="G2657" i="1"/>
  <c r="F2657" i="1"/>
  <c r="C2657" i="1"/>
  <c r="D2657" i="1" s="1"/>
  <c r="B2657" i="1"/>
  <c r="A2657" i="1"/>
  <c r="M2656" i="1"/>
  <c r="L2656" i="1"/>
  <c r="J2656" i="1"/>
  <c r="I2656" i="1"/>
  <c r="H2656" i="1"/>
  <c r="G2656" i="1"/>
  <c r="F2656" i="1"/>
  <c r="E2656" i="1"/>
  <c r="D2656" i="1"/>
  <c r="C2656" i="1"/>
  <c r="B2656" i="1"/>
  <c r="A2656" i="1"/>
  <c r="M2655" i="1"/>
  <c r="L2655" i="1"/>
  <c r="K2655" i="1"/>
  <c r="J2655" i="1"/>
  <c r="H2655" i="1"/>
  <c r="G2655" i="1"/>
  <c r="I2655" i="1" s="1"/>
  <c r="C2655" i="1"/>
  <c r="B2655" i="1"/>
  <c r="A2655" i="1"/>
  <c r="L2654" i="1"/>
  <c r="M2654" i="1" s="1"/>
  <c r="J2654" i="1"/>
  <c r="I2654" i="1"/>
  <c r="K2654" i="1" s="1"/>
  <c r="H2654" i="1"/>
  <c r="G2654" i="1"/>
  <c r="F2654" i="1"/>
  <c r="D2654" i="1"/>
  <c r="C2654" i="1"/>
  <c r="E2654" i="1" s="1"/>
  <c r="B2654" i="1"/>
  <c r="A2654" i="1"/>
  <c r="L2653" i="1"/>
  <c r="M2653" i="1" s="1"/>
  <c r="J2653" i="1"/>
  <c r="I2653" i="1"/>
  <c r="H2653" i="1"/>
  <c r="G2653" i="1"/>
  <c r="E2653" i="1"/>
  <c r="D2653" i="1"/>
  <c r="C2653" i="1"/>
  <c r="F2653" i="1" s="1"/>
  <c r="B2653" i="1"/>
  <c r="A2653" i="1"/>
  <c r="L2652" i="1"/>
  <c r="M2652" i="1" s="1"/>
  <c r="J2652" i="1"/>
  <c r="I2652" i="1"/>
  <c r="H2652" i="1"/>
  <c r="G2652" i="1"/>
  <c r="F2652" i="1"/>
  <c r="E2652" i="1"/>
  <c r="D2652" i="1"/>
  <c r="C2652" i="1"/>
  <c r="B2652" i="1"/>
  <c r="A2652" i="1"/>
  <c r="M2651" i="1"/>
  <c r="L2651" i="1"/>
  <c r="K2651" i="1"/>
  <c r="J2651" i="1"/>
  <c r="H2651" i="1"/>
  <c r="G2651" i="1"/>
  <c r="I2651" i="1" s="1"/>
  <c r="C2651" i="1"/>
  <c r="B2651" i="1"/>
  <c r="A2651" i="1"/>
  <c r="M2650" i="1"/>
  <c r="L2650" i="1"/>
  <c r="K2650" i="1"/>
  <c r="J2650" i="1"/>
  <c r="H2650" i="1"/>
  <c r="G2650" i="1"/>
  <c r="I2650" i="1" s="1"/>
  <c r="F2650" i="1"/>
  <c r="D2650" i="1"/>
  <c r="C2650" i="1"/>
  <c r="E2650" i="1" s="1"/>
  <c r="B2650" i="1"/>
  <c r="A2650" i="1"/>
  <c r="L2649" i="1"/>
  <c r="M2649" i="1" s="1"/>
  <c r="J2649" i="1"/>
  <c r="I2649" i="1"/>
  <c r="K2649" i="1" s="1"/>
  <c r="H2649" i="1"/>
  <c r="G2649" i="1"/>
  <c r="E2649" i="1"/>
  <c r="D2649" i="1"/>
  <c r="C2649" i="1"/>
  <c r="F2649" i="1" s="1"/>
  <c r="B2649" i="1"/>
  <c r="A2649" i="1"/>
  <c r="L2648" i="1"/>
  <c r="M2648" i="1" s="1"/>
  <c r="J2648" i="1"/>
  <c r="I2648" i="1"/>
  <c r="K2648" i="1" s="1"/>
  <c r="H2648" i="1"/>
  <c r="G2648" i="1"/>
  <c r="F2648" i="1"/>
  <c r="E2648" i="1"/>
  <c r="D2648" i="1"/>
  <c r="C2648" i="1"/>
  <c r="B2648" i="1"/>
  <c r="A2648" i="1"/>
  <c r="L2647" i="1"/>
  <c r="M2647" i="1" s="1"/>
  <c r="J2647" i="1"/>
  <c r="I2647" i="1"/>
  <c r="H2647" i="1"/>
  <c r="G2647" i="1"/>
  <c r="E2647" i="1"/>
  <c r="C2647" i="1"/>
  <c r="D2647" i="1" s="1"/>
  <c r="B2647" i="1"/>
  <c r="A2647" i="1"/>
  <c r="M2646" i="1"/>
  <c r="L2646" i="1"/>
  <c r="J2646" i="1"/>
  <c r="H2646" i="1"/>
  <c r="G2646" i="1"/>
  <c r="I2646" i="1" s="1"/>
  <c r="K2646" i="1" s="1"/>
  <c r="C2646" i="1"/>
  <c r="E2646" i="1" s="1"/>
  <c r="B2646" i="1"/>
  <c r="A2646" i="1"/>
  <c r="L2645" i="1"/>
  <c r="M2645" i="1" s="1"/>
  <c r="J2645" i="1"/>
  <c r="H2645" i="1"/>
  <c r="G2645" i="1"/>
  <c r="I2645" i="1" s="1"/>
  <c r="K2645" i="1" s="1"/>
  <c r="F2645" i="1"/>
  <c r="E2645" i="1"/>
  <c r="D2645" i="1"/>
  <c r="C2645" i="1"/>
  <c r="B2645" i="1"/>
  <c r="A2645" i="1"/>
  <c r="M2644" i="1"/>
  <c r="L2644" i="1"/>
  <c r="J2644" i="1"/>
  <c r="I2644" i="1"/>
  <c r="K2644" i="1" s="1"/>
  <c r="H2644" i="1"/>
  <c r="G2644" i="1"/>
  <c r="F2644" i="1"/>
  <c r="E2644" i="1"/>
  <c r="C2644" i="1"/>
  <c r="D2644" i="1" s="1"/>
  <c r="B2644" i="1"/>
  <c r="A2644" i="1"/>
  <c r="M2643" i="1"/>
  <c r="L2643" i="1"/>
  <c r="J2643" i="1"/>
  <c r="I2643" i="1"/>
  <c r="K2643" i="1" s="1"/>
  <c r="H2643" i="1"/>
  <c r="G2643" i="1"/>
  <c r="F2643" i="1"/>
  <c r="D2643" i="1"/>
  <c r="C2643" i="1"/>
  <c r="E2643" i="1" s="1"/>
  <c r="B2643" i="1"/>
  <c r="A2643" i="1"/>
  <c r="L2642" i="1"/>
  <c r="M2642" i="1" s="1"/>
  <c r="J2642" i="1"/>
  <c r="H2642" i="1"/>
  <c r="G2642" i="1"/>
  <c r="I2642" i="1" s="1"/>
  <c r="K2642" i="1" s="1"/>
  <c r="C2642" i="1"/>
  <c r="B2642" i="1"/>
  <c r="A2642" i="1"/>
  <c r="L2641" i="1"/>
  <c r="M2641" i="1" s="1"/>
  <c r="J2641" i="1"/>
  <c r="I2641" i="1"/>
  <c r="K2641" i="1" s="1"/>
  <c r="H2641" i="1"/>
  <c r="G2641" i="1"/>
  <c r="D2641" i="1"/>
  <c r="C2641" i="1"/>
  <c r="E2641" i="1" s="1"/>
  <c r="B2641" i="1"/>
  <c r="A2641" i="1"/>
  <c r="L2640" i="1"/>
  <c r="M2640" i="1" s="1"/>
  <c r="J2640" i="1"/>
  <c r="H2640" i="1"/>
  <c r="G2640" i="1"/>
  <c r="I2640" i="1" s="1"/>
  <c r="K2640" i="1" s="1"/>
  <c r="F2640" i="1"/>
  <c r="E2640" i="1"/>
  <c r="D2640" i="1"/>
  <c r="C2640" i="1"/>
  <c r="B2640" i="1"/>
  <c r="A2640" i="1"/>
  <c r="M2639" i="1"/>
  <c r="L2639" i="1"/>
  <c r="K2639" i="1"/>
  <c r="J2639" i="1"/>
  <c r="H2639" i="1"/>
  <c r="G2639" i="1"/>
  <c r="I2639" i="1" s="1"/>
  <c r="F2639" i="1"/>
  <c r="E2639" i="1"/>
  <c r="C2639" i="1"/>
  <c r="D2639" i="1" s="1"/>
  <c r="B2639" i="1"/>
  <c r="A2639" i="1"/>
  <c r="L2638" i="1"/>
  <c r="M2638" i="1" s="1"/>
  <c r="J2638" i="1"/>
  <c r="H2638" i="1"/>
  <c r="G2638" i="1"/>
  <c r="I2638" i="1" s="1"/>
  <c r="K2638" i="1" s="1"/>
  <c r="C2638" i="1"/>
  <c r="B2638" i="1"/>
  <c r="A2638" i="1"/>
  <c r="L2637" i="1"/>
  <c r="M2637" i="1" s="1"/>
  <c r="J2637" i="1"/>
  <c r="H2637" i="1"/>
  <c r="G2637" i="1"/>
  <c r="I2637" i="1" s="1"/>
  <c r="K2637" i="1" s="1"/>
  <c r="C2637" i="1"/>
  <c r="F2637" i="1" s="1"/>
  <c r="B2637" i="1"/>
  <c r="A2637" i="1"/>
  <c r="M2636" i="1"/>
  <c r="L2636" i="1"/>
  <c r="J2636" i="1"/>
  <c r="I2636" i="1"/>
  <c r="K2636" i="1" s="1"/>
  <c r="H2636" i="1"/>
  <c r="G2636" i="1"/>
  <c r="F2636" i="1"/>
  <c r="E2636" i="1"/>
  <c r="D2636" i="1"/>
  <c r="C2636" i="1"/>
  <c r="B2636" i="1"/>
  <c r="A2636" i="1"/>
  <c r="L2635" i="1"/>
  <c r="M2635" i="1" s="1"/>
  <c r="J2635" i="1"/>
  <c r="H2635" i="1"/>
  <c r="G2635" i="1"/>
  <c r="I2635" i="1" s="1"/>
  <c r="K2635" i="1" s="1"/>
  <c r="F2635" i="1"/>
  <c r="E2635" i="1"/>
  <c r="C2635" i="1"/>
  <c r="D2635" i="1" s="1"/>
  <c r="B2635" i="1"/>
  <c r="A2635" i="1"/>
  <c r="M2634" i="1"/>
  <c r="L2634" i="1"/>
  <c r="J2634" i="1"/>
  <c r="H2634" i="1"/>
  <c r="G2634" i="1"/>
  <c r="I2634" i="1" s="1"/>
  <c r="K2634" i="1" s="1"/>
  <c r="F2634" i="1"/>
  <c r="D2634" i="1"/>
  <c r="C2634" i="1"/>
  <c r="E2634" i="1" s="1"/>
  <c r="B2634" i="1"/>
  <c r="A2634" i="1"/>
  <c r="L2633" i="1"/>
  <c r="M2633" i="1" s="1"/>
  <c r="K2633" i="1"/>
  <c r="J2633" i="1"/>
  <c r="I2633" i="1"/>
  <c r="H2633" i="1"/>
  <c r="G2633" i="1"/>
  <c r="F2633" i="1"/>
  <c r="E2633" i="1"/>
  <c r="D2633" i="1"/>
  <c r="C2633" i="1"/>
  <c r="B2633" i="1"/>
  <c r="A2633" i="1"/>
  <c r="L2632" i="1"/>
  <c r="M2632" i="1" s="1"/>
  <c r="J2632" i="1"/>
  <c r="I2632" i="1"/>
  <c r="K2632" i="1" s="1"/>
  <c r="H2632" i="1"/>
  <c r="G2632" i="1"/>
  <c r="C2632" i="1"/>
  <c r="B2632" i="1"/>
  <c r="A2632" i="1"/>
  <c r="M2631" i="1"/>
  <c r="L2631" i="1"/>
  <c r="K2631" i="1"/>
  <c r="J2631" i="1"/>
  <c r="I2631" i="1"/>
  <c r="H2631" i="1"/>
  <c r="G2631" i="1"/>
  <c r="F2631" i="1"/>
  <c r="D2631" i="1"/>
  <c r="C2631" i="1"/>
  <c r="E2631" i="1" s="1"/>
  <c r="B2631" i="1"/>
  <c r="A2631" i="1"/>
  <c r="L2630" i="1"/>
  <c r="M2630" i="1" s="1"/>
  <c r="J2630" i="1"/>
  <c r="H2630" i="1"/>
  <c r="G2630" i="1"/>
  <c r="I2630" i="1" s="1"/>
  <c r="K2630" i="1" s="1"/>
  <c r="C2630" i="1"/>
  <c r="B2630" i="1"/>
  <c r="A2630" i="1"/>
  <c r="M2629" i="1"/>
  <c r="L2629" i="1"/>
  <c r="J2629" i="1"/>
  <c r="I2629" i="1"/>
  <c r="K2629" i="1" s="1"/>
  <c r="H2629" i="1"/>
  <c r="G2629" i="1"/>
  <c r="F2629" i="1"/>
  <c r="C2629" i="1"/>
  <c r="E2629" i="1" s="1"/>
  <c r="B2629" i="1"/>
  <c r="A2629" i="1"/>
  <c r="M2628" i="1"/>
  <c r="L2628" i="1"/>
  <c r="J2628" i="1"/>
  <c r="H2628" i="1"/>
  <c r="G2628" i="1"/>
  <c r="I2628" i="1" s="1"/>
  <c r="K2628" i="1" s="1"/>
  <c r="F2628" i="1"/>
  <c r="E2628" i="1"/>
  <c r="D2628" i="1"/>
  <c r="C2628" i="1"/>
  <c r="B2628" i="1"/>
  <c r="A2628" i="1"/>
  <c r="M2627" i="1"/>
  <c r="L2627" i="1"/>
  <c r="J2627" i="1"/>
  <c r="H2627" i="1"/>
  <c r="G2627" i="1"/>
  <c r="I2627" i="1" s="1"/>
  <c r="K2627" i="1" s="1"/>
  <c r="E2627" i="1"/>
  <c r="C2627" i="1"/>
  <c r="D2627" i="1" s="1"/>
  <c r="B2627" i="1"/>
  <c r="A2627" i="1"/>
  <c r="L2626" i="1"/>
  <c r="M2626" i="1" s="1"/>
  <c r="J2626" i="1"/>
  <c r="H2626" i="1"/>
  <c r="G2626" i="1"/>
  <c r="I2626" i="1" s="1"/>
  <c r="K2626" i="1" s="1"/>
  <c r="F2626" i="1"/>
  <c r="C2626" i="1"/>
  <c r="E2626" i="1" s="1"/>
  <c r="B2626" i="1"/>
  <c r="A2626" i="1"/>
  <c r="L2625" i="1"/>
  <c r="M2625" i="1" s="1"/>
  <c r="J2625" i="1"/>
  <c r="H2625" i="1"/>
  <c r="G2625" i="1"/>
  <c r="I2625" i="1" s="1"/>
  <c r="E2625" i="1"/>
  <c r="D2625" i="1"/>
  <c r="C2625" i="1"/>
  <c r="F2625" i="1" s="1"/>
  <c r="B2625" i="1"/>
  <c r="A2625" i="1"/>
  <c r="M2624" i="1"/>
  <c r="L2624" i="1"/>
  <c r="J2624" i="1"/>
  <c r="K2624" i="1" s="1"/>
  <c r="I2624" i="1"/>
  <c r="H2624" i="1"/>
  <c r="G2624" i="1"/>
  <c r="F2624" i="1"/>
  <c r="E2624" i="1"/>
  <c r="D2624" i="1"/>
  <c r="C2624" i="1"/>
  <c r="B2624" i="1"/>
  <c r="A2624" i="1"/>
  <c r="L2623" i="1"/>
  <c r="M2623" i="1" s="1"/>
  <c r="J2623" i="1"/>
  <c r="H2623" i="1"/>
  <c r="G2623" i="1"/>
  <c r="I2623" i="1" s="1"/>
  <c r="K2623" i="1" s="1"/>
  <c r="F2623" i="1"/>
  <c r="E2623" i="1"/>
  <c r="C2623" i="1"/>
  <c r="D2623" i="1" s="1"/>
  <c r="B2623" i="1"/>
  <c r="A2623" i="1"/>
  <c r="L2622" i="1"/>
  <c r="M2622" i="1" s="1"/>
  <c r="J2622" i="1"/>
  <c r="K2622" i="1" s="1"/>
  <c r="H2622" i="1"/>
  <c r="G2622" i="1"/>
  <c r="I2622" i="1" s="1"/>
  <c r="C2622" i="1"/>
  <c r="E2622" i="1" s="1"/>
  <c r="B2622" i="1"/>
  <c r="A2622" i="1"/>
  <c r="L2621" i="1"/>
  <c r="M2621" i="1" s="1"/>
  <c r="J2621" i="1"/>
  <c r="I2621" i="1"/>
  <c r="K2621" i="1" s="1"/>
  <c r="H2621" i="1"/>
  <c r="G2621" i="1"/>
  <c r="F2621" i="1"/>
  <c r="E2621" i="1"/>
  <c r="D2621" i="1"/>
  <c r="C2621" i="1"/>
  <c r="B2621" i="1"/>
  <c r="A2621" i="1"/>
  <c r="L2620" i="1"/>
  <c r="M2620" i="1" s="1"/>
  <c r="J2620" i="1"/>
  <c r="I2620" i="1"/>
  <c r="K2620" i="1" s="1"/>
  <c r="H2620" i="1"/>
  <c r="G2620" i="1"/>
  <c r="C2620" i="1"/>
  <c r="B2620" i="1"/>
  <c r="A2620" i="1"/>
  <c r="M2619" i="1"/>
  <c r="L2619" i="1"/>
  <c r="J2619" i="1"/>
  <c r="I2619" i="1"/>
  <c r="K2619" i="1" s="1"/>
  <c r="H2619" i="1"/>
  <c r="G2619" i="1"/>
  <c r="C2619" i="1"/>
  <c r="B2619" i="1"/>
  <c r="A2619" i="1"/>
  <c r="L2618" i="1"/>
  <c r="M2618" i="1" s="1"/>
  <c r="J2618" i="1"/>
  <c r="H2618" i="1"/>
  <c r="G2618" i="1"/>
  <c r="I2618" i="1" s="1"/>
  <c r="K2618" i="1" s="1"/>
  <c r="C2618" i="1"/>
  <c r="F2618" i="1" s="1"/>
  <c r="B2618" i="1"/>
  <c r="A2618" i="1"/>
  <c r="L2617" i="1"/>
  <c r="M2617" i="1" s="1"/>
  <c r="J2617" i="1"/>
  <c r="I2617" i="1"/>
  <c r="K2617" i="1" s="1"/>
  <c r="H2617" i="1"/>
  <c r="G2617" i="1"/>
  <c r="F2617" i="1"/>
  <c r="D2617" i="1"/>
  <c r="C2617" i="1"/>
  <c r="E2617" i="1" s="1"/>
  <c r="B2617" i="1"/>
  <c r="A2617" i="1"/>
  <c r="M2616" i="1"/>
  <c r="L2616" i="1"/>
  <c r="J2616" i="1"/>
  <c r="H2616" i="1"/>
  <c r="G2616" i="1"/>
  <c r="I2616" i="1" s="1"/>
  <c r="K2616" i="1" s="1"/>
  <c r="F2616" i="1"/>
  <c r="E2616" i="1"/>
  <c r="D2616" i="1"/>
  <c r="C2616" i="1"/>
  <c r="B2616" i="1"/>
  <c r="A2616" i="1"/>
  <c r="M2615" i="1"/>
  <c r="L2615" i="1"/>
  <c r="J2615" i="1"/>
  <c r="H2615" i="1"/>
  <c r="G2615" i="1"/>
  <c r="I2615" i="1" s="1"/>
  <c r="K2615" i="1" s="1"/>
  <c r="C2615" i="1"/>
  <c r="D2615" i="1" s="1"/>
  <c r="B2615" i="1"/>
  <c r="A2615" i="1"/>
  <c r="L2614" i="1"/>
  <c r="M2614" i="1" s="1"/>
  <c r="J2614" i="1"/>
  <c r="H2614" i="1"/>
  <c r="G2614" i="1"/>
  <c r="I2614" i="1" s="1"/>
  <c r="K2614" i="1" s="1"/>
  <c r="F2614" i="1"/>
  <c r="D2614" i="1"/>
  <c r="C2614" i="1"/>
  <c r="E2614" i="1" s="1"/>
  <c r="B2614" i="1"/>
  <c r="A2614" i="1"/>
  <c r="M2613" i="1"/>
  <c r="L2613" i="1"/>
  <c r="J2613" i="1"/>
  <c r="H2613" i="1"/>
  <c r="G2613" i="1"/>
  <c r="I2613" i="1" s="1"/>
  <c r="K2613" i="1" s="1"/>
  <c r="E2613" i="1"/>
  <c r="D2613" i="1"/>
  <c r="C2613" i="1"/>
  <c r="F2613" i="1" s="1"/>
  <c r="B2613" i="1"/>
  <c r="A2613" i="1"/>
  <c r="M2612" i="1"/>
  <c r="L2612" i="1"/>
  <c r="J2612" i="1"/>
  <c r="I2612" i="1"/>
  <c r="K2612" i="1" s="1"/>
  <c r="H2612" i="1"/>
  <c r="G2612" i="1"/>
  <c r="F2612" i="1"/>
  <c r="E2612" i="1"/>
  <c r="D2612" i="1"/>
  <c r="C2612" i="1"/>
  <c r="B2612" i="1"/>
  <c r="A2612" i="1"/>
  <c r="L2611" i="1"/>
  <c r="M2611" i="1" s="1"/>
  <c r="J2611" i="1"/>
  <c r="H2611" i="1"/>
  <c r="G2611" i="1"/>
  <c r="I2611" i="1" s="1"/>
  <c r="K2611" i="1" s="1"/>
  <c r="F2611" i="1"/>
  <c r="E2611" i="1"/>
  <c r="C2611" i="1"/>
  <c r="D2611" i="1" s="1"/>
  <c r="B2611" i="1"/>
  <c r="A2611" i="1"/>
  <c r="L2610" i="1"/>
  <c r="M2610" i="1" s="1"/>
  <c r="J2610" i="1"/>
  <c r="H2610" i="1"/>
  <c r="G2610" i="1"/>
  <c r="I2610" i="1" s="1"/>
  <c r="K2610" i="1" s="1"/>
  <c r="C2610" i="1"/>
  <c r="B2610" i="1"/>
  <c r="A2610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L2608" i="1"/>
  <c r="M2608" i="1" s="1"/>
  <c r="J2608" i="1"/>
  <c r="I2608" i="1"/>
  <c r="K2608" i="1" s="1"/>
  <c r="H2608" i="1"/>
  <c r="G2608" i="1"/>
  <c r="C2608" i="1"/>
  <c r="B2608" i="1"/>
  <c r="A2608" i="1"/>
  <c r="M2607" i="1"/>
  <c r="L2607" i="1"/>
  <c r="K2607" i="1"/>
  <c r="J2607" i="1"/>
  <c r="I2607" i="1"/>
  <c r="H2607" i="1"/>
  <c r="G2607" i="1"/>
  <c r="C2607" i="1"/>
  <c r="B2607" i="1"/>
  <c r="A2607" i="1"/>
  <c r="L2606" i="1"/>
  <c r="M2606" i="1" s="1"/>
  <c r="J2606" i="1"/>
  <c r="H2606" i="1"/>
  <c r="G2606" i="1"/>
  <c r="I2606" i="1" s="1"/>
  <c r="C2606" i="1"/>
  <c r="F2606" i="1" s="1"/>
  <c r="B2606" i="1"/>
  <c r="A2606" i="1"/>
  <c r="M2605" i="1"/>
  <c r="L2605" i="1"/>
  <c r="J2605" i="1"/>
  <c r="I2605" i="1"/>
  <c r="K2605" i="1" s="1"/>
  <c r="H2605" i="1"/>
  <c r="G2605" i="1"/>
  <c r="C2605" i="1"/>
  <c r="F2605" i="1" s="1"/>
  <c r="B2605" i="1"/>
  <c r="A2605" i="1"/>
  <c r="L2604" i="1"/>
  <c r="M2604" i="1" s="1"/>
  <c r="J2604" i="1"/>
  <c r="I2604" i="1"/>
  <c r="K2604" i="1" s="1"/>
  <c r="H2604" i="1"/>
  <c r="G2604" i="1"/>
  <c r="F2604" i="1"/>
  <c r="E2604" i="1"/>
  <c r="D2604" i="1"/>
  <c r="C2604" i="1"/>
  <c r="B2604" i="1"/>
  <c r="A2604" i="1"/>
  <c r="M2603" i="1"/>
  <c r="L2603" i="1"/>
  <c r="J2603" i="1"/>
  <c r="H2603" i="1"/>
  <c r="G2603" i="1"/>
  <c r="I2603" i="1" s="1"/>
  <c r="C2603" i="1"/>
  <c r="D2603" i="1" s="1"/>
  <c r="B2603" i="1"/>
  <c r="A2603" i="1"/>
  <c r="L2602" i="1"/>
  <c r="M2602" i="1" s="1"/>
  <c r="J2602" i="1"/>
  <c r="I2602" i="1"/>
  <c r="K2602" i="1" s="1"/>
  <c r="H2602" i="1"/>
  <c r="G2602" i="1"/>
  <c r="F2602" i="1"/>
  <c r="C2602" i="1"/>
  <c r="E2602" i="1" s="1"/>
  <c r="B2602" i="1"/>
  <c r="A2602" i="1"/>
  <c r="M2601" i="1"/>
  <c r="L2601" i="1"/>
  <c r="J2601" i="1"/>
  <c r="H2601" i="1"/>
  <c r="G2601" i="1"/>
  <c r="I2601" i="1" s="1"/>
  <c r="K2601" i="1" s="1"/>
  <c r="D2601" i="1"/>
  <c r="C2601" i="1"/>
  <c r="F2601" i="1" s="1"/>
  <c r="B2601" i="1"/>
  <c r="A2601" i="1"/>
  <c r="M2600" i="1"/>
  <c r="L2600" i="1"/>
  <c r="J2600" i="1"/>
  <c r="I2600" i="1"/>
  <c r="K2600" i="1" s="1"/>
  <c r="H2600" i="1"/>
  <c r="G2600" i="1"/>
  <c r="E2600" i="1"/>
  <c r="C2600" i="1"/>
  <c r="F2600" i="1" s="1"/>
  <c r="B2600" i="1"/>
  <c r="A2600" i="1"/>
  <c r="L2599" i="1"/>
  <c r="M2599" i="1" s="1"/>
  <c r="J2599" i="1"/>
  <c r="H2599" i="1"/>
  <c r="G2599" i="1"/>
  <c r="I2599" i="1" s="1"/>
  <c r="K2599" i="1" s="1"/>
  <c r="E2599" i="1"/>
  <c r="C2599" i="1"/>
  <c r="F2599" i="1" s="1"/>
  <c r="B2599" i="1"/>
  <c r="A2599" i="1"/>
  <c r="M2598" i="1"/>
  <c r="L2598" i="1"/>
  <c r="J2598" i="1"/>
  <c r="H2598" i="1"/>
  <c r="G2598" i="1"/>
  <c r="I2598" i="1" s="1"/>
  <c r="K2598" i="1" s="1"/>
  <c r="E2598" i="1"/>
  <c r="C2598" i="1"/>
  <c r="F2598" i="1" s="1"/>
  <c r="B2598" i="1"/>
  <c r="A2598" i="1"/>
  <c r="M2597" i="1"/>
  <c r="L2597" i="1"/>
  <c r="J2597" i="1"/>
  <c r="I2597" i="1"/>
  <c r="K2597" i="1" s="1"/>
  <c r="H2597" i="1"/>
  <c r="G2597" i="1"/>
  <c r="F2597" i="1"/>
  <c r="E2597" i="1"/>
  <c r="D2597" i="1"/>
  <c r="C2597" i="1"/>
  <c r="B2597" i="1"/>
  <c r="A2597" i="1"/>
  <c r="M2596" i="1"/>
  <c r="L2596" i="1"/>
  <c r="J2596" i="1"/>
  <c r="I2596" i="1"/>
  <c r="H2596" i="1"/>
  <c r="G2596" i="1"/>
  <c r="F2596" i="1"/>
  <c r="C2596" i="1"/>
  <c r="D2596" i="1" s="1"/>
  <c r="B2596" i="1"/>
  <c r="A2596" i="1"/>
  <c r="M2595" i="1"/>
  <c r="L2595" i="1"/>
  <c r="J2595" i="1"/>
  <c r="I2595" i="1"/>
  <c r="K2595" i="1" s="1"/>
  <c r="H2595" i="1"/>
  <c r="G2595" i="1"/>
  <c r="F2595" i="1"/>
  <c r="C2595" i="1"/>
  <c r="E2595" i="1" s="1"/>
  <c r="B2595" i="1"/>
  <c r="A2595" i="1"/>
  <c r="L2594" i="1"/>
  <c r="M2594" i="1" s="1"/>
  <c r="J2594" i="1"/>
  <c r="H2594" i="1"/>
  <c r="G2594" i="1"/>
  <c r="I2594" i="1" s="1"/>
  <c r="K2594" i="1" s="1"/>
  <c r="D2594" i="1"/>
  <c r="C2594" i="1"/>
  <c r="F2594" i="1" s="1"/>
  <c r="B2594" i="1"/>
  <c r="A2594" i="1"/>
  <c r="L2593" i="1"/>
  <c r="M2593" i="1" s="1"/>
  <c r="J2593" i="1"/>
  <c r="I2593" i="1"/>
  <c r="K2593" i="1" s="1"/>
  <c r="H2593" i="1"/>
  <c r="G2593" i="1"/>
  <c r="E2593" i="1"/>
  <c r="C2593" i="1"/>
  <c r="F2593" i="1" s="1"/>
  <c r="B2593" i="1"/>
  <c r="A2593" i="1"/>
  <c r="M2592" i="1"/>
  <c r="L2592" i="1"/>
  <c r="J2592" i="1"/>
  <c r="I2592" i="1"/>
  <c r="K2592" i="1" s="1"/>
  <c r="H2592" i="1"/>
  <c r="G2592" i="1"/>
  <c r="F2592" i="1"/>
  <c r="E2592" i="1"/>
  <c r="D2592" i="1"/>
  <c r="C2592" i="1"/>
  <c r="B2592" i="1"/>
  <c r="A2592" i="1"/>
  <c r="M2591" i="1"/>
  <c r="L2591" i="1"/>
  <c r="K2591" i="1"/>
  <c r="J2591" i="1"/>
  <c r="H2591" i="1"/>
  <c r="G2591" i="1"/>
  <c r="I2591" i="1" s="1"/>
  <c r="F2591" i="1"/>
  <c r="C2591" i="1"/>
  <c r="D2591" i="1" s="1"/>
  <c r="B2591" i="1"/>
  <c r="A2591" i="1"/>
  <c r="M2590" i="1"/>
  <c r="L2590" i="1"/>
  <c r="J2590" i="1"/>
  <c r="I2590" i="1"/>
  <c r="K2590" i="1" s="1"/>
  <c r="H2590" i="1"/>
  <c r="G2590" i="1"/>
  <c r="F2590" i="1"/>
  <c r="C2590" i="1"/>
  <c r="E2590" i="1" s="1"/>
  <c r="B2590" i="1"/>
  <c r="A2590" i="1"/>
  <c r="M2589" i="1"/>
  <c r="L2589" i="1"/>
  <c r="J2589" i="1"/>
  <c r="H2589" i="1"/>
  <c r="G2589" i="1"/>
  <c r="I2589" i="1" s="1"/>
  <c r="K2589" i="1" s="1"/>
  <c r="D2589" i="1"/>
  <c r="C2589" i="1"/>
  <c r="F2589" i="1" s="1"/>
  <c r="B2589" i="1"/>
  <c r="A2589" i="1"/>
  <c r="M2588" i="1"/>
  <c r="L2588" i="1"/>
  <c r="J2588" i="1"/>
  <c r="I2588" i="1"/>
  <c r="K2588" i="1" s="1"/>
  <c r="H2588" i="1"/>
  <c r="G2588" i="1"/>
  <c r="E2588" i="1"/>
  <c r="C2588" i="1"/>
  <c r="F2588" i="1" s="1"/>
  <c r="B2588" i="1"/>
  <c r="A2588" i="1"/>
  <c r="L2587" i="1"/>
  <c r="M2587" i="1" s="1"/>
  <c r="J2587" i="1"/>
  <c r="H2587" i="1"/>
  <c r="G2587" i="1"/>
  <c r="I2587" i="1" s="1"/>
  <c r="K2587" i="1" s="1"/>
  <c r="E2587" i="1"/>
  <c r="C2587" i="1"/>
  <c r="F2587" i="1" s="1"/>
  <c r="B2587" i="1"/>
  <c r="A2587" i="1"/>
  <c r="M2586" i="1"/>
  <c r="L2586" i="1"/>
  <c r="J2586" i="1"/>
  <c r="H2586" i="1"/>
  <c r="G2586" i="1"/>
  <c r="I2586" i="1" s="1"/>
  <c r="K2586" i="1" s="1"/>
  <c r="E2586" i="1"/>
  <c r="C2586" i="1"/>
  <c r="F2586" i="1" s="1"/>
  <c r="B2586" i="1"/>
  <c r="A2586" i="1"/>
  <c r="M2585" i="1"/>
  <c r="L2585" i="1"/>
  <c r="J2585" i="1"/>
  <c r="I2585" i="1"/>
  <c r="K2585" i="1" s="1"/>
  <c r="H2585" i="1"/>
  <c r="G2585" i="1"/>
  <c r="F2585" i="1"/>
  <c r="E2585" i="1"/>
  <c r="D2585" i="1"/>
  <c r="C2585" i="1"/>
  <c r="B2585" i="1"/>
  <c r="A2585" i="1"/>
  <c r="M2584" i="1"/>
  <c r="L2584" i="1"/>
  <c r="J2584" i="1"/>
  <c r="I2584" i="1"/>
  <c r="H2584" i="1"/>
  <c r="G2584" i="1"/>
  <c r="F2584" i="1"/>
  <c r="C2584" i="1"/>
  <c r="D2584" i="1" s="1"/>
  <c r="B2584" i="1"/>
  <c r="A2584" i="1"/>
  <c r="M2583" i="1"/>
  <c r="L2583" i="1"/>
  <c r="J2583" i="1"/>
  <c r="I2583" i="1"/>
  <c r="K2583" i="1" s="1"/>
  <c r="H2583" i="1"/>
  <c r="G2583" i="1"/>
  <c r="F2583" i="1"/>
  <c r="C2583" i="1"/>
  <c r="E2583" i="1" s="1"/>
  <c r="B2583" i="1"/>
  <c r="A2583" i="1"/>
  <c r="L2582" i="1"/>
  <c r="M2582" i="1" s="1"/>
  <c r="J2582" i="1"/>
  <c r="H2582" i="1"/>
  <c r="G2582" i="1"/>
  <c r="I2582" i="1" s="1"/>
  <c r="K2582" i="1" s="1"/>
  <c r="D2582" i="1"/>
  <c r="C2582" i="1"/>
  <c r="F2582" i="1" s="1"/>
  <c r="B2582" i="1"/>
  <c r="A2582" i="1"/>
  <c r="L2581" i="1"/>
  <c r="M2581" i="1" s="1"/>
  <c r="J2581" i="1"/>
  <c r="I2581" i="1"/>
  <c r="K2581" i="1" s="1"/>
  <c r="H2581" i="1"/>
  <c r="G2581" i="1"/>
  <c r="E2581" i="1"/>
  <c r="C2581" i="1"/>
  <c r="F2581" i="1" s="1"/>
  <c r="B2581" i="1"/>
  <c r="A2581" i="1"/>
  <c r="M2580" i="1"/>
  <c r="L2580" i="1"/>
  <c r="J2580" i="1"/>
  <c r="I2580" i="1"/>
  <c r="K2580" i="1" s="1"/>
  <c r="H2580" i="1"/>
  <c r="G2580" i="1"/>
  <c r="F2580" i="1"/>
  <c r="E2580" i="1"/>
  <c r="D2580" i="1"/>
  <c r="C2580" i="1"/>
  <c r="B2580" i="1"/>
  <c r="A2580" i="1"/>
  <c r="M2579" i="1"/>
  <c r="L2579" i="1"/>
  <c r="K2579" i="1"/>
  <c r="J2579" i="1"/>
  <c r="H2579" i="1"/>
  <c r="G2579" i="1"/>
  <c r="I2579" i="1" s="1"/>
  <c r="F2579" i="1"/>
  <c r="C2579" i="1"/>
  <c r="D2579" i="1" s="1"/>
  <c r="B2579" i="1"/>
  <c r="A2579" i="1"/>
  <c r="M2578" i="1"/>
  <c r="L2578" i="1"/>
  <c r="J2578" i="1"/>
  <c r="I2578" i="1"/>
  <c r="K2578" i="1" s="1"/>
  <c r="H2578" i="1"/>
  <c r="G2578" i="1"/>
  <c r="F2578" i="1"/>
  <c r="C2578" i="1"/>
  <c r="E2578" i="1" s="1"/>
  <c r="B2578" i="1"/>
  <c r="A2578" i="1"/>
  <c r="M2577" i="1"/>
  <c r="L2577" i="1"/>
  <c r="J2577" i="1"/>
  <c r="I2577" i="1"/>
  <c r="K2577" i="1" s="1"/>
  <c r="H2577" i="1"/>
  <c r="G2577" i="1"/>
  <c r="D2577" i="1"/>
  <c r="C2577" i="1"/>
  <c r="F2577" i="1" s="1"/>
  <c r="B2577" i="1"/>
  <c r="A2577" i="1"/>
  <c r="M2576" i="1"/>
  <c r="L2576" i="1"/>
  <c r="J2576" i="1"/>
  <c r="I2576" i="1"/>
  <c r="K2576" i="1" s="1"/>
  <c r="H2576" i="1"/>
  <c r="G2576" i="1"/>
  <c r="E2576" i="1"/>
  <c r="C2576" i="1"/>
  <c r="F2576" i="1" s="1"/>
  <c r="B2576" i="1"/>
  <c r="A2576" i="1"/>
  <c r="L2575" i="1"/>
  <c r="M2575" i="1" s="1"/>
  <c r="J2575" i="1"/>
  <c r="I2575" i="1"/>
  <c r="K2575" i="1" s="1"/>
  <c r="H2575" i="1"/>
  <c r="G2575" i="1"/>
  <c r="E2575" i="1"/>
  <c r="C2575" i="1"/>
  <c r="F2575" i="1" s="1"/>
  <c r="B2575" i="1"/>
  <c r="A2575" i="1"/>
  <c r="M2574" i="1"/>
  <c r="L2574" i="1"/>
  <c r="J2574" i="1"/>
  <c r="H2574" i="1"/>
  <c r="G2574" i="1"/>
  <c r="I2574" i="1" s="1"/>
  <c r="K2574" i="1" s="1"/>
  <c r="E2574" i="1"/>
  <c r="C2574" i="1"/>
  <c r="B2574" i="1"/>
  <c r="A2574" i="1"/>
  <c r="M2573" i="1"/>
  <c r="L2573" i="1"/>
  <c r="J2573" i="1"/>
  <c r="I2573" i="1"/>
  <c r="K2573" i="1" s="1"/>
  <c r="H2573" i="1"/>
  <c r="G2573" i="1"/>
  <c r="F2573" i="1"/>
  <c r="E2573" i="1"/>
  <c r="D2573" i="1"/>
  <c r="C2573" i="1"/>
  <c r="B2573" i="1"/>
  <c r="A2573" i="1"/>
  <c r="M2572" i="1"/>
  <c r="L2572" i="1"/>
  <c r="J2572" i="1"/>
  <c r="I2572" i="1"/>
  <c r="H2572" i="1"/>
  <c r="G2572" i="1"/>
  <c r="C2572" i="1"/>
  <c r="B2572" i="1"/>
  <c r="A2572" i="1"/>
  <c r="M2571" i="1"/>
  <c r="L2571" i="1"/>
  <c r="J2571" i="1"/>
  <c r="I2571" i="1"/>
  <c r="K2571" i="1" s="1"/>
  <c r="H2571" i="1"/>
  <c r="G2571" i="1"/>
  <c r="C2571" i="1"/>
  <c r="B2571" i="1"/>
  <c r="A2571" i="1"/>
  <c r="L2570" i="1"/>
  <c r="M2570" i="1" s="1"/>
  <c r="J2570" i="1"/>
  <c r="I2570" i="1"/>
  <c r="K2570" i="1" s="1"/>
  <c r="H2570" i="1"/>
  <c r="G2570" i="1"/>
  <c r="D2570" i="1"/>
  <c r="C2570" i="1"/>
  <c r="F2570" i="1" s="1"/>
  <c r="B2570" i="1"/>
  <c r="A2570" i="1"/>
  <c r="M2569" i="1"/>
  <c r="L2569" i="1"/>
  <c r="J2569" i="1"/>
  <c r="I2569" i="1"/>
  <c r="K2569" i="1" s="1"/>
  <c r="H2569" i="1"/>
  <c r="G2569" i="1"/>
  <c r="E2569" i="1"/>
  <c r="C2569" i="1"/>
  <c r="B2569" i="1"/>
  <c r="A2569" i="1"/>
  <c r="M2568" i="1"/>
  <c r="L2568" i="1"/>
  <c r="J2568" i="1"/>
  <c r="I2568" i="1"/>
  <c r="H2568" i="1"/>
  <c r="G2568" i="1"/>
  <c r="F2568" i="1"/>
  <c r="E2568" i="1"/>
  <c r="D2568" i="1"/>
  <c r="C2568" i="1"/>
  <c r="B2568" i="1"/>
  <c r="A2568" i="1"/>
  <c r="M2567" i="1"/>
  <c r="L2567" i="1"/>
  <c r="K2567" i="1"/>
  <c r="J2567" i="1"/>
  <c r="H2567" i="1"/>
  <c r="G2567" i="1"/>
  <c r="I2567" i="1" s="1"/>
  <c r="C2567" i="1"/>
  <c r="B2567" i="1"/>
  <c r="A2567" i="1"/>
  <c r="M2566" i="1"/>
  <c r="L2566" i="1"/>
  <c r="J2566" i="1"/>
  <c r="I2566" i="1"/>
  <c r="K2566" i="1" s="1"/>
  <c r="H2566" i="1"/>
  <c r="G2566" i="1"/>
  <c r="C2566" i="1"/>
  <c r="B2566" i="1"/>
  <c r="A2566" i="1"/>
  <c r="M2565" i="1"/>
  <c r="L2565" i="1"/>
  <c r="J2565" i="1"/>
  <c r="I2565" i="1"/>
  <c r="K2565" i="1" s="1"/>
  <c r="H2565" i="1"/>
  <c r="G2565" i="1"/>
  <c r="D2565" i="1"/>
  <c r="C2565" i="1"/>
  <c r="F2565" i="1" s="1"/>
  <c r="B2565" i="1"/>
  <c r="A2565" i="1"/>
  <c r="M2564" i="1"/>
  <c r="L2564" i="1"/>
  <c r="K2564" i="1"/>
  <c r="J2564" i="1"/>
  <c r="I2564" i="1"/>
  <c r="H2564" i="1"/>
  <c r="G2564" i="1"/>
  <c r="C2564" i="1"/>
  <c r="B2564" i="1"/>
  <c r="A2564" i="1"/>
  <c r="L2563" i="1"/>
  <c r="M2563" i="1" s="1"/>
  <c r="J2563" i="1"/>
  <c r="I2563" i="1"/>
  <c r="K2563" i="1" s="1"/>
  <c r="H2563" i="1"/>
  <c r="G2563" i="1"/>
  <c r="E2563" i="1"/>
  <c r="C2563" i="1"/>
  <c r="B2563" i="1"/>
  <c r="A2563" i="1"/>
  <c r="L2562" i="1"/>
  <c r="M2562" i="1" s="1"/>
  <c r="J2562" i="1"/>
  <c r="H2562" i="1"/>
  <c r="G2562" i="1"/>
  <c r="I2562" i="1" s="1"/>
  <c r="E2562" i="1"/>
  <c r="C2562" i="1"/>
  <c r="B2562" i="1"/>
  <c r="A2562" i="1"/>
  <c r="M2561" i="1"/>
  <c r="L2561" i="1"/>
  <c r="J2561" i="1"/>
  <c r="I2561" i="1"/>
  <c r="K2561" i="1" s="1"/>
  <c r="H2561" i="1"/>
  <c r="G2561" i="1"/>
  <c r="F2561" i="1"/>
  <c r="E2561" i="1"/>
  <c r="D2561" i="1"/>
  <c r="C2561" i="1"/>
  <c r="B2561" i="1"/>
  <c r="A2561" i="1"/>
  <c r="M2560" i="1"/>
  <c r="L2560" i="1"/>
  <c r="J2560" i="1"/>
  <c r="I2560" i="1"/>
  <c r="H2560" i="1"/>
  <c r="G2560" i="1"/>
  <c r="C2560" i="1"/>
  <c r="B2560" i="1"/>
  <c r="A2560" i="1"/>
  <c r="M2559" i="1"/>
  <c r="L2559" i="1"/>
  <c r="J2559" i="1"/>
  <c r="I2559" i="1"/>
  <c r="H2559" i="1"/>
  <c r="G2559" i="1"/>
  <c r="C2559" i="1"/>
  <c r="B2559" i="1"/>
  <c r="A2559" i="1"/>
  <c r="L2558" i="1"/>
  <c r="M2558" i="1" s="1"/>
  <c r="J2558" i="1"/>
  <c r="I2558" i="1"/>
  <c r="K2558" i="1" s="1"/>
  <c r="H2558" i="1"/>
  <c r="G2558" i="1"/>
  <c r="D2558" i="1"/>
  <c r="C2558" i="1"/>
  <c r="F2558" i="1" s="1"/>
  <c r="B2558" i="1"/>
  <c r="A2558" i="1"/>
  <c r="L2557" i="1"/>
  <c r="M2557" i="1" s="1"/>
  <c r="K2557" i="1"/>
  <c r="J2557" i="1"/>
  <c r="I2557" i="1"/>
  <c r="H2557" i="1"/>
  <c r="G2557" i="1"/>
  <c r="E2557" i="1"/>
  <c r="D2557" i="1"/>
  <c r="C2557" i="1"/>
  <c r="F2557" i="1" s="1"/>
  <c r="B2557" i="1"/>
  <c r="A2557" i="1"/>
  <c r="L2556" i="1"/>
  <c r="M2556" i="1" s="1"/>
  <c r="J2556" i="1"/>
  <c r="I2556" i="1"/>
  <c r="H2556" i="1"/>
  <c r="G2556" i="1"/>
  <c r="F2556" i="1"/>
  <c r="E2556" i="1"/>
  <c r="D2556" i="1"/>
  <c r="C2556" i="1"/>
  <c r="B2556" i="1"/>
  <c r="A2556" i="1"/>
  <c r="M2555" i="1"/>
  <c r="L2555" i="1"/>
  <c r="K2555" i="1"/>
  <c r="J2555" i="1"/>
  <c r="H2555" i="1"/>
  <c r="G2555" i="1"/>
  <c r="I2555" i="1" s="1"/>
  <c r="F2555" i="1"/>
  <c r="C2555" i="1"/>
  <c r="D2555" i="1" s="1"/>
  <c r="B2555" i="1"/>
  <c r="A2555" i="1"/>
  <c r="M2554" i="1"/>
  <c r="L2554" i="1"/>
  <c r="J2554" i="1"/>
  <c r="I2554" i="1"/>
  <c r="K2554" i="1" s="1"/>
  <c r="H2554" i="1"/>
  <c r="G2554" i="1"/>
  <c r="F2554" i="1"/>
  <c r="D2554" i="1"/>
  <c r="C2554" i="1"/>
  <c r="E2554" i="1" s="1"/>
  <c r="B2554" i="1"/>
  <c r="A2554" i="1"/>
  <c r="L2553" i="1"/>
  <c r="M2553" i="1" s="1"/>
  <c r="J2553" i="1"/>
  <c r="I2553" i="1"/>
  <c r="K2553" i="1" s="1"/>
  <c r="H2553" i="1"/>
  <c r="G2553" i="1"/>
  <c r="C2553" i="1"/>
  <c r="B2553" i="1"/>
  <c r="A2553" i="1"/>
  <c r="M2552" i="1"/>
  <c r="L2552" i="1"/>
  <c r="K2552" i="1"/>
  <c r="J2552" i="1"/>
  <c r="I2552" i="1"/>
  <c r="H2552" i="1"/>
  <c r="G2552" i="1"/>
  <c r="C2552" i="1"/>
  <c r="F2552" i="1" s="1"/>
  <c r="B2552" i="1"/>
  <c r="A2552" i="1"/>
  <c r="L2551" i="1"/>
  <c r="M2551" i="1" s="1"/>
  <c r="J2551" i="1"/>
  <c r="I2551" i="1"/>
  <c r="K2551" i="1" s="1"/>
  <c r="H2551" i="1"/>
  <c r="G2551" i="1"/>
  <c r="E2551" i="1"/>
  <c r="C2551" i="1"/>
  <c r="F2551" i="1" s="1"/>
  <c r="B2551" i="1"/>
  <c r="A2551" i="1"/>
  <c r="L2550" i="1"/>
  <c r="M2550" i="1" s="1"/>
  <c r="J2550" i="1"/>
  <c r="H2550" i="1"/>
  <c r="G2550" i="1"/>
  <c r="I2550" i="1" s="1"/>
  <c r="K2550" i="1" s="1"/>
  <c r="C2550" i="1"/>
  <c r="F2550" i="1" s="1"/>
  <c r="B2550" i="1"/>
  <c r="A2550" i="1"/>
  <c r="M2549" i="1"/>
  <c r="L2549" i="1"/>
  <c r="J2549" i="1"/>
  <c r="I2549" i="1"/>
  <c r="K2549" i="1" s="1"/>
  <c r="H2549" i="1"/>
  <c r="G2549" i="1"/>
  <c r="F2549" i="1"/>
  <c r="E2549" i="1"/>
  <c r="D2549" i="1"/>
  <c r="C2549" i="1"/>
  <c r="B2549" i="1"/>
  <c r="A2549" i="1"/>
  <c r="M2548" i="1"/>
  <c r="L2548" i="1"/>
  <c r="J2548" i="1"/>
  <c r="I2548" i="1"/>
  <c r="H2548" i="1"/>
  <c r="G2548" i="1"/>
  <c r="F2548" i="1"/>
  <c r="C2548" i="1"/>
  <c r="D2548" i="1" s="1"/>
  <c r="B2548" i="1"/>
  <c r="A2548" i="1"/>
  <c r="M2547" i="1"/>
  <c r="L2547" i="1"/>
  <c r="J2547" i="1"/>
  <c r="I2547" i="1"/>
  <c r="H2547" i="1"/>
  <c r="G2547" i="1"/>
  <c r="F2547" i="1"/>
  <c r="D2547" i="1"/>
  <c r="C2547" i="1"/>
  <c r="E2547" i="1" s="1"/>
  <c r="B2547" i="1"/>
  <c r="A2547" i="1"/>
  <c r="L2546" i="1"/>
  <c r="M2546" i="1" s="1"/>
  <c r="K2546" i="1"/>
  <c r="J2546" i="1"/>
  <c r="I2546" i="1"/>
  <c r="H2546" i="1"/>
  <c r="G2546" i="1"/>
  <c r="C2546" i="1"/>
  <c r="B2546" i="1"/>
  <c r="A2546" i="1"/>
  <c r="L2545" i="1"/>
  <c r="M2545" i="1" s="1"/>
  <c r="J2545" i="1"/>
  <c r="I2545" i="1"/>
  <c r="K2545" i="1" s="1"/>
  <c r="H2545" i="1"/>
  <c r="G2545" i="1"/>
  <c r="C2545" i="1"/>
  <c r="F2545" i="1" s="1"/>
  <c r="B2545" i="1"/>
  <c r="A2545" i="1"/>
  <c r="L2544" i="1"/>
  <c r="M2544" i="1" s="1"/>
  <c r="J2544" i="1"/>
  <c r="I2544" i="1"/>
  <c r="K2544" i="1" s="1"/>
  <c r="H2544" i="1"/>
  <c r="G2544" i="1"/>
  <c r="F2544" i="1"/>
  <c r="E2544" i="1"/>
  <c r="D2544" i="1"/>
  <c r="C2544" i="1"/>
  <c r="B2544" i="1"/>
  <c r="A2544" i="1"/>
  <c r="M2543" i="1"/>
  <c r="L2543" i="1"/>
  <c r="K2543" i="1"/>
  <c r="J2543" i="1"/>
  <c r="H2543" i="1"/>
  <c r="G2543" i="1"/>
  <c r="I2543" i="1" s="1"/>
  <c r="F2543" i="1"/>
  <c r="E2543" i="1"/>
  <c r="C2543" i="1"/>
  <c r="D2543" i="1" s="1"/>
  <c r="B2543" i="1"/>
  <c r="A2543" i="1"/>
  <c r="L2542" i="1"/>
  <c r="M2542" i="1" s="1"/>
  <c r="J2542" i="1"/>
  <c r="I2542" i="1"/>
  <c r="K2542" i="1" s="1"/>
  <c r="H2542" i="1"/>
  <c r="G2542" i="1"/>
  <c r="F2542" i="1"/>
  <c r="C2542" i="1"/>
  <c r="E2542" i="1" s="1"/>
  <c r="B2542" i="1"/>
  <c r="A2542" i="1"/>
  <c r="M2541" i="1"/>
  <c r="L2541" i="1"/>
  <c r="J2541" i="1"/>
  <c r="I2541" i="1"/>
  <c r="K2541" i="1" s="1"/>
  <c r="H2541" i="1"/>
  <c r="G2541" i="1"/>
  <c r="D2541" i="1"/>
  <c r="C2541" i="1"/>
  <c r="B2541" i="1"/>
  <c r="A2541" i="1"/>
  <c r="M2540" i="1"/>
  <c r="L2540" i="1"/>
  <c r="K2540" i="1"/>
  <c r="J2540" i="1"/>
  <c r="I2540" i="1"/>
  <c r="H2540" i="1"/>
  <c r="G2540" i="1"/>
  <c r="E2540" i="1"/>
  <c r="D2540" i="1"/>
  <c r="C2540" i="1"/>
  <c r="F2540" i="1" s="1"/>
  <c r="B2540" i="1"/>
  <c r="A2540" i="1"/>
  <c r="L2539" i="1"/>
  <c r="M2539" i="1" s="1"/>
  <c r="J2539" i="1"/>
  <c r="H2539" i="1"/>
  <c r="G2539" i="1"/>
  <c r="I2539" i="1" s="1"/>
  <c r="K2539" i="1" s="1"/>
  <c r="C2539" i="1"/>
  <c r="F2539" i="1" s="1"/>
  <c r="B2539" i="1"/>
  <c r="A2539" i="1"/>
  <c r="M2538" i="1"/>
  <c r="L2538" i="1"/>
  <c r="J2538" i="1"/>
  <c r="H2538" i="1"/>
  <c r="G2538" i="1"/>
  <c r="I2538" i="1" s="1"/>
  <c r="E2538" i="1"/>
  <c r="D2538" i="1"/>
  <c r="C2538" i="1"/>
  <c r="F2538" i="1" s="1"/>
  <c r="B2538" i="1"/>
  <c r="A2538" i="1"/>
  <c r="M2537" i="1"/>
  <c r="L2537" i="1"/>
  <c r="J2537" i="1"/>
  <c r="I2537" i="1"/>
  <c r="K2537" i="1" s="1"/>
  <c r="H2537" i="1"/>
  <c r="G2537" i="1"/>
  <c r="F2537" i="1"/>
  <c r="E2537" i="1"/>
  <c r="D2537" i="1"/>
  <c r="C2537" i="1"/>
  <c r="B2537" i="1"/>
  <c r="A2537" i="1"/>
  <c r="M2536" i="1"/>
  <c r="L2536" i="1"/>
  <c r="J2536" i="1"/>
  <c r="I2536" i="1"/>
  <c r="H2536" i="1"/>
  <c r="G2536" i="1"/>
  <c r="C2536" i="1"/>
  <c r="D2536" i="1" s="1"/>
  <c r="B2536" i="1"/>
  <c r="A2536" i="1"/>
  <c r="M2535" i="1"/>
  <c r="L2535" i="1"/>
  <c r="J2535" i="1"/>
  <c r="I2535" i="1"/>
  <c r="K2535" i="1" s="1"/>
  <c r="H2535" i="1"/>
  <c r="G2535" i="1"/>
  <c r="F2535" i="1"/>
  <c r="C2535" i="1"/>
  <c r="E2535" i="1" s="1"/>
  <c r="B2535" i="1"/>
  <c r="A2535" i="1"/>
  <c r="L2534" i="1"/>
  <c r="M2534" i="1" s="1"/>
  <c r="K2534" i="1"/>
  <c r="J2534" i="1"/>
  <c r="I2534" i="1"/>
  <c r="H2534" i="1"/>
  <c r="G2534" i="1"/>
  <c r="C2534" i="1"/>
  <c r="B2534" i="1"/>
  <c r="A2534" i="1"/>
  <c r="M2533" i="1"/>
  <c r="L2533" i="1"/>
  <c r="K2533" i="1"/>
  <c r="J2533" i="1"/>
  <c r="I2533" i="1"/>
  <c r="H2533" i="1"/>
  <c r="G2533" i="1"/>
  <c r="C2533" i="1"/>
  <c r="F2533" i="1" s="1"/>
  <c r="B2533" i="1"/>
  <c r="A2533" i="1"/>
  <c r="M2532" i="1"/>
  <c r="L2532" i="1"/>
  <c r="J2532" i="1"/>
  <c r="I2532" i="1"/>
  <c r="K2532" i="1" s="1"/>
  <c r="H2532" i="1"/>
  <c r="G2532" i="1"/>
  <c r="F2532" i="1"/>
  <c r="E2532" i="1"/>
  <c r="D2532" i="1"/>
  <c r="C2532" i="1"/>
  <c r="B2532" i="1"/>
  <c r="A2532" i="1"/>
  <c r="M2531" i="1"/>
  <c r="L2531" i="1"/>
  <c r="J2531" i="1"/>
  <c r="K2531" i="1" s="1"/>
  <c r="H2531" i="1"/>
  <c r="G2531" i="1"/>
  <c r="I2531" i="1" s="1"/>
  <c r="C2531" i="1"/>
  <c r="D2531" i="1" s="1"/>
  <c r="B2531" i="1"/>
  <c r="A2531" i="1"/>
  <c r="L2530" i="1"/>
  <c r="M2530" i="1" s="1"/>
  <c r="J2530" i="1"/>
  <c r="I2530" i="1"/>
  <c r="K2530" i="1" s="1"/>
  <c r="H2530" i="1"/>
  <c r="G2530" i="1"/>
  <c r="F2530" i="1"/>
  <c r="D2530" i="1"/>
  <c r="C2530" i="1"/>
  <c r="E2530" i="1" s="1"/>
  <c r="B2530" i="1"/>
  <c r="A2530" i="1"/>
  <c r="L2529" i="1"/>
  <c r="M2529" i="1" s="1"/>
  <c r="J2529" i="1"/>
  <c r="H2529" i="1"/>
  <c r="G2529" i="1"/>
  <c r="I2529" i="1" s="1"/>
  <c r="K2529" i="1" s="1"/>
  <c r="D2529" i="1"/>
  <c r="C2529" i="1"/>
  <c r="B2529" i="1"/>
  <c r="A2529" i="1"/>
  <c r="M2528" i="1"/>
  <c r="L2528" i="1"/>
  <c r="J2528" i="1"/>
  <c r="I2528" i="1"/>
  <c r="K2528" i="1" s="1"/>
  <c r="H2528" i="1"/>
  <c r="G2528" i="1"/>
  <c r="E2528" i="1"/>
  <c r="D2528" i="1"/>
  <c r="C2528" i="1"/>
  <c r="F2528" i="1" s="1"/>
  <c r="B2528" i="1"/>
  <c r="A2528" i="1"/>
  <c r="L2527" i="1"/>
  <c r="M2527" i="1" s="1"/>
  <c r="K2527" i="1"/>
  <c r="J2527" i="1"/>
  <c r="I2527" i="1"/>
  <c r="H2527" i="1"/>
  <c r="G2527" i="1"/>
  <c r="E2527" i="1"/>
  <c r="D2527" i="1"/>
  <c r="C2527" i="1"/>
  <c r="F2527" i="1" s="1"/>
  <c r="B2527" i="1"/>
  <c r="A2527" i="1"/>
  <c r="L2526" i="1"/>
  <c r="M2526" i="1" s="1"/>
  <c r="J2526" i="1"/>
  <c r="H2526" i="1"/>
  <c r="G2526" i="1"/>
  <c r="I2526" i="1" s="1"/>
  <c r="E2526" i="1"/>
  <c r="C2526" i="1"/>
  <c r="F2526" i="1" s="1"/>
  <c r="B2526" i="1"/>
  <c r="A2526" i="1"/>
  <c r="L2525" i="1"/>
  <c r="M2525" i="1" s="1"/>
  <c r="J2525" i="1"/>
  <c r="I2525" i="1"/>
  <c r="K2525" i="1" s="1"/>
  <c r="H2525" i="1"/>
  <c r="G2525" i="1"/>
  <c r="F2525" i="1"/>
  <c r="E2525" i="1"/>
  <c r="D2525" i="1"/>
  <c r="C2525" i="1"/>
  <c r="B2525" i="1"/>
  <c r="A2525" i="1"/>
  <c r="M2524" i="1"/>
  <c r="L2524" i="1"/>
  <c r="J2524" i="1"/>
  <c r="I2524" i="1"/>
  <c r="K2524" i="1" s="1"/>
  <c r="H2524" i="1"/>
  <c r="G2524" i="1"/>
  <c r="F2524" i="1"/>
  <c r="E2524" i="1"/>
  <c r="C2524" i="1"/>
  <c r="D2524" i="1" s="1"/>
  <c r="B2524" i="1"/>
  <c r="A2524" i="1"/>
  <c r="M2523" i="1"/>
  <c r="L2523" i="1"/>
  <c r="J2523" i="1"/>
  <c r="I2523" i="1"/>
  <c r="H2523" i="1"/>
  <c r="G2523" i="1"/>
  <c r="C2523" i="1"/>
  <c r="E2523" i="1" s="1"/>
  <c r="B2523" i="1"/>
  <c r="A2523" i="1"/>
  <c r="L2522" i="1"/>
  <c r="M2522" i="1" s="1"/>
  <c r="J2522" i="1"/>
  <c r="H2522" i="1"/>
  <c r="G2522" i="1"/>
  <c r="I2522" i="1" s="1"/>
  <c r="K2522" i="1" s="1"/>
  <c r="D2522" i="1"/>
  <c r="C2522" i="1"/>
  <c r="B2522" i="1"/>
  <c r="A2522" i="1"/>
  <c r="L2521" i="1"/>
  <c r="M2521" i="1" s="1"/>
  <c r="K2521" i="1"/>
  <c r="J2521" i="1"/>
  <c r="I2521" i="1"/>
  <c r="H2521" i="1"/>
  <c r="G2521" i="1"/>
  <c r="E2521" i="1"/>
  <c r="D2521" i="1"/>
  <c r="C2521" i="1"/>
  <c r="F2521" i="1" s="1"/>
  <c r="B2521" i="1"/>
  <c r="A2521" i="1"/>
  <c r="L2520" i="1"/>
  <c r="M2520" i="1" s="1"/>
  <c r="J2520" i="1"/>
  <c r="I2520" i="1"/>
  <c r="H2520" i="1"/>
  <c r="G2520" i="1"/>
  <c r="F2520" i="1"/>
  <c r="E2520" i="1"/>
  <c r="D2520" i="1"/>
  <c r="C2520" i="1"/>
  <c r="B2520" i="1"/>
  <c r="A2520" i="1"/>
  <c r="M2519" i="1"/>
  <c r="L2519" i="1"/>
  <c r="K2519" i="1"/>
  <c r="J2519" i="1"/>
  <c r="H2519" i="1"/>
  <c r="G2519" i="1"/>
  <c r="I2519" i="1" s="1"/>
  <c r="C2519" i="1"/>
  <c r="D2519" i="1" s="1"/>
  <c r="B2519" i="1"/>
  <c r="A2519" i="1"/>
  <c r="M2518" i="1"/>
  <c r="L2518" i="1"/>
  <c r="J2518" i="1"/>
  <c r="I2518" i="1"/>
  <c r="K2518" i="1" s="1"/>
  <c r="H2518" i="1"/>
  <c r="G2518" i="1"/>
  <c r="C2518" i="1"/>
  <c r="F2518" i="1" s="1"/>
  <c r="B2518" i="1"/>
  <c r="A2518" i="1"/>
  <c r="M2517" i="1"/>
  <c r="L2517" i="1"/>
  <c r="J2517" i="1"/>
  <c r="K2517" i="1" s="1"/>
  <c r="I2517" i="1"/>
  <c r="H2517" i="1"/>
  <c r="G2517" i="1"/>
  <c r="E2517" i="1"/>
  <c r="D2517" i="1"/>
  <c r="C2517" i="1"/>
  <c r="F2517" i="1" s="1"/>
  <c r="B2517" i="1"/>
  <c r="A2517" i="1"/>
  <c r="L2516" i="1"/>
  <c r="M2516" i="1" s="1"/>
  <c r="J2516" i="1"/>
  <c r="K2516" i="1" s="1"/>
  <c r="H2516" i="1"/>
  <c r="G2516" i="1"/>
  <c r="I2516" i="1" s="1"/>
  <c r="C2516" i="1"/>
  <c r="F2516" i="1" s="1"/>
  <c r="B2516" i="1"/>
  <c r="A2516" i="1"/>
  <c r="M2515" i="1"/>
  <c r="L2515" i="1"/>
  <c r="K2515" i="1"/>
  <c r="J2515" i="1"/>
  <c r="I2515" i="1"/>
  <c r="H2515" i="1"/>
  <c r="G2515" i="1"/>
  <c r="E2515" i="1"/>
  <c r="D2515" i="1"/>
  <c r="C2515" i="1"/>
  <c r="F2515" i="1" s="1"/>
  <c r="B2515" i="1"/>
  <c r="A2515" i="1"/>
  <c r="L2514" i="1"/>
  <c r="M2514" i="1" s="1"/>
  <c r="J2514" i="1"/>
  <c r="I2514" i="1"/>
  <c r="H2514" i="1"/>
  <c r="G2514" i="1"/>
  <c r="F2514" i="1"/>
  <c r="E2514" i="1"/>
  <c r="D2514" i="1"/>
  <c r="C2514" i="1"/>
  <c r="B2514" i="1"/>
  <c r="A2514" i="1"/>
  <c r="M2513" i="1"/>
  <c r="L2513" i="1"/>
  <c r="K2513" i="1"/>
  <c r="J2513" i="1"/>
  <c r="I2513" i="1"/>
  <c r="H2513" i="1"/>
  <c r="G2513" i="1"/>
  <c r="F2513" i="1"/>
  <c r="E2513" i="1"/>
  <c r="C2513" i="1"/>
  <c r="D2513" i="1" s="1"/>
  <c r="B2513" i="1"/>
  <c r="A2513" i="1"/>
  <c r="L2512" i="1"/>
  <c r="M2512" i="1" s="1"/>
  <c r="J2512" i="1"/>
  <c r="K2512" i="1" s="1"/>
  <c r="I2512" i="1"/>
  <c r="H2512" i="1"/>
  <c r="G2512" i="1"/>
  <c r="C2512" i="1"/>
  <c r="B2512" i="1"/>
  <c r="A2512" i="1"/>
  <c r="M2511" i="1"/>
  <c r="L2511" i="1"/>
  <c r="J2511" i="1"/>
  <c r="K2511" i="1" s="1"/>
  <c r="I2511" i="1"/>
  <c r="H2511" i="1"/>
  <c r="G2511" i="1"/>
  <c r="C2511" i="1"/>
  <c r="B2511" i="1"/>
  <c r="A2511" i="1"/>
  <c r="M2510" i="1"/>
  <c r="L2510" i="1"/>
  <c r="J2510" i="1"/>
  <c r="K2510" i="1" s="1"/>
  <c r="I2510" i="1"/>
  <c r="H2510" i="1"/>
  <c r="G2510" i="1"/>
  <c r="F2510" i="1"/>
  <c r="E2510" i="1"/>
  <c r="D2510" i="1"/>
  <c r="C2510" i="1"/>
  <c r="B2510" i="1"/>
  <c r="A2510" i="1"/>
  <c r="L2509" i="1"/>
  <c r="M2509" i="1" s="1"/>
  <c r="K2509" i="1"/>
  <c r="J2509" i="1"/>
  <c r="I2509" i="1"/>
  <c r="H2509" i="1"/>
  <c r="G2509" i="1"/>
  <c r="F2509" i="1"/>
  <c r="E2509" i="1"/>
  <c r="C2509" i="1"/>
  <c r="D2509" i="1" s="1"/>
  <c r="B2509" i="1"/>
  <c r="A2509" i="1"/>
  <c r="L2508" i="1"/>
  <c r="M2508" i="1" s="1"/>
  <c r="K2508" i="1"/>
  <c r="J2508" i="1"/>
  <c r="H2508" i="1"/>
  <c r="G2508" i="1"/>
  <c r="I2508" i="1" s="1"/>
  <c r="C2508" i="1"/>
  <c r="B2508" i="1"/>
  <c r="A2508" i="1"/>
  <c r="M2507" i="1"/>
  <c r="L2507" i="1"/>
  <c r="K2507" i="1"/>
  <c r="J2507" i="1"/>
  <c r="I2507" i="1"/>
  <c r="H2507" i="1"/>
  <c r="G2507" i="1"/>
  <c r="C2507" i="1"/>
  <c r="B2507" i="1"/>
  <c r="A2507" i="1"/>
  <c r="M2506" i="1"/>
  <c r="L2506" i="1"/>
  <c r="J2506" i="1"/>
  <c r="I2506" i="1"/>
  <c r="K2506" i="1" s="1"/>
  <c r="H2506" i="1"/>
  <c r="G2506" i="1"/>
  <c r="C2506" i="1"/>
  <c r="B2506" i="1"/>
  <c r="A2506" i="1"/>
  <c r="M2505" i="1"/>
  <c r="L2505" i="1"/>
  <c r="J2505" i="1"/>
  <c r="K2505" i="1" s="1"/>
  <c r="I2505" i="1"/>
  <c r="H2505" i="1"/>
  <c r="G2505" i="1"/>
  <c r="E2505" i="1"/>
  <c r="D2505" i="1"/>
  <c r="C2505" i="1"/>
  <c r="F2505" i="1" s="1"/>
  <c r="B2505" i="1"/>
  <c r="A2505" i="1"/>
  <c r="L2504" i="1"/>
  <c r="M2504" i="1" s="1"/>
  <c r="J2504" i="1"/>
  <c r="K2504" i="1" s="1"/>
  <c r="H2504" i="1"/>
  <c r="G2504" i="1"/>
  <c r="I2504" i="1" s="1"/>
  <c r="C2504" i="1"/>
  <c r="B2504" i="1"/>
  <c r="A2504" i="1"/>
  <c r="M2503" i="1"/>
  <c r="L2503" i="1"/>
  <c r="K2503" i="1"/>
  <c r="J2503" i="1"/>
  <c r="I2503" i="1"/>
  <c r="H2503" i="1"/>
  <c r="G2503" i="1"/>
  <c r="E2503" i="1"/>
  <c r="D2503" i="1"/>
  <c r="C2503" i="1"/>
  <c r="F2503" i="1" s="1"/>
  <c r="B2503" i="1"/>
  <c r="A2503" i="1"/>
  <c r="L2502" i="1"/>
  <c r="M2502" i="1" s="1"/>
  <c r="J2502" i="1"/>
  <c r="I2502" i="1"/>
  <c r="H2502" i="1"/>
  <c r="G2502" i="1"/>
  <c r="F2502" i="1"/>
  <c r="E2502" i="1"/>
  <c r="D2502" i="1"/>
  <c r="C2502" i="1"/>
  <c r="B2502" i="1"/>
  <c r="A2502" i="1"/>
  <c r="M2501" i="1"/>
  <c r="L2501" i="1"/>
  <c r="J2501" i="1"/>
  <c r="H2501" i="1"/>
  <c r="G2501" i="1"/>
  <c r="I2501" i="1" s="1"/>
  <c r="K2501" i="1" s="1"/>
  <c r="F2501" i="1"/>
  <c r="E2501" i="1"/>
  <c r="C2501" i="1"/>
  <c r="D2501" i="1" s="1"/>
  <c r="B2501" i="1"/>
  <c r="A2501" i="1"/>
  <c r="L2500" i="1"/>
  <c r="M2500" i="1" s="1"/>
  <c r="J2500" i="1"/>
  <c r="K2500" i="1" s="1"/>
  <c r="I2500" i="1"/>
  <c r="H2500" i="1"/>
  <c r="G2500" i="1"/>
  <c r="C2500" i="1"/>
  <c r="B2500" i="1"/>
  <c r="A2500" i="1"/>
  <c r="M2499" i="1"/>
  <c r="L2499" i="1"/>
  <c r="J2499" i="1"/>
  <c r="K2499" i="1" s="1"/>
  <c r="I2499" i="1"/>
  <c r="H2499" i="1"/>
  <c r="G2499" i="1"/>
  <c r="C2499" i="1"/>
  <c r="B2499" i="1"/>
  <c r="A2499" i="1"/>
  <c r="M2498" i="1"/>
  <c r="L2498" i="1"/>
  <c r="J2498" i="1"/>
  <c r="K2498" i="1" s="1"/>
  <c r="I2498" i="1"/>
  <c r="H2498" i="1"/>
  <c r="G2498" i="1"/>
  <c r="F2498" i="1"/>
  <c r="E2498" i="1"/>
  <c r="D2498" i="1"/>
  <c r="C2498" i="1"/>
  <c r="B2498" i="1"/>
  <c r="A2498" i="1"/>
  <c r="L2497" i="1"/>
  <c r="M2497" i="1" s="1"/>
  <c r="J2497" i="1"/>
  <c r="H2497" i="1"/>
  <c r="G2497" i="1"/>
  <c r="I2497" i="1" s="1"/>
  <c r="K2497" i="1" s="1"/>
  <c r="F2497" i="1"/>
  <c r="E2497" i="1"/>
  <c r="C2497" i="1"/>
  <c r="D2497" i="1" s="1"/>
  <c r="B2497" i="1"/>
  <c r="A2497" i="1"/>
  <c r="L2496" i="1"/>
  <c r="M2496" i="1" s="1"/>
  <c r="K2496" i="1"/>
  <c r="J2496" i="1"/>
  <c r="H2496" i="1"/>
  <c r="G2496" i="1"/>
  <c r="I2496" i="1" s="1"/>
  <c r="C2496" i="1"/>
  <c r="B2496" i="1"/>
  <c r="A2496" i="1"/>
  <c r="M2495" i="1"/>
  <c r="L2495" i="1"/>
  <c r="K2495" i="1"/>
  <c r="J2495" i="1"/>
  <c r="I2495" i="1"/>
  <c r="H2495" i="1"/>
  <c r="G2495" i="1"/>
  <c r="C2495" i="1"/>
  <c r="B2495" i="1"/>
  <c r="A2495" i="1"/>
  <c r="M2494" i="1"/>
  <c r="L2494" i="1"/>
  <c r="J2494" i="1"/>
  <c r="I2494" i="1"/>
  <c r="K2494" i="1" s="1"/>
  <c r="H2494" i="1"/>
  <c r="G2494" i="1"/>
  <c r="C2494" i="1"/>
  <c r="B2494" i="1"/>
  <c r="A2494" i="1"/>
  <c r="M2493" i="1"/>
  <c r="L2493" i="1"/>
  <c r="J2493" i="1"/>
  <c r="K2493" i="1" s="1"/>
  <c r="I2493" i="1"/>
  <c r="H2493" i="1"/>
  <c r="G2493" i="1"/>
  <c r="E2493" i="1"/>
  <c r="D2493" i="1"/>
  <c r="C2493" i="1"/>
  <c r="F2493" i="1" s="1"/>
  <c r="B2493" i="1"/>
  <c r="A2493" i="1"/>
  <c r="L2492" i="1"/>
  <c r="M2492" i="1" s="1"/>
  <c r="J2492" i="1"/>
  <c r="K2492" i="1" s="1"/>
  <c r="H2492" i="1"/>
  <c r="G2492" i="1"/>
  <c r="I2492" i="1" s="1"/>
  <c r="C2492" i="1"/>
  <c r="B2492" i="1"/>
  <c r="A2492" i="1"/>
  <c r="M2491" i="1"/>
  <c r="L2491" i="1"/>
  <c r="K2491" i="1"/>
  <c r="J2491" i="1"/>
  <c r="I2491" i="1"/>
  <c r="H2491" i="1"/>
  <c r="G2491" i="1"/>
  <c r="E2491" i="1"/>
  <c r="D2491" i="1"/>
  <c r="C2491" i="1"/>
  <c r="F2491" i="1" s="1"/>
  <c r="B2491" i="1"/>
  <c r="A2491" i="1"/>
  <c r="L2490" i="1"/>
  <c r="M2490" i="1" s="1"/>
  <c r="J2490" i="1"/>
  <c r="I2490" i="1"/>
  <c r="H2490" i="1"/>
  <c r="G2490" i="1"/>
  <c r="F2490" i="1"/>
  <c r="E2490" i="1"/>
  <c r="D2490" i="1"/>
  <c r="C2490" i="1"/>
  <c r="B2490" i="1"/>
  <c r="A2490" i="1"/>
  <c r="M2489" i="1"/>
  <c r="L2489" i="1"/>
  <c r="J2489" i="1"/>
  <c r="H2489" i="1"/>
  <c r="G2489" i="1"/>
  <c r="I2489" i="1" s="1"/>
  <c r="K2489" i="1" s="1"/>
  <c r="F2489" i="1"/>
  <c r="E2489" i="1"/>
  <c r="C2489" i="1"/>
  <c r="D2489" i="1" s="1"/>
  <c r="B2489" i="1"/>
  <c r="A2489" i="1"/>
  <c r="L2488" i="1"/>
  <c r="M2488" i="1" s="1"/>
  <c r="J2488" i="1"/>
  <c r="K2488" i="1" s="1"/>
  <c r="I2488" i="1"/>
  <c r="H2488" i="1"/>
  <c r="G2488" i="1"/>
  <c r="C2488" i="1"/>
  <c r="B2488" i="1"/>
  <c r="A2488" i="1"/>
  <c r="M2487" i="1"/>
  <c r="L2487" i="1"/>
  <c r="J2487" i="1"/>
  <c r="K2487" i="1" s="1"/>
  <c r="I2487" i="1"/>
  <c r="H2487" i="1"/>
  <c r="G2487" i="1"/>
  <c r="C2487" i="1"/>
  <c r="B2487" i="1"/>
  <c r="A2487" i="1"/>
  <c r="M2486" i="1"/>
  <c r="L2486" i="1"/>
  <c r="J2486" i="1"/>
  <c r="K2486" i="1" s="1"/>
  <c r="I2486" i="1"/>
  <c r="H2486" i="1"/>
  <c r="G2486" i="1"/>
  <c r="F2486" i="1"/>
  <c r="E2486" i="1"/>
  <c r="D2486" i="1"/>
  <c r="C2486" i="1"/>
  <c r="B2486" i="1"/>
  <c r="A2486" i="1"/>
  <c r="L2485" i="1"/>
  <c r="M2485" i="1" s="1"/>
  <c r="J2485" i="1"/>
  <c r="H2485" i="1"/>
  <c r="G2485" i="1"/>
  <c r="I2485" i="1" s="1"/>
  <c r="K2485" i="1" s="1"/>
  <c r="F2485" i="1"/>
  <c r="E2485" i="1"/>
  <c r="C2485" i="1"/>
  <c r="D2485" i="1" s="1"/>
  <c r="B2485" i="1"/>
  <c r="A2485" i="1"/>
  <c r="L2484" i="1"/>
  <c r="M2484" i="1" s="1"/>
  <c r="K2484" i="1"/>
  <c r="J2484" i="1"/>
  <c r="H2484" i="1"/>
  <c r="G2484" i="1"/>
  <c r="I2484" i="1" s="1"/>
  <c r="C2484" i="1"/>
  <c r="B2484" i="1"/>
  <c r="A2484" i="1"/>
  <c r="M2483" i="1"/>
  <c r="L2483" i="1"/>
  <c r="K2483" i="1"/>
  <c r="J2483" i="1"/>
  <c r="I2483" i="1"/>
  <c r="H2483" i="1"/>
  <c r="G2483" i="1"/>
  <c r="D2483" i="1"/>
  <c r="C2483" i="1"/>
  <c r="B2483" i="1"/>
  <c r="A2483" i="1"/>
  <c r="M2482" i="1"/>
  <c r="L2482" i="1"/>
  <c r="J2482" i="1"/>
  <c r="I2482" i="1"/>
  <c r="K2482" i="1" s="1"/>
  <c r="H2482" i="1"/>
  <c r="G2482" i="1"/>
  <c r="D2482" i="1"/>
  <c r="C2482" i="1"/>
  <c r="B2482" i="1"/>
  <c r="A2482" i="1"/>
  <c r="M2481" i="1"/>
  <c r="L2481" i="1"/>
  <c r="J2481" i="1"/>
  <c r="K2481" i="1" s="1"/>
  <c r="I2481" i="1"/>
  <c r="H2481" i="1"/>
  <c r="G2481" i="1"/>
  <c r="E2481" i="1"/>
  <c r="D2481" i="1"/>
  <c r="C2481" i="1"/>
  <c r="F2481" i="1" s="1"/>
  <c r="B2481" i="1"/>
  <c r="A2481" i="1"/>
  <c r="L2480" i="1"/>
  <c r="M2480" i="1" s="1"/>
  <c r="J2480" i="1"/>
  <c r="K2480" i="1" s="1"/>
  <c r="H2480" i="1"/>
  <c r="G2480" i="1"/>
  <c r="I2480" i="1" s="1"/>
  <c r="D2480" i="1"/>
  <c r="C2480" i="1"/>
  <c r="B2480" i="1"/>
  <c r="A2480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L2478" i="1"/>
  <c r="M2478" i="1" s="1"/>
  <c r="J2478" i="1"/>
  <c r="I2478" i="1"/>
  <c r="H2478" i="1"/>
  <c r="G2478" i="1"/>
  <c r="F2478" i="1"/>
  <c r="E2478" i="1"/>
  <c r="D2478" i="1"/>
  <c r="C2478" i="1"/>
  <c r="B2478" i="1"/>
  <c r="A2478" i="1"/>
  <c r="M2477" i="1"/>
  <c r="L2477" i="1"/>
  <c r="J2477" i="1"/>
  <c r="H2477" i="1"/>
  <c r="G2477" i="1"/>
  <c r="I2477" i="1" s="1"/>
  <c r="K2477" i="1" s="1"/>
  <c r="F2477" i="1"/>
  <c r="E2477" i="1"/>
  <c r="C2477" i="1"/>
  <c r="D2477" i="1" s="1"/>
  <c r="B2477" i="1"/>
  <c r="A2477" i="1"/>
  <c r="L2476" i="1"/>
  <c r="M2476" i="1" s="1"/>
  <c r="J2476" i="1"/>
  <c r="H2476" i="1"/>
  <c r="G2476" i="1"/>
  <c r="I2476" i="1" s="1"/>
  <c r="K2476" i="1" s="1"/>
  <c r="F2476" i="1"/>
  <c r="E2476" i="1"/>
  <c r="C2476" i="1"/>
  <c r="D2476" i="1" s="1"/>
  <c r="B2476" i="1"/>
  <c r="A2476" i="1"/>
  <c r="L2475" i="1"/>
  <c r="M2475" i="1" s="1"/>
  <c r="J2475" i="1"/>
  <c r="H2475" i="1"/>
  <c r="G2475" i="1"/>
  <c r="I2475" i="1" s="1"/>
  <c r="K2475" i="1" s="1"/>
  <c r="F2475" i="1"/>
  <c r="C2475" i="1"/>
  <c r="B2475" i="1"/>
  <c r="A2475" i="1"/>
  <c r="M2474" i="1"/>
  <c r="L2474" i="1"/>
  <c r="J2474" i="1"/>
  <c r="H2474" i="1"/>
  <c r="G2474" i="1"/>
  <c r="I2474" i="1" s="1"/>
  <c r="K2474" i="1" s="1"/>
  <c r="F2474" i="1"/>
  <c r="E2474" i="1"/>
  <c r="D2474" i="1"/>
  <c r="C2474" i="1"/>
  <c r="B2474" i="1"/>
  <c r="A2474" i="1"/>
  <c r="M2473" i="1"/>
  <c r="L2473" i="1"/>
  <c r="J2473" i="1"/>
  <c r="I2473" i="1"/>
  <c r="K2473" i="1" s="1"/>
  <c r="H2473" i="1"/>
  <c r="G2473" i="1"/>
  <c r="F2473" i="1"/>
  <c r="E2473" i="1"/>
  <c r="C2473" i="1"/>
  <c r="D2473" i="1" s="1"/>
  <c r="B2473" i="1"/>
  <c r="A2473" i="1"/>
  <c r="M2472" i="1"/>
  <c r="L2472" i="1"/>
  <c r="J2472" i="1"/>
  <c r="I2472" i="1"/>
  <c r="K2472" i="1" s="1"/>
  <c r="H2472" i="1"/>
  <c r="G2472" i="1"/>
  <c r="F2472" i="1"/>
  <c r="D2472" i="1"/>
  <c r="C2472" i="1"/>
  <c r="E2472" i="1" s="1"/>
  <c r="B2472" i="1"/>
  <c r="A2472" i="1"/>
  <c r="M2471" i="1"/>
  <c r="L2471" i="1"/>
  <c r="J2471" i="1"/>
  <c r="I2471" i="1"/>
  <c r="K2471" i="1" s="1"/>
  <c r="H2471" i="1"/>
  <c r="G2471" i="1"/>
  <c r="E2471" i="1"/>
  <c r="C2471" i="1"/>
  <c r="D2471" i="1" s="1"/>
  <c r="B2471" i="1"/>
  <c r="A2471" i="1"/>
  <c r="L2470" i="1"/>
  <c r="M2470" i="1" s="1"/>
  <c r="J2470" i="1"/>
  <c r="I2470" i="1"/>
  <c r="H2470" i="1"/>
  <c r="G2470" i="1"/>
  <c r="F2470" i="1"/>
  <c r="C2470" i="1"/>
  <c r="B2470" i="1"/>
  <c r="A2470" i="1"/>
  <c r="M2469" i="1"/>
  <c r="L2469" i="1"/>
  <c r="J2469" i="1"/>
  <c r="H2469" i="1"/>
  <c r="G2469" i="1"/>
  <c r="I2469" i="1" s="1"/>
  <c r="K2469" i="1" s="1"/>
  <c r="E2469" i="1"/>
  <c r="D2469" i="1"/>
  <c r="C2469" i="1"/>
  <c r="F2469" i="1" s="1"/>
  <c r="B2469" i="1"/>
  <c r="A2469" i="1"/>
  <c r="L2468" i="1"/>
  <c r="M2468" i="1" s="1"/>
  <c r="K2468" i="1"/>
  <c r="J2468" i="1"/>
  <c r="I2468" i="1"/>
  <c r="H2468" i="1"/>
  <c r="G2468" i="1"/>
  <c r="F2468" i="1"/>
  <c r="E2468" i="1"/>
  <c r="D2468" i="1"/>
  <c r="C2468" i="1"/>
  <c r="B2468" i="1"/>
  <c r="A2468" i="1"/>
  <c r="L2467" i="1"/>
  <c r="M2467" i="1" s="1"/>
  <c r="J2467" i="1"/>
  <c r="I2467" i="1"/>
  <c r="K2467" i="1" s="1"/>
  <c r="H2467" i="1"/>
  <c r="G2467" i="1"/>
  <c r="F2467" i="1"/>
  <c r="E2467" i="1"/>
  <c r="C2467" i="1"/>
  <c r="D2467" i="1" s="1"/>
  <c r="B2467" i="1"/>
  <c r="A2467" i="1"/>
  <c r="M2466" i="1"/>
  <c r="L2466" i="1"/>
  <c r="J2466" i="1"/>
  <c r="H2466" i="1"/>
  <c r="G2466" i="1"/>
  <c r="I2466" i="1" s="1"/>
  <c r="F2466" i="1"/>
  <c r="D2466" i="1"/>
  <c r="C2466" i="1"/>
  <c r="E2466" i="1" s="1"/>
  <c r="B2466" i="1"/>
  <c r="A2466" i="1"/>
  <c r="L2465" i="1"/>
  <c r="M2465" i="1" s="1"/>
  <c r="K2465" i="1"/>
  <c r="J2465" i="1"/>
  <c r="I2465" i="1"/>
  <c r="H2465" i="1"/>
  <c r="G2465" i="1"/>
  <c r="C2465" i="1"/>
  <c r="B2465" i="1"/>
  <c r="A2465" i="1"/>
  <c r="L2464" i="1"/>
  <c r="M2464" i="1" s="1"/>
  <c r="J2464" i="1"/>
  <c r="I2464" i="1"/>
  <c r="K2464" i="1" s="1"/>
  <c r="H2464" i="1"/>
  <c r="G2464" i="1"/>
  <c r="D2464" i="1"/>
  <c r="C2464" i="1"/>
  <c r="B2464" i="1"/>
  <c r="A2464" i="1"/>
  <c r="M2463" i="1"/>
  <c r="L2463" i="1"/>
  <c r="J2463" i="1"/>
  <c r="K2463" i="1" s="1"/>
  <c r="I2463" i="1"/>
  <c r="H2463" i="1"/>
  <c r="G2463" i="1"/>
  <c r="F2463" i="1"/>
  <c r="E2463" i="1"/>
  <c r="D2463" i="1"/>
  <c r="C2463" i="1"/>
  <c r="B2463" i="1"/>
  <c r="A2463" i="1"/>
  <c r="L2462" i="1"/>
  <c r="M2462" i="1" s="1"/>
  <c r="J2462" i="1"/>
  <c r="H2462" i="1"/>
  <c r="G2462" i="1"/>
  <c r="I2462" i="1" s="1"/>
  <c r="K2462" i="1" s="1"/>
  <c r="F2462" i="1"/>
  <c r="E2462" i="1"/>
  <c r="C2462" i="1"/>
  <c r="D2462" i="1" s="1"/>
  <c r="B2462" i="1"/>
  <c r="A2462" i="1"/>
  <c r="L2461" i="1"/>
  <c r="M2461" i="1" s="1"/>
  <c r="J2461" i="1"/>
  <c r="H2461" i="1"/>
  <c r="G2461" i="1"/>
  <c r="I2461" i="1" s="1"/>
  <c r="K2461" i="1" s="1"/>
  <c r="F2461" i="1"/>
  <c r="C2461" i="1"/>
  <c r="B2461" i="1"/>
  <c r="A2461" i="1"/>
  <c r="M2460" i="1"/>
  <c r="L2460" i="1"/>
  <c r="J2460" i="1"/>
  <c r="H2460" i="1"/>
  <c r="G2460" i="1"/>
  <c r="I2460" i="1" s="1"/>
  <c r="K2460" i="1" s="1"/>
  <c r="F2460" i="1"/>
  <c r="E2460" i="1"/>
  <c r="D2460" i="1"/>
  <c r="C2460" i="1"/>
  <c r="B2460" i="1"/>
  <c r="A2460" i="1"/>
  <c r="M2459" i="1"/>
  <c r="L2459" i="1"/>
  <c r="J2459" i="1"/>
  <c r="I2459" i="1"/>
  <c r="K2459" i="1" s="1"/>
  <c r="H2459" i="1"/>
  <c r="G2459" i="1"/>
  <c r="E2459" i="1"/>
  <c r="C2459" i="1"/>
  <c r="D2459" i="1" s="1"/>
  <c r="B2459" i="1"/>
  <c r="A2459" i="1"/>
  <c r="L2458" i="1"/>
  <c r="M2458" i="1" s="1"/>
  <c r="J2458" i="1"/>
  <c r="I2458" i="1"/>
  <c r="H2458" i="1"/>
  <c r="G2458" i="1"/>
  <c r="F2458" i="1"/>
  <c r="C2458" i="1"/>
  <c r="B2458" i="1"/>
  <c r="A2458" i="1"/>
  <c r="M2457" i="1"/>
  <c r="L2457" i="1"/>
  <c r="J2457" i="1"/>
  <c r="H2457" i="1"/>
  <c r="G2457" i="1"/>
  <c r="I2457" i="1" s="1"/>
  <c r="K2457" i="1" s="1"/>
  <c r="E2457" i="1"/>
  <c r="D2457" i="1"/>
  <c r="C2457" i="1"/>
  <c r="F2457" i="1" s="1"/>
  <c r="B2457" i="1"/>
  <c r="A2457" i="1"/>
  <c r="L2456" i="1"/>
  <c r="M2456" i="1" s="1"/>
  <c r="K2456" i="1"/>
  <c r="J2456" i="1"/>
  <c r="I2456" i="1"/>
  <c r="H2456" i="1"/>
  <c r="G2456" i="1"/>
  <c r="F2456" i="1"/>
  <c r="E2456" i="1"/>
  <c r="D2456" i="1"/>
  <c r="C2456" i="1"/>
  <c r="B2456" i="1"/>
  <c r="A2456" i="1"/>
  <c r="M2455" i="1"/>
  <c r="L2455" i="1"/>
  <c r="J2455" i="1"/>
  <c r="I2455" i="1"/>
  <c r="K2455" i="1" s="1"/>
  <c r="H2455" i="1"/>
  <c r="G2455" i="1"/>
  <c r="F2455" i="1"/>
  <c r="E2455" i="1"/>
  <c r="C2455" i="1"/>
  <c r="D2455" i="1" s="1"/>
  <c r="B2455" i="1"/>
  <c r="A2455" i="1"/>
  <c r="M2454" i="1"/>
  <c r="L2454" i="1"/>
  <c r="J2454" i="1"/>
  <c r="H2454" i="1"/>
  <c r="G2454" i="1"/>
  <c r="I2454" i="1" s="1"/>
  <c r="K2454" i="1" s="1"/>
  <c r="F2454" i="1"/>
  <c r="D2454" i="1"/>
  <c r="C2454" i="1"/>
  <c r="E2454" i="1" s="1"/>
  <c r="B2454" i="1"/>
  <c r="A2454" i="1"/>
  <c r="L2453" i="1"/>
  <c r="M2453" i="1" s="1"/>
  <c r="J2453" i="1"/>
  <c r="I2453" i="1"/>
  <c r="K2453" i="1" s="1"/>
  <c r="H2453" i="1"/>
  <c r="G2453" i="1"/>
  <c r="C2453" i="1"/>
  <c r="B2453" i="1"/>
  <c r="A2453" i="1"/>
  <c r="L2452" i="1"/>
  <c r="M2452" i="1" s="1"/>
  <c r="J2452" i="1"/>
  <c r="I2452" i="1"/>
  <c r="H2452" i="1"/>
  <c r="G2452" i="1"/>
  <c r="D2452" i="1"/>
  <c r="C2452" i="1"/>
  <c r="B2452" i="1"/>
  <c r="A2452" i="1"/>
  <c r="M2451" i="1"/>
  <c r="L2451" i="1"/>
  <c r="J2451" i="1"/>
  <c r="K2451" i="1" s="1"/>
  <c r="I2451" i="1"/>
  <c r="H2451" i="1"/>
  <c r="G2451" i="1"/>
  <c r="F2451" i="1"/>
  <c r="E2451" i="1"/>
  <c r="D2451" i="1"/>
  <c r="C2451" i="1"/>
  <c r="B2451" i="1"/>
  <c r="A2451" i="1"/>
  <c r="L2450" i="1"/>
  <c r="M2450" i="1" s="1"/>
  <c r="K2450" i="1"/>
  <c r="J2450" i="1"/>
  <c r="H2450" i="1"/>
  <c r="G2450" i="1"/>
  <c r="I2450" i="1" s="1"/>
  <c r="F2450" i="1"/>
  <c r="E2450" i="1"/>
  <c r="C2450" i="1"/>
  <c r="D2450" i="1" s="1"/>
  <c r="B2450" i="1"/>
  <c r="A2450" i="1"/>
  <c r="L2449" i="1"/>
  <c r="M2449" i="1" s="1"/>
  <c r="J2449" i="1"/>
  <c r="H2449" i="1"/>
  <c r="G2449" i="1"/>
  <c r="I2449" i="1" s="1"/>
  <c r="K2449" i="1" s="1"/>
  <c r="F2449" i="1"/>
  <c r="C2449" i="1"/>
  <c r="B2449" i="1"/>
  <c r="A2449" i="1"/>
  <c r="M2448" i="1"/>
  <c r="L2448" i="1"/>
  <c r="J2448" i="1"/>
  <c r="H2448" i="1"/>
  <c r="G2448" i="1"/>
  <c r="I2448" i="1" s="1"/>
  <c r="K2448" i="1" s="1"/>
  <c r="F2448" i="1"/>
  <c r="E2448" i="1"/>
  <c r="D2448" i="1"/>
  <c r="C2448" i="1"/>
  <c r="B2448" i="1"/>
  <c r="A2448" i="1"/>
  <c r="M2447" i="1"/>
  <c r="L2447" i="1"/>
  <c r="J2447" i="1"/>
  <c r="I2447" i="1"/>
  <c r="K2447" i="1" s="1"/>
  <c r="H2447" i="1"/>
  <c r="G2447" i="1"/>
  <c r="C2447" i="1"/>
  <c r="B2447" i="1"/>
  <c r="A2447" i="1"/>
  <c r="L2446" i="1"/>
  <c r="M2446" i="1" s="1"/>
  <c r="J2446" i="1"/>
  <c r="I2446" i="1"/>
  <c r="H2446" i="1"/>
  <c r="G2446" i="1"/>
  <c r="C2446" i="1"/>
  <c r="E2446" i="1" s="1"/>
  <c r="B2446" i="1"/>
  <c r="A2446" i="1"/>
  <c r="M2445" i="1"/>
  <c r="L2445" i="1"/>
  <c r="J2445" i="1"/>
  <c r="H2445" i="1"/>
  <c r="G2445" i="1"/>
  <c r="I2445" i="1" s="1"/>
  <c r="K2445" i="1" s="1"/>
  <c r="E2445" i="1"/>
  <c r="D2445" i="1"/>
  <c r="C2445" i="1"/>
  <c r="F2445" i="1" s="1"/>
  <c r="B2445" i="1"/>
  <c r="A2445" i="1"/>
  <c r="L2444" i="1"/>
  <c r="M2444" i="1" s="1"/>
  <c r="K2444" i="1"/>
  <c r="J2444" i="1"/>
  <c r="I2444" i="1"/>
  <c r="H2444" i="1"/>
  <c r="G2444" i="1"/>
  <c r="F2444" i="1"/>
  <c r="E2444" i="1"/>
  <c r="D2444" i="1"/>
  <c r="C2444" i="1"/>
  <c r="B2444" i="1"/>
  <c r="A2444" i="1"/>
  <c r="L2443" i="1"/>
  <c r="M2443" i="1" s="1"/>
  <c r="J2443" i="1"/>
  <c r="H2443" i="1"/>
  <c r="G2443" i="1"/>
  <c r="I2443" i="1" s="1"/>
  <c r="K2443" i="1" s="1"/>
  <c r="F2443" i="1"/>
  <c r="E2443" i="1"/>
  <c r="C2443" i="1"/>
  <c r="D2443" i="1" s="1"/>
  <c r="B2443" i="1"/>
  <c r="A2443" i="1"/>
  <c r="M2442" i="1"/>
  <c r="L2442" i="1"/>
  <c r="J2442" i="1"/>
  <c r="H2442" i="1"/>
  <c r="G2442" i="1"/>
  <c r="I2442" i="1" s="1"/>
  <c r="F2442" i="1"/>
  <c r="D2442" i="1"/>
  <c r="C2442" i="1"/>
  <c r="E2442" i="1" s="1"/>
  <c r="B2442" i="1"/>
  <c r="A2442" i="1"/>
  <c r="L2441" i="1"/>
  <c r="M2441" i="1" s="1"/>
  <c r="J2441" i="1"/>
  <c r="I2441" i="1"/>
  <c r="K2441" i="1" s="1"/>
  <c r="H2441" i="1"/>
  <c r="G2441" i="1"/>
  <c r="C2441" i="1"/>
  <c r="B2441" i="1"/>
  <c r="A2441" i="1"/>
  <c r="L2440" i="1"/>
  <c r="M2440" i="1" s="1"/>
  <c r="J2440" i="1"/>
  <c r="I2440" i="1"/>
  <c r="H2440" i="1"/>
  <c r="G2440" i="1"/>
  <c r="C2440" i="1"/>
  <c r="B2440" i="1"/>
  <c r="A2440" i="1"/>
  <c r="M2439" i="1"/>
  <c r="L2439" i="1"/>
  <c r="J2439" i="1"/>
  <c r="I2439" i="1"/>
  <c r="K2439" i="1" s="1"/>
  <c r="H2439" i="1"/>
  <c r="G2439" i="1"/>
  <c r="F2439" i="1"/>
  <c r="E2439" i="1"/>
  <c r="D2439" i="1"/>
  <c r="C2439" i="1"/>
  <c r="B2439" i="1"/>
  <c r="A2439" i="1"/>
  <c r="L2438" i="1"/>
  <c r="M2438" i="1" s="1"/>
  <c r="J2438" i="1"/>
  <c r="K2438" i="1" s="1"/>
  <c r="H2438" i="1"/>
  <c r="G2438" i="1"/>
  <c r="I2438" i="1" s="1"/>
  <c r="F2438" i="1"/>
  <c r="E2438" i="1"/>
  <c r="C2438" i="1"/>
  <c r="D2438" i="1" s="1"/>
  <c r="B2438" i="1"/>
  <c r="A2438" i="1"/>
  <c r="M2437" i="1"/>
  <c r="L2437" i="1"/>
  <c r="J2437" i="1"/>
  <c r="H2437" i="1"/>
  <c r="G2437" i="1"/>
  <c r="I2437" i="1" s="1"/>
  <c r="K2437" i="1" s="1"/>
  <c r="F2437" i="1"/>
  <c r="C2437" i="1"/>
  <c r="B2437" i="1"/>
  <c r="A2437" i="1"/>
  <c r="L2436" i="1"/>
  <c r="M2436" i="1" s="1"/>
  <c r="J2436" i="1"/>
  <c r="H2436" i="1"/>
  <c r="G2436" i="1"/>
  <c r="I2436" i="1" s="1"/>
  <c r="K2436" i="1" s="1"/>
  <c r="F2436" i="1"/>
  <c r="E2436" i="1"/>
  <c r="D2436" i="1"/>
  <c r="C2436" i="1"/>
  <c r="B2436" i="1"/>
  <c r="A2436" i="1"/>
  <c r="M2435" i="1"/>
  <c r="L2435" i="1"/>
  <c r="J2435" i="1"/>
  <c r="I2435" i="1"/>
  <c r="K2435" i="1" s="1"/>
  <c r="H2435" i="1"/>
  <c r="G2435" i="1"/>
  <c r="C2435" i="1"/>
  <c r="B2435" i="1"/>
  <c r="A2435" i="1"/>
  <c r="L2434" i="1"/>
  <c r="M2434" i="1" s="1"/>
  <c r="J2434" i="1"/>
  <c r="H2434" i="1"/>
  <c r="G2434" i="1"/>
  <c r="I2434" i="1" s="1"/>
  <c r="K2434" i="1" s="1"/>
  <c r="C2434" i="1"/>
  <c r="E2434" i="1" s="1"/>
  <c r="B2434" i="1"/>
  <c r="A2434" i="1"/>
  <c r="M2433" i="1"/>
  <c r="L2433" i="1"/>
  <c r="J2433" i="1"/>
  <c r="H2433" i="1"/>
  <c r="G2433" i="1"/>
  <c r="I2433" i="1" s="1"/>
  <c r="K2433" i="1" s="1"/>
  <c r="E2433" i="1"/>
  <c r="D2433" i="1"/>
  <c r="C2433" i="1"/>
  <c r="F2433" i="1" s="1"/>
  <c r="B2433" i="1"/>
  <c r="A2433" i="1"/>
  <c r="L2432" i="1"/>
  <c r="M2432" i="1" s="1"/>
  <c r="K2432" i="1"/>
  <c r="J2432" i="1"/>
  <c r="I2432" i="1"/>
  <c r="H2432" i="1"/>
  <c r="G2432" i="1"/>
  <c r="F2432" i="1"/>
  <c r="E2432" i="1"/>
  <c r="D2432" i="1"/>
  <c r="C2432" i="1"/>
  <c r="B2432" i="1"/>
  <c r="A2432" i="1"/>
  <c r="M2431" i="1"/>
  <c r="L2431" i="1"/>
  <c r="J2431" i="1"/>
  <c r="H2431" i="1"/>
  <c r="G2431" i="1"/>
  <c r="I2431" i="1" s="1"/>
  <c r="K2431" i="1" s="1"/>
  <c r="F2431" i="1"/>
  <c r="E2431" i="1"/>
  <c r="C2431" i="1"/>
  <c r="D2431" i="1" s="1"/>
  <c r="B2431" i="1"/>
  <c r="A2431" i="1"/>
  <c r="M2430" i="1"/>
  <c r="L2430" i="1"/>
  <c r="K2430" i="1"/>
  <c r="J2430" i="1"/>
  <c r="H2430" i="1"/>
  <c r="G2430" i="1"/>
  <c r="I2430" i="1" s="1"/>
  <c r="F2430" i="1"/>
  <c r="D2430" i="1"/>
  <c r="C2430" i="1"/>
  <c r="E2430" i="1" s="1"/>
  <c r="B2430" i="1"/>
  <c r="A2430" i="1"/>
  <c r="L2429" i="1"/>
  <c r="M2429" i="1" s="1"/>
  <c r="J2429" i="1"/>
  <c r="I2429" i="1"/>
  <c r="K2429" i="1" s="1"/>
  <c r="H2429" i="1"/>
  <c r="G2429" i="1"/>
  <c r="C2429" i="1"/>
  <c r="B2429" i="1"/>
  <c r="A2429" i="1"/>
  <c r="M2428" i="1"/>
  <c r="L2428" i="1"/>
  <c r="J2428" i="1"/>
  <c r="I2428" i="1"/>
  <c r="K2428" i="1" s="1"/>
  <c r="H2428" i="1"/>
  <c r="G2428" i="1"/>
  <c r="D2428" i="1"/>
  <c r="C2428" i="1"/>
  <c r="B2428" i="1"/>
  <c r="A2428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L2426" i="1"/>
  <c r="M2426" i="1" s="1"/>
  <c r="K2426" i="1"/>
  <c r="J2426" i="1"/>
  <c r="H2426" i="1"/>
  <c r="G2426" i="1"/>
  <c r="I2426" i="1" s="1"/>
  <c r="E2426" i="1"/>
  <c r="C2426" i="1"/>
  <c r="D2426" i="1" s="1"/>
  <c r="B2426" i="1"/>
  <c r="A2426" i="1"/>
  <c r="M2425" i="1"/>
  <c r="L2425" i="1"/>
  <c r="K2425" i="1"/>
  <c r="J2425" i="1"/>
  <c r="H2425" i="1"/>
  <c r="G2425" i="1"/>
  <c r="I2425" i="1" s="1"/>
  <c r="C2425" i="1"/>
  <c r="E2425" i="1" s="1"/>
  <c r="B2425" i="1"/>
  <c r="A2425" i="1"/>
  <c r="L2424" i="1"/>
  <c r="M2424" i="1" s="1"/>
  <c r="J2424" i="1"/>
  <c r="H2424" i="1"/>
  <c r="G2424" i="1"/>
  <c r="I2424" i="1" s="1"/>
  <c r="K2424" i="1" s="1"/>
  <c r="F2424" i="1"/>
  <c r="E2424" i="1"/>
  <c r="D2424" i="1"/>
  <c r="C2424" i="1"/>
  <c r="B2424" i="1"/>
  <c r="A2424" i="1"/>
  <c r="M2423" i="1"/>
  <c r="L2423" i="1"/>
  <c r="J2423" i="1"/>
  <c r="I2423" i="1"/>
  <c r="K2423" i="1" s="1"/>
  <c r="H2423" i="1"/>
  <c r="G2423" i="1"/>
  <c r="E2423" i="1"/>
  <c r="C2423" i="1"/>
  <c r="D2423" i="1" s="1"/>
  <c r="B2423" i="1"/>
  <c r="A2423" i="1"/>
  <c r="L2422" i="1"/>
  <c r="M2422" i="1" s="1"/>
  <c r="J2422" i="1"/>
  <c r="H2422" i="1"/>
  <c r="G2422" i="1"/>
  <c r="I2422" i="1" s="1"/>
  <c r="K2422" i="1" s="1"/>
  <c r="F2422" i="1"/>
  <c r="D2422" i="1"/>
  <c r="C2422" i="1"/>
  <c r="E2422" i="1" s="1"/>
  <c r="B2422" i="1"/>
  <c r="A2422" i="1"/>
  <c r="M2421" i="1"/>
  <c r="L2421" i="1"/>
  <c r="J2421" i="1"/>
  <c r="H2421" i="1"/>
  <c r="G2421" i="1"/>
  <c r="I2421" i="1" s="1"/>
  <c r="K2421" i="1" s="1"/>
  <c r="E2421" i="1"/>
  <c r="D2421" i="1"/>
  <c r="C2421" i="1"/>
  <c r="F2421" i="1" s="1"/>
  <c r="B2421" i="1"/>
  <c r="A2421" i="1"/>
  <c r="L2420" i="1"/>
  <c r="M2420" i="1" s="1"/>
  <c r="K2420" i="1"/>
  <c r="J2420" i="1"/>
  <c r="I2420" i="1"/>
  <c r="H2420" i="1"/>
  <c r="G2420" i="1"/>
  <c r="F2420" i="1"/>
  <c r="E2420" i="1"/>
  <c r="D2420" i="1"/>
  <c r="C2420" i="1"/>
  <c r="B2420" i="1"/>
  <c r="A2420" i="1"/>
  <c r="L2419" i="1"/>
  <c r="M2419" i="1" s="1"/>
  <c r="J2419" i="1"/>
  <c r="H2419" i="1"/>
  <c r="G2419" i="1"/>
  <c r="I2419" i="1" s="1"/>
  <c r="K2419" i="1" s="1"/>
  <c r="C2419" i="1"/>
  <c r="D2419" i="1" s="1"/>
  <c r="B2419" i="1"/>
  <c r="A2419" i="1"/>
  <c r="M2418" i="1"/>
  <c r="L2418" i="1"/>
  <c r="K2418" i="1"/>
  <c r="J2418" i="1"/>
  <c r="H2418" i="1"/>
  <c r="G2418" i="1"/>
  <c r="I2418" i="1" s="1"/>
  <c r="F2418" i="1"/>
  <c r="E2418" i="1"/>
  <c r="D2418" i="1"/>
  <c r="C2418" i="1"/>
  <c r="B2418" i="1"/>
  <c r="A2418" i="1"/>
  <c r="L2417" i="1"/>
  <c r="M2417" i="1" s="1"/>
  <c r="J2417" i="1"/>
  <c r="I2417" i="1"/>
  <c r="K2417" i="1" s="1"/>
  <c r="H2417" i="1"/>
  <c r="G2417" i="1"/>
  <c r="C2417" i="1"/>
  <c r="D2417" i="1" s="1"/>
  <c r="B2417" i="1"/>
  <c r="A2417" i="1"/>
  <c r="L2416" i="1"/>
  <c r="M2416" i="1" s="1"/>
  <c r="J2416" i="1"/>
  <c r="I2416" i="1"/>
  <c r="K2416" i="1" s="1"/>
  <c r="H2416" i="1"/>
  <c r="G2416" i="1"/>
  <c r="D2416" i="1"/>
  <c r="C2416" i="1"/>
  <c r="E2416" i="1" s="1"/>
  <c r="B2416" i="1"/>
  <c r="A2416" i="1"/>
  <c r="M2415" i="1"/>
  <c r="L2415" i="1"/>
  <c r="J2415" i="1"/>
  <c r="I2415" i="1"/>
  <c r="K2415" i="1" s="1"/>
  <c r="H2415" i="1"/>
  <c r="G2415" i="1"/>
  <c r="F2415" i="1"/>
  <c r="E2415" i="1"/>
  <c r="D2415" i="1"/>
  <c r="C2415" i="1"/>
  <c r="B2415" i="1"/>
  <c r="A2415" i="1"/>
  <c r="L2414" i="1"/>
  <c r="M2414" i="1" s="1"/>
  <c r="J2414" i="1"/>
  <c r="I2414" i="1"/>
  <c r="K2414" i="1" s="1"/>
  <c r="H2414" i="1"/>
  <c r="G2414" i="1"/>
  <c r="E2414" i="1"/>
  <c r="C2414" i="1"/>
  <c r="D2414" i="1" s="1"/>
  <c r="B2414" i="1"/>
  <c r="A2414" i="1"/>
  <c r="M2413" i="1"/>
  <c r="L2413" i="1"/>
  <c r="J2413" i="1"/>
  <c r="I2413" i="1"/>
  <c r="K2413" i="1" s="1"/>
  <c r="H2413" i="1"/>
  <c r="G2413" i="1"/>
  <c r="D2413" i="1"/>
  <c r="C2413" i="1"/>
  <c r="E2413" i="1" s="1"/>
  <c r="B2413" i="1"/>
  <c r="A2413" i="1"/>
  <c r="M2412" i="1"/>
  <c r="L2412" i="1"/>
  <c r="J2412" i="1"/>
  <c r="H2412" i="1"/>
  <c r="G2412" i="1"/>
  <c r="I2412" i="1" s="1"/>
  <c r="K2412" i="1" s="1"/>
  <c r="F2412" i="1"/>
  <c r="E2412" i="1"/>
  <c r="D2412" i="1"/>
  <c r="C2412" i="1"/>
  <c r="B2412" i="1"/>
  <c r="A2412" i="1"/>
  <c r="M2411" i="1"/>
  <c r="L2411" i="1"/>
  <c r="J2411" i="1"/>
  <c r="I2411" i="1"/>
  <c r="K2411" i="1" s="1"/>
  <c r="H2411" i="1"/>
  <c r="G2411" i="1"/>
  <c r="E2411" i="1"/>
  <c r="C2411" i="1"/>
  <c r="D2411" i="1" s="1"/>
  <c r="B2411" i="1"/>
  <c r="A2411" i="1"/>
  <c r="M2410" i="1"/>
  <c r="L2410" i="1"/>
  <c r="J2410" i="1"/>
  <c r="H2410" i="1"/>
  <c r="G2410" i="1"/>
  <c r="I2410" i="1" s="1"/>
  <c r="K2410" i="1" s="1"/>
  <c r="C2410" i="1"/>
  <c r="E2410" i="1" s="1"/>
  <c r="B2410" i="1"/>
  <c r="A2410" i="1"/>
  <c r="M2409" i="1"/>
  <c r="L2409" i="1"/>
  <c r="J2409" i="1"/>
  <c r="H2409" i="1"/>
  <c r="G2409" i="1"/>
  <c r="I2409" i="1" s="1"/>
  <c r="K2409" i="1" s="1"/>
  <c r="E2409" i="1"/>
  <c r="D2409" i="1"/>
  <c r="C2409" i="1"/>
  <c r="F2409" i="1" s="1"/>
  <c r="B2409" i="1"/>
  <c r="A2409" i="1"/>
  <c r="L2408" i="1"/>
  <c r="M2408" i="1" s="1"/>
  <c r="K2408" i="1"/>
  <c r="J2408" i="1"/>
  <c r="I2408" i="1"/>
  <c r="H2408" i="1"/>
  <c r="G2408" i="1"/>
  <c r="F2408" i="1"/>
  <c r="E2408" i="1"/>
  <c r="D2408" i="1"/>
  <c r="C2408" i="1"/>
  <c r="B2408" i="1"/>
  <c r="A2408" i="1"/>
  <c r="L2407" i="1"/>
  <c r="M2407" i="1" s="1"/>
  <c r="J2407" i="1"/>
  <c r="H2407" i="1"/>
  <c r="G2407" i="1"/>
  <c r="I2407" i="1" s="1"/>
  <c r="K2407" i="1" s="1"/>
  <c r="F2407" i="1"/>
  <c r="E2407" i="1"/>
  <c r="D2407" i="1"/>
  <c r="C2407" i="1"/>
  <c r="B2407" i="1"/>
  <c r="A2407" i="1"/>
  <c r="M2406" i="1"/>
  <c r="L2406" i="1"/>
  <c r="J2406" i="1"/>
  <c r="H2406" i="1"/>
  <c r="G2406" i="1"/>
  <c r="I2406" i="1" s="1"/>
  <c r="K2406" i="1" s="1"/>
  <c r="F2406" i="1"/>
  <c r="E2406" i="1"/>
  <c r="D2406" i="1"/>
  <c r="C2406" i="1"/>
  <c r="B2406" i="1"/>
  <c r="A2406" i="1"/>
  <c r="L2405" i="1"/>
  <c r="M2405" i="1" s="1"/>
  <c r="J2405" i="1"/>
  <c r="H2405" i="1"/>
  <c r="G2405" i="1"/>
  <c r="I2405" i="1" s="1"/>
  <c r="K2405" i="1" s="1"/>
  <c r="F2405" i="1"/>
  <c r="E2405" i="1"/>
  <c r="C2405" i="1"/>
  <c r="D2405" i="1" s="1"/>
  <c r="B2405" i="1"/>
  <c r="A2405" i="1"/>
  <c r="L2404" i="1"/>
  <c r="M2404" i="1" s="1"/>
  <c r="J2404" i="1"/>
  <c r="H2404" i="1"/>
  <c r="G2404" i="1"/>
  <c r="I2404" i="1" s="1"/>
  <c r="K2404" i="1" s="1"/>
  <c r="D2404" i="1"/>
  <c r="C2404" i="1"/>
  <c r="E2404" i="1" s="1"/>
  <c r="B2404" i="1"/>
  <c r="A2404" i="1"/>
  <c r="M2403" i="1"/>
  <c r="L2403" i="1"/>
  <c r="J2403" i="1"/>
  <c r="H2403" i="1"/>
  <c r="G2403" i="1"/>
  <c r="I2403" i="1" s="1"/>
  <c r="K2403" i="1" s="1"/>
  <c r="E2403" i="1"/>
  <c r="D2403" i="1"/>
  <c r="C2403" i="1"/>
  <c r="F2403" i="1" s="1"/>
  <c r="B2403" i="1"/>
  <c r="A2403" i="1"/>
  <c r="L2402" i="1"/>
  <c r="M2402" i="1" s="1"/>
  <c r="J2402" i="1"/>
  <c r="I2402" i="1"/>
  <c r="K2402" i="1" s="1"/>
  <c r="H2402" i="1"/>
  <c r="G2402" i="1"/>
  <c r="F2402" i="1"/>
  <c r="C2402" i="1"/>
  <c r="D2402" i="1" s="1"/>
  <c r="B2402" i="1"/>
  <c r="A2402" i="1"/>
  <c r="L2401" i="1"/>
  <c r="M2401" i="1" s="1"/>
  <c r="J2401" i="1"/>
  <c r="I2401" i="1"/>
  <c r="K2401" i="1" s="1"/>
  <c r="H2401" i="1"/>
  <c r="G2401" i="1"/>
  <c r="F2401" i="1"/>
  <c r="D2401" i="1"/>
  <c r="C2401" i="1"/>
  <c r="E2401" i="1" s="1"/>
  <c r="B2401" i="1"/>
  <c r="A2401" i="1"/>
  <c r="M2400" i="1"/>
  <c r="L2400" i="1"/>
  <c r="J2400" i="1"/>
  <c r="K2400" i="1" s="1"/>
  <c r="H2400" i="1"/>
  <c r="G2400" i="1"/>
  <c r="I2400" i="1" s="1"/>
  <c r="F2400" i="1"/>
  <c r="E2400" i="1"/>
  <c r="D2400" i="1"/>
  <c r="C2400" i="1"/>
  <c r="B2400" i="1"/>
  <c r="A2400" i="1"/>
  <c r="M2399" i="1"/>
  <c r="L2399" i="1"/>
  <c r="J2399" i="1"/>
  <c r="H2399" i="1"/>
  <c r="G2399" i="1"/>
  <c r="I2399" i="1" s="1"/>
  <c r="K2399" i="1" s="1"/>
  <c r="E2399" i="1"/>
  <c r="C2399" i="1"/>
  <c r="D2399" i="1" s="1"/>
  <c r="B2399" i="1"/>
  <c r="A2399" i="1"/>
  <c r="M2398" i="1"/>
  <c r="L2398" i="1"/>
  <c r="J2398" i="1"/>
  <c r="H2398" i="1"/>
  <c r="G2398" i="1"/>
  <c r="I2398" i="1" s="1"/>
  <c r="K2398" i="1" s="1"/>
  <c r="D2398" i="1"/>
  <c r="C2398" i="1"/>
  <c r="E2398" i="1" s="1"/>
  <c r="B2398" i="1"/>
  <c r="A2398" i="1"/>
  <c r="M2397" i="1"/>
  <c r="L2397" i="1"/>
  <c r="J2397" i="1"/>
  <c r="H2397" i="1"/>
  <c r="G2397" i="1"/>
  <c r="I2397" i="1" s="1"/>
  <c r="K2397" i="1" s="1"/>
  <c r="D2397" i="1"/>
  <c r="C2397" i="1"/>
  <c r="F2397" i="1" s="1"/>
  <c r="B2397" i="1"/>
  <c r="A2397" i="1"/>
  <c r="M2396" i="1"/>
  <c r="L2396" i="1"/>
  <c r="J2396" i="1"/>
  <c r="K2396" i="1" s="1"/>
  <c r="I2396" i="1"/>
  <c r="H2396" i="1"/>
  <c r="G2396" i="1"/>
  <c r="F2396" i="1"/>
  <c r="E2396" i="1"/>
  <c r="D2396" i="1"/>
  <c r="C2396" i="1"/>
  <c r="B2396" i="1"/>
  <c r="A2396" i="1"/>
  <c r="L2395" i="1"/>
  <c r="M2395" i="1" s="1"/>
  <c r="J2395" i="1"/>
  <c r="H2395" i="1"/>
  <c r="G2395" i="1"/>
  <c r="I2395" i="1" s="1"/>
  <c r="K2395" i="1" s="1"/>
  <c r="F2395" i="1"/>
  <c r="E2395" i="1"/>
  <c r="D2395" i="1"/>
  <c r="C2395" i="1"/>
  <c r="B2395" i="1"/>
  <c r="A2395" i="1"/>
  <c r="L2394" i="1"/>
  <c r="M2394" i="1" s="1"/>
  <c r="J2394" i="1"/>
  <c r="H2394" i="1"/>
  <c r="G2394" i="1"/>
  <c r="I2394" i="1" s="1"/>
  <c r="K2394" i="1" s="1"/>
  <c r="F2394" i="1"/>
  <c r="E2394" i="1"/>
  <c r="D2394" i="1"/>
  <c r="C2394" i="1"/>
  <c r="B2394" i="1"/>
  <c r="A2394" i="1"/>
  <c r="L2393" i="1"/>
  <c r="M2393" i="1" s="1"/>
  <c r="J2393" i="1"/>
  <c r="H2393" i="1"/>
  <c r="G2393" i="1"/>
  <c r="I2393" i="1" s="1"/>
  <c r="K2393" i="1" s="1"/>
  <c r="F2393" i="1"/>
  <c r="C2393" i="1"/>
  <c r="E2393" i="1" s="1"/>
  <c r="B2393" i="1"/>
  <c r="A2393" i="1"/>
  <c r="M2392" i="1"/>
  <c r="L2392" i="1"/>
  <c r="J2392" i="1"/>
  <c r="H2392" i="1"/>
  <c r="G2392" i="1"/>
  <c r="I2392" i="1" s="1"/>
  <c r="K2392" i="1" s="1"/>
  <c r="F2392" i="1"/>
  <c r="C2392" i="1"/>
  <c r="E2392" i="1" s="1"/>
  <c r="B2392" i="1"/>
  <c r="A2392" i="1"/>
  <c r="M2391" i="1"/>
  <c r="L2391" i="1"/>
  <c r="J2391" i="1"/>
  <c r="H2391" i="1"/>
  <c r="G2391" i="1"/>
  <c r="I2391" i="1" s="1"/>
  <c r="K2391" i="1" s="1"/>
  <c r="D2391" i="1"/>
  <c r="C2391" i="1"/>
  <c r="F2391" i="1" s="1"/>
  <c r="B2391" i="1"/>
  <c r="A2391" i="1"/>
  <c r="L2390" i="1"/>
  <c r="M2390" i="1" s="1"/>
  <c r="J2390" i="1"/>
  <c r="H2390" i="1"/>
  <c r="G2390" i="1"/>
  <c r="I2390" i="1" s="1"/>
  <c r="K2390" i="1" s="1"/>
  <c r="D2390" i="1"/>
  <c r="C2390" i="1"/>
  <c r="F2390" i="1" s="1"/>
  <c r="B2390" i="1"/>
  <c r="A2390" i="1"/>
  <c r="M2389" i="1"/>
  <c r="L2389" i="1"/>
  <c r="J2389" i="1"/>
  <c r="I2389" i="1"/>
  <c r="K2389" i="1" s="1"/>
  <c r="H2389" i="1"/>
  <c r="G2389" i="1"/>
  <c r="E2389" i="1"/>
  <c r="C2389" i="1"/>
  <c r="F2389" i="1" s="1"/>
  <c r="B2389" i="1"/>
  <c r="A2389" i="1"/>
  <c r="L2388" i="1"/>
  <c r="M2388" i="1" s="1"/>
  <c r="J2388" i="1"/>
  <c r="I2388" i="1"/>
  <c r="K2388" i="1" s="1"/>
  <c r="H2388" i="1"/>
  <c r="G2388" i="1"/>
  <c r="F2388" i="1"/>
  <c r="E2388" i="1"/>
  <c r="D2388" i="1"/>
  <c r="C2388" i="1"/>
  <c r="B2388" i="1"/>
  <c r="A2388" i="1"/>
  <c r="M2387" i="1"/>
  <c r="L2387" i="1"/>
  <c r="J2387" i="1"/>
  <c r="H2387" i="1"/>
  <c r="G2387" i="1"/>
  <c r="I2387" i="1" s="1"/>
  <c r="K2387" i="1" s="1"/>
  <c r="C2387" i="1"/>
  <c r="D2387" i="1" s="1"/>
  <c r="B2387" i="1"/>
  <c r="A2387" i="1"/>
  <c r="M2386" i="1"/>
  <c r="L2386" i="1"/>
  <c r="J2386" i="1"/>
  <c r="H2386" i="1"/>
  <c r="G2386" i="1"/>
  <c r="I2386" i="1" s="1"/>
  <c r="K2386" i="1" s="1"/>
  <c r="C2386" i="1"/>
  <c r="E2386" i="1" s="1"/>
  <c r="B2386" i="1"/>
  <c r="A2386" i="1"/>
  <c r="M2385" i="1"/>
  <c r="L2385" i="1"/>
  <c r="J2385" i="1"/>
  <c r="H2385" i="1"/>
  <c r="G2385" i="1"/>
  <c r="I2385" i="1" s="1"/>
  <c r="K2385" i="1" s="1"/>
  <c r="C2385" i="1"/>
  <c r="F2385" i="1" s="1"/>
  <c r="B2385" i="1"/>
  <c r="A2385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L2383" i="1"/>
  <c r="M2383" i="1" s="1"/>
  <c r="J2383" i="1"/>
  <c r="H2383" i="1"/>
  <c r="G2383" i="1"/>
  <c r="I2383" i="1" s="1"/>
  <c r="K2383" i="1" s="1"/>
  <c r="F2383" i="1"/>
  <c r="E2383" i="1"/>
  <c r="D2383" i="1"/>
  <c r="C2383" i="1"/>
  <c r="B2383" i="1"/>
  <c r="A2383" i="1"/>
  <c r="M2382" i="1"/>
  <c r="L2382" i="1"/>
  <c r="J2382" i="1"/>
  <c r="H2382" i="1"/>
  <c r="G2382" i="1"/>
  <c r="I2382" i="1" s="1"/>
  <c r="K2382" i="1" s="1"/>
  <c r="F2382" i="1"/>
  <c r="E2382" i="1"/>
  <c r="D2382" i="1"/>
  <c r="C2382" i="1"/>
  <c r="B2382" i="1"/>
  <c r="A2382" i="1"/>
  <c r="M2381" i="1"/>
  <c r="L2381" i="1"/>
  <c r="J2381" i="1"/>
  <c r="I2381" i="1"/>
  <c r="K2381" i="1" s="1"/>
  <c r="H2381" i="1"/>
  <c r="G2381" i="1"/>
  <c r="C2381" i="1"/>
  <c r="D2381" i="1" s="1"/>
  <c r="B2381" i="1"/>
  <c r="A2381" i="1"/>
  <c r="M2380" i="1"/>
  <c r="L2380" i="1"/>
  <c r="J2380" i="1"/>
  <c r="I2380" i="1"/>
  <c r="K2380" i="1" s="1"/>
  <c r="H2380" i="1"/>
  <c r="G2380" i="1"/>
  <c r="C2380" i="1"/>
  <c r="D2380" i="1" s="1"/>
  <c r="B2380" i="1"/>
  <c r="A2380" i="1"/>
  <c r="M2379" i="1"/>
  <c r="L2379" i="1"/>
  <c r="J2379" i="1"/>
  <c r="H2379" i="1"/>
  <c r="G2379" i="1"/>
  <c r="I2379" i="1" s="1"/>
  <c r="K2379" i="1" s="1"/>
  <c r="D2379" i="1"/>
  <c r="C2379" i="1"/>
  <c r="E2379" i="1" s="1"/>
  <c r="B2379" i="1"/>
  <c r="A2379" i="1"/>
  <c r="L2378" i="1"/>
  <c r="M2378" i="1" s="1"/>
  <c r="J2378" i="1"/>
  <c r="H2378" i="1"/>
  <c r="G2378" i="1"/>
  <c r="I2378" i="1" s="1"/>
  <c r="K2378" i="1" s="1"/>
  <c r="D2378" i="1"/>
  <c r="C2378" i="1"/>
  <c r="E2378" i="1" s="1"/>
  <c r="B2378" i="1"/>
  <c r="A2378" i="1"/>
  <c r="M2377" i="1"/>
  <c r="L2377" i="1"/>
  <c r="K2377" i="1"/>
  <c r="J2377" i="1"/>
  <c r="I2377" i="1"/>
  <c r="H2377" i="1"/>
  <c r="G2377" i="1"/>
  <c r="E2377" i="1"/>
  <c r="C2377" i="1"/>
  <c r="F2377" i="1" s="1"/>
  <c r="B2377" i="1"/>
  <c r="A2377" i="1"/>
  <c r="L2376" i="1"/>
  <c r="M2376" i="1" s="1"/>
  <c r="J2376" i="1"/>
  <c r="I2376" i="1"/>
  <c r="K2376" i="1" s="1"/>
  <c r="H2376" i="1"/>
  <c r="G2376" i="1"/>
  <c r="F2376" i="1"/>
  <c r="E2376" i="1"/>
  <c r="D2376" i="1"/>
  <c r="C2376" i="1"/>
  <c r="B2376" i="1"/>
  <c r="A2376" i="1"/>
  <c r="M2375" i="1"/>
  <c r="L2375" i="1"/>
  <c r="J2375" i="1"/>
  <c r="H2375" i="1"/>
  <c r="G2375" i="1"/>
  <c r="I2375" i="1" s="1"/>
  <c r="K2375" i="1" s="1"/>
  <c r="E2375" i="1"/>
  <c r="C2375" i="1"/>
  <c r="D2375" i="1" s="1"/>
  <c r="B2375" i="1"/>
  <c r="A2375" i="1"/>
  <c r="M2374" i="1"/>
  <c r="L2374" i="1"/>
  <c r="J2374" i="1"/>
  <c r="H2374" i="1"/>
  <c r="G2374" i="1"/>
  <c r="I2374" i="1" s="1"/>
  <c r="K2374" i="1" s="1"/>
  <c r="D2374" i="1"/>
  <c r="C2374" i="1"/>
  <c r="E2374" i="1" s="1"/>
  <c r="B2374" i="1"/>
  <c r="A2374" i="1"/>
  <c r="M2373" i="1"/>
  <c r="L2373" i="1"/>
  <c r="J2373" i="1"/>
  <c r="H2373" i="1"/>
  <c r="G2373" i="1"/>
  <c r="I2373" i="1" s="1"/>
  <c r="K2373" i="1" s="1"/>
  <c r="D2373" i="1"/>
  <c r="C2373" i="1"/>
  <c r="F2373" i="1" s="1"/>
  <c r="B2373" i="1"/>
  <c r="A2373" i="1"/>
  <c r="M2372" i="1"/>
  <c r="L2372" i="1"/>
  <c r="J2372" i="1"/>
  <c r="K2372" i="1" s="1"/>
  <c r="I2372" i="1"/>
  <c r="H2372" i="1"/>
  <c r="G2372" i="1"/>
  <c r="F2372" i="1"/>
  <c r="E2372" i="1"/>
  <c r="D2372" i="1"/>
  <c r="C2372" i="1"/>
  <c r="B2372" i="1"/>
  <c r="A2372" i="1"/>
  <c r="L2371" i="1"/>
  <c r="M2371" i="1" s="1"/>
  <c r="J2371" i="1"/>
  <c r="H2371" i="1"/>
  <c r="G2371" i="1"/>
  <c r="I2371" i="1" s="1"/>
  <c r="K2371" i="1" s="1"/>
  <c r="F2371" i="1"/>
  <c r="E2371" i="1"/>
  <c r="D2371" i="1"/>
  <c r="C2371" i="1"/>
  <c r="B2371" i="1"/>
  <c r="A2371" i="1"/>
  <c r="L2370" i="1"/>
  <c r="M2370" i="1" s="1"/>
  <c r="J2370" i="1"/>
  <c r="H2370" i="1"/>
  <c r="G2370" i="1"/>
  <c r="I2370" i="1" s="1"/>
  <c r="K2370" i="1" s="1"/>
  <c r="F2370" i="1"/>
  <c r="E2370" i="1"/>
  <c r="D2370" i="1"/>
  <c r="C2370" i="1"/>
  <c r="B2370" i="1"/>
  <c r="A2370" i="1"/>
  <c r="L2369" i="1"/>
  <c r="M2369" i="1" s="1"/>
  <c r="J2369" i="1"/>
  <c r="H2369" i="1"/>
  <c r="G2369" i="1"/>
  <c r="I2369" i="1" s="1"/>
  <c r="K2369" i="1" s="1"/>
  <c r="F2369" i="1"/>
  <c r="C2369" i="1"/>
  <c r="E2369" i="1" s="1"/>
  <c r="B2369" i="1"/>
  <c r="A2369" i="1"/>
  <c r="M2368" i="1"/>
  <c r="L2368" i="1"/>
  <c r="J2368" i="1"/>
  <c r="H2368" i="1"/>
  <c r="G2368" i="1"/>
  <c r="I2368" i="1" s="1"/>
  <c r="K2368" i="1" s="1"/>
  <c r="F2368" i="1"/>
  <c r="C2368" i="1"/>
  <c r="E2368" i="1" s="1"/>
  <c r="B2368" i="1"/>
  <c r="A2368" i="1"/>
  <c r="M2367" i="1"/>
  <c r="L2367" i="1"/>
  <c r="J2367" i="1"/>
  <c r="H2367" i="1"/>
  <c r="G2367" i="1"/>
  <c r="I2367" i="1" s="1"/>
  <c r="K2367" i="1" s="1"/>
  <c r="D2367" i="1"/>
  <c r="C2367" i="1"/>
  <c r="F2367" i="1" s="1"/>
  <c r="B2367" i="1"/>
  <c r="A2367" i="1"/>
  <c r="L2366" i="1"/>
  <c r="M2366" i="1" s="1"/>
  <c r="J2366" i="1"/>
  <c r="H2366" i="1"/>
  <c r="G2366" i="1"/>
  <c r="I2366" i="1" s="1"/>
  <c r="K2366" i="1" s="1"/>
  <c r="D2366" i="1"/>
  <c r="C2366" i="1"/>
  <c r="F2366" i="1" s="1"/>
  <c r="B2366" i="1"/>
  <c r="A2366" i="1"/>
  <c r="M2365" i="1"/>
  <c r="L2365" i="1"/>
  <c r="J2365" i="1"/>
  <c r="I2365" i="1"/>
  <c r="K2365" i="1" s="1"/>
  <c r="H2365" i="1"/>
  <c r="G2365" i="1"/>
  <c r="E2365" i="1"/>
  <c r="C2365" i="1"/>
  <c r="F2365" i="1" s="1"/>
  <c r="B2365" i="1"/>
  <c r="A2365" i="1"/>
  <c r="L2364" i="1"/>
  <c r="M2364" i="1" s="1"/>
  <c r="J2364" i="1"/>
  <c r="I2364" i="1"/>
  <c r="K2364" i="1" s="1"/>
  <c r="H2364" i="1"/>
  <c r="G2364" i="1"/>
  <c r="F2364" i="1"/>
  <c r="E2364" i="1"/>
  <c r="D2364" i="1"/>
  <c r="C2364" i="1"/>
  <c r="B2364" i="1"/>
  <c r="A2364" i="1"/>
  <c r="M2363" i="1"/>
  <c r="L2363" i="1"/>
  <c r="J2363" i="1"/>
  <c r="H2363" i="1"/>
  <c r="G2363" i="1"/>
  <c r="I2363" i="1" s="1"/>
  <c r="K2363" i="1" s="1"/>
  <c r="C2363" i="1"/>
  <c r="D2363" i="1" s="1"/>
  <c r="B2363" i="1"/>
  <c r="A2363" i="1"/>
  <c r="M2362" i="1"/>
  <c r="L2362" i="1"/>
  <c r="J2362" i="1"/>
  <c r="H2362" i="1"/>
  <c r="G2362" i="1"/>
  <c r="I2362" i="1" s="1"/>
  <c r="K2362" i="1" s="1"/>
  <c r="C2362" i="1"/>
  <c r="E2362" i="1" s="1"/>
  <c r="B2362" i="1"/>
  <c r="A2362" i="1"/>
  <c r="M2361" i="1"/>
  <c r="L2361" i="1"/>
  <c r="J2361" i="1"/>
  <c r="H2361" i="1"/>
  <c r="G2361" i="1"/>
  <c r="I2361" i="1" s="1"/>
  <c r="K2361" i="1" s="1"/>
  <c r="C2361" i="1"/>
  <c r="F2361" i="1" s="1"/>
  <c r="B2361" i="1"/>
  <c r="A2361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L2359" i="1"/>
  <c r="M2359" i="1" s="1"/>
  <c r="J2359" i="1"/>
  <c r="H2359" i="1"/>
  <c r="G2359" i="1"/>
  <c r="I2359" i="1" s="1"/>
  <c r="K2359" i="1" s="1"/>
  <c r="F2359" i="1"/>
  <c r="E2359" i="1"/>
  <c r="D2359" i="1"/>
  <c r="C2359" i="1"/>
  <c r="B2359" i="1"/>
  <c r="A2359" i="1"/>
  <c r="M2358" i="1"/>
  <c r="L2358" i="1"/>
  <c r="J2358" i="1"/>
  <c r="H2358" i="1"/>
  <c r="G2358" i="1"/>
  <c r="I2358" i="1" s="1"/>
  <c r="K2358" i="1" s="1"/>
  <c r="F2358" i="1"/>
  <c r="E2358" i="1"/>
  <c r="D2358" i="1"/>
  <c r="C2358" i="1"/>
  <c r="B2358" i="1"/>
  <c r="A2358" i="1"/>
  <c r="M2357" i="1"/>
  <c r="L2357" i="1"/>
  <c r="J2357" i="1"/>
  <c r="I2357" i="1"/>
  <c r="K2357" i="1" s="1"/>
  <c r="H2357" i="1"/>
  <c r="G2357" i="1"/>
  <c r="C2357" i="1"/>
  <c r="D2357" i="1" s="1"/>
  <c r="B2357" i="1"/>
  <c r="A2357" i="1"/>
  <c r="M2356" i="1"/>
  <c r="L2356" i="1"/>
  <c r="J2356" i="1"/>
  <c r="I2356" i="1"/>
  <c r="K2356" i="1" s="1"/>
  <c r="H2356" i="1"/>
  <c r="G2356" i="1"/>
  <c r="C2356" i="1"/>
  <c r="D2356" i="1" s="1"/>
  <c r="B2356" i="1"/>
  <c r="A2356" i="1"/>
  <c r="M2355" i="1"/>
  <c r="L2355" i="1"/>
  <c r="J2355" i="1"/>
  <c r="H2355" i="1"/>
  <c r="G2355" i="1"/>
  <c r="I2355" i="1" s="1"/>
  <c r="K2355" i="1" s="1"/>
  <c r="D2355" i="1"/>
  <c r="C2355" i="1"/>
  <c r="E2355" i="1" s="1"/>
  <c r="B2355" i="1"/>
  <c r="A2355" i="1"/>
  <c r="L2354" i="1"/>
  <c r="M2354" i="1" s="1"/>
  <c r="J2354" i="1"/>
  <c r="H2354" i="1"/>
  <c r="G2354" i="1"/>
  <c r="I2354" i="1" s="1"/>
  <c r="K2354" i="1" s="1"/>
  <c r="D2354" i="1"/>
  <c r="C2354" i="1"/>
  <c r="E2354" i="1" s="1"/>
  <c r="B2354" i="1"/>
  <c r="A2354" i="1"/>
  <c r="M2353" i="1"/>
  <c r="L2353" i="1"/>
  <c r="K2353" i="1"/>
  <c r="J2353" i="1"/>
  <c r="I2353" i="1"/>
  <c r="H2353" i="1"/>
  <c r="G2353" i="1"/>
  <c r="C2353" i="1"/>
  <c r="F2353" i="1" s="1"/>
  <c r="B2353" i="1"/>
  <c r="A2353" i="1"/>
  <c r="L2352" i="1"/>
  <c r="M2352" i="1" s="1"/>
  <c r="J2352" i="1"/>
  <c r="I2352" i="1"/>
  <c r="K2352" i="1" s="1"/>
  <c r="H2352" i="1"/>
  <c r="G2352" i="1"/>
  <c r="F2352" i="1"/>
  <c r="E2352" i="1"/>
  <c r="D2352" i="1"/>
  <c r="C2352" i="1"/>
  <c r="B2352" i="1"/>
  <c r="A2352" i="1"/>
  <c r="M2351" i="1"/>
  <c r="L2351" i="1"/>
  <c r="J2351" i="1"/>
  <c r="H2351" i="1"/>
  <c r="G2351" i="1"/>
  <c r="I2351" i="1" s="1"/>
  <c r="K2351" i="1" s="1"/>
  <c r="E2351" i="1"/>
  <c r="C2351" i="1"/>
  <c r="D2351" i="1" s="1"/>
  <c r="B2351" i="1"/>
  <c r="A2351" i="1"/>
  <c r="M2350" i="1"/>
  <c r="L2350" i="1"/>
  <c r="J2350" i="1"/>
  <c r="H2350" i="1"/>
  <c r="G2350" i="1"/>
  <c r="I2350" i="1" s="1"/>
  <c r="K2350" i="1" s="1"/>
  <c r="D2350" i="1"/>
  <c r="C2350" i="1"/>
  <c r="E2350" i="1" s="1"/>
  <c r="B2350" i="1"/>
  <c r="A2350" i="1"/>
  <c r="M2349" i="1"/>
  <c r="L2349" i="1"/>
  <c r="J2349" i="1"/>
  <c r="H2349" i="1"/>
  <c r="G2349" i="1"/>
  <c r="I2349" i="1" s="1"/>
  <c r="K2349" i="1" s="1"/>
  <c r="C2349" i="1"/>
  <c r="B2349" i="1"/>
  <c r="A2349" i="1"/>
  <c r="M2348" i="1"/>
  <c r="L2348" i="1"/>
  <c r="J2348" i="1"/>
  <c r="K2348" i="1" s="1"/>
  <c r="I2348" i="1"/>
  <c r="H2348" i="1"/>
  <c r="G2348" i="1"/>
  <c r="F2348" i="1"/>
  <c r="E2348" i="1"/>
  <c r="D2348" i="1"/>
  <c r="C2348" i="1"/>
  <c r="B2348" i="1"/>
  <c r="A2348" i="1"/>
  <c r="L2347" i="1"/>
  <c r="M2347" i="1" s="1"/>
  <c r="J2347" i="1"/>
  <c r="H2347" i="1"/>
  <c r="G2347" i="1"/>
  <c r="I2347" i="1" s="1"/>
  <c r="K2347" i="1" s="1"/>
  <c r="F2347" i="1"/>
  <c r="E2347" i="1"/>
  <c r="D2347" i="1"/>
  <c r="C2347" i="1"/>
  <c r="B2347" i="1"/>
  <c r="A2347" i="1"/>
  <c r="L2346" i="1"/>
  <c r="M2346" i="1" s="1"/>
  <c r="J2346" i="1"/>
  <c r="H2346" i="1"/>
  <c r="G2346" i="1"/>
  <c r="I2346" i="1" s="1"/>
  <c r="K2346" i="1" s="1"/>
  <c r="F2346" i="1"/>
  <c r="E2346" i="1"/>
  <c r="D2346" i="1"/>
  <c r="C2346" i="1"/>
  <c r="B2346" i="1"/>
  <c r="A2346" i="1"/>
  <c r="L2345" i="1"/>
  <c r="M2345" i="1" s="1"/>
  <c r="J2345" i="1"/>
  <c r="I2345" i="1"/>
  <c r="K2345" i="1" s="1"/>
  <c r="H2345" i="1"/>
  <c r="G2345" i="1"/>
  <c r="F2345" i="1"/>
  <c r="C2345" i="1"/>
  <c r="E2345" i="1" s="1"/>
  <c r="B2345" i="1"/>
  <c r="A2345" i="1"/>
  <c r="M2344" i="1"/>
  <c r="L2344" i="1"/>
  <c r="J2344" i="1"/>
  <c r="H2344" i="1"/>
  <c r="G2344" i="1"/>
  <c r="I2344" i="1" s="1"/>
  <c r="D2344" i="1"/>
  <c r="C2344" i="1"/>
  <c r="F2344" i="1" s="1"/>
  <c r="B2344" i="1"/>
  <c r="A2344" i="1"/>
  <c r="M2343" i="1"/>
  <c r="L2343" i="1"/>
  <c r="K2343" i="1"/>
  <c r="J2343" i="1"/>
  <c r="I2343" i="1"/>
  <c r="H2343" i="1"/>
  <c r="G2343" i="1"/>
  <c r="E2343" i="1"/>
  <c r="C2343" i="1"/>
  <c r="F2343" i="1" s="1"/>
  <c r="B2343" i="1"/>
  <c r="A2343" i="1"/>
  <c r="L2342" i="1"/>
  <c r="M2342" i="1" s="1"/>
  <c r="J2342" i="1"/>
  <c r="I2342" i="1"/>
  <c r="H2342" i="1"/>
  <c r="G2342" i="1"/>
  <c r="C2342" i="1"/>
  <c r="F2342" i="1" s="1"/>
  <c r="B2342" i="1"/>
  <c r="A2342" i="1"/>
  <c r="M2341" i="1"/>
  <c r="L2341" i="1"/>
  <c r="J2341" i="1"/>
  <c r="H2341" i="1"/>
  <c r="G2341" i="1"/>
  <c r="I2341" i="1" s="1"/>
  <c r="K2341" i="1" s="1"/>
  <c r="F2341" i="1"/>
  <c r="E2341" i="1"/>
  <c r="D2341" i="1"/>
  <c r="C2341" i="1"/>
  <c r="B2341" i="1"/>
  <c r="A2341" i="1"/>
  <c r="L2340" i="1"/>
  <c r="M2340" i="1" s="1"/>
  <c r="K2340" i="1"/>
  <c r="J2340" i="1"/>
  <c r="H2340" i="1"/>
  <c r="G2340" i="1"/>
  <c r="I2340" i="1" s="1"/>
  <c r="F2340" i="1"/>
  <c r="E2340" i="1"/>
  <c r="D2340" i="1"/>
  <c r="C2340" i="1"/>
  <c r="B2340" i="1"/>
  <c r="A2340" i="1"/>
  <c r="M2339" i="1"/>
  <c r="L2339" i="1"/>
  <c r="J2339" i="1"/>
  <c r="I2339" i="1"/>
  <c r="K2339" i="1" s="1"/>
  <c r="H2339" i="1"/>
  <c r="G2339" i="1"/>
  <c r="C2339" i="1"/>
  <c r="B2339" i="1"/>
  <c r="A2339" i="1"/>
  <c r="M2338" i="1"/>
  <c r="L2338" i="1"/>
  <c r="J2338" i="1"/>
  <c r="H2338" i="1"/>
  <c r="G2338" i="1"/>
  <c r="I2338" i="1" s="1"/>
  <c r="K2338" i="1" s="1"/>
  <c r="D2338" i="1"/>
  <c r="C2338" i="1"/>
  <c r="E2338" i="1" s="1"/>
  <c r="B2338" i="1"/>
  <c r="A2338" i="1"/>
  <c r="M2337" i="1"/>
  <c r="L2337" i="1"/>
  <c r="K2337" i="1"/>
  <c r="J2337" i="1"/>
  <c r="I2337" i="1"/>
  <c r="H2337" i="1"/>
  <c r="G2337" i="1"/>
  <c r="C2337" i="1"/>
  <c r="B2337" i="1"/>
  <c r="A2337" i="1"/>
  <c r="L2336" i="1"/>
  <c r="M2336" i="1" s="1"/>
  <c r="J2336" i="1"/>
  <c r="I2336" i="1"/>
  <c r="K2336" i="1" s="1"/>
  <c r="H2336" i="1"/>
  <c r="G2336" i="1"/>
  <c r="D2336" i="1"/>
  <c r="C2336" i="1"/>
  <c r="E2336" i="1" s="1"/>
  <c r="B2336" i="1"/>
  <c r="A2336" i="1"/>
  <c r="M2335" i="1"/>
  <c r="L2335" i="1"/>
  <c r="J2335" i="1"/>
  <c r="H2335" i="1"/>
  <c r="G2335" i="1"/>
  <c r="I2335" i="1" s="1"/>
  <c r="K2335" i="1" s="1"/>
  <c r="F2335" i="1"/>
  <c r="E2335" i="1"/>
  <c r="D2335" i="1"/>
  <c r="C2335" i="1"/>
  <c r="B2335" i="1"/>
  <c r="A2335" i="1"/>
  <c r="L2334" i="1"/>
  <c r="M2334" i="1" s="1"/>
  <c r="J2334" i="1"/>
  <c r="H2334" i="1"/>
  <c r="G2334" i="1"/>
  <c r="I2334" i="1" s="1"/>
  <c r="K2334" i="1" s="1"/>
  <c r="F2334" i="1"/>
  <c r="E2334" i="1"/>
  <c r="D2334" i="1"/>
  <c r="C2334" i="1"/>
  <c r="B2334" i="1"/>
  <c r="A2334" i="1"/>
  <c r="L2333" i="1"/>
  <c r="M2333" i="1" s="1"/>
  <c r="J2333" i="1"/>
  <c r="I2333" i="1"/>
  <c r="K2333" i="1" s="1"/>
  <c r="H2333" i="1"/>
  <c r="G2333" i="1"/>
  <c r="F2333" i="1"/>
  <c r="C2333" i="1"/>
  <c r="E2333" i="1" s="1"/>
  <c r="B2333" i="1"/>
  <c r="A2333" i="1"/>
  <c r="M2332" i="1"/>
  <c r="L2332" i="1"/>
  <c r="J2332" i="1"/>
  <c r="H2332" i="1"/>
  <c r="G2332" i="1"/>
  <c r="I2332" i="1" s="1"/>
  <c r="D2332" i="1"/>
  <c r="C2332" i="1"/>
  <c r="F2332" i="1" s="1"/>
  <c r="B2332" i="1"/>
  <c r="A2332" i="1"/>
  <c r="M2331" i="1"/>
  <c r="L2331" i="1"/>
  <c r="K2331" i="1"/>
  <c r="J2331" i="1"/>
  <c r="I2331" i="1"/>
  <c r="H2331" i="1"/>
  <c r="G2331" i="1"/>
  <c r="E2331" i="1"/>
  <c r="C2331" i="1"/>
  <c r="F2331" i="1" s="1"/>
  <c r="B2331" i="1"/>
  <c r="A2331" i="1"/>
  <c r="L2330" i="1"/>
  <c r="M2330" i="1" s="1"/>
  <c r="J2330" i="1"/>
  <c r="I2330" i="1"/>
  <c r="H2330" i="1"/>
  <c r="G2330" i="1"/>
  <c r="C2330" i="1"/>
  <c r="F2330" i="1" s="1"/>
  <c r="B2330" i="1"/>
  <c r="A2330" i="1"/>
  <c r="M2329" i="1"/>
  <c r="L2329" i="1"/>
  <c r="J2329" i="1"/>
  <c r="H2329" i="1"/>
  <c r="G2329" i="1"/>
  <c r="I2329" i="1" s="1"/>
  <c r="K2329" i="1" s="1"/>
  <c r="F2329" i="1"/>
  <c r="E2329" i="1"/>
  <c r="D2329" i="1"/>
  <c r="C2329" i="1"/>
  <c r="B2329" i="1"/>
  <c r="A2329" i="1"/>
  <c r="L2328" i="1"/>
  <c r="M2328" i="1" s="1"/>
  <c r="K2328" i="1"/>
  <c r="J2328" i="1"/>
  <c r="H2328" i="1"/>
  <c r="G2328" i="1"/>
  <c r="I2328" i="1" s="1"/>
  <c r="F2328" i="1"/>
  <c r="E2328" i="1"/>
  <c r="D2328" i="1"/>
  <c r="C2328" i="1"/>
  <c r="B2328" i="1"/>
  <c r="A2328" i="1"/>
  <c r="L2327" i="1"/>
  <c r="M2327" i="1" s="1"/>
  <c r="J2327" i="1"/>
  <c r="I2327" i="1"/>
  <c r="K2327" i="1" s="1"/>
  <c r="H2327" i="1"/>
  <c r="G2327" i="1"/>
  <c r="F2327" i="1"/>
  <c r="C2327" i="1"/>
  <c r="B2327" i="1"/>
  <c r="A2327" i="1"/>
  <c r="M2326" i="1"/>
  <c r="L2326" i="1"/>
  <c r="J2326" i="1"/>
  <c r="H2326" i="1"/>
  <c r="G2326" i="1"/>
  <c r="I2326" i="1" s="1"/>
  <c r="K2326" i="1" s="1"/>
  <c r="D2326" i="1"/>
  <c r="C2326" i="1"/>
  <c r="E2326" i="1" s="1"/>
  <c r="B2326" i="1"/>
  <c r="A2326" i="1"/>
  <c r="M2325" i="1"/>
  <c r="L2325" i="1"/>
  <c r="K2325" i="1"/>
  <c r="J2325" i="1"/>
  <c r="I2325" i="1"/>
  <c r="H2325" i="1"/>
  <c r="G2325" i="1"/>
  <c r="E2325" i="1"/>
  <c r="C2325" i="1"/>
  <c r="B2325" i="1"/>
  <c r="A2325" i="1"/>
  <c r="L2324" i="1"/>
  <c r="M2324" i="1" s="1"/>
  <c r="J2324" i="1"/>
  <c r="I2324" i="1"/>
  <c r="K2324" i="1" s="1"/>
  <c r="H2324" i="1"/>
  <c r="G2324" i="1"/>
  <c r="F2324" i="1"/>
  <c r="D2324" i="1"/>
  <c r="C2324" i="1"/>
  <c r="E2324" i="1" s="1"/>
  <c r="B2324" i="1"/>
  <c r="A2324" i="1"/>
  <c r="M2323" i="1"/>
  <c r="L2323" i="1"/>
  <c r="J2323" i="1"/>
  <c r="H2323" i="1"/>
  <c r="G2323" i="1"/>
  <c r="I2323" i="1" s="1"/>
  <c r="K2323" i="1" s="1"/>
  <c r="F2323" i="1"/>
  <c r="E2323" i="1"/>
  <c r="D2323" i="1"/>
  <c r="C2323" i="1"/>
  <c r="B2323" i="1"/>
  <c r="A2323" i="1"/>
  <c r="L2322" i="1"/>
  <c r="M2322" i="1" s="1"/>
  <c r="J2322" i="1"/>
  <c r="H2322" i="1"/>
  <c r="G2322" i="1"/>
  <c r="I2322" i="1" s="1"/>
  <c r="K2322" i="1" s="1"/>
  <c r="F2322" i="1"/>
  <c r="E2322" i="1"/>
  <c r="D2322" i="1"/>
  <c r="C2322" i="1"/>
  <c r="B2322" i="1"/>
  <c r="A2322" i="1"/>
  <c r="L2321" i="1"/>
  <c r="M2321" i="1" s="1"/>
  <c r="J2321" i="1"/>
  <c r="H2321" i="1"/>
  <c r="G2321" i="1"/>
  <c r="I2321" i="1" s="1"/>
  <c r="K2321" i="1" s="1"/>
  <c r="F2321" i="1"/>
  <c r="C2321" i="1"/>
  <c r="E2321" i="1" s="1"/>
  <c r="B2321" i="1"/>
  <c r="A2321" i="1"/>
  <c r="M2320" i="1"/>
  <c r="L2320" i="1"/>
  <c r="J2320" i="1"/>
  <c r="H2320" i="1"/>
  <c r="G2320" i="1"/>
  <c r="I2320" i="1" s="1"/>
  <c r="K2320" i="1" s="1"/>
  <c r="D2320" i="1"/>
  <c r="C2320" i="1"/>
  <c r="F2320" i="1" s="1"/>
  <c r="B2320" i="1"/>
  <c r="A2320" i="1"/>
  <c r="M2319" i="1"/>
  <c r="L2319" i="1"/>
  <c r="J2319" i="1"/>
  <c r="I2319" i="1"/>
  <c r="K2319" i="1" s="1"/>
  <c r="H2319" i="1"/>
  <c r="G2319" i="1"/>
  <c r="E2319" i="1"/>
  <c r="C2319" i="1"/>
  <c r="F2319" i="1" s="1"/>
  <c r="B2319" i="1"/>
  <c r="A2319" i="1"/>
  <c r="L2318" i="1"/>
  <c r="M2318" i="1" s="1"/>
  <c r="J2318" i="1"/>
  <c r="I2318" i="1"/>
  <c r="H2318" i="1"/>
  <c r="G2318" i="1"/>
  <c r="F2318" i="1"/>
  <c r="C2318" i="1"/>
  <c r="B2318" i="1"/>
  <c r="A2318" i="1"/>
  <c r="M2317" i="1"/>
  <c r="L2317" i="1"/>
  <c r="K2317" i="1"/>
  <c r="J2317" i="1"/>
  <c r="H2317" i="1"/>
  <c r="G2317" i="1"/>
  <c r="I2317" i="1" s="1"/>
  <c r="F2317" i="1"/>
  <c r="E2317" i="1"/>
  <c r="D2317" i="1"/>
  <c r="C2317" i="1"/>
  <c r="B2317" i="1"/>
  <c r="A2317" i="1"/>
  <c r="L2316" i="1"/>
  <c r="M2316" i="1" s="1"/>
  <c r="J2316" i="1"/>
  <c r="H2316" i="1"/>
  <c r="G2316" i="1"/>
  <c r="I2316" i="1" s="1"/>
  <c r="K2316" i="1" s="1"/>
  <c r="F2316" i="1"/>
  <c r="E2316" i="1"/>
  <c r="D2316" i="1"/>
  <c r="C2316" i="1"/>
  <c r="B2316" i="1"/>
  <c r="A2316" i="1"/>
  <c r="M2315" i="1"/>
  <c r="L2315" i="1"/>
  <c r="J2315" i="1"/>
  <c r="H2315" i="1"/>
  <c r="G2315" i="1"/>
  <c r="I2315" i="1" s="1"/>
  <c r="K2315" i="1" s="1"/>
  <c r="F2315" i="1"/>
  <c r="C2315" i="1"/>
  <c r="B2315" i="1"/>
  <c r="A2315" i="1"/>
  <c r="M2314" i="1"/>
  <c r="L2314" i="1"/>
  <c r="J2314" i="1"/>
  <c r="H2314" i="1"/>
  <c r="G2314" i="1"/>
  <c r="I2314" i="1" s="1"/>
  <c r="D2314" i="1"/>
  <c r="C2314" i="1"/>
  <c r="E2314" i="1" s="1"/>
  <c r="B2314" i="1"/>
  <c r="A2314" i="1"/>
  <c r="M2313" i="1"/>
  <c r="L2313" i="1"/>
  <c r="J2313" i="1"/>
  <c r="I2313" i="1"/>
  <c r="K2313" i="1" s="1"/>
  <c r="H2313" i="1"/>
  <c r="G2313" i="1"/>
  <c r="C2313" i="1"/>
  <c r="B2313" i="1"/>
  <c r="A2313" i="1"/>
  <c r="L2312" i="1"/>
  <c r="M2312" i="1" s="1"/>
  <c r="J2312" i="1"/>
  <c r="I2312" i="1"/>
  <c r="K2312" i="1" s="1"/>
  <c r="H2312" i="1"/>
  <c r="G2312" i="1"/>
  <c r="F2312" i="1"/>
  <c r="D2312" i="1"/>
  <c r="C2312" i="1"/>
  <c r="E2312" i="1" s="1"/>
  <c r="B2312" i="1"/>
  <c r="A2312" i="1"/>
  <c r="M2311" i="1"/>
  <c r="L2311" i="1"/>
  <c r="J2311" i="1"/>
  <c r="H2311" i="1"/>
  <c r="G2311" i="1"/>
  <c r="I2311" i="1" s="1"/>
  <c r="K2311" i="1" s="1"/>
  <c r="F2311" i="1"/>
  <c r="E2311" i="1"/>
  <c r="D2311" i="1"/>
  <c r="C2311" i="1"/>
  <c r="B2311" i="1"/>
  <c r="A2311" i="1"/>
  <c r="L2310" i="1"/>
  <c r="M2310" i="1" s="1"/>
  <c r="K2310" i="1"/>
  <c r="J2310" i="1"/>
  <c r="H2310" i="1"/>
  <c r="G2310" i="1"/>
  <c r="I2310" i="1" s="1"/>
  <c r="F2310" i="1"/>
  <c r="E2310" i="1"/>
  <c r="D2310" i="1"/>
  <c r="C2310" i="1"/>
  <c r="B2310" i="1"/>
  <c r="A2310" i="1"/>
  <c r="M2309" i="1"/>
  <c r="L2309" i="1"/>
  <c r="J2309" i="1"/>
  <c r="H2309" i="1"/>
  <c r="G2309" i="1"/>
  <c r="I2309" i="1" s="1"/>
  <c r="K2309" i="1" s="1"/>
  <c r="F2309" i="1"/>
  <c r="C2309" i="1"/>
  <c r="B2309" i="1"/>
  <c r="A2309" i="1"/>
  <c r="M2308" i="1"/>
  <c r="L2308" i="1"/>
  <c r="J2308" i="1"/>
  <c r="H2308" i="1"/>
  <c r="G2308" i="1"/>
  <c r="I2308" i="1" s="1"/>
  <c r="K2308" i="1" s="1"/>
  <c r="D2308" i="1"/>
  <c r="C2308" i="1"/>
  <c r="F2308" i="1" s="1"/>
  <c r="B2308" i="1"/>
  <c r="A2308" i="1"/>
  <c r="M2307" i="1"/>
  <c r="L2307" i="1"/>
  <c r="K2307" i="1"/>
  <c r="J2307" i="1"/>
  <c r="I2307" i="1"/>
  <c r="H2307" i="1"/>
  <c r="G2307" i="1"/>
  <c r="E2307" i="1"/>
  <c r="C2307" i="1"/>
  <c r="B2307" i="1"/>
  <c r="A2307" i="1"/>
  <c r="L2306" i="1"/>
  <c r="M2306" i="1" s="1"/>
  <c r="J2306" i="1"/>
  <c r="I2306" i="1"/>
  <c r="K2306" i="1" s="1"/>
  <c r="H2306" i="1"/>
  <c r="G2306" i="1"/>
  <c r="D2306" i="1"/>
  <c r="C2306" i="1"/>
  <c r="E2306" i="1" s="1"/>
  <c r="B2306" i="1"/>
  <c r="A2306" i="1"/>
  <c r="M2305" i="1"/>
  <c r="L2305" i="1"/>
  <c r="J2305" i="1"/>
  <c r="H2305" i="1"/>
  <c r="G2305" i="1"/>
  <c r="I2305" i="1" s="1"/>
  <c r="K2305" i="1" s="1"/>
  <c r="F2305" i="1"/>
  <c r="E2305" i="1"/>
  <c r="D2305" i="1"/>
  <c r="C2305" i="1"/>
  <c r="B2305" i="1"/>
  <c r="A2305" i="1"/>
  <c r="L2304" i="1"/>
  <c r="M2304" i="1" s="1"/>
  <c r="J2304" i="1"/>
  <c r="H2304" i="1"/>
  <c r="G2304" i="1"/>
  <c r="I2304" i="1" s="1"/>
  <c r="K2304" i="1" s="1"/>
  <c r="F2304" i="1"/>
  <c r="E2304" i="1"/>
  <c r="D2304" i="1"/>
  <c r="C2304" i="1"/>
  <c r="B2304" i="1"/>
  <c r="A2304" i="1"/>
  <c r="M2303" i="1"/>
  <c r="L2303" i="1"/>
  <c r="J2303" i="1"/>
  <c r="H2303" i="1"/>
  <c r="G2303" i="1"/>
  <c r="I2303" i="1" s="1"/>
  <c r="K2303" i="1" s="1"/>
  <c r="F2303" i="1"/>
  <c r="C2303" i="1"/>
  <c r="B2303" i="1"/>
  <c r="A2303" i="1"/>
  <c r="M2302" i="1"/>
  <c r="L2302" i="1"/>
  <c r="J2302" i="1"/>
  <c r="H2302" i="1"/>
  <c r="G2302" i="1"/>
  <c r="I2302" i="1" s="1"/>
  <c r="K2302" i="1" s="1"/>
  <c r="D2302" i="1"/>
  <c r="C2302" i="1"/>
  <c r="E2302" i="1" s="1"/>
  <c r="B2302" i="1"/>
  <c r="A2302" i="1"/>
  <c r="M2301" i="1"/>
  <c r="L2301" i="1"/>
  <c r="J2301" i="1"/>
  <c r="I2301" i="1"/>
  <c r="K2301" i="1" s="1"/>
  <c r="H2301" i="1"/>
  <c r="G2301" i="1"/>
  <c r="C2301" i="1"/>
  <c r="B2301" i="1"/>
  <c r="A2301" i="1"/>
  <c r="L2300" i="1"/>
  <c r="M2300" i="1" s="1"/>
  <c r="J2300" i="1"/>
  <c r="I2300" i="1"/>
  <c r="K2300" i="1" s="1"/>
  <c r="H2300" i="1"/>
  <c r="G2300" i="1"/>
  <c r="F2300" i="1"/>
  <c r="D2300" i="1"/>
  <c r="C2300" i="1"/>
  <c r="E2300" i="1" s="1"/>
  <c r="B2300" i="1"/>
  <c r="A2300" i="1"/>
  <c r="M2299" i="1"/>
  <c r="L2299" i="1"/>
  <c r="J2299" i="1"/>
  <c r="H2299" i="1"/>
  <c r="G2299" i="1"/>
  <c r="I2299" i="1" s="1"/>
  <c r="K2299" i="1" s="1"/>
  <c r="F2299" i="1"/>
  <c r="E2299" i="1"/>
  <c r="D2299" i="1"/>
  <c r="C2299" i="1"/>
  <c r="B2299" i="1"/>
  <c r="A2299" i="1"/>
  <c r="L2298" i="1"/>
  <c r="M2298" i="1" s="1"/>
  <c r="K2298" i="1"/>
  <c r="J2298" i="1"/>
  <c r="H2298" i="1"/>
  <c r="G2298" i="1"/>
  <c r="I2298" i="1" s="1"/>
  <c r="F2298" i="1"/>
  <c r="E2298" i="1"/>
  <c r="D2298" i="1"/>
  <c r="C2298" i="1"/>
  <c r="B2298" i="1"/>
  <c r="A2298" i="1"/>
  <c r="M2297" i="1"/>
  <c r="L2297" i="1"/>
  <c r="J2297" i="1"/>
  <c r="I2297" i="1"/>
  <c r="K2297" i="1" s="1"/>
  <c r="H2297" i="1"/>
  <c r="G2297" i="1"/>
  <c r="F2297" i="1"/>
  <c r="C2297" i="1"/>
  <c r="B2297" i="1"/>
  <c r="A2297" i="1"/>
  <c r="M2296" i="1"/>
  <c r="L2296" i="1"/>
  <c r="J2296" i="1"/>
  <c r="H2296" i="1"/>
  <c r="G2296" i="1"/>
  <c r="I2296" i="1" s="1"/>
  <c r="K2296" i="1" s="1"/>
  <c r="D2296" i="1"/>
  <c r="C2296" i="1"/>
  <c r="F2296" i="1" s="1"/>
  <c r="B2296" i="1"/>
  <c r="A2296" i="1"/>
  <c r="M2295" i="1"/>
  <c r="L2295" i="1"/>
  <c r="J2295" i="1"/>
  <c r="I2295" i="1"/>
  <c r="K2295" i="1" s="1"/>
  <c r="H2295" i="1"/>
  <c r="G2295" i="1"/>
  <c r="E2295" i="1"/>
  <c r="C2295" i="1"/>
  <c r="B2295" i="1"/>
  <c r="A2295" i="1"/>
  <c r="L2294" i="1"/>
  <c r="M2294" i="1" s="1"/>
  <c r="J2294" i="1"/>
  <c r="I2294" i="1"/>
  <c r="K2294" i="1" s="1"/>
  <c r="H2294" i="1"/>
  <c r="G2294" i="1"/>
  <c r="F2294" i="1"/>
  <c r="D2294" i="1"/>
  <c r="C2294" i="1"/>
  <c r="E2294" i="1" s="1"/>
  <c r="B2294" i="1"/>
  <c r="A2294" i="1"/>
  <c r="M2293" i="1"/>
  <c r="L2293" i="1"/>
  <c r="K2293" i="1"/>
  <c r="J2293" i="1"/>
  <c r="H2293" i="1"/>
  <c r="G2293" i="1"/>
  <c r="I2293" i="1" s="1"/>
  <c r="F2293" i="1"/>
  <c r="E2293" i="1"/>
  <c r="D2293" i="1"/>
  <c r="C2293" i="1"/>
  <c r="B2293" i="1"/>
  <c r="A2293" i="1"/>
  <c r="L2292" i="1"/>
  <c r="M2292" i="1" s="1"/>
  <c r="J2292" i="1"/>
  <c r="H2292" i="1"/>
  <c r="G2292" i="1"/>
  <c r="I2292" i="1" s="1"/>
  <c r="K2292" i="1" s="1"/>
  <c r="F2292" i="1"/>
  <c r="E2292" i="1"/>
  <c r="D2292" i="1"/>
  <c r="C2292" i="1"/>
  <c r="B2292" i="1"/>
  <c r="A2292" i="1"/>
  <c r="M2291" i="1"/>
  <c r="L2291" i="1"/>
  <c r="J2291" i="1"/>
  <c r="H2291" i="1"/>
  <c r="G2291" i="1"/>
  <c r="I2291" i="1" s="1"/>
  <c r="K2291" i="1" s="1"/>
  <c r="F2291" i="1"/>
  <c r="C2291" i="1"/>
  <c r="B2291" i="1"/>
  <c r="A2291" i="1"/>
  <c r="M2290" i="1"/>
  <c r="L2290" i="1"/>
  <c r="J2290" i="1"/>
  <c r="H2290" i="1"/>
  <c r="G2290" i="1"/>
  <c r="I2290" i="1" s="1"/>
  <c r="D2290" i="1"/>
  <c r="C2290" i="1"/>
  <c r="E2290" i="1" s="1"/>
  <c r="B2290" i="1"/>
  <c r="A2290" i="1"/>
  <c r="M2289" i="1"/>
  <c r="L2289" i="1"/>
  <c r="J2289" i="1"/>
  <c r="I2289" i="1"/>
  <c r="K2289" i="1" s="1"/>
  <c r="H2289" i="1"/>
  <c r="G2289" i="1"/>
  <c r="C2289" i="1"/>
  <c r="B2289" i="1"/>
  <c r="A2289" i="1"/>
  <c r="L2288" i="1"/>
  <c r="M2288" i="1" s="1"/>
  <c r="J2288" i="1"/>
  <c r="I2288" i="1"/>
  <c r="K2288" i="1" s="1"/>
  <c r="H2288" i="1"/>
  <c r="G2288" i="1"/>
  <c r="F2288" i="1"/>
  <c r="D2288" i="1"/>
  <c r="C2288" i="1"/>
  <c r="E2288" i="1" s="1"/>
  <c r="B2288" i="1"/>
  <c r="A2288" i="1"/>
  <c r="M2287" i="1"/>
  <c r="L2287" i="1"/>
  <c r="J2287" i="1"/>
  <c r="H2287" i="1"/>
  <c r="G2287" i="1"/>
  <c r="I2287" i="1" s="1"/>
  <c r="K2287" i="1" s="1"/>
  <c r="F2287" i="1"/>
  <c r="E2287" i="1"/>
  <c r="D2287" i="1"/>
  <c r="C2287" i="1"/>
  <c r="B2287" i="1"/>
  <c r="A2287" i="1"/>
  <c r="L2286" i="1"/>
  <c r="M2286" i="1" s="1"/>
  <c r="K2286" i="1"/>
  <c r="J2286" i="1"/>
  <c r="H2286" i="1"/>
  <c r="G2286" i="1"/>
  <c r="I2286" i="1" s="1"/>
  <c r="F2286" i="1"/>
  <c r="E2286" i="1"/>
  <c r="D2286" i="1"/>
  <c r="C2286" i="1"/>
  <c r="B2286" i="1"/>
  <c r="A2286" i="1"/>
  <c r="M2285" i="1"/>
  <c r="L2285" i="1"/>
  <c r="J2285" i="1"/>
  <c r="H2285" i="1"/>
  <c r="G2285" i="1"/>
  <c r="I2285" i="1" s="1"/>
  <c r="K2285" i="1" s="1"/>
  <c r="F2285" i="1"/>
  <c r="C2285" i="1"/>
  <c r="B2285" i="1"/>
  <c r="A2285" i="1"/>
  <c r="M2284" i="1"/>
  <c r="L2284" i="1"/>
  <c r="J2284" i="1"/>
  <c r="H2284" i="1"/>
  <c r="G2284" i="1"/>
  <c r="I2284" i="1" s="1"/>
  <c r="K2284" i="1" s="1"/>
  <c r="D2284" i="1"/>
  <c r="C2284" i="1"/>
  <c r="F2284" i="1" s="1"/>
  <c r="B2284" i="1"/>
  <c r="A2284" i="1"/>
  <c r="M2283" i="1"/>
  <c r="L2283" i="1"/>
  <c r="K2283" i="1"/>
  <c r="J2283" i="1"/>
  <c r="I2283" i="1"/>
  <c r="H2283" i="1"/>
  <c r="G2283" i="1"/>
  <c r="E2283" i="1"/>
  <c r="C2283" i="1"/>
  <c r="B2283" i="1"/>
  <c r="A2283" i="1"/>
  <c r="L2282" i="1"/>
  <c r="M2282" i="1" s="1"/>
  <c r="J2282" i="1"/>
  <c r="I2282" i="1"/>
  <c r="K2282" i="1" s="1"/>
  <c r="H2282" i="1"/>
  <c r="G2282" i="1"/>
  <c r="D2282" i="1"/>
  <c r="C2282" i="1"/>
  <c r="E2282" i="1" s="1"/>
  <c r="B2282" i="1"/>
  <c r="A2282" i="1"/>
  <c r="M2281" i="1"/>
  <c r="L2281" i="1"/>
  <c r="J2281" i="1"/>
  <c r="H2281" i="1"/>
  <c r="G2281" i="1"/>
  <c r="I2281" i="1" s="1"/>
  <c r="K2281" i="1" s="1"/>
  <c r="F2281" i="1"/>
  <c r="E2281" i="1"/>
  <c r="D2281" i="1"/>
  <c r="C2281" i="1"/>
  <c r="B2281" i="1"/>
  <c r="A2281" i="1"/>
  <c r="L2280" i="1"/>
  <c r="M2280" i="1" s="1"/>
  <c r="J2280" i="1"/>
  <c r="H2280" i="1"/>
  <c r="G2280" i="1"/>
  <c r="I2280" i="1" s="1"/>
  <c r="K2280" i="1" s="1"/>
  <c r="F2280" i="1"/>
  <c r="E2280" i="1"/>
  <c r="D2280" i="1"/>
  <c r="C2280" i="1"/>
  <c r="B2280" i="1"/>
  <c r="A2280" i="1"/>
  <c r="M2279" i="1"/>
  <c r="L2279" i="1"/>
  <c r="J2279" i="1"/>
  <c r="H2279" i="1"/>
  <c r="G2279" i="1"/>
  <c r="I2279" i="1" s="1"/>
  <c r="K2279" i="1" s="1"/>
  <c r="F2279" i="1"/>
  <c r="C2279" i="1"/>
  <c r="B2279" i="1"/>
  <c r="A2279" i="1"/>
  <c r="M2278" i="1"/>
  <c r="L2278" i="1"/>
  <c r="J2278" i="1"/>
  <c r="H2278" i="1"/>
  <c r="G2278" i="1"/>
  <c r="I2278" i="1" s="1"/>
  <c r="D2278" i="1"/>
  <c r="C2278" i="1"/>
  <c r="E2278" i="1" s="1"/>
  <c r="B2278" i="1"/>
  <c r="A2278" i="1"/>
  <c r="M2277" i="1"/>
  <c r="L2277" i="1"/>
  <c r="J2277" i="1"/>
  <c r="I2277" i="1"/>
  <c r="K2277" i="1" s="1"/>
  <c r="H2277" i="1"/>
  <c r="G2277" i="1"/>
  <c r="C2277" i="1"/>
  <c r="B2277" i="1"/>
  <c r="A2277" i="1"/>
  <c r="L2276" i="1"/>
  <c r="M2276" i="1" s="1"/>
  <c r="J2276" i="1"/>
  <c r="I2276" i="1"/>
  <c r="K2276" i="1" s="1"/>
  <c r="H2276" i="1"/>
  <c r="G2276" i="1"/>
  <c r="F2276" i="1"/>
  <c r="D2276" i="1"/>
  <c r="C2276" i="1"/>
  <c r="E2276" i="1" s="1"/>
  <c r="B2276" i="1"/>
  <c r="A2276" i="1"/>
  <c r="M2275" i="1"/>
  <c r="L2275" i="1"/>
  <c r="J2275" i="1"/>
  <c r="H2275" i="1"/>
  <c r="G2275" i="1"/>
  <c r="I2275" i="1" s="1"/>
  <c r="K2275" i="1" s="1"/>
  <c r="F2275" i="1"/>
  <c r="E2275" i="1"/>
  <c r="D2275" i="1"/>
  <c r="C2275" i="1"/>
  <c r="B2275" i="1"/>
  <c r="A2275" i="1"/>
  <c r="L2274" i="1"/>
  <c r="M2274" i="1" s="1"/>
  <c r="K2274" i="1"/>
  <c r="J2274" i="1"/>
  <c r="H2274" i="1"/>
  <c r="G2274" i="1"/>
  <c r="I2274" i="1" s="1"/>
  <c r="F2274" i="1"/>
  <c r="E2274" i="1"/>
  <c r="D2274" i="1"/>
  <c r="C2274" i="1"/>
  <c r="B2274" i="1"/>
  <c r="A2274" i="1"/>
  <c r="M2273" i="1"/>
  <c r="L2273" i="1"/>
  <c r="J2273" i="1"/>
  <c r="I2273" i="1"/>
  <c r="K2273" i="1" s="1"/>
  <c r="H2273" i="1"/>
  <c r="G2273" i="1"/>
  <c r="F2273" i="1"/>
  <c r="C2273" i="1"/>
  <c r="B2273" i="1"/>
  <c r="A2273" i="1"/>
  <c r="M2272" i="1"/>
  <c r="L2272" i="1"/>
  <c r="J2272" i="1"/>
  <c r="H2272" i="1"/>
  <c r="G2272" i="1"/>
  <c r="I2272" i="1" s="1"/>
  <c r="K2272" i="1" s="1"/>
  <c r="D2272" i="1"/>
  <c r="C2272" i="1"/>
  <c r="F2272" i="1" s="1"/>
  <c r="B2272" i="1"/>
  <c r="A2272" i="1"/>
  <c r="M2271" i="1"/>
  <c r="L2271" i="1"/>
  <c r="K2271" i="1"/>
  <c r="J2271" i="1"/>
  <c r="I2271" i="1"/>
  <c r="H2271" i="1"/>
  <c r="G2271" i="1"/>
  <c r="E2271" i="1"/>
  <c r="C2271" i="1"/>
  <c r="B2271" i="1"/>
  <c r="A2271" i="1"/>
  <c r="L2270" i="1"/>
  <c r="M2270" i="1" s="1"/>
  <c r="J2270" i="1"/>
  <c r="I2270" i="1"/>
  <c r="K2270" i="1" s="1"/>
  <c r="H2270" i="1"/>
  <c r="G2270" i="1"/>
  <c r="F2270" i="1"/>
  <c r="D2270" i="1"/>
  <c r="C2270" i="1"/>
  <c r="E2270" i="1" s="1"/>
  <c r="B2270" i="1"/>
  <c r="A2270" i="1"/>
  <c r="M2269" i="1"/>
  <c r="L2269" i="1"/>
  <c r="K2269" i="1"/>
  <c r="J2269" i="1"/>
  <c r="H2269" i="1"/>
  <c r="G2269" i="1"/>
  <c r="I2269" i="1" s="1"/>
  <c r="F2269" i="1"/>
  <c r="E2269" i="1"/>
  <c r="D2269" i="1"/>
  <c r="C2269" i="1"/>
  <c r="B2269" i="1"/>
  <c r="A2269" i="1"/>
  <c r="L2268" i="1"/>
  <c r="M2268" i="1" s="1"/>
  <c r="J2268" i="1"/>
  <c r="H2268" i="1"/>
  <c r="G2268" i="1"/>
  <c r="I2268" i="1" s="1"/>
  <c r="K2268" i="1" s="1"/>
  <c r="F2268" i="1"/>
  <c r="E2268" i="1"/>
  <c r="D2268" i="1"/>
  <c r="C2268" i="1"/>
  <c r="B2268" i="1"/>
  <c r="A2268" i="1"/>
  <c r="M2267" i="1"/>
  <c r="L2267" i="1"/>
  <c r="J2267" i="1"/>
  <c r="H2267" i="1"/>
  <c r="G2267" i="1"/>
  <c r="I2267" i="1" s="1"/>
  <c r="K2267" i="1" s="1"/>
  <c r="F2267" i="1"/>
  <c r="C2267" i="1"/>
  <c r="B2267" i="1"/>
  <c r="A2267" i="1"/>
  <c r="M2266" i="1"/>
  <c r="L2266" i="1"/>
  <c r="J2266" i="1"/>
  <c r="H2266" i="1"/>
  <c r="G2266" i="1"/>
  <c r="I2266" i="1" s="1"/>
  <c r="D2266" i="1"/>
  <c r="C2266" i="1"/>
  <c r="E2266" i="1" s="1"/>
  <c r="B2266" i="1"/>
  <c r="A2266" i="1"/>
  <c r="M2265" i="1"/>
  <c r="L2265" i="1"/>
  <c r="J2265" i="1"/>
  <c r="I2265" i="1"/>
  <c r="K2265" i="1" s="1"/>
  <c r="H2265" i="1"/>
  <c r="G2265" i="1"/>
  <c r="C2265" i="1"/>
  <c r="B2265" i="1"/>
  <c r="A2265" i="1"/>
  <c r="L2264" i="1"/>
  <c r="M2264" i="1" s="1"/>
  <c r="J2264" i="1"/>
  <c r="I2264" i="1"/>
  <c r="K2264" i="1" s="1"/>
  <c r="H2264" i="1"/>
  <c r="G2264" i="1"/>
  <c r="F2264" i="1"/>
  <c r="D2264" i="1"/>
  <c r="C2264" i="1"/>
  <c r="E2264" i="1" s="1"/>
  <c r="B2264" i="1"/>
  <c r="A2264" i="1"/>
  <c r="M2263" i="1"/>
  <c r="L2263" i="1"/>
  <c r="J2263" i="1"/>
  <c r="H2263" i="1"/>
  <c r="G2263" i="1"/>
  <c r="I2263" i="1" s="1"/>
  <c r="K2263" i="1" s="1"/>
  <c r="F2263" i="1"/>
  <c r="E2263" i="1"/>
  <c r="D2263" i="1"/>
  <c r="C2263" i="1"/>
  <c r="B2263" i="1"/>
  <c r="A2263" i="1"/>
  <c r="L2262" i="1"/>
  <c r="M2262" i="1" s="1"/>
  <c r="K2262" i="1"/>
  <c r="J2262" i="1"/>
  <c r="H2262" i="1"/>
  <c r="G2262" i="1"/>
  <c r="I2262" i="1" s="1"/>
  <c r="F2262" i="1"/>
  <c r="E2262" i="1"/>
  <c r="D2262" i="1"/>
  <c r="C2262" i="1"/>
  <c r="B2262" i="1"/>
  <c r="A2262" i="1"/>
  <c r="M2261" i="1"/>
  <c r="L2261" i="1"/>
  <c r="J2261" i="1"/>
  <c r="I2261" i="1"/>
  <c r="K2261" i="1" s="1"/>
  <c r="H2261" i="1"/>
  <c r="G2261" i="1"/>
  <c r="F2261" i="1"/>
  <c r="C2261" i="1"/>
  <c r="B2261" i="1"/>
  <c r="A2261" i="1"/>
  <c r="M2260" i="1"/>
  <c r="L2260" i="1"/>
  <c r="J2260" i="1"/>
  <c r="H2260" i="1"/>
  <c r="G2260" i="1"/>
  <c r="I2260" i="1" s="1"/>
  <c r="K2260" i="1" s="1"/>
  <c r="D2260" i="1"/>
  <c r="C2260" i="1"/>
  <c r="F2260" i="1" s="1"/>
  <c r="B2260" i="1"/>
  <c r="A2260" i="1"/>
  <c r="M2259" i="1"/>
  <c r="L2259" i="1"/>
  <c r="K2259" i="1"/>
  <c r="J2259" i="1"/>
  <c r="I2259" i="1"/>
  <c r="H2259" i="1"/>
  <c r="G2259" i="1"/>
  <c r="E2259" i="1"/>
  <c r="C2259" i="1"/>
  <c r="B2259" i="1"/>
  <c r="A2259" i="1"/>
  <c r="L2258" i="1"/>
  <c r="M2258" i="1" s="1"/>
  <c r="J2258" i="1"/>
  <c r="I2258" i="1"/>
  <c r="K2258" i="1" s="1"/>
  <c r="H2258" i="1"/>
  <c r="G2258" i="1"/>
  <c r="D2258" i="1"/>
  <c r="C2258" i="1"/>
  <c r="E2258" i="1" s="1"/>
  <c r="B2258" i="1"/>
  <c r="A2258" i="1"/>
  <c r="M2257" i="1"/>
  <c r="L2257" i="1"/>
  <c r="J2257" i="1"/>
  <c r="H2257" i="1"/>
  <c r="G2257" i="1"/>
  <c r="I2257" i="1" s="1"/>
  <c r="K2257" i="1" s="1"/>
  <c r="F2257" i="1"/>
  <c r="E2257" i="1"/>
  <c r="D2257" i="1"/>
  <c r="C2257" i="1"/>
  <c r="B2257" i="1"/>
  <c r="A2257" i="1"/>
  <c r="L2256" i="1"/>
  <c r="M2256" i="1" s="1"/>
  <c r="J2256" i="1"/>
  <c r="H2256" i="1"/>
  <c r="G2256" i="1"/>
  <c r="I2256" i="1" s="1"/>
  <c r="K2256" i="1" s="1"/>
  <c r="F2256" i="1"/>
  <c r="E2256" i="1"/>
  <c r="D2256" i="1"/>
  <c r="C2256" i="1"/>
  <c r="B2256" i="1"/>
  <c r="A2256" i="1"/>
  <c r="M2255" i="1"/>
  <c r="L2255" i="1"/>
  <c r="J2255" i="1"/>
  <c r="H2255" i="1"/>
  <c r="G2255" i="1"/>
  <c r="I2255" i="1" s="1"/>
  <c r="K2255" i="1" s="1"/>
  <c r="F2255" i="1"/>
  <c r="C2255" i="1"/>
  <c r="B2255" i="1"/>
  <c r="A2255" i="1"/>
  <c r="M2254" i="1"/>
  <c r="L2254" i="1"/>
  <c r="J2254" i="1"/>
  <c r="H2254" i="1"/>
  <c r="G2254" i="1"/>
  <c r="I2254" i="1" s="1"/>
  <c r="D2254" i="1"/>
  <c r="C2254" i="1"/>
  <c r="E2254" i="1" s="1"/>
  <c r="B2254" i="1"/>
  <c r="A2254" i="1"/>
  <c r="M2253" i="1"/>
  <c r="L2253" i="1"/>
  <c r="K2253" i="1"/>
  <c r="J2253" i="1"/>
  <c r="I2253" i="1"/>
  <c r="H2253" i="1"/>
  <c r="G2253" i="1"/>
  <c r="C2253" i="1"/>
  <c r="B2253" i="1"/>
  <c r="A2253" i="1"/>
  <c r="L2252" i="1"/>
  <c r="M2252" i="1" s="1"/>
  <c r="J2252" i="1"/>
  <c r="I2252" i="1"/>
  <c r="K2252" i="1" s="1"/>
  <c r="H2252" i="1"/>
  <c r="G2252" i="1"/>
  <c r="F2252" i="1"/>
  <c r="D2252" i="1"/>
  <c r="C2252" i="1"/>
  <c r="E2252" i="1" s="1"/>
  <c r="B2252" i="1"/>
  <c r="A2252" i="1"/>
  <c r="M2251" i="1"/>
  <c r="L2251" i="1"/>
  <c r="J2251" i="1"/>
  <c r="H2251" i="1"/>
  <c r="G2251" i="1"/>
  <c r="I2251" i="1" s="1"/>
  <c r="K2251" i="1" s="1"/>
  <c r="F2251" i="1"/>
  <c r="E2251" i="1"/>
  <c r="D2251" i="1"/>
  <c r="C2251" i="1"/>
  <c r="B2251" i="1"/>
  <c r="A2251" i="1"/>
  <c r="L2250" i="1"/>
  <c r="M2250" i="1" s="1"/>
  <c r="K2250" i="1"/>
  <c r="J2250" i="1"/>
  <c r="H2250" i="1"/>
  <c r="G2250" i="1"/>
  <c r="I2250" i="1" s="1"/>
  <c r="F2250" i="1"/>
  <c r="E2250" i="1"/>
  <c r="D2250" i="1"/>
  <c r="C2250" i="1"/>
  <c r="B2250" i="1"/>
  <c r="A2250" i="1"/>
  <c r="M2249" i="1"/>
  <c r="L2249" i="1"/>
  <c r="J2249" i="1"/>
  <c r="I2249" i="1"/>
  <c r="K2249" i="1" s="1"/>
  <c r="H2249" i="1"/>
  <c r="G2249" i="1"/>
  <c r="F2249" i="1"/>
  <c r="C2249" i="1"/>
  <c r="B2249" i="1"/>
  <c r="A2249" i="1"/>
  <c r="M2248" i="1"/>
  <c r="L2248" i="1"/>
  <c r="J2248" i="1"/>
  <c r="H2248" i="1"/>
  <c r="G2248" i="1"/>
  <c r="I2248" i="1" s="1"/>
  <c r="K2248" i="1" s="1"/>
  <c r="D2248" i="1"/>
  <c r="C2248" i="1"/>
  <c r="F2248" i="1" s="1"/>
  <c r="B2248" i="1"/>
  <c r="A2248" i="1"/>
  <c r="M2247" i="1"/>
  <c r="L2247" i="1"/>
  <c r="K2247" i="1"/>
  <c r="J2247" i="1"/>
  <c r="I2247" i="1"/>
  <c r="H2247" i="1"/>
  <c r="G2247" i="1"/>
  <c r="C2247" i="1"/>
  <c r="B2247" i="1"/>
  <c r="A2247" i="1"/>
  <c r="L2246" i="1"/>
  <c r="M2246" i="1" s="1"/>
  <c r="J2246" i="1"/>
  <c r="I2246" i="1"/>
  <c r="K2246" i="1" s="1"/>
  <c r="H2246" i="1"/>
  <c r="G2246" i="1"/>
  <c r="F2246" i="1"/>
  <c r="D2246" i="1"/>
  <c r="C2246" i="1"/>
  <c r="E2246" i="1" s="1"/>
  <c r="B2246" i="1"/>
  <c r="A2246" i="1"/>
  <c r="M2245" i="1"/>
  <c r="L2245" i="1"/>
  <c r="K2245" i="1"/>
  <c r="J2245" i="1"/>
  <c r="H2245" i="1"/>
  <c r="G2245" i="1"/>
  <c r="I2245" i="1" s="1"/>
  <c r="F2245" i="1"/>
  <c r="E2245" i="1"/>
  <c r="D2245" i="1"/>
  <c r="C2245" i="1"/>
  <c r="B2245" i="1"/>
  <c r="A2245" i="1"/>
  <c r="L2244" i="1"/>
  <c r="M2244" i="1" s="1"/>
  <c r="J2244" i="1"/>
  <c r="H2244" i="1"/>
  <c r="G2244" i="1"/>
  <c r="I2244" i="1" s="1"/>
  <c r="K2244" i="1" s="1"/>
  <c r="F2244" i="1"/>
  <c r="E2244" i="1"/>
  <c r="D2244" i="1"/>
  <c r="C2244" i="1"/>
  <c r="B2244" i="1"/>
  <c r="A2244" i="1"/>
  <c r="M2243" i="1"/>
  <c r="L2243" i="1"/>
  <c r="J2243" i="1"/>
  <c r="I2243" i="1"/>
  <c r="K2243" i="1" s="1"/>
  <c r="H2243" i="1"/>
  <c r="G2243" i="1"/>
  <c r="F2243" i="1"/>
  <c r="C2243" i="1"/>
  <c r="B2243" i="1"/>
  <c r="A2243" i="1"/>
  <c r="M2242" i="1"/>
  <c r="L2242" i="1"/>
  <c r="J2242" i="1"/>
  <c r="H2242" i="1"/>
  <c r="G2242" i="1"/>
  <c r="I2242" i="1" s="1"/>
  <c r="D2242" i="1"/>
  <c r="C2242" i="1"/>
  <c r="E2242" i="1" s="1"/>
  <c r="B2242" i="1"/>
  <c r="A2242" i="1"/>
  <c r="M2241" i="1"/>
  <c r="L2241" i="1"/>
  <c r="J2241" i="1"/>
  <c r="I2241" i="1"/>
  <c r="K2241" i="1" s="1"/>
  <c r="H2241" i="1"/>
  <c r="G2241" i="1"/>
  <c r="C2241" i="1"/>
  <c r="B2241" i="1"/>
  <c r="A2241" i="1"/>
  <c r="L2240" i="1"/>
  <c r="M2240" i="1" s="1"/>
  <c r="J2240" i="1"/>
  <c r="I2240" i="1"/>
  <c r="K2240" i="1" s="1"/>
  <c r="H2240" i="1"/>
  <c r="G2240" i="1"/>
  <c r="F2240" i="1"/>
  <c r="D2240" i="1"/>
  <c r="C2240" i="1"/>
  <c r="E2240" i="1" s="1"/>
  <c r="B2240" i="1"/>
  <c r="A2240" i="1"/>
  <c r="M2239" i="1"/>
  <c r="L2239" i="1"/>
  <c r="J2239" i="1"/>
  <c r="H2239" i="1"/>
  <c r="G2239" i="1"/>
  <c r="I2239" i="1" s="1"/>
  <c r="K2239" i="1" s="1"/>
  <c r="F2239" i="1"/>
  <c r="E2239" i="1"/>
  <c r="D2239" i="1"/>
  <c r="C2239" i="1"/>
  <c r="B2239" i="1"/>
  <c r="A2239" i="1"/>
  <c r="L2238" i="1"/>
  <c r="M2238" i="1" s="1"/>
  <c r="K2238" i="1"/>
  <c r="J2238" i="1"/>
  <c r="H2238" i="1"/>
  <c r="G2238" i="1"/>
  <c r="I2238" i="1" s="1"/>
  <c r="F2238" i="1"/>
  <c r="E2238" i="1"/>
  <c r="D2238" i="1"/>
  <c r="C2238" i="1"/>
  <c r="B2238" i="1"/>
  <c r="A2238" i="1"/>
  <c r="M2237" i="1"/>
  <c r="L2237" i="1"/>
  <c r="J2237" i="1"/>
  <c r="I2237" i="1"/>
  <c r="K2237" i="1" s="1"/>
  <c r="H2237" i="1"/>
  <c r="G2237" i="1"/>
  <c r="F2237" i="1"/>
  <c r="C2237" i="1"/>
  <c r="B2237" i="1"/>
  <c r="A2237" i="1"/>
  <c r="M2236" i="1"/>
  <c r="L2236" i="1"/>
  <c r="J2236" i="1"/>
  <c r="H2236" i="1"/>
  <c r="G2236" i="1"/>
  <c r="I2236" i="1" s="1"/>
  <c r="D2236" i="1"/>
  <c r="C2236" i="1"/>
  <c r="B2236" i="1"/>
  <c r="A2236" i="1"/>
  <c r="M2235" i="1"/>
  <c r="L2235" i="1"/>
  <c r="K2235" i="1"/>
  <c r="J2235" i="1"/>
  <c r="I2235" i="1"/>
  <c r="H2235" i="1"/>
  <c r="G2235" i="1"/>
  <c r="E2235" i="1"/>
  <c r="D2235" i="1"/>
  <c r="C2235" i="1"/>
  <c r="F2235" i="1" s="1"/>
  <c r="B2235" i="1"/>
  <c r="A2235" i="1"/>
  <c r="L2234" i="1"/>
  <c r="M2234" i="1" s="1"/>
  <c r="J2234" i="1"/>
  <c r="I2234" i="1"/>
  <c r="K2234" i="1" s="1"/>
  <c r="H2234" i="1"/>
  <c r="G2234" i="1"/>
  <c r="F2234" i="1"/>
  <c r="D2234" i="1"/>
  <c r="C2234" i="1"/>
  <c r="E2234" i="1" s="1"/>
  <c r="B2234" i="1"/>
  <c r="A2234" i="1"/>
  <c r="M2233" i="1"/>
  <c r="L2233" i="1"/>
  <c r="J2233" i="1"/>
  <c r="K2233" i="1" s="1"/>
  <c r="H2233" i="1"/>
  <c r="G2233" i="1"/>
  <c r="I2233" i="1" s="1"/>
  <c r="F2233" i="1"/>
  <c r="E2233" i="1"/>
  <c r="D2233" i="1"/>
  <c r="C2233" i="1"/>
  <c r="B2233" i="1"/>
  <c r="A2233" i="1"/>
  <c r="L2232" i="1"/>
  <c r="M2232" i="1" s="1"/>
  <c r="K2232" i="1"/>
  <c r="J2232" i="1"/>
  <c r="H2232" i="1"/>
  <c r="G2232" i="1"/>
  <c r="I2232" i="1" s="1"/>
  <c r="F2232" i="1"/>
  <c r="E2232" i="1"/>
  <c r="D2232" i="1"/>
  <c r="C2232" i="1"/>
  <c r="B2232" i="1"/>
  <c r="A2232" i="1"/>
  <c r="L2231" i="1"/>
  <c r="M2231" i="1" s="1"/>
  <c r="J2231" i="1"/>
  <c r="I2231" i="1"/>
  <c r="K2231" i="1" s="1"/>
  <c r="H2231" i="1"/>
  <c r="G2231" i="1"/>
  <c r="C2231" i="1"/>
  <c r="B2231" i="1"/>
  <c r="A2231" i="1"/>
  <c r="M2230" i="1"/>
  <c r="L2230" i="1"/>
  <c r="J2230" i="1"/>
  <c r="H2230" i="1"/>
  <c r="G2230" i="1"/>
  <c r="I2230" i="1" s="1"/>
  <c r="K2230" i="1" s="1"/>
  <c r="D2230" i="1"/>
  <c r="C2230" i="1"/>
  <c r="E2230" i="1" s="1"/>
  <c r="B2230" i="1"/>
  <c r="A2230" i="1"/>
  <c r="M2229" i="1"/>
  <c r="L2229" i="1"/>
  <c r="K2229" i="1"/>
  <c r="J2229" i="1"/>
  <c r="I2229" i="1"/>
  <c r="H2229" i="1"/>
  <c r="G2229" i="1"/>
  <c r="C2229" i="1"/>
  <c r="B2229" i="1"/>
  <c r="A2229" i="1"/>
  <c r="L2228" i="1"/>
  <c r="M2228" i="1" s="1"/>
  <c r="J2228" i="1"/>
  <c r="I2228" i="1"/>
  <c r="K2228" i="1" s="1"/>
  <c r="H2228" i="1"/>
  <c r="G2228" i="1"/>
  <c r="C2228" i="1"/>
  <c r="E2228" i="1" s="1"/>
  <c r="B2228" i="1"/>
  <c r="A2228" i="1"/>
  <c r="L2227" i="1"/>
  <c r="M2227" i="1" s="1"/>
  <c r="J2227" i="1"/>
  <c r="K2227" i="1" s="1"/>
  <c r="H2227" i="1"/>
  <c r="G2227" i="1"/>
  <c r="I2227" i="1" s="1"/>
  <c r="F2227" i="1"/>
  <c r="E2227" i="1"/>
  <c r="D2227" i="1"/>
  <c r="C2227" i="1"/>
  <c r="B2227" i="1"/>
  <c r="A2227" i="1"/>
  <c r="L2226" i="1"/>
  <c r="M2226" i="1" s="1"/>
  <c r="K2226" i="1"/>
  <c r="J2226" i="1"/>
  <c r="H2226" i="1"/>
  <c r="G2226" i="1"/>
  <c r="I2226" i="1" s="1"/>
  <c r="F2226" i="1"/>
  <c r="E2226" i="1"/>
  <c r="D2226" i="1"/>
  <c r="C2226" i="1"/>
  <c r="B2226" i="1"/>
  <c r="A2226" i="1"/>
  <c r="L2225" i="1"/>
  <c r="M2225" i="1" s="1"/>
  <c r="J2225" i="1"/>
  <c r="I2225" i="1"/>
  <c r="K2225" i="1" s="1"/>
  <c r="H2225" i="1"/>
  <c r="G2225" i="1"/>
  <c r="C2225" i="1"/>
  <c r="B2225" i="1"/>
  <c r="A2225" i="1"/>
  <c r="M2224" i="1"/>
  <c r="L2224" i="1"/>
  <c r="J2224" i="1"/>
  <c r="I2224" i="1"/>
  <c r="K2224" i="1" s="1"/>
  <c r="H2224" i="1"/>
  <c r="G2224" i="1"/>
  <c r="D2224" i="1"/>
  <c r="C2224" i="1"/>
  <c r="B2224" i="1"/>
  <c r="A2224" i="1"/>
  <c r="M2223" i="1"/>
  <c r="L2223" i="1"/>
  <c r="K2223" i="1"/>
  <c r="J2223" i="1"/>
  <c r="I2223" i="1"/>
  <c r="H2223" i="1"/>
  <c r="G2223" i="1"/>
  <c r="E2223" i="1"/>
  <c r="D2223" i="1"/>
  <c r="C2223" i="1"/>
  <c r="F2223" i="1" s="1"/>
  <c r="B2223" i="1"/>
  <c r="A2223" i="1"/>
  <c r="L2222" i="1"/>
  <c r="M2222" i="1" s="1"/>
  <c r="J2222" i="1"/>
  <c r="K2222" i="1" s="1"/>
  <c r="I2222" i="1"/>
  <c r="H2222" i="1"/>
  <c r="G2222" i="1"/>
  <c r="F2222" i="1"/>
  <c r="E2222" i="1"/>
  <c r="D2222" i="1"/>
  <c r="C2222" i="1"/>
  <c r="B2222" i="1"/>
  <c r="A2222" i="1"/>
  <c r="L2221" i="1"/>
  <c r="M2221" i="1" s="1"/>
  <c r="J2221" i="1"/>
  <c r="H2221" i="1"/>
  <c r="G2221" i="1"/>
  <c r="I2221" i="1" s="1"/>
  <c r="K2221" i="1" s="1"/>
  <c r="F2221" i="1"/>
  <c r="E2221" i="1"/>
  <c r="D2221" i="1"/>
  <c r="C2221" i="1"/>
  <c r="B2221" i="1"/>
  <c r="A2221" i="1"/>
  <c r="L2220" i="1"/>
  <c r="M2220" i="1" s="1"/>
  <c r="J2220" i="1"/>
  <c r="H2220" i="1"/>
  <c r="G2220" i="1"/>
  <c r="I2220" i="1" s="1"/>
  <c r="K2220" i="1" s="1"/>
  <c r="F2220" i="1"/>
  <c r="E2220" i="1"/>
  <c r="D2220" i="1"/>
  <c r="C2220" i="1"/>
  <c r="B2220" i="1"/>
  <c r="A2220" i="1"/>
  <c r="L2219" i="1"/>
  <c r="M2219" i="1" s="1"/>
  <c r="J2219" i="1"/>
  <c r="H2219" i="1"/>
  <c r="G2219" i="1"/>
  <c r="I2219" i="1" s="1"/>
  <c r="K2219" i="1" s="1"/>
  <c r="C2219" i="1"/>
  <c r="B2219" i="1"/>
  <c r="A2219" i="1"/>
  <c r="M2218" i="1"/>
  <c r="L2218" i="1"/>
  <c r="J2218" i="1"/>
  <c r="I2218" i="1"/>
  <c r="K2218" i="1" s="1"/>
  <c r="H2218" i="1"/>
  <c r="G2218" i="1"/>
  <c r="C2218" i="1"/>
  <c r="B2218" i="1"/>
  <c r="A2218" i="1"/>
  <c r="M2217" i="1"/>
  <c r="L2217" i="1"/>
  <c r="J2217" i="1"/>
  <c r="K2217" i="1" s="1"/>
  <c r="I2217" i="1"/>
  <c r="H2217" i="1"/>
  <c r="G2217" i="1"/>
  <c r="C2217" i="1"/>
  <c r="F2217" i="1" s="1"/>
  <c r="B2217" i="1"/>
  <c r="A2217" i="1"/>
  <c r="L2216" i="1"/>
  <c r="M2216" i="1" s="1"/>
  <c r="J2216" i="1"/>
  <c r="I2216" i="1"/>
  <c r="K2216" i="1" s="1"/>
  <c r="H2216" i="1"/>
  <c r="G2216" i="1"/>
  <c r="C2216" i="1"/>
  <c r="D2216" i="1" s="1"/>
  <c r="B2216" i="1"/>
  <c r="A2216" i="1"/>
  <c r="M2215" i="1"/>
  <c r="L2215" i="1"/>
  <c r="J2215" i="1"/>
  <c r="H2215" i="1"/>
  <c r="G2215" i="1"/>
  <c r="I2215" i="1" s="1"/>
  <c r="K2215" i="1" s="1"/>
  <c r="F2215" i="1"/>
  <c r="E2215" i="1"/>
  <c r="D2215" i="1"/>
  <c r="C2215" i="1"/>
  <c r="B2215" i="1"/>
  <c r="A2215" i="1"/>
  <c r="M2214" i="1"/>
  <c r="L2214" i="1"/>
  <c r="J2214" i="1"/>
  <c r="H2214" i="1"/>
  <c r="G2214" i="1"/>
  <c r="I2214" i="1" s="1"/>
  <c r="K2214" i="1" s="1"/>
  <c r="F2214" i="1"/>
  <c r="E2214" i="1"/>
  <c r="D2214" i="1"/>
  <c r="C2214" i="1"/>
  <c r="B2214" i="1"/>
  <c r="A2214" i="1"/>
  <c r="M2213" i="1"/>
  <c r="L2213" i="1"/>
  <c r="J2213" i="1"/>
  <c r="H2213" i="1"/>
  <c r="G2213" i="1"/>
  <c r="I2213" i="1" s="1"/>
  <c r="K2213" i="1" s="1"/>
  <c r="F2213" i="1"/>
  <c r="C2213" i="1"/>
  <c r="B2213" i="1"/>
  <c r="A2213" i="1"/>
  <c r="M2212" i="1"/>
  <c r="L2212" i="1"/>
  <c r="J2212" i="1"/>
  <c r="H2212" i="1"/>
  <c r="G2212" i="1"/>
  <c r="I2212" i="1" s="1"/>
  <c r="K2212" i="1" s="1"/>
  <c r="C2212" i="1"/>
  <c r="B2212" i="1"/>
  <c r="A2212" i="1"/>
  <c r="M2211" i="1"/>
  <c r="L2211" i="1"/>
  <c r="J2211" i="1"/>
  <c r="I2211" i="1"/>
  <c r="K2211" i="1" s="1"/>
  <c r="H2211" i="1"/>
  <c r="G2211" i="1"/>
  <c r="C2211" i="1"/>
  <c r="F2211" i="1" s="1"/>
  <c r="B2211" i="1"/>
  <c r="A2211" i="1"/>
  <c r="L2210" i="1"/>
  <c r="M2210" i="1" s="1"/>
  <c r="J2210" i="1"/>
  <c r="I2210" i="1"/>
  <c r="K2210" i="1" s="1"/>
  <c r="H2210" i="1"/>
  <c r="G2210" i="1"/>
  <c r="C2210" i="1"/>
  <c r="F2210" i="1" s="1"/>
  <c r="B2210" i="1"/>
  <c r="A2210" i="1"/>
  <c r="L2209" i="1"/>
  <c r="M2209" i="1" s="1"/>
  <c r="J2209" i="1"/>
  <c r="K2209" i="1" s="1"/>
  <c r="H2209" i="1"/>
  <c r="G2209" i="1"/>
  <c r="I2209" i="1" s="1"/>
  <c r="F2209" i="1"/>
  <c r="E2209" i="1"/>
  <c r="D2209" i="1"/>
  <c r="C2209" i="1"/>
  <c r="B2209" i="1"/>
  <c r="A2209" i="1"/>
  <c r="L2208" i="1"/>
  <c r="M2208" i="1" s="1"/>
  <c r="K2208" i="1"/>
  <c r="J2208" i="1"/>
  <c r="H2208" i="1"/>
  <c r="G2208" i="1"/>
  <c r="I2208" i="1" s="1"/>
  <c r="F2208" i="1"/>
  <c r="E2208" i="1"/>
  <c r="D2208" i="1"/>
  <c r="C2208" i="1"/>
  <c r="B2208" i="1"/>
  <c r="A2208" i="1"/>
  <c r="L2207" i="1"/>
  <c r="M2207" i="1" s="1"/>
  <c r="J2207" i="1"/>
  <c r="I2207" i="1"/>
  <c r="K2207" i="1" s="1"/>
  <c r="H2207" i="1"/>
  <c r="G2207" i="1"/>
  <c r="C2207" i="1"/>
  <c r="B2207" i="1"/>
  <c r="A2207" i="1"/>
  <c r="M2206" i="1"/>
  <c r="L2206" i="1"/>
  <c r="J2206" i="1"/>
  <c r="H2206" i="1"/>
  <c r="G2206" i="1"/>
  <c r="I2206" i="1" s="1"/>
  <c r="K2206" i="1" s="1"/>
  <c r="D2206" i="1"/>
  <c r="C2206" i="1"/>
  <c r="B2206" i="1"/>
  <c r="A2206" i="1"/>
  <c r="M2205" i="1"/>
  <c r="L2205" i="1"/>
  <c r="K2205" i="1"/>
  <c r="J2205" i="1"/>
  <c r="I2205" i="1"/>
  <c r="H2205" i="1"/>
  <c r="G2205" i="1"/>
  <c r="E2205" i="1"/>
  <c r="D2205" i="1"/>
  <c r="C2205" i="1"/>
  <c r="F2205" i="1" s="1"/>
  <c r="B2205" i="1"/>
  <c r="A2205" i="1"/>
  <c r="L2204" i="1"/>
  <c r="M2204" i="1" s="1"/>
  <c r="J2204" i="1"/>
  <c r="K2204" i="1" s="1"/>
  <c r="I2204" i="1"/>
  <c r="H2204" i="1"/>
  <c r="G2204" i="1"/>
  <c r="F2204" i="1"/>
  <c r="E2204" i="1"/>
  <c r="D2204" i="1"/>
  <c r="C2204" i="1"/>
  <c r="B2204" i="1"/>
  <c r="A2204" i="1"/>
  <c r="L2203" i="1"/>
  <c r="M2203" i="1" s="1"/>
  <c r="J2203" i="1"/>
  <c r="H2203" i="1"/>
  <c r="G2203" i="1"/>
  <c r="I2203" i="1" s="1"/>
  <c r="K2203" i="1" s="1"/>
  <c r="F2203" i="1"/>
  <c r="E2203" i="1"/>
  <c r="D2203" i="1"/>
  <c r="C2203" i="1"/>
  <c r="B2203" i="1"/>
  <c r="A2203" i="1"/>
  <c r="L2202" i="1"/>
  <c r="M2202" i="1" s="1"/>
  <c r="J2202" i="1"/>
  <c r="H2202" i="1"/>
  <c r="G2202" i="1"/>
  <c r="I2202" i="1" s="1"/>
  <c r="K2202" i="1" s="1"/>
  <c r="F2202" i="1"/>
  <c r="E2202" i="1"/>
  <c r="D2202" i="1"/>
  <c r="C2202" i="1"/>
  <c r="B2202" i="1"/>
  <c r="A2202" i="1"/>
  <c r="L2201" i="1"/>
  <c r="M2201" i="1" s="1"/>
  <c r="J2201" i="1"/>
  <c r="H2201" i="1"/>
  <c r="G2201" i="1"/>
  <c r="I2201" i="1" s="1"/>
  <c r="K2201" i="1" s="1"/>
  <c r="C2201" i="1"/>
  <c r="B2201" i="1"/>
  <c r="A2201" i="1"/>
  <c r="M2200" i="1"/>
  <c r="L2200" i="1"/>
  <c r="J2200" i="1"/>
  <c r="I2200" i="1"/>
  <c r="K2200" i="1" s="1"/>
  <c r="H2200" i="1"/>
  <c r="G2200" i="1"/>
  <c r="C2200" i="1"/>
  <c r="B2200" i="1"/>
  <c r="A2200" i="1"/>
  <c r="M2199" i="1"/>
  <c r="L2199" i="1"/>
  <c r="J2199" i="1"/>
  <c r="K2199" i="1" s="1"/>
  <c r="I2199" i="1"/>
  <c r="H2199" i="1"/>
  <c r="G2199" i="1"/>
  <c r="C2199" i="1"/>
  <c r="F2199" i="1" s="1"/>
  <c r="B2199" i="1"/>
  <c r="A2199" i="1"/>
  <c r="L2198" i="1"/>
  <c r="M2198" i="1" s="1"/>
  <c r="J2198" i="1"/>
  <c r="I2198" i="1"/>
  <c r="K2198" i="1" s="1"/>
  <c r="H2198" i="1"/>
  <c r="G2198" i="1"/>
  <c r="C2198" i="1"/>
  <c r="B2198" i="1"/>
  <c r="A2198" i="1"/>
  <c r="M2197" i="1"/>
  <c r="L2197" i="1"/>
  <c r="J2197" i="1"/>
  <c r="H2197" i="1"/>
  <c r="G2197" i="1"/>
  <c r="I2197" i="1" s="1"/>
  <c r="K2197" i="1" s="1"/>
  <c r="F2197" i="1"/>
  <c r="E2197" i="1"/>
  <c r="D2197" i="1"/>
  <c r="C2197" i="1"/>
  <c r="B2197" i="1"/>
  <c r="A2197" i="1"/>
  <c r="M2196" i="1"/>
  <c r="L2196" i="1"/>
  <c r="J2196" i="1"/>
  <c r="H2196" i="1"/>
  <c r="G2196" i="1"/>
  <c r="I2196" i="1" s="1"/>
  <c r="K2196" i="1" s="1"/>
  <c r="F2196" i="1"/>
  <c r="E2196" i="1"/>
  <c r="D2196" i="1"/>
  <c r="C2196" i="1"/>
  <c r="B2196" i="1"/>
  <c r="A2196" i="1"/>
  <c r="M2195" i="1"/>
  <c r="L2195" i="1"/>
  <c r="J2195" i="1"/>
  <c r="H2195" i="1"/>
  <c r="G2195" i="1"/>
  <c r="I2195" i="1" s="1"/>
  <c r="K2195" i="1" s="1"/>
  <c r="F2195" i="1"/>
  <c r="C2195" i="1"/>
  <c r="B2195" i="1"/>
  <c r="A2195" i="1"/>
  <c r="M2194" i="1"/>
  <c r="L2194" i="1"/>
  <c r="J2194" i="1"/>
  <c r="H2194" i="1"/>
  <c r="G2194" i="1"/>
  <c r="I2194" i="1" s="1"/>
  <c r="K2194" i="1" s="1"/>
  <c r="C2194" i="1"/>
  <c r="B2194" i="1"/>
  <c r="A2194" i="1"/>
  <c r="M2193" i="1"/>
  <c r="L2193" i="1"/>
  <c r="J2193" i="1"/>
  <c r="I2193" i="1"/>
  <c r="H2193" i="1"/>
  <c r="G2193" i="1"/>
  <c r="C2193" i="1"/>
  <c r="F2193" i="1" s="1"/>
  <c r="B2193" i="1"/>
  <c r="A2193" i="1"/>
  <c r="L2192" i="1"/>
  <c r="M2192" i="1" s="1"/>
  <c r="K2192" i="1"/>
  <c r="J2192" i="1"/>
  <c r="I2192" i="1"/>
  <c r="H2192" i="1"/>
  <c r="G2192" i="1"/>
  <c r="C2192" i="1"/>
  <c r="F2192" i="1" s="1"/>
  <c r="B2192" i="1"/>
  <c r="A2192" i="1"/>
  <c r="L2191" i="1"/>
  <c r="M2191" i="1" s="1"/>
  <c r="J2191" i="1"/>
  <c r="K2191" i="1" s="1"/>
  <c r="H2191" i="1"/>
  <c r="G2191" i="1"/>
  <c r="I2191" i="1" s="1"/>
  <c r="F2191" i="1"/>
  <c r="E2191" i="1"/>
  <c r="D2191" i="1"/>
  <c r="C2191" i="1"/>
  <c r="B2191" i="1"/>
  <c r="A2191" i="1"/>
  <c r="L2190" i="1"/>
  <c r="M2190" i="1" s="1"/>
  <c r="K2190" i="1"/>
  <c r="J2190" i="1"/>
  <c r="H2190" i="1"/>
  <c r="G2190" i="1"/>
  <c r="I2190" i="1" s="1"/>
  <c r="F2190" i="1"/>
  <c r="E2190" i="1"/>
  <c r="D2190" i="1"/>
  <c r="C2190" i="1"/>
  <c r="B2190" i="1"/>
  <c r="A2190" i="1"/>
  <c r="L2189" i="1"/>
  <c r="M2189" i="1" s="1"/>
  <c r="J2189" i="1"/>
  <c r="I2189" i="1"/>
  <c r="K2189" i="1" s="1"/>
  <c r="H2189" i="1"/>
  <c r="G2189" i="1"/>
  <c r="C2189" i="1"/>
  <c r="B2189" i="1"/>
  <c r="A2189" i="1"/>
  <c r="M2188" i="1"/>
  <c r="L2188" i="1"/>
  <c r="J2188" i="1"/>
  <c r="H2188" i="1"/>
  <c r="G2188" i="1"/>
  <c r="I2188" i="1" s="1"/>
  <c r="K2188" i="1" s="1"/>
  <c r="D2188" i="1"/>
  <c r="C2188" i="1"/>
  <c r="B2188" i="1"/>
  <c r="A2188" i="1"/>
  <c r="M2187" i="1"/>
  <c r="L2187" i="1"/>
  <c r="K2187" i="1"/>
  <c r="J2187" i="1"/>
  <c r="I2187" i="1"/>
  <c r="H2187" i="1"/>
  <c r="G2187" i="1"/>
  <c r="E2187" i="1"/>
  <c r="D2187" i="1"/>
  <c r="C2187" i="1"/>
  <c r="F2187" i="1" s="1"/>
  <c r="B2187" i="1"/>
  <c r="A2187" i="1"/>
  <c r="L2186" i="1"/>
  <c r="M2186" i="1" s="1"/>
  <c r="J2186" i="1"/>
  <c r="K2186" i="1" s="1"/>
  <c r="I2186" i="1"/>
  <c r="H2186" i="1"/>
  <c r="G2186" i="1"/>
  <c r="F2186" i="1"/>
  <c r="E2186" i="1"/>
  <c r="D2186" i="1"/>
  <c r="C2186" i="1"/>
  <c r="B2186" i="1"/>
  <c r="A2186" i="1"/>
  <c r="L2185" i="1"/>
  <c r="M2185" i="1" s="1"/>
  <c r="J2185" i="1"/>
  <c r="H2185" i="1"/>
  <c r="G2185" i="1"/>
  <c r="I2185" i="1" s="1"/>
  <c r="K2185" i="1" s="1"/>
  <c r="F2185" i="1"/>
  <c r="E2185" i="1"/>
  <c r="D2185" i="1"/>
  <c r="C2185" i="1"/>
  <c r="B2185" i="1"/>
  <c r="A2185" i="1"/>
  <c r="L2184" i="1"/>
  <c r="M2184" i="1" s="1"/>
  <c r="J2184" i="1"/>
  <c r="H2184" i="1"/>
  <c r="G2184" i="1"/>
  <c r="I2184" i="1" s="1"/>
  <c r="K2184" i="1" s="1"/>
  <c r="F2184" i="1"/>
  <c r="E2184" i="1"/>
  <c r="D2184" i="1"/>
  <c r="C2184" i="1"/>
  <c r="B2184" i="1"/>
  <c r="A2184" i="1"/>
  <c r="L2183" i="1"/>
  <c r="M2183" i="1" s="1"/>
  <c r="J2183" i="1"/>
  <c r="H2183" i="1"/>
  <c r="G2183" i="1"/>
  <c r="I2183" i="1" s="1"/>
  <c r="K2183" i="1" s="1"/>
  <c r="C2183" i="1"/>
  <c r="B2183" i="1"/>
  <c r="A2183" i="1"/>
  <c r="M2182" i="1"/>
  <c r="L2182" i="1"/>
  <c r="J2182" i="1"/>
  <c r="I2182" i="1"/>
  <c r="K2182" i="1" s="1"/>
  <c r="H2182" i="1"/>
  <c r="G2182" i="1"/>
  <c r="C2182" i="1"/>
  <c r="B2182" i="1"/>
  <c r="A2182" i="1"/>
  <c r="M2181" i="1"/>
  <c r="L2181" i="1"/>
  <c r="J2181" i="1"/>
  <c r="K2181" i="1" s="1"/>
  <c r="I2181" i="1"/>
  <c r="H2181" i="1"/>
  <c r="G2181" i="1"/>
  <c r="C2181" i="1"/>
  <c r="B2181" i="1"/>
  <c r="A2181" i="1"/>
  <c r="L2180" i="1"/>
  <c r="M2180" i="1" s="1"/>
  <c r="J2180" i="1"/>
  <c r="I2180" i="1"/>
  <c r="K2180" i="1" s="1"/>
  <c r="H2180" i="1"/>
  <c r="G2180" i="1"/>
  <c r="F2180" i="1"/>
  <c r="C2180" i="1"/>
  <c r="B2180" i="1"/>
  <c r="A2180" i="1"/>
  <c r="M2179" i="1"/>
  <c r="L2179" i="1"/>
  <c r="J2179" i="1"/>
  <c r="H2179" i="1"/>
  <c r="G2179" i="1"/>
  <c r="I2179" i="1" s="1"/>
  <c r="K2179" i="1" s="1"/>
  <c r="F2179" i="1"/>
  <c r="E2179" i="1"/>
  <c r="D2179" i="1"/>
  <c r="C2179" i="1"/>
  <c r="B2179" i="1"/>
  <c r="A2179" i="1"/>
  <c r="M2178" i="1"/>
  <c r="L2178" i="1"/>
  <c r="J2178" i="1"/>
  <c r="H2178" i="1"/>
  <c r="G2178" i="1"/>
  <c r="I2178" i="1" s="1"/>
  <c r="K2178" i="1" s="1"/>
  <c r="F2178" i="1"/>
  <c r="E2178" i="1"/>
  <c r="D2178" i="1"/>
  <c r="C2178" i="1"/>
  <c r="B2178" i="1"/>
  <c r="A2178" i="1"/>
  <c r="M2177" i="1"/>
  <c r="L2177" i="1"/>
  <c r="J2177" i="1"/>
  <c r="H2177" i="1"/>
  <c r="G2177" i="1"/>
  <c r="I2177" i="1" s="1"/>
  <c r="K2177" i="1" s="1"/>
  <c r="F2177" i="1"/>
  <c r="C2177" i="1"/>
  <c r="D2177" i="1" s="1"/>
  <c r="B2177" i="1"/>
  <c r="A2177" i="1"/>
  <c r="M2176" i="1"/>
  <c r="L2176" i="1"/>
  <c r="J2176" i="1"/>
  <c r="I2176" i="1"/>
  <c r="K2176" i="1" s="1"/>
  <c r="H2176" i="1"/>
  <c r="G2176" i="1"/>
  <c r="F2176" i="1"/>
  <c r="D2176" i="1"/>
  <c r="C2176" i="1"/>
  <c r="E2176" i="1" s="1"/>
  <c r="B2176" i="1"/>
  <c r="A2176" i="1"/>
  <c r="M2175" i="1"/>
  <c r="L2175" i="1"/>
  <c r="K2175" i="1"/>
  <c r="J2175" i="1"/>
  <c r="I2175" i="1"/>
  <c r="H2175" i="1"/>
  <c r="G2175" i="1"/>
  <c r="E2175" i="1"/>
  <c r="D2175" i="1"/>
  <c r="C2175" i="1"/>
  <c r="F2175" i="1" s="1"/>
  <c r="B2175" i="1"/>
  <c r="A2175" i="1"/>
  <c r="L2174" i="1"/>
  <c r="M2174" i="1" s="1"/>
  <c r="J2174" i="1"/>
  <c r="K2174" i="1" s="1"/>
  <c r="I2174" i="1"/>
  <c r="H2174" i="1"/>
  <c r="G2174" i="1"/>
  <c r="F2174" i="1"/>
  <c r="E2174" i="1"/>
  <c r="D2174" i="1"/>
  <c r="C2174" i="1"/>
  <c r="B2174" i="1"/>
  <c r="A2174" i="1"/>
  <c r="L2173" i="1"/>
  <c r="M2173" i="1" s="1"/>
  <c r="K2173" i="1"/>
  <c r="J2173" i="1"/>
  <c r="H2173" i="1"/>
  <c r="G2173" i="1"/>
  <c r="I2173" i="1" s="1"/>
  <c r="F2173" i="1"/>
  <c r="E2173" i="1"/>
  <c r="C2173" i="1"/>
  <c r="D2173" i="1" s="1"/>
  <c r="B2173" i="1"/>
  <c r="A2173" i="1"/>
  <c r="L2172" i="1"/>
  <c r="M2172" i="1" s="1"/>
  <c r="J2172" i="1"/>
  <c r="H2172" i="1"/>
  <c r="G2172" i="1"/>
  <c r="I2172" i="1" s="1"/>
  <c r="K2172" i="1" s="1"/>
  <c r="F2172" i="1"/>
  <c r="E2172" i="1"/>
  <c r="D2172" i="1"/>
  <c r="C2172" i="1"/>
  <c r="B2172" i="1"/>
  <c r="A2172" i="1"/>
  <c r="M2171" i="1"/>
  <c r="L2171" i="1"/>
  <c r="J2171" i="1"/>
  <c r="H2171" i="1"/>
  <c r="G2171" i="1"/>
  <c r="I2171" i="1" s="1"/>
  <c r="K2171" i="1" s="1"/>
  <c r="F2171" i="1"/>
  <c r="C2171" i="1"/>
  <c r="D2171" i="1" s="1"/>
  <c r="B2171" i="1"/>
  <c r="A2171" i="1"/>
  <c r="M2170" i="1"/>
  <c r="L2170" i="1"/>
  <c r="J2170" i="1"/>
  <c r="H2170" i="1"/>
  <c r="G2170" i="1"/>
  <c r="I2170" i="1" s="1"/>
  <c r="K2170" i="1" s="1"/>
  <c r="F2170" i="1"/>
  <c r="D2170" i="1"/>
  <c r="C2170" i="1"/>
  <c r="E2170" i="1" s="1"/>
  <c r="B2170" i="1"/>
  <c r="A2170" i="1"/>
  <c r="M2169" i="1"/>
  <c r="L2169" i="1"/>
  <c r="J2169" i="1"/>
  <c r="H2169" i="1"/>
  <c r="G2169" i="1"/>
  <c r="I2169" i="1" s="1"/>
  <c r="K2169" i="1" s="1"/>
  <c r="E2169" i="1"/>
  <c r="D2169" i="1"/>
  <c r="C2169" i="1"/>
  <c r="F2169" i="1" s="1"/>
  <c r="B2169" i="1"/>
  <c r="A2169" i="1"/>
  <c r="L2168" i="1"/>
  <c r="M2168" i="1" s="1"/>
  <c r="J2168" i="1"/>
  <c r="K2168" i="1" s="1"/>
  <c r="I2168" i="1"/>
  <c r="H2168" i="1"/>
  <c r="G2168" i="1"/>
  <c r="F2168" i="1"/>
  <c r="E2168" i="1"/>
  <c r="D2168" i="1"/>
  <c r="C2168" i="1"/>
  <c r="B2168" i="1"/>
  <c r="A2168" i="1"/>
  <c r="L2167" i="1"/>
  <c r="M2167" i="1" s="1"/>
  <c r="J2167" i="1"/>
  <c r="H2167" i="1"/>
  <c r="G2167" i="1"/>
  <c r="I2167" i="1" s="1"/>
  <c r="K2167" i="1" s="1"/>
  <c r="F2167" i="1"/>
  <c r="E2167" i="1"/>
  <c r="C2167" i="1"/>
  <c r="D2167" i="1" s="1"/>
  <c r="B2167" i="1"/>
  <c r="A2167" i="1"/>
  <c r="L2166" i="1"/>
  <c r="M2166" i="1" s="1"/>
  <c r="J2166" i="1"/>
  <c r="H2166" i="1"/>
  <c r="G2166" i="1"/>
  <c r="I2166" i="1" s="1"/>
  <c r="K2166" i="1" s="1"/>
  <c r="F2166" i="1"/>
  <c r="E2166" i="1"/>
  <c r="D2166" i="1"/>
  <c r="C2166" i="1"/>
  <c r="B2166" i="1"/>
  <c r="A2166" i="1"/>
  <c r="M2165" i="1"/>
  <c r="L2165" i="1"/>
  <c r="J2165" i="1"/>
  <c r="H2165" i="1"/>
  <c r="G2165" i="1"/>
  <c r="I2165" i="1" s="1"/>
  <c r="K2165" i="1" s="1"/>
  <c r="F2165" i="1"/>
  <c r="C2165" i="1"/>
  <c r="D2165" i="1" s="1"/>
  <c r="B2165" i="1"/>
  <c r="A2165" i="1"/>
  <c r="M2164" i="1"/>
  <c r="L2164" i="1"/>
  <c r="J2164" i="1"/>
  <c r="H2164" i="1"/>
  <c r="G2164" i="1"/>
  <c r="I2164" i="1" s="1"/>
  <c r="K2164" i="1" s="1"/>
  <c r="F2164" i="1"/>
  <c r="D2164" i="1"/>
  <c r="C2164" i="1"/>
  <c r="E2164" i="1" s="1"/>
  <c r="B2164" i="1"/>
  <c r="A2164" i="1"/>
  <c r="M2163" i="1"/>
  <c r="L2163" i="1"/>
  <c r="K2163" i="1"/>
  <c r="J2163" i="1"/>
  <c r="H2163" i="1"/>
  <c r="G2163" i="1"/>
  <c r="I2163" i="1" s="1"/>
  <c r="E2163" i="1"/>
  <c r="D2163" i="1"/>
  <c r="C2163" i="1"/>
  <c r="F2163" i="1" s="1"/>
  <c r="B2163" i="1"/>
  <c r="A2163" i="1"/>
  <c r="L2162" i="1"/>
  <c r="M2162" i="1" s="1"/>
  <c r="J2162" i="1"/>
  <c r="K2162" i="1" s="1"/>
  <c r="I2162" i="1"/>
  <c r="H2162" i="1"/>
  <c r="G2162" i="1"/>
  <c r="F2162" i="1"/>
  <c r="E2162" i="1"/>
  <c r="D2162" i="1"/>
  <c r="C2162" i="1"/>
  <c r="B2162" i="1"/>
  <c r="A2162" i="1"/>
  <c r="L2161" i="1"/>
  <c r="M2161" i="1" s="1"/>
  <c r="K2161" i="1"/>
  <c r="J2161" i="1"/>
  <c r="H2161" i="1"/>
  <c r="G2161" i="1"/>
  <c r="I2161" i="1" s="1"/>
  <c r="F2161" i="1"/>
  <c r="E2161" i="1"/>
  <c r="C2161" i="1"/>
  <c r="D2161" i="1" s="1"/>
  <c r="B2161" i="1"/>
  <c r="A2161" i="1"/>
  <c r="L2160" i="1"/>
  <c r="M2160" i="1" s="1"/>
  <c r="J2160" i="1"/>
  <c r="H2160" i="1"/>
  <c r="G2160" i="1"/>
  <c r="I2160" i="1" s="1"/>
  <c r="K2160" i="1" s="1"/>
  <c r="F2160" i="1"/>
  <c r="E2160" i="1"/>
  <c r="D2160" i="1"/>
  <c r="C2160" i="1"/>
  <c r="B2160" i="1"/>
  <c r="A2160" i="1"/>
  <c r="M2159" i="1"/>
  <c r="L2159" i="1"/>
  <c r="J2159" i="1"/>
  <c r="H2159" i="1"/>
  <c r="G2159" i="1"/>
  <c r="I2159" i="1" s="1"/>
  <c r="K2159" i="1" s="1"/>
  <c r="F2159" i="1"/>
  <c r="C2159" i="1"/>
  <c r="D2159" i="1" s="1"/>
  <c r="B2159" i="1"/>
  <c r="A2159" i="1"/>
  <c r="M2158" i="1"/>
  <c r="L2158" i="1"/>
  <c r="J2158" i="1"/>
  <c r="H2158" i="1"/>
  <c r="G2158" i="1"/>
  <c r="I2158" i="1" s="1"/>
  <c r="K2158" i="1" s="1"/>
  <c r="F2158" i="1"/>
  <c r="D2158" i="1"/>
  <c r="C2158" i="1"/>
  <c r="E2158" i="1" s="1"/>
  <c r="B2158" i="1"/>
  <c r="A2158" i="1"/>
  <c r="M2157" i="1"/>
  <c r="L2157" i="1"/>
  <c r="J2157" i="1"/>
  <c r="H2157" i="1"/>
  <c r="G2157" i="1"/>
  <c r="I2157" i="1" s="1"/>
  <c r="K2157" i="1" s="1"/>
  <c r="E2157" i="1"/>
  <c r="D2157" i="1"/>
  <c r="C2157" i="1"/>
  <c r="F2157" i="1" s="1"/>
  <c r="B2157" i="1"/>
  <c r="A2157" i="1"/>
  <c r="L2156" i="1"/>
  <c r="M2156" i="1" s="1"/>
  <c r="J2156" i="1"/>
  <c r="K2156" i="1" s="1"/>
  <c r="I2156" i="1"/>
  <c r="H2156" i="1"/>
  <c r="G2156" i="1"/>
  <c r="F2156" i="1"/>
  <c r="E2156" i="1"/>
  <c r="D2156" i="1"/>
  <c r="C2156" i="1"/>
  <c r="B2156" i="1"/>
  <c r="A2156" i="1"/>
  <c r="L2155" i="1"/>
  <c r="M2155" i="1" s="1"/>
  <c r="J2155" i="1"/>
  <c r="H2155" i="1"/>
  <c r="G2155" i="1"/>
  <c r="I2155" i="1" s="1"/>
  <c r="K2155" i="1" s="1"/>
  <c r="F2155" i="1"/>
  <c r="E2155" i="1"/>
  <c r="C2155" i="1"/>
  <c r="D2155" i="1" s="1"/>
  <c r="B2155" i="1"/>
  <c r="A2155" i="1"/>
  <c r="L2154" i="1"/>
  <c r="M2154" i="1" s="1"/>
  <c r="J2154" i="1"/>
  <c r="H2154" i="1"/>
  <c r="G2154" i="1"/>
  <c r="I2154" i="1" s="1"/>
  <c r="K2154" i="1" s="1"/>
  <c r="F2154" i="1"/>
  <c r="E2154" i="1"/>
  <c r="D2154" i="1"/>
  <c r="C2154" i="1"/>
  <c r="B2154" i="1"/>
  <c r="A2154" i="1"/>
  <c r="M2153" i="1"/>
  <c r="L2153" i="1"/>
  <c r="J2153" i="1"/>
  <c r="H2153" i="1"/>
  <c r="G2153" i="1"/>
  <c r="I2153" i="1" s="1"/>
  <c r="K2153" i="1" s="1"/>
  <c r="F2153" i="1"/>
  <c r="C2153" i="1"/>
  <c r="D2153" i="1" s="1"/>
  <c r="B2153" i="1"/>
  <c r="A2153" i="1"/>
  <c r="L2152" i="1"/>
  <c r="M2152" i="1" s="1"/>
  <c r="J2152" i="1"/>
  <c r="H2152" i="1"/>
  <c r="G2152" i="1"/>
  <c r="I2152" i="1" s="1"/>
  <c r="K2152" i="1" s="1"/>
  <c r="F2152" i="1"/>
  <c r="D2152" i="1"/>
  <c r="C2152" i="1"/>
  <c r="E2152" i="1" s="1"/>
  <c r="B2152" i="1"/>
  <c r="A2152" i="1"/>
  <c r="M2151" i="1"/>
  <c r="L2151" i="1"/>
  <c r="J2151" i="1"/>
  <c r="H2151" i="1"/>
  <c r="G2151" i="1"/>
  <c r="I2151" i="1" s="1"/>
  <c r="K2151" i="1" s="1"/>
  <c r="E2151" i="1"/>
  <c r="D2151" i="1"/>
  <c r="C2151" i="1"/>
  <c r="F2151" i="1" s="1"/>
  <c r="B2151" i="1"/>
  <c r="A2151" i="1"/>
  <c r="L2150" i="1"/>
  <c r="M2150" i="1" s="1"/>
  <c r="K2150" i="1"/>
  <c r="J2150" i="1"/>
  <c r="I2150" i="1"/>
  <c r="H2150" i="1"/>
  <c r="G2150" i="1"/>
  <c r="F2150" i="1"/>
  <c r="E2150" i="1"/>
  <c r="D2150" i="1"/>
  <c r="C2150" i="1"/>
  <c r="B2150" i="1"/>
  <c r="A2150" i="1"/>
  <c r="L2149" i="1"/>
  <c r="M2149" i="1" s="1"/>
  <c r="K2149" i="1"/>
  <c r="J2149" i="1"/>
  <c r="H2149" i="1"/>
  <c r="G2149" i="1"/>
  <c r="I2149" i="1" s="1"/>
  <c r="F2149" i="1"/>
  <c r="E2149" i="1"/>
  <c r="C2149" i="1"/>
  <c r="D2149" i="1" s="1"/>
  <c r="B2149" i="1"/>
  <c r="A2149" i="1"/>
  <c r="M2148" i="1"/>
  <c r="L2148" i="1"/>
  <c r="J2148" i="1"/>
  <c r="H2148" i="1"/>
  <c r="G2148" i="1"/>
  <c r="I2148" i="1" s="1"/>
  <c r="K2148" i="1" s="1"/>
  <c r="F2148" i="1"/>
  <c r="E2148" i="1"/>
  <c r="D2148" i="1"/>
  <c r="C2148" i="1"/>
  <c r="B2148" i="1"/>
  <c r="A2148" i="1"/>
  <c r="L2147" i="1"/>
  <c r="M2147" i="1" s="1"/>
  <c r="J2147" i="1"/>
  <c r="H2147" i="1"/>
  <c r="G2147" i="1"/>
  <c r="I2147" i="1" s="1"/>
  <c r="K2147" i="1" s="1"/>
  <c r="F2147" i="1"/>
  <c r="C2147" i="1"/>
  <c r="D2147" i="1" s="1"/>
  <c r="B2147" i="1"/>
  <c r="A2147" i="1"/>
  <c r="M2146" i="1"/>
  <c r="L2146" i="1"/>
  <c r="J2146" i="1"/>
  <c r="H2146" i="1"/>
  <c r="G2146" i="1"/>
  <c r="I2146" i="1" s="1"/>
  <c r="K2146" i="1" s="1"/>
  <c r="F2146" i="1"/>
  <c r="D2146" i="1"/>
  <c r="C2146" i="1"/>
  <c r="E2146" i="1" s="1"/>
  <c r="B2146" i="1"/>
  <c r="A2146" i="1"/>
  <c r="M2145" i="1"/>
  <c r="L2145" i="1"/>
  <c r="K2145" i="1"/>
  <c r="J2145" i="1"/>
  <c r="H2145" i="1"/>
  <c r="G2145" i="1"/>
  <c r="I2145" i="1" s="1"/>
  <c r="E2145" i="1"/>
  <c r="D2145" i="1"/>
  <c r="C2145" i="1"/>
  <c r="F2145" i="1" s="1"/>
  <c r="B2145" i="1"/>
  <c r="A2145" i="1"/>
  <c r="L2144" i="1"/>
  <c r="M2144" i="1" s="1"/>
  <c r="K2144" i="1"/>
  <c r="J2144" i="1"/>
  <c r="I2144" i="1"/>
  <c r="H2144" i="1"/>
  <c r="G2144" i="1"/>
  <c r="F2144" i="1"/>
  <c r="E2144" i="1"/>
  <c r="D2144" i="1"/>
  <c r="C2144" i="1"/>
  <c r="B2144" i="1"/>
  <c r="A2144" i="1"/>
  <c r="L2143" i="1"/>
  <c r="M2143" i="1" s="1"/>
  <c r="K2143" i="1"/>
  <c r="J2143" i="1"/>
  <c r="H2143" i="1"/>
  <c r="G2143" i="1"/>
  <c r="I2143" i="1" s="1"/>
  <c r="F2143" i="1"/>
  <c r="E2143" i="1"/>
  <c r="C2143" i="1"/>
  <c r="D2143" i="1" s="1"/>
  <c r="B2143" i="1"/>
  <c r="A2143" i="1"/>
  <c r="L2142" i="1"/>
  <c r="M2142" i="1" s="1"/>
  <c r="J2142" i="1"/>
  <c r="H2142" i="1"/>
  <c r="G2142" i="1"/>
  <c r="I2142" i="1" s="1"/>
  <c r="K2142" i="1" s="1"/>
  <c r="F2142" i="1"/>
  <c r="E2142" i="1"/>
  <c r="D2142" i="1"/>
  <c r="C2142" i="1"/>
  <c r="B2142" i="1"/>
  <c r="A2142" i="1"/>
  <c r="M2141" i="1"/>
  <c r="L2141" i="1"/>
  <c r="J2141" i="1"/>
  <c r="H2141" i="1"/>
  <c r="G2141" i="1"/>
  <c r="I2141" i="1" s="1"/>
  <c r="K2141" i="1" s="1"/>
  <c r="F2141" i="1"/>
  <c r="C2141" i="1"/>
  <c r="D2141" i="1" s="1"/>
  <c r="B2141" i="1"/>
  <c r="A2141" i="1"/>
  <c r="L2140" i="1"/>
  <c r="M2140" i="1" s="1"/>
  <c r="J2140" i="1"/>
  <c r="H2140" i="1"/>
  <c r="G2140" i="1"/>
  <c r="I2140" i="1" s="1"/>
  <c r="K2140" i="1" s="1"/>
  <c r="F2140" i="1"/>
  <c r="D2140" i="1"/>
  <c r="C2140" i="1"/>
  <c r="E2140" i="1" s="1"/>
  <c r="B2140" i="1"/>
  <c r="A2140" i="1"/>
  <c r="M2139" i="1"/>
  <c r="L2139" i="1"/>
  <c r="K2139" i="1"/>
  <c r="J2139" i="1"/>
  <c r="H2139" i="1"/>
  <c r="G2139" i="1"/>
  <c r="I2139" i="1" s="1"/>
  <c r="E2139" i="1"/>
  <c r="D2139" i="1"/>
  <c r="C2139" i="1"/>
  <c r="F2139" i="1" s="1"/>
  <c r="B2139" i="1"/>
  <c r="A2139" i="1"/>
  <c r="L2138" i="1"/>
  <c r="M2138" i="1" s="1"/>
  <c r="K2138" i="1"/>
  <c r="J2138" i="1"/>
  <c r="I2138" i="1"/>
  <c r="H2138" i="1"/>
  <c r="G2138" i="1"/>
  <c r="F2138" i="1"/>
  <c r="E2138" i="1"/>
  <c r="D2138" i="1"/>
  <c r="C2138" i="1"/>
  <c r="B2138" i="1"/>
  <c r="A2138" i="1"/>
  <c r="L2137" i="1"/>
  <c r="M2137" i="1" s="1"/>
  <c r="K2137" i="1"/>
  <c r="J2137" i="1"/>
  <c r="H2137" i="1"/>
  <c r="G2137" i="1"/>
  <c r="I2137" i="1" s="1"/>
  <c r="F2137" i="1"/>
  <c r="E2137" i="1"/>
  <c r="C2137" i="1"/>
  <c r="D2137" i="1" s="1"/>
  <c r="B2137" i="1"/>
  <c r="A2137" i="1"/>
  <c r="M2136" i="1"/>
  <c r="L2136" i="1"/>
  <c r="J2136" i="1"/>
  <c r="H2136" i="1"/>
  <c r="G2136" i="1"/>
  <c r="I2136" i="1" s="1"/>
  <c r="K2136" i="1" s="1"/>
  <c r="F2136" i="1"/>
  <c r="E2136" i="1"/>
  <c r="D2136" i="1"/>
  <c r="C2136" i="1"/>
  <c r="B2136" i="1"/>
  <c r="A2136" i="1"/>
  <c r="M2135" i="1"/>
  <c r="L2135" i="1"/>
  <c r="J2135" i="1"/>
  <c r="I2135" i="1"/>
  <c r="K2135" i="1" s="1"/>
  <c r="H2135" i="1"/>
  <c r="G2135" i="1"/>
  <c r="F2135" i="1"/>
  <c r="C2135" i="1"/>
  <c r="D2135" i="1" s="1"/>
  <c r="B2135" i="1"/>
  <c r="A2135" i="1"/>
  <c r="M2134" i="1"/>
  <c r="L2134" i="1"/>
  <c r="J2134" i="1"/>
  <c r="H2134" i="1"/>
  <c r="G2134" i="1"/>
  <c r="I2134" i="1" s="1"/>
  <c r="K2134" i="1" s="1"/>
  <c r="F2134" i="1"/>
  <c r="D2134" i="1"/>
  <c r="C2134" i="1"/>
  <c r="E2134" i="1" s="1"/>
  <c r="B2134" i="1"/>
  <c r="A2134" i="1"/>
  <c r="M2133" i="1"/>
  <c r="L2133" i="1"/>
  <c r="J2133" i="1"/>
  <c r="H2133" i="1"/>
  <c r="G2133" i="1"/>
  <c r="I2133" i="1" s="1"/>
  <c r="K2133" i="1" s="1"/>
  <c r="E2133" i="1"/>
  <c r="D2133" i="1"/>
  <c r="C2133" i="1"/>
  <c r="F2133" i="1" s="1"/>
  <c r="B2133" i="1"/>
  <c r="A2133" i="1"/>
  <c r="L2132" i="1"/>
  <c r="M2132" i="1" s="1"/>
  <c r="J2132" i="1"/>
  <c r="K2132" i="1" s="1"/>
  <c r="I2132" i="1"/>
  <c r="H2132" i="1"/>
  <c r="G2132" i="1"/>
  <c r="F2132" i="1"/>
  <c r="E2132" i="1"/>
  <c r="D2132" i="1"/>
  <c r="C2132" i="1"/>
  <c r="B2132" i="1"/>
  <c r="A2132" i="1"/>
  <c r="M2131" i="1"/>
  <c r="L2131" i="1"/>
  <c r="J2131" i="1"/>
  <c r="H2131" i="1"/>
  <c r="G2131" i="1"/>
  <c r="I2131" i="1" s="1"/>
  <c r="K2131" i="1" s="1"/>
  <c r="F2131" i="1"/>
  <c r="E2131" i="1"/>
  <c r="C2131" i="1"/>
  <c r="D2131" i="1" s="1"/>
  <c r="B2131" i="1"/>
  <c r="A2131" i="1"/>
  <c r="M2130" i="1"/>
  <c r="L2130" i="1"/>
  <c r="J2130" i="1"/>
  <c r="H2130" i="1"/>
  <c r="G2130" i="1"/>
  <c r="I2130" i="1" s="1"/>
  <c r="K2130" i="1" s="1"/>
  <c r="F2130" i="1"/>
  <c r="E2130" i="1"/>
  <c r="D2130" i="1"/>
  <c r="C2130" i="1"/>
  <c r="B2130" i="1"/>
  <c r="A2130" i="1"/>
  <c r="L2129" i="1"/>
  <c r="M2129" i="1" s="1"/>
  <c r="J2129" i="1"/>
  <c r="H2129" i="1"/>
  <c r="G2129" i="1"/>
  <c r="I2129" i="1" s="1"/>
  <c r="K2129" i="1" s="1"/>
  <c r="F2129" i="1"/>
  <c r="C2129" i="1"/>
  <c r="D2129" i="1" s="1"/>
  <c r="B2129" i="1"/>
  <c r="A2129" i="1"/>
  <c r="M2128" i="1"/>
  <c r="L2128" i="1"/>
  <c r="J2128" i="1"/>
  <c r="H2128" i="1"/>
  <c r="G2128" i="1"/>
  <c r="I2128" i="1" s="1"/>
  <c r="K2128" i="1" s="1"/>
  <c r="F2128" i="1"/>
  <c r="D2128" i="1"/>
  <c r="C2128" i="1"/>
  <c r="E2128" i="1" s="1"/>
  <c r="B2128" i="1"/>
  <c r="A2128" i="1"/>
  <c r="M2127" i="1"/>
  <c r="L2127" i="1"/>
  <c r="J2127" i="1"/>
  <c r="H2127" i="1"/>
  <c r="G2127" i="1"/>
  <c r="I2127" i="1" s="1"/>
  <c r="K2127" i="1" s="1"/>
  <c r="E2127" i="1"/>
  <c r="D2127" i="1"/>
  <c r="C2127" i="1"/>
  <c r="F2127" i="1" s="1"/>
  <c r="B2127" i="1"/>
  <c r="A2127" i="1"/>
  <c r="L2126" i="1"/>
  <c r="M2126" i="1" s="1"/>
  <c r="K2126" i="1"/>
  <c r="J2126" i="1"/>
  <c r="I2126" i="1"/>
  <c r="H2126" i="1"/>
  <c r="G2126" i="1"/>
  <c r="F2126" i="1"/>
  <c r="E2126" i="1"/>
  <c r="D2126" i="1"/>
  <c r="C2126" i="1"/>
  <c r="B2126" i="1"/>
  <c r="A2126" i="1"/>
  <c r="M2125" i="1"/>
  <c r="L2125" i="1"/>
  <c r="J2125" i="1"/>
  <c r="H2125" i="1"/>
  <c r="G2125" i="1"/>
  <c r="I2125" i="1" s="1"/>
  <c r="K2125" i="1" s="1"/>
  <c r="F2125" i="1"/>
  <c r="E2125" i="1"/>
  <c r="C2125" i="1"/>
  <c r="D2125" i="1" s="1"/>
  <c r="B2125" i="1"/>
  <c r="A2125" i="1"/>
  <c r="L2124" i="1"/>
  <c r="M2124" i="1" s="1"/>
  <c r="J2124" i="1"/>
  <c r="H2124" i="1"/>
  <c r="G2124" i="1"/>
  <c r="I2124" i="1" s="1"/>
  <c r="K2124" i="1" s="1"/>
  <c r="F2124" i="1"/>
  <c r="E2124" i="1"/>
  <c r="D2124" i="1"/>
  <c r="C2124" i="1"/>
  <c r="B2124" i="1"/>
  <c r="A2124" i="1"/>
  <c r="M2123" i="1"/>
  <c r="L2123" i="1"/>
  <c r="J2123" i="1"/>
  <c r="H2123" i="1"/>
  <c r="G2123" i="1"/>
  <c r="I2123" i="1" s="1"/>
  <c r="K2123" i="1" s="1"/>
  <c r="F2123" i="1"/>
  <c r="C2123" i="1"/>
  <c r="D2123" i="1" s="1"/>
  <c r="B2123" i="1"/>
  <c r="A2123" i="1"/>
  <c r="L2122" i="1"/>
  <c r="M2122" i="1" s="1"/>
  <c r="J2122" i="1"/>
  <c r="H2122" i="1"/>
  <c r="G2122" i="1"/>
  <c r="I2122" i="1" s="1"/>
  <c r="K2122" i="1" s="1"/>
  <c r="F2122" i="1"/>
  <c r="D2122" i="1"/>
  <c r="C2122" i="1"/>
  <c r="E2122" i="1" s="1"/>
  <c r="B2122" i="1"/>
  <c r="A2122" i="1"/>
  <c r="M2121" i="1"/>
  <c r="L2121" i="1"/>
  <c r="J2121" i="1"/>
  <c r="H2121" i="1"/>
  <c r="G2121" i="1"/>
  <c r="I2121" i="1" s="1"/>
  <c r="K2121" i="1" s="1"/>
  <c r="E2121" i="1"/>
  <c r="D2121" i="1"/>
  <c r="C2121" i="1"/>
  <c r="F2121" i="1" s="1"/>
  <c r="B2121" i="1"/>
  <c r="A2121" i="1"/>
  <c r="L2120" i="1"/>
  <c r="M2120" i="1" s="1"/>
  <c r="K2120" i="1"/>
  <c r="J2120" i="1"/>
  <c r="I2120" i="1"/>
  <c r="H2120" i="1"/>
  <c r="G2120" i="1"/>
  <c r="F2120" i="1"/>
  <c r="E2120" i="1"/>
  <c r="D2120" i="1"/>
  <c r="C2120" i="1"/>
  <c r="B2120" i="1"/>
  <c r="A2120" i="1"/>
  <c r="L2119" i="1"/>
  <c r="M2119" i="1" s="1"/>
  <c r="J2119" i="1"/>
  <c r="H2119" i="1"/>
  <c r="G2119" i="1"/>
  <c r="I2119" i="1" s="1"/>
  <c r="K2119" i="1" s="1"/>
  <c r="F2119" i="1"/>
  <c r="E2119" i="1"/>
  <c r="C2119" i="1"/>
  <c r="D2119" i="1" s="1"/>
  <c r="B2119" i="1"/>
  <c r="A2119" i="1"/>
  <c r="M2118" i="1"/>
  <c r="L2118" i="1"/>
  <c r="J2118" i="1"/>
  <c r="H2118" i="1"/>
  <c r="G2118" i="1"/>
  <c r="I2118" i="1" s="1"/>
  <c r="K2118" i="1" s="1"/>
  <c r="F2118" i="1"/>
  <c r="E2118" i="1"/>
  <c r="D2118" i="1"/>
  <c r="C2118" i="1"/>
  <c r="B2118" i="1"/>
  <c r="A2118" i="1"/>
  <c r="M2117" i="1"/>
  <c r="L2117" i="1"/>
  <c r="J2117" i="1"/>
  <c r="I2117" i="1"/>
  <c r="K2117" i="1" s="1"/>
  <c r="H2117" i="1"/>
  <c r="G2117" i="1"/>
  <c r="F2117" i="1"/>
  <c r="C2117" i="1"/>
  <c r="D2117" i="1" s="1"/>
  <c r="B2117" i="1"/>
  <c r="A2117" i="1"/>
  <c r="M2116" i="1"/>
  <c r="L2116" i="1"/>
  <c r="J2116" i="1"/>
  <c r="H2116" i="1"/>
  <c r="G2116" i="1"/>
  <c r="I2116" i="1" s="1"/>
  <c r="K2116" i="1" s="1"/>
  <c r="F2116" i="1"/>
  <c r="D2116" i="1"/>
  <c r="C2116" i="1"/>
  <c r="E2116" i="1" s="1"/>
  <c r="B2116" i="1"/>
  <c r="A2116" i="1"/>
  <c r="M2115" i="1"/>
  <c r="L2115" i="1"/>
  <c r="J2115" i="1"/>
  <c r="H2115" i="1"/>
  <c r="G2115" i="1"/>
  <c r="I2115" i="1" s="1"/>
  <c r="K2115" i="1" s="1"/>
  <c r="E2115" i="1"/>
  <c r="D2115" i="1"/>
  <c r="C2115" i="1"/>
  <c r="F2115" i="1" s="1"/>
  <c r="B2115" i="1"/>
  <c r="A2115" i="1"/>
  <c r="L2114" i="1"/>
  <c r="M2114" i="1" s="1"/>
  <c r="K2114" i="1"/>
  <c r="J2114" i="1"/>
  <c r="I2114" i="1"/>
  <c r="H2114" i="1"/>
  <c r="G2114" i="1"/>
  <c r="F2114" i="1"/>
  <c r="E2114" i="1"/>
  <c r="D2114" i="1"/>
  <c r="C2114" i="1"/>
  <c r="B2114" i="1"/>
  <c r="A2114" i="1"/>
  <c r="M2113" i="1"/>
  <c r="L2113" i="1"/>
  <c r="J2113" i="1"/>
  <c r="H2113" i="1"/>
  <c r="G2113" i="1"/>
  <c r="I2113" i="1" s="1"/>
  <c r="K2113" i="1" s="1"/>
  <c r="F2113" i="1"/>
  <c r="E2113" i="1"/>
  <c r="C2113" i="1"/>
  <c r="D2113" i="1" s="1"/>
  <c r="B2113" i="1"/>
  <c r="A2113" i="1"/>
  <c r="M2112" i="1"/>
  <c r="L2112" i="1"/>
  <c r="J2112" i="1"/>
  <c r="H2112" i="1"/>
  <c r="G2112" i="1"/>
  <c r="I2112" i="1" s="1"/>
  <c r="K2112" i="1" s="1"/>
  <c r="F2112" i="1"/>
  <c r="E2112" i="1"/>
  <c r="D2112" i="1"/>
  <c r="C2112" i="1"/>
  <c r="B2112" i="1"/>
  <c r="A2112" i="1"/>
  <c r="L2111" i="1"/>
  <c r="M2111" i="1" s="1"/>
  <c r="J2111" i="1"/>
  <c r="H2111" i="1"/>
  <c r="G2111" i="1"/>
  <c r="I2111" i="1" s="1"/>
  <c r="K2111" i="1" s="1"/>
  <c r="C2111" i="1"/>
  <c r="B2111" i="1"/>
  <c r="A2111" i="1"/>
  <c r="L2110" i="1"/>
  <c r="M2110" i="1" s="1"/>
  <c r="J2110" i="1"/>
  <c r="I2110" i="1"/>
  <c r="K2110" i="1" s="1"/>
  <c r="H2110" i="1"/>
  <c r="G2110" i="1"/>
  <c r="F2110" i="1"/>
  <c r="D2110" i="1"/>
  <c r="C2110" i="1"/>
  <c r="E2110" i="1" s="1"/>
  <c r="B2110" i="1"/>
  <c r="A2110" i="1"/>
  <c r="M2109" i="1"/>
  <c r="L2109" i="1"/>
  <c r="J2109" i="1"/>
  <c r="I2109" i="1"/>
  <c r="K2109" i="1" s="1"/>
  <c r="H2109" i="1"/>
  <c r="G2109" i="1"/>
  <c r="E2109" i="1"/>
  <c r="D2109" i="1"/>
  <c r="C2109" i="1"/>
  <c r="F2109" i="1" s="1"/>
  <c r="B2109" i="1"/>
  <c r="A2109" i="1"/>
  <c r="L2108" i="1"/>
  <c r="M2108" i="1" s="1"/>
  <c r="J2108" i="1"/>
  <c r="K2108" i="1" s="1"/>
  <c r="I2108" i="1"/>
  <c r="H2108" i="1"/>
  <c r="G2108" i="1"/>
  <c r="F2108" i="1"/>
  <c r="E2108" i="1"/>
  <c r="D2108" i="1"/>
  <c r="C2108" i="1"/>
  <c r="B2108" i="1"/>
  <c r="A2108" i="1"/>
  <c r="L2107" i="1"/>
  <c r="M2107" i="1" s="1"/>
  <c r="J2107" i="1"/>
  <c r="I2107" i="1"/>
  <c r="K2107" i="1" s="1"/>
  <c r="H2107" i="1"/>
  <c r="G2107" i="1"/>
  <c r="F2107" i="1"/>
  <c r="E2107" i="1"/>
  <c r="C2107" i="1"/>
  <c r="D2107" i="1" s="1"/>
  <c r="B2107" i="1"/>
  <c r="A2107" i="1"/>
  <c r="L2106" i="1"/>
  <c r="M2106" i="1" s="1"/>
  <c r="J2106" i="1"/>
  <c r="H2106" i="1"/>
  <c r="G2106" i="1"/>
  <c r="I2106" i="1" s="1"/>
  <c r="K2106" i="1" s="1"/>
  <c r="F2106" i="1"/>
  <c r="E2106" i="1"/>
  <c r="D2106" i="1"/>
  <c r="C2106" i="1"/>
  <c r="B2106" i="1"/>
  <c r="A2106" i="1"/>
  <c r="M2105" i="1"/>
  <c r="L2105" i="1"/>
  <c r="J2105" i="1"/>
  <c r="H2105" i="1"/>
  <c r="G2105" i="1"/>
  <c r="I2105" i="1" s="1"/>
  <c r="K2105" i="1" s="1"/>
  <c r="F2105" i="1"/>
  <c r="C2105" i="1"/>
  <c r="B2105" i="1"/>
  <c r="A2105" i="1"/>
  <c r="L2104" i="1"/>
  <c r="M2104" i="1" s="1"/>
  <c r="J2104" i="1"/>
  <c r="H2104" i="1"/>
  <c r="G2104" i="1"/>
  <c r="I2104" i="1" s="1"/>
  <c r="K2104" i="1" s="1"/>
  <c r="F2104" i="1"/>
  <c r="D2104" i="1"/>
  <c r="C2104" i="1"/>
  <c r="E2104" i="1" s="1"/>
  <c r="B2104" i="1"/>
  <c r="A2104" i="1"/>
  <c r="M2103" i="1"/>
  <c r="L2103" i="1"/>
  <c r="J2103" i="1"/>
  <c r="H2103" i="1"/>
  <c r="G2103" i="1"/>
  <c r="I2103" i="1" s="1"/>
  <c r="K2103" i="1" s="1"/>
  <c r="E2103" i="1"/>
  <c r="D2103" i="1"/>
  <c r="C2103" i="1"/>
  <c r="F2103" i="1" s="1"/>
  <c r="B2103" i="1"/>
  <c r="A2103" i="1"/>
  <c r="L2102" i="1"/>
  <c r="M2102" i="1" s="1"/>
  <c r="J2102" i="1"/>
  <c r="K2102" i="1" s="1"/>
  <c r="I2102" i="1"/>
  <c r="H2102" i="1"/>
  <c r="G2102" i="1"/>
  <c r="F2102" i="1"/>
  <c r="E2102" i="1"/>
  <c r="D2102" i="1"/>
  <c r="C2102" i="1"/>
  <c r="B2102" i="1"/>
  <c r="A2102" i="1"/>
  <c r="M2101" i="1"/>
  <c r="L2101" i="1"/>
  <c r="J2101" i="1"/>
  <c r="H2101" i="1"/>
  <c r="G2101" i="1"/>
  <c r="I2101" i="1" s="1"/>
  <c r="K2101" i="1" s="1"/>
  <c r="E2101" i="1"/>
  <c r="C2101" i="1"/>
  <c r="D2101" i="1" s="1"/>
  <c r="B2101" i="1"/>
  <c r="A2101" i="1"/>
  <c r="M2100" i="1"/>
  <c r="L2100" i="1"/>
  <c r="J2100" i="1"/>
  <c r="H2100" i="1"/>
  <c r="G2100" i="1"/>
  <c r="I2100" i="1" s="1"/>
  <c r="F2100" i="1"/>
  <c r="E2100" i="1"/>
  <c r="D2100" i="1"/>
  <c r="C2100" i="1"/>
  <c r="B2100" i="1"/>
  <c r="A2100" i="1"/>
  <c r="M2099" i="1"/>
  <c r="L2099" i="1"/>
  <c r="J2099" i="1"/>
  <c r="I2099" i="1"/>
  <c r="K2099" i="1" s="1"/>
  <c r="H2099" i="1"/>
  <c r="G2099" i="1"/>
  <c r="C2099" i="1"/>
  <c r="B2099" i="1"/>
  <c r="A2099" i="1"/>
  <c r="M2098" i="1"/>
  <c r="L2098" i="1"/>
  <c r="J2098" i="1"/>
  <c r="H2098" i="1"/>
  <c r="G2098" i="1"/>
  <c r="I2098" i="1" s="1"/>
  <c r="K2098" i="1" s="1"/>
  <c r="F2098" i="1"/>
  <c r="D2098" i="1"/>
  <c r="C2098" i="1"/>
  <c r="E2098" i="1" s="1"/>
  <c r="B2098" i="1"/>
  <c r="A2098" i="1"/>
  <c r="M2097" i="1"/>
  <c r="L2097" i="1"/>
  <c r="J2097" i="1"/>
  <c r="H2097" i="1"/>
  <c r="G2097" i="1"/>
  <c r="I2097" i="1" s="1"/>
  <c r="K2097" i="1" s="1"/>
  <c r="E2097" i="1"/>
  <c r="D2097" i="1"/>
  <c r="C2097" i="1"/>
  <c r="F2097" i="1" s="1"/>
  <c r="B2097" i="1"/>
  <c r="A2097" i="1"/>
  <c r="L2096" i="1"/>
  <c r="M2096" i="1" s="1"/>
  <c r="K2096" i="1"/>
  <c r="J2096" i="1"/>
  <c r="I2096" i="1"/>
  <c r="H2096" i="1"/>
  <c r="G2096" i="1"/>
  <c r="F2096" i="1"/>
  <c r="E2096" i="1"/>
  <c r="D2096" i="1"/>
  <c r="C2096" i="1"/>
  <c r="B2096" i="1"/>
  <c r="A2096" i="1"/>
  <c r="M2095" i="1"/>
  <c r="L2095" i="1"/>
  <c r="J2095" i="1"/>
  <c r="H2095" i="1"/>
  <c r="G2095" i="1"/>
  <c r="I2095" i="1" s="1"/>
  <c r="K2095" i="1" s="1"/>
  <c r="F2095" i="1"/>
  <c r="C2095" i="1"/>
  <c r="D2095" i="1" s="1"/>
  <c r="B2095" i="1"/>
  <c r="A2095" i="1"/>
  <c r="M2094" i="1"/>
  <c r="L2094" i="1"/>
  <c r="J2094" i="1"/>
  <c r="H2094" i="1"/>
  <c r="G2094" i="1"/>
  <c r="I2094" i="1" s="1"/>
  <c r="K2094" i="1" s="1"/>
  <c r="F2094" i="1"/>
  <c r="E2094" i="1"/>
  <c r="D2094" i="1"/>
  <c r="C2094" i="1"/>
  <c r="B2094" i="1"/>
  <c r="A2094" i="1"/>
  <c r="L2093" i="1"/>
  <c r="M2093" i="1" s="1"/>
  <c r="J2093" i="1"/>
  <c r="H2093" i="1"/>
  <c r="G2093" i="1"/>
  <c r="I2093" i="1" s="1"/>
  <c r="K2093" i="1" s="1"/>
  <c r="C2093" i="1"/>
  <c r="B2093" i="1"/>
  <c r="A2093" i="1"/>
  <c r="L2092" i="1"/>
  <c r="M2092" i="1" s="1"/>
  <c r="J2092" i="1"/>
  <c r="I2092" i="1"/>
  <c r="K2092" i="1" s="1"/>
  <c r="H2092" i="1"/>
  <c r="G2092" i="1"/>
  <c r="F2092" i="1"/>
  <c r="D2092" i="1"/>
  <c r="C2092" i="1"/>
  <c r="E2092" i="1" s="1"/>
  <c r="B2092" i="1"/>
  <c r="A2092" i="1"/>
  <c r="M2091" i="1"/>
  <c r="L2091" i="1"/>
  <c r="J2091" i="1"/>
  <c r="I2091" i="1"/>
  <c r="K2091" i="1" s="1"/>
  <c r="H2091" i="1"/>
  <c r="G2091" i="1"/>
  <c r="E2091" i="1"/>
  <c r="D2091" i="1"/>
  <c r="C2091" i="1"/>
  <c r="F2091" i="1" s="1"/>
  <c r="B2091" i="1"/>
  <c r="A2091" i="1"/>
  <c r="L2090" i="1"/>
  <c r="M2090" i="1" s="1"/>
  <c r="J2090" i="1"/>
  <c r="K2090" i="1" s="1"/>
  <c r="I2090" i="1"/>
  <c r="H2090" i="1"/>
  <c r="G2090" i="1"/>
  <c r="F2090" i="1"/>
  <c r="E2090" i="1"/>
  <c r="D2090" i="1"/>
  <c r="C2090" i="1"/>
  <c r="B2090" i="1"/>
  <c r="A2090" i="1"/>
  <c r="L2089" i="1"/>
  <c r="M2089" i="1" s="1"/>
  <c r="J2089" i="1"/>
  <c r="I2089" i="1"/>
  <c r="K2089" i="1" s="1"/>
  <c r="H2089" i="1"/>
  <c r="G2089" i="1"/>
  <c r="F2089" i="1"/>
  <c r="E2089" i="1"/>
  <c r="C2089" i="1"/>
  <c r="D2089" i="1" s="1"/>
  <c r="B2089" i="1"/>
  <c r="A2089" i="1"/>
  <c r="L2088" i="1"/>
  <c r="M2088" i="1" s="1"/>
  <c r="J2088" i="1"/>
  <c r="H2088" i="1"/>
  <c r="G2088" i="1"/>
  <c r="I2088" i="1" s="1"/>
  <c r="K2088" i="1" s="1"/>
  <c r="F2088" i="1"/>
  <c r="E2088" i="1"/>
  <c r="D2088" i="1"/>
  <c r="C2088" i="1"/>
  <c r="B2088" i="1"/>
  <c r="A2088" i="1"/>
  <c r="M2087" i="1"/>
  <c r="L2087" i="1"/>
  <c r="J2087" i="1"/>
  <c r="H2087" i="1"/>
  <c r="G2087" i="1"/>
  <c r="I2087" i="1" s="1"/>
  <c r="K2087" i="1" s="1"/>
  <c r="F2087" i="1"/>
  <c r="C2087" i="1"/>
  <c r="B2087" i="1"/>
  <c r="A2087" i="1"/>
  <c r="L2086" i="1"/>
  <c r="M2086" i="1" s="1"/>
  <c r="J2086" i="1"/>
  <c r="H2086" i="1"/>
  <c r="G2086" i="1"/>
  <c r="I2086" i="1" s="1"/>
  <c r="K2086" i="1" s="1"/>
  <c r="F2086" i="1"/>
  <c r="D2086" i="1"/>
  <c r="C2086" i="1"/>
  <c r="E2086" i="1" s="1"/>
  <c r="B2086" i="1"/>
  <c r="A2086" i="1"/>
  <c r="M2085" i="1"/>
  <c r="L2085" i="1"/>
  <c r="J2085" i="1"/>
  <c r="H2085" i="1"/>
  <c r="G2085" i="1"/>
  <c r="I2085" i="1" s="1"/>
  <c r="K2085" i="1" s="1"/>
  <c r="D2085" i="1"/>
  <c r="C2085" i="1"/>
  <c r="F2085" i="1" s="1"/>
  <c r="B2085" i="1"/>
  <c r="A2085" i="1"/>
  <c r="L2084" i="1"/>
  <c r="M2084" i="1" s="1"/>
  <c r="J2084" i="1"/>
  <c r="K2084" i="1" s="1"/>
  <c r="I2084" i="1"/>
  <c r="H2084" i="1"/>
  <c r="G2084" i="1"/>
  <c r="D2084" i="1"/>
  <c r="C2084" i="1"/>
  <c r="F2084" i="1" s="1"/>
  <c r="B2084" i="1"/>
  <c r="A2084" i="1"/>
  <c r="M2083" i="1"/>
  <c r="L2083" i="1"/>
  <c r="J2083" i="1"/>
  <c r="H2083" i="1"/>
  <c r="G2083" i="1"/>
  <c r="I2083" i="1" s="1"/>
  <c r="K2083" i="1" s="1"/>
  <c r="F2083" i="1"/>
  <c r="E2083" i="1"/>
  <c r="D2083" i="1"/>
  <c r="C2083" i="1"/>
  <c r="B2083" i="1"/>
  <c r="A2083" i="1"/>
  <c r="L2082" i="1"/>
  <c r="M2082" i="1" s="1"/>
  <c r="J2082" i="1"/>
  <c r="H2082" i="1"/>
  <c r="G2082" i="1"/>
  <c r="I2082" i="1" s="1"/>
  <c r="F2082" i="1"/>
  <c r="E2082" i="1"/>
  <c r="D2082" i="1"/>
  <c r="C2082" i="1"/>
  <c r="B2082" i="1"/>
  <c r="A2082" i="1"/>
  <c r="M2081" i="1"/>
  <c r="L2081" i="1"/>
  <c r="J2081" i="1"/>
  <c r="I2081" i="1"/>
  <c r="K2081" i="1" s="1"/>
  <c r="H2081" i="1"/>
  <c r="G2081" i="1"/>
  <c r="C2081" i="1"/>
  <c r="D2081" i="1" s="1"/>
  <c r="B2081" i="1"/>
  <c r="A2081" i="1"/>
  <c r="M2080" i="1"/>
  <c r="L2080" i="1"/>
  <c r="J2080" i="1"/>
  <c r="I2080" i="1"/>
  <c r="K2080" i="1" s="1"/>
  <c r="H2080" i="1"/>
  <c r="G2080" i="1"/>
  <c r="F2080" i="1"/>
  <c r="D2080" i="1"/>
  <c r="C2080" i="1"/>
  <c r="E2080" i="1" s="1"/>
  <c r="B2080" i="1"/>
  <c r="A2080" i="1"/>
  <c r="M2079" i="1"/>
  <c r="L2079" i="1"/>
  <c r="J2079" i="1"/>
  <c r="I2079" i="1"/>
  <c r="K2079" i="1" s="1"/>
  <c r="H2079" i="1"/>
  <c r="G2079" i="1"/>
  <c r="E2079" i="1"/>
  <c r="D2079" i="1"/>
  <c r="C2079" i="1"/>
  <c r="F2079" i="1" s="1"/>
  <c r="B2079" i="1"/>
  <c r="A2079" i="1"/>
  <c r="L2078" i="1"/>
  <c r="M2078" i="1" s="1"/>
  <c r="K2078" i="1"/>
  <c r="J2078" i="1"/>
  <c r="I2078" i="1"/>
  <c r="H2078" i="1"/>
  <c r="G2078" i="1"/>
  <c r="E2078" i="1"/>
  <c r="D2078" i="1"/>
  <c r="C2078" i="1"/>
  <c r="F2078" i="1" s="1"/>
  <c r="B2078" i="1"/>
  <c r="A2078" i="1"/>
  <c r="L2077" i="1"/>
  <c r="M2077" i="1" s="1"/>
  <c r="J2077" i="1"/>
  <c r="I2077" i="1"/>
  <c r="K2077" i="1" s="1"/>
  <c r="H2077" i="1"/>
  <c r="G2077" i="1"/>
  <c r="C2077" i="1"/>
  <c r="F2077" i="1" s="1"/>
  <c r="B2077" i="1"/>
  <c r="A2077" i="1"/>
  <c r="M2076" i="1"/>
  <c r="L2076" i="1"/>
  <c r="J2076" i="1"/>
  <c r="H2076" i="1"/>
  <c r="G2076" i="1"/>
  <c r="I2076" i="1" s="1"/>
  <c r="K2076" i="1" s="1"/>
  <c r="F2076" i="1"/>
  <c r="E2076" i="1"/>
  <c r="D2076" i="1"/>
  <c r="C2076" i="1"/>
  <c r="B2076" i="1"/>
  <c r="A2076" i="1"/>
  <c r="L2075" i="1"/>
  <c r="M2075" i="1" s="1"/>
  <c r="J2075" i="1"/>
  <c r="H2075" i="1"/>
  <c r="G2075" i="1"/>
  <c r="I2075" i="1" s="1"/>
  <c r="K2075" i="1" s="1"/>
  <c r="C2075" i="1"/>
  <c r="D2075" i="1" s="1"/>
  <c r="B2075" i="1"/>
  <c r="A2075" i="1"/>
  <c r="M2074" i="1"/>
  <c r="L2074" i="1"/>
  <c r="J2074" i="1"/>
  <c r="H2074" i="1"/>
  <c r="G2074" i="1"/>
  <c r="I2074" i="1" s="1"/>
  <c r="K2074" i="1" s="1"/>
  <c r="C2074" i="1"/>
  <c r="E2074" i="1" s="1"/>
  <c r="B2074" i="1"/>
  <c r="A2074" i="1"/>
  <c r="M2073" i="1"/>
  <c r="L2073" i="1"/>
  <c r="J2073" i="1"/>
  <c r="H2073" i="1"/>
  <c r="G2073" i="1"/>
  <c r="I2073" i="1" s="1"/>
  <c r="K2073" i="1" s="1"/>
  <c r="C2073" i="1"/>
  <c r="F2073" i="1" s="1"/>
  <c r="B2073" i="1"/>
  <c r="A2073" i="1"/>
  <c r="L2072" i="1"/>
  <c r="M2072" i="1" s="1"/>
  <c r="K2072" i="1"/>
  <c r="J2072" i="1"/>
  <c r="I2072" i="1"/>
  <c r="H2072" i="1"/>
  <c r="G2072" i="1"/>
  <c r="F2072" i="1"/>
  <c r="C2072" i="1"/>
  <c r="E2072" i="1" s="1"/>
  <c r="B2072" i="1"/>
  <c r="A2072" i="1"/>
  <c r="M2071" i="1"/>
  <c r="L2071" i="1"/>
  <c r="J2071" i="1"/>
  <c r="H2071" i="1"/>
  <c r="G2071" i="1"/>
  <c r="I2071" i="1" s="1"/>
  <c r="K2071" i="1" s="1"/>
  <c r="C2071" i="1"/>
  <c r="D2071" i="1" s="1"/>
  <c r="B2071" i="1"/>
  <c r="A2071" i="1"/>
  <c r="M2070" i="1"/>
  <c r="L2070" i="1"/>
  <c r="J2070" i="1"/>
  <c r="H2070" i="1"/>
  <c r="G2070" i="1"/>
  <c r="I2070" i="1" s="1"/>
  <c r="F2070" i="1"/>
  <c r="E2070" i="1"/>
  <c r="D2070" i="1"/>
  <c r="C2070" i="1"/>
  <c r="B2070" i="1"/>
  <c r="A2070" i="1"/>
  <c r="M2069" i="1"/>
  <c r="L2069" i="1"/>
  <c r="J2069" i="1"/>
  <c r="I2069" i="1"/>
  <c r="K2069" i="1" s="1"/>
  <c r="H2069" i="1"/>
  <c r="G2069" i="1"/>
  <c r="F2069" i="1"/>
  <c r="E2069" i="1"/>
  <c r="C2069" i="1"/>
  <c r="D2069" i="1" s="1"/>
  <c r="B2069" i="1"/>
  <c r="A2069" i="1"/>
  <c r="L2068" i="1"/>
  <c r="M2068" i="1" s="1"/>
  <c r="J2068" i="1"/>
  <c r="H2068" i="1"/>
  <c r="G2068" i="1"/>
  <c r="I2068" i="1" s="1"/>
  <c r="K2068" i="1" s="1"/>
  <c r="D2068" i="1"/>
  <c r="C2068" i="1"/>
  <c r="E2068" i="1" s="1"/>
  <c r="B2068" i="1"/>
  <c r="A2068" i="1"/>
  <c r="M2067" i="1"/>
  <c r="L2067" i="1"/>
  <c r="J2067" i="1"/>
  <c r="H2067" i="1"/>
  <c r="G2067" i="1"/>
  <c r="I2067" i="1" s="1"/>
  <c r="K2067" i="1" s="1"/>
  <c r="F2067" i="1"/>
  <c r="E2067" i="1"/>
  <c r="D2067" i="1"/>
  <c r="C2067" i="1"/>
  <c r="B2067" i="1"/>
  <c r="A2067" i="1"/>
  <c r="L2066" i="1"/>
  <c r="M2066" i="1" s="1"/>
  <c r="J2066" i="1"/>
  <c r="H2066" i="1"/>
  <c r="G2066" i="1"/>
  <c r="I2066" i="1" s="1"/>
  <c r="K2066" i="1" s="1"/>
  <c r="F2066" i="1"/>
  <c r="E2066" i="1"/>
  <c r="D2066" i="1"/>
  <c r="C2066" i="1"/>
  <c r="B2066" i="1"/>
  <c r="A2066" i="1"/>
  <c r="M2065" i="1"/>
  <c r="L2065" i="1"/>
  <c r="K2065" i="1"/>
  <c r="J2065" i="1"/>
  <c r="I2065" i="1"/>
  <c r="H2065" i="1"/>
  <c r="G2065" i="1"/>
  <c r="F2065" i="1"/>
  <c r="E2065" i="1"/>
  <c r="C2065" i="1"/>
  <c r="D2065" i="1" s="1"/>
  <c r="B2065" i="1"/>
  <c r="A2065" i="1"/>
  <c r="L2064" i="1"/>
  <c r="M2064" i="1" s="1"/>
  <c r="K2064" i="1"/>
  <c r="J2064" i="1"/>
  <c r="I2064" i="1"/>
  <c r="H2064" i="1"/>
  <c r="G2064" i="1"/>
  <c r="F2064" i="1"/>
  <c r="E2064" i="1"/>
  <c r="C2064" i="1"/>
  <c r="D2064" i="1" s="1"/>
  <c r="B2064" i="1"/>
  <c r="A2064" i="1"/>
  <c r="M2063" i="1"/>
  <c r="L2063" i="1"/>
  <c r="J2063" i="1"/>
  <c r="H2063" i="1"/>
  <c r="G2063" i="1"/>
  <c r="I2063" i="1" s="1"/>
  <c r="K2063" i="1" s="1"/>
  <c r="F2063" i="1"/>
  <c r="C2063" i="1"/>
  <c r="D2063" i="1" s="1"/>
  <c r="B2063" i="1"/>
  <c r="A2063" i="1"/>
  <c r="M2062" i="1"/>
  <c r="L2062" i="1"/>
  <c r="J2062" i="1"/>
  <c r="H2062" i="1"/>
  <c r="G2062" i="1"/>
  <c r="I2062" i="1" s="1"/>
  <c r="K2062" i="1" s="1"/>
  <c r="F2062" i="1"/>
  <c r="E2062" i="1"/>
  <c r="D2062" i="1"/>
  <c r="C2062" i="1"/>
  <c r="B2062" i="1"/>
  <c r="A2062" i="1"/>
  <c r="L2061" i="1"/>
  <c r="M2061" i="1" s="1"/>
  <c r="J2061" i="1"/>
  <c r="I2061" i="1"/>
  <c r="K2061" i="1" s="1"/>
  <c r="H2061" i="1"/>
  <c r="G2061" i="1"/>
  <c r="F2061" i="1"/>
  <c r="E2061" i="1"/>
  <c r="C2061" i="1"/>
  <c r="D2061" i="1" s="1"/>
  <c r="B2061" i="1"/>
  <c r="A2061" i="1"/>
  <c r="L2060" i="1"/>
  <c r="M2060" i="1" s="1"/>
  <c r="J2060" i="1"/>
  <c r="I2060" i="1"/>
  <c r="K2060" i="1" s="1"/>
  <c r="H2060" i="1"/>
  <c r="G2060" i="1"/>
  <c r="F2060" i="1"/>
  <c r="D2060" i="1"/>
  <c r="C2060" i="1"/>
  <c r="E2060" i="1" s="1"/>
  <c r="B2060" i="1"/>
  <c r="A2060" i="1"/>
  <c r="L2059" i="1"/>
  <c r="M2059" i="1" s="1"/>
  <c r="J2059" i="1"/>
  <c r="I2059" i="1"/>
  <c r="K2059" i="1" s="1"/>
  <c r="H2059" i="1"/>
  <c r="G2059" i="1"/>
  <c r="E2059" i="1"/>
  <c r="D2059" i="1"/>
  <c r="C2059" i="1"/>
  <c r="F2059" i="1" s="1"/>
  <c r="B2059" i="1"/>
  <c r="A2059" i="1"/>
  <c r="L2058" i="1"/>
  <c r="M2058" i="1" s="1"/>
  <c r="J2058" i="1"/>
  <c r="I2058" i="1"/>
  <c r="K2058" i="1" s="1"/>
  <c r="H2058" i="1"/>
  <c r="G2058" i="1"/>
  <c r="C2058" i="1"/>
  <c r="F2058" i="1" s="1"/>
  <c r="B2058" i="1"/>
  <c r="A2058" i="1"/>
  <c r="M2057" i="1"/>
  <c r="L2057" i="1"/>
  <c r="J2057" i="1"/>
  <c r="I2057" i="1"/>
  <c r="K2057" i="1" s="1"/>
  <c r="H2057" i="1"/>
  <c r="G2057" i="1"/>
  <c r="D2057" i="1"/>
  <c r="C2057" i="1"/>
  <c r="F2057" i="1" s="1"/>
  <c r="B2057" i="1"/>
  <c r="A2057" i="1"/>
  <c r="M2056" i="1"/>
  <c r="L2056" i="1"/>
  <c r="K2056" i="1"/>
  <c r="J2056" i="1"/>
  <c r="H2056" i="1"/>
  <c r="G2056" i="1"/>
  <c r="I2056" i="1" s="1"/>
  <c r="D2056" i="1"/>
  <c r="C2056" i="1"/>
  <c r="F2056" i="1" s="1"/>
  <c r="B2056" i="1"/>
  <c r="A2056" i="1"/>
  <c r="M2055" i="1"/>
  <c r="L2055" i="1"/>
  <c r="J2055" i="1"/>
  <c r="H2055" i="1"/>
  <c r="G2055" i="1"/>
  <c r="I2055" i="1" s="1"/>
  <c r="K2055" i="1" s="1"/>
  <c r="F2055" i="1"/>
  <c r="E2055" i="1"/>
  <c r="D2055" i="1"/>
  <c r="C2055" i="1"/>
  <c r="B2055" i="1"/>
  <c r="A2055" i="1"/>
  <c r="L2054" i="1"/>
  <c r="M2054" i="1" s="1"/>
  <c r="J2054" i="1"/>
  <c r="H2054" i="1"/>
  <c r="G2054" i="1"/>
  <c r="I2054" i="1" s="1"/>
  <c r="K2054" i="1" s="1"/>
  <c r="F2054" i="1"/>
  <c r="E2054" i="1"/>
  <c r="D2054" i="1"/>
  <c r="C2054" i="1"/>
  <c r="B2054" i="1"/>
  <c r="A2054" i="1"/>
  <c r="M2053" i="1"/>
  <c r="L2053" i="1"/>
  <c r="K2053" i="1"/>
  <c r="J2053" i="1"/>
  <c r="I2053" i="1"/>
  <c r="H2053" i="1"/>
  <c r="G2053" i="1"/>
  <c r="F2053" i="1"/>
  <c r="E2053" i="1"/>
  <c r="C2053" i="1"/>
  <c r="D2053" i="1" s="1"/>
  <c r="B2053" i="1"/>
  <c r="A2053" i="1"/>
  <c r="L2052" i="1"/>
  <c r="M2052" i="1" s="1"/>
  <c r="K2052" i="1"/>
  <c r="J2052" i="1"/>
  <c r="I2052" i="1"/>
  <c r="H2052" i="1"/>
  <c r="G2052" i="1"/>
  <c r="F2052" i="1"/>
  <c r="E2052" i="1"/>
  <c r="C2052" i="1"/>
  <c r="D2052" i="1" s="1"/>
  <c r="B2052" i="1"/>
  <c r="A2052" i="1"/>
  <c r="M2051" i="1"/>
  <c r="L2051" i="1"/>
  <c r="J2051" i="1"/>
  <c r="H2051" i="1"/>
  <c r="G2051" i="1"/>
  <c r="I2051" i="1" s="1"/>
  <c r="K2051" i="1" s="1"/>
  <c r="F2051" i="1"/>
  <c r="D2051" i="1"/>
  <c r="C2051" i="1"/>
  <c r="E2051" i="1" s="1"/>
  <c r="B2051" i="1"/>
  <c r="A2051" i="1"/>
  <c r="M2050" i="1"/>
  <c r="L2050" i="1"/>
  <c r="J2050" i="1"/>
  <c r="H2050" i="1"/>
  <c r="G2050" i="1"/>
  <c r="I2050" i="1" s="1"/>
  <c r="K2050" i="1" s="1"/>
  <c r="F2050" i="1"/>
  <c r="E2050" i="1"/>
  <c r="D2050" i="1"/>
  <c r="C2050" i="1"/>
  <c r="B2050" i="1"/>
  <c r="A2050" i="1"/>
  <c r="L2049" i="1"/>
  <c r="M2049" i="1" s="1"/>
  <c r="J2049" i="1"/>
  <c r="I2049" i="1"/>
  <c r="K2049" i="1" s="1"/>
  <c r="H2049" i="1"/>
  <c r="G2049" i="1"/>
  <c r="F2049" i="1"/>
  <c r="E2049" i="1"/>
  <c r="C2049" i="1"/>
  <c r="D2049" i="1" s="1"/>
  <c r="B2049" i="1"/>
  <c r="A2049" i="1"/>
  <c r="L2048" i="1"/>
  <c r="M2048" i="1" s="1"/>
  <c r="J2048" i="1"/>
  <c r="I2048" i="1"/>
  <c r="K2048" i="1" s="1"/>
  <c r="H2048" i="1"/>
  <c r="G2048" i="1"/>
  <c r="F2048" i="1"/>
  <c r="D2048" i="1"/>
  <c r="C2048" i="1"/>
  <c r="E2048" i="1" s="1"/>
  <c r="B2048" i="1"/>
  <c r="A2048" i="1"/>
  <c r="L2047" i="1"/>
  <c r="M2047" i="1" s="1"/>
  <c r="J2047" i="1"/>
  <c r="I2047" i="1"/>
  <c r="K2047" i="1" s="1"/>
  <c r="H2047" i="1"/>
  <c r="G2047" i="1"/>
  <c r="E2047" i="1"/>
  <c r="D2047" i="1"/>
  <c r="C2047" i="1"/>
  <c r="F2047" i="1" s="1"/>
  <c r="B2047" i="1"/>
  <c r="A2047" i="1"/>
  <c r="L2046" i="1"/>
  <c r="M2046" i="1" s="1"/>
  <c r="J2046" i="1"/>
  <c r="I2046" i="1"/>
  <c r="K2046" i="1" s="1"/>
  <c r="H2046" i="1"/>
  <c r="G2046" i="1"/>
  <c r="C2046" i="1"/>
  <c r="B2046" i="1"/>
  <c r="A2046" i="1"/>
  <c r="L2045" i="1"/>
  <c r="M2045" i="1" s="1"/>
  <c r="J2045" i="1"/>
  <c r="I2045" i="1"/>
  <c r="K2045" i="1" s="1"/>
  <c r="H2045" i="1"/>
  <c r="G2045" i="1"/>
  <c r="D2045" i="1"/>
  <c r="C2045" i="1"/>
  <c r="F2045" i="1" s="1"/>
  <c r="B2045" i="1"/>
  <c r="A2045" i="1"/>
  <c r="M2044" i="1"/>
  <c r="L2044" i="1"/>
  <c r="K2044" i="1"/>
  <c r="J2044" i="1"/>
  <c r="H2044" i="1"/>
  <c r="G2044" i="1"/>
  <c r="I2044" i="1" s="1"/>
  <c r="D2044" i="1"/>
  <c r="C2044" i="1"/>
  <c r="F2044" i="1" s="1"/>
  <c r="B2044" i="1"/>
  <c r="A2044" i="1"/>
  <c r="M2043" i="1"/>
  <c r="L2043" i="1"/>
  <c r="J2043" i="1"/>
  <c r="H2043" i="1"/>
  <c r="G2043" i="1"/>
  <c r="I2043" i="1" s="1"/>
  <c r="K2043" i="1" s="1"/>
  <c r="F2043" i="1"/>
  <c r="E2043" i="1"/>
  <c r="D2043" i="1"/>
  <c r="C2043" i="1"/>
  <c r="B2043" i="1"/>
  <c r="A2043" i="1"/>
  <c r="L2042" i="1"/>
  <c r="M2042" i="1" s="1"/>
  <c r="J2042" i="1"/>
  <c r="H2042" i="1"/>
  <c r="G2042" i="1"/>
  <c r="I2042" i="1" s="1"/>
  <c r="K2042" i="1" s="1"/>
  <c r="F2042" i="1"/>
  <c r="E2042" i="1"/>
  <c r="D2042" i="1"/>
  <c r="C2042" i="1"/>
  <c r="B2042" i="1"/>
  <c r="A2042" i="1"/>
  <c r="M2041" i="1"/>
  <c r="L2041" i="1"/>
  <c r="K2041" i="1"/>
  <c r="J2041" i="1"/>
  <c r="I2041" i="1"/>
  <c r="H2041" i="1"/>
  <c r="G2041" i="1"/>
  <c r="F2041" i="1"/>
  <c r="E2041" i="1"/>
  <c r="C2041" i="1"/>
  <c r="D2041" i="1" s="1"/>
  <c r="B2041" i="1"/>
  <c r="A2041" i="1"/>
  <c r="L2040" i="1"/>
  <c r="M2040" i="1" s="1"/>
  <c r="K2040" i="1"/>
  <c r="J2040" i="1"/>
  <c r="I2040" i="1"/>
  <c r="H2040" i="1"/>
  <c r="G2040" i="1"/>
  <c r="F2040" i="1"/>
  <c r="E2040" i="1"/>
  <c r="C2040" i="1"/>
  <c r="D2040" i="1" s="1"/>
  <c r="B2040" i="1"/>
  <c r="A2040" i="1"/>
  <c r="M2039" i="1"/>
  <c r="L2039" i="1"/>
  <c r="J2039" i="1"/>
  <c r="H2039" i="1"/>
  <c r="G2039" i="1"/>
  <c r="I2039" i="1" s="1"/>
  <c r="K2039" i="1" s="1"/>
  <c r="F2039" i="1"/>
  <c r="C2039" i="1"/>
  <c r="D2039" i="1" s="1"/>
  <c r="B2039" i="1"/>
  <c r="A2039" i="1"/>
  <c r="M2038" i="1"/>
  <c r="L2038" i="1"/>
  <c r="J2038" i="1"/>
  <c r="H2038" i="1"/>
  <c r="G2038" i="1"/>
  <c r="I2038" i="1" s="1"/>
  <c r="K2038" i="1" s="1"/>
  <c r="F2038" i="1"/>
  <c r="E2038" i="1"/>
  <c r="D2038" i="1"/>
  <c r="C2038" i="1"/>
  <c r="B2038" i="1"/>
  <c r="A2038" i="1"/>
  <c r="L2037" i="1"/>
  <c r="M2037" i="1" s="1"/>
  <c r="J2037" i="1"/>
  <c r="I2037" i="1"/>
  <c r="K2037" i="1" s="1"/>
  <c r="H2037" i="1"/>
  <c r="G2037" i="1"/>
  <c r="F2037" i="1"/>
  <c r="E2037" i="1"/>
  <c r="C2037" i="1"/>
  <c r="D2037" i="1" s="1"/>
  <c r="B2037" i="1"/>
  <c r="A2037" i="1"/>
  <c r="L2036" i="1"/>
  <c r="M2036" i="1" s="1"/>
  <c r="J2036" i="1"/>
  <c r="I2036" i="1"/>
  <c r="K2036" i="1" s="1"/>
  <c r="H2036" i="1"/>
  <c r="G2036" i="1"/>
  <c r="F2036" i="1"/>
  <c r="D2036" i="1"/>
  <c r="C2036" i="1"/>
  <c r="E2036" i="1" s="1"/>
  <c r="B2036" i="1"/>
  <c r="A2036" i="1"/>
  <c r="L2035" i="1"/>
  <c r="M2035" i="1" s="1"/>
  <c r="J2035" i="1"/>
  <c r="I2035" i="1"/>
  <c r="K2035" i="1" s="1"/>
  <c r="H2035" i="1"/>
  <c r="G2035" i="1"/>
  <c r="E2035" i="1"/>
  <c r="D2035" i="1"/>
  <c r="C2035" i="1"/>
  <c r="F2035" i="1" s="1"/>
  <c r="B2035" i="1"/>
  <c r="A2035" i="1"/>
  <c r="L2034" i="1"/>
  <c r="M2034" i="1" s="1"/>
  <c r="J2034" i="1"/>
  <c r="I2034" i="1"/>
  <c r="K2034" i="1" s="1"/>
  <c r="H2034" i="1"/>
  <c r="G2034" i="1"/>
  <c r="C2034" i="1"/>
  <c r="B2034" i="1"/>
  <c r="A2034" i="1"/>
  <c r="M2033" i="1"/>
  <c r="L2033" i="1"/>
  <c r="J2033" i="1"/>
  <c r="I2033" i="1"/>
  <c r="H2033" i="1"/>
  <c r="G2033" i="1"/>
  <c r="D2033" i="1"/>
  <c r="C2033" i="1"/>
  <c r="F2033" i="1" s="1"/>
  <c r="B2033" i="1"/>
  <c r="A2033" i="1"/>
  <c r="M2032" i="1"/>
  <c r="L2032" i="1"/>
  <c r="K2032" i="1"/>
  <c r="J2032" i="1"/>
  <c r="H2032" i="1"/>
  <c r="G2032" i="1"/>
  <c r="I2032" i="1" s="1"/>
  <c r="D2032" i="1"/>
  <c r="C2032" i="1"/>
  <c r="F2032" i="1" s="1"/>
  <c r="B2032" i="1"/>
  <c r="A2032" i="1"/>
  <c r="M2031" i="1"/>
  <c r="L2031" i="1"/>
  <c r="K2031" i="1"/>
  <c r="J2031" i="1"/>
  <c r="H2031" i="1"/>
  <c r="G2031" i="1"/>
  <c r="I2031" i="1" s="1"/>
  <c r="F2031" i="1"/>
  <c r="E2031" i="1"/>
  <c r="D2031" i="1"/>
  <c r="C2031" i="1"/>
  <c r="B2031" i="1"/>
  <c r="A2031" i="1"/>
  <c r="L2030" i="1"/>
  <c r="M2030" i="1" s="1"/>
  <c r="J2030" i="1"/>
  <c r="H2030" i="1"/>
  <c r="G2030" i="1"/>
  <c r="I2030" i="1" s="1"/>
  <c r="K2030" i="1" s="1"/>
  <c r="F2030" i="1"/>
  <c r="E2030" i="1"/>
  <c r="D2030" i="1"/>
  <c r="C2030" i="1"/>
  <c r="B2030" i="1"/>
  <c r="A2030" i="1"/>
  <c r="M2029" i="1"/>
  <c r="L2029" i="1"/>
  <c r="K2029" i="1"/>
  <c r="J2029" i="1"/>
  <c r="I2029" i="1"/>
  <c r="H2029" i="1"/>
  <c r="G2029" i="1"/>
  <c r="F2029" i="1"/>
  <c r="E2029" i="1"/>
  <c r="C2029" i="1"/>
  <c r="D2029" i="1" s="1"/>
  <c r="B2029" i="1"/>
  <c r="A2029" i="1"/>
  <c r="L2028" i="1"/>
  <c r="M2028" i="1" s="1"/>
  <c r="K2028" i="1"/>
  <c r="J2028" i="1"/>
  <c r="I2028" i="1"/>
  <c r="H2028" i="1"/>
  <c r="G2028" i="1"/>
  <c r="F2028" i="1"/>
  <c r="E2028" i="1"/>
  <c r="C2028" i="1"/>
  <c r="D2028" i="1" s="1"/>
  <c r="B2028" i="1"/>
  <c r="A2028" i="1"/>
  <c r="M2027" i="1"/>
  <c r="L2027" i="1"/>
  <c r="J2027" i="1"/>
  <c r="H2027" i="1"/>
  <c r="G2027" i="1"/>
  <c r="I2027" i="1" s="1"/>
  <c r="K2027" i="1" s="1"/>
  <c r="F2027" i="1"/>
  <c r="D2027" i="1"/>
  <c r="C2027" i="1"/>
  <c r="E2027" i="1" s="1"/>
  <c r="B2027" i="1"/>
  <c r="A2027" i="1"/>
  <c r="M2026" i="1"/>
  <c r="L2026" i="1"/>
  <c r="J2026" i="1"/>
  <c r="H2026" i="1"/>
  <c r="G2026" i="1"/>
  <c r="I2026" i="1" s="1"/>
  <c r="K2026" i="1" s="1"/>
  <c r="F2026" i="1"/>
  <c r="E2026" i="1"/>
  <c r="D2026" i="1"/>
  <c r="C2026" i="1"/>
  <c r="B2026" i="1"/>
  <c r="A2026" i="1"/>
  <c r="L2025" i="1"/>
  <c r="M2025" i="1" s="1"/>
  <c r="J2025" i="1"/>
  <c r="I2025" i="1"/>
  <c r="K2025" i="1" s="1"/>
  <c r="H2025" i="1"/>
  <c r="G2025" i="1"/>
  <c r="F2025" i="1"/>
  <c r="E2025" i="1"/>
  <c r="C2025" i="1"/>
  <c r="D2025" i="1" s="1"/>
  <c r="B2025" i="1"/>
  <c r="A2025" i="1"/>
  <c r="L2024" i="1"/>
  <c r="M2024" i="1" s="1"/>
  <c r="J2024" i="1"/>
  <c r="I2024" i="1"/>
  <c r="K2024" i="1" s="1"/>
  <c r="H2024" i="1"/>
  <c r="G2024" i="1"/>
  <c r="F2024" i="1"/>
  <c r="D2024" i="1"/>
  <c r="C2024" i="1"/>
  <c r="E2024" i="1" s="1"/>
  <c r="B2024" i="1"/>
  <c r="A2024" i="1"/>
  <c r="L2023" i="1"/>
  <c r="M2023" i="1" s="1"/>
  <c r="J2023" i="1"/>
  <c r="I2023" i="1"/>
  <c r="K2023" i="1" s="1"/>
  <c r="H2023" i="1"/>
  <c r="G2023" i="1"/>
  <c r="E2023" i="1"/>
  <c r="D2023" i="1"/>
  <c r="C2023" i="1"/>
  <c r="F2023" i="1" s="1"/>
  <c r="B2023" i="1"/>
  <c r="A2023" i="1"/>
  <c r="L2022" i="1"/>
  <c r="M2022" i="1" s="1"/>
  <c r="J2022" i="1"/>
  <c r="I2022" i="1"/>
  <c r="K2022" i="1" s="1"/>
  <c r="H2022" i="1"/>
  <c r="G2022" i="1"/>
  <c r="C2022" i="1"/>
  <c r="B2022" i="1"/>
  <c r="A2022" i="1"/>
  <c r="L2021" i="1"/>
  <c r="M2021" i="1" s="1"/>
  <c r="J2021" i="1"/>
  <c r="I2021" i="1"/>
  <c r="H2021" i="1"/>
  <c r="G2021" i="1"/>
  <c r="D2021" i="1"/>
  <c r="C2021" i="1"/>
  <c r="F2021" i="1" s="1"/>
  <c r="B2021" i="1"/>
  <c r="A2021" i="1"/>
  <c r="M2020" i="1"/>
  <c r="L2020" i="1"/>
  <c r="K2020" i="1"/>
  <c r="J2020" i="1"/>
  <c r="H2020" i="1"/>
  <c r="G2020" i="1"/>
  <c r="I2020" i="1" s="1"/>
  <c r="D2020" i="1"/>
  <c r="C2020" i="1"/>
  <c r="F2020" i="1" s="1"/>
  <c r="B2020" i="1"/>
  <c r="A2020" i="1"/>
  <c r="M2019" i="1"/>
  <c r="L2019" i="1"/>
  <c r="J2019" i="1"/>
  <c r="H2019" i="1"/>
  <c r="G2019" i="1"/>
  <c r="I2019" i="1" s="1"/>
  <c r="K2019" i="1" s="1"/>
  <c r="F2019" i="1"/>
  <c r="E2019" i="1"/>
  <c r="D2019" i="1"/>
  <c r="C2019" i="1"/>
  <c r="B2019" i="1"/>
  <c r="A2019" i="1"/>
  <c r="L2018" i="1"/>
  <c r="M2018" i="1" s="1"/>
  <c r="J2018" i="1"/>
  <c r="H2018" i="1"/>
  <c r="G2018" i="1"/>
  <c r="I2018" i="1" s="1"/>
  <c r="K2018" i="1" s="1"/>
  <c r="F2018" i="1"/>
  <c r="E2018" i="1"/>
  <c r="D2018" i="1"/>
  <c r="C2018" i="1"/>
  <c r="B2018" i="1"/>
  <c r="A2018" i="1"/>
  <c r="M2017" i="1"/>
  <c r="L2017" i="1"/>
  <c r="K2017" i="1"/>
  <c r="J2017" i="1"/>
  <c r="I2017" i="1"/>
  <c r="H2017" i="1"/>
  <c r="G2017" i="1"/>
  <c r="F2017" i="1"/>
  <c r="E2017" i="1"/>
  <c r="C2017" i="1"/>
  <c r="D2017" i="1" s="1"/>
  <c r="B2017" i="1"/>
  <c r="A2017" i="1"/>
  <c r="L2016" i="1"/>
  <c r="M2016" i="1" s="1"/>
  <c r="K2016" i="1"/>
  <c r="J2016" i="1"/>
  <c r="I2016" i="1"/>
  <c r="H2016" i="1"/>
  <c r="G2016" i="1"/>
  <c r="F2016" i="1"/>
  <c r="E2016" i="1"/>
  <c r="C2016" i="1"/>
  <c r="D2016" i="1" s="1"/>
  <c r="B2016" i="1"/>
  <c r="A2016" i="1"/>
  <c r="M2015" i="1"/>
  <c r="L2015" i="1"/>
  <c r="J2015" i="1"/>
  <c r="H2015" i="1"/>
  <c r="G2015" i="1"/>
  <c r="I2015" i="1" s="1"/>
  <c r="K2015" i="1" s="1"/>
  <c r="F2015" i="1"/>
  <c r="C2015" i="1"/>
  <c r="D2015" i="1" s="1"/>
  <c r="B2015" i="1"/>
  <c r="A2015" i="1"/>
  <c r="M2014" i="1"/>
  <c r="L2014" i="1"/>
  <c r="J2014" i="1"/>
  <c r="H2014" i="1"/>
  <c r="G2014" i="1"/>
  <c r="I2014" i="1" s="1"/>
  <c r="K2014" i="1" s="1"/>
  <c r="F2014" i="1"/>
  <c r="E2014" i="1"/>
  <c r="D2014" i="1"/>
  <c r="C2014" i="1"/>
  <c r="B2014" i="1"/>
  <c r="A2014" i="1"/>
  <c r="L2013" i="1"/>
  <c r="M2013" i="1" s="1"/>
  <c r="J2013" i="1"/>
  <c r="I2013" i="1"/>
  <c r="K2013" i="1" s="1"/>
  <c r="H2013" i="1"/>
  <c r="G2013" i="1"/>
  <c r="F2013" i="1"/>
  <c r="E2013" i="1"/>
  <c r="C2013" i="1"/>
  <c r="D2013" i="1" s="1"/>
  <c r="B2013" i="1"/>
  <c r="A2013" i="1"/>
  <c r="L2012" i="1"/>
  <c r="M2012" i="1" s="1"/>
  <c r="J2012" i="1"/>
  <c r="I2012" i="1"/>
  <c r="K2012" i="1" s="1"/>
  <c r="H2012" i="1"/>
  <c r="G2012" i="1"/>
  <c r="F2012" i="1"/>
  <c r="D2012" i="1"/>
  <c r="C2012" i="1"/>
  <c r="E2012" i="1" s="1"/>
  <c r="B2012" i="1"/>
  <c r="A2012" i="1"/>
  <c r="L2011" i="1"/>
  <c r="M2011" i="1" s="1"/>
  <c r="J2011" i="1"/>
  <c r="I2011" i="1"/>
  <c r="K2011" i="1" s="1"/>
  <c r="H2011" i="1"/>
  <c r="G2011" i="1"/>
  <c r="E2011" i="1"/>
  <c r="D2011" i="1"/>
  <c r="C2011" i="1"/>
  <c r="F2011" i="1" s="1"/>
  <c r="B2011" i="1"/>
  <c r="A2011" i="1"/>
  <c r="L2010" i="1"/>
  <c r="M2010" i="1" s="1"/>
  <c r="J2010" i="1"/>
  <c r="I2010" i="1"/>
  <c r="K2010" i="1" s="1"/>
  <c r="H2010" i="1"/>
  <c r="G2010" i="1"/>
  <c r="C2010" i="1"/>
  <c r="B2010" i="1"/>
  <c r="A2010" i="1"/>
  <c r="M2009" i="1"/>
  <c r="L2009" i="1"/>
  <c r="J2009" i="1"/>
  <c r="I2009" i="1"/>
  <c r="H2009" i="1"/>
  <c r="G2009" i="1"/>
  <c r="D2009" i="1"/>
  <c r="C2009" i="1"/>
  <c r="F2009" i="1" s="1"/>
  <c r="B2009" i="1"/>
  <c r="A2009" i="1"/>
  <c r="M2008" i="1"/>
  <c r="L2008" i="1"/>
  <c r="K2008" i="1"/>
  <c r="J2008" i="1"/>
  <c r="H2008" i="1"/>
  <c r="G2008" i="1"/>
  <c r="I2008" i="1" s="1"/>
  <c r="D2008" i="1"/>
  <c r="C2008" i="1"/>
  <c r="F2008" i="1" s="1"/>
  <c r="B2008" i="1"/>
  <c r="A2008" i="1"/>
  <c r="M2007" i="1"/>
  <c r="L2007" i="1"/>
  <c r="K2007" i="1"/>
  <c r="J2007" i="1"/>
  <c r="H2007" i="1"/>
  <c r="G2007" i="1"/>
  <c r="I2007" i="1" s="1"/>
  <c r="F2007" i="1"/>
  <c r="E2007" i="1"/>
  <c r="D2007" i="1"/>
  <c r="C2007" i="1"/>
  <c r="B2007" i="1"/>
  <c r="A2007" i="1"/>
  <c r="L2006" i="1"/>
  <c r="M2006" i="1" s="1"/>
  <c r="J2006" i="1"/>
  <c r="H2006" i="1"/>
  <c r="G2006" i="1"/>
  <c r="I2006" i="1" s="1"/>
  <c r="K2006" i="1" s="1"/>
  <c r="F2006" i="1"/>
  <c r="E2006" i="1"/>
  <c r="D2006" i="1"/>
  <c r="C2006" i="1"/>
  <c r="B2006" i="1"/>
  <c r="A2006" i="1"/>
  <c r="M2005" i="1"/>
  <c r="L2005" i="1"/>
  <c r="K2005" i="1"/>
  <c r="J2005" i="1"/>
  <c r="I2005" i="1"/>
  <c r="H2005" i="1"/>
  <c r="G2005" i="1"/>
  <c r="F2005" i="1"/>
  <c r="E2005" i="1"/>
  <c r="C2005" i="1"/>
  <c r="D2005" i="1" s="1"/>
  <c r="B2005" i="1"/>
  <c r="A2005" i="1"/>
  <c r="L2004" i="1"/>
  <c r="M2004" i="1" s="1"/>
  <c r="K2004" i="1"/>
  <c r="J2004" i="1"/>
  <c r="I2004" i="1"/>
  <c r="H2004" i="1"/>
  <c r="G2004" i="1"/>
  <c r="F2004" i="1"/>
  <c r="E2004" i="1"/>
  <c r="C2004" i="1"/>
  <c r="D2004" i="1" s="1"/>
  <c r="B2004" i="1"/>
  <c r="A2004" i="1"/>
  <c r="M2003" i="1"/>
  <c r="L2003" i="1"/>
  <c r="J2003" i="1"/>
  <c r="H2003" i="1"/>
  <c r="G2003" i="1"/>
  <c r="I2003" i="1" s="1"/>
  <c r="K2003" i="1" s="1"/>
  <c r="F2003" i="1"/>
  <c r="D2003" i="1"/>
  <c r="C2003" i="1"/>
  <c r="E2003" i="1" s="1"/>
  <c r="B2003" i="1"/>
  <c r="A2003" i="1"/>
  <c r="M2002" i="1"/>
  <c r="L2002" i="1"/>
  <c r="J2002" i="1"/>
  <c r="H2002" i="1"/>
  <c r="G2002" i="1"/>
  <c r="I2002" i="1" s="1"/>
  <c r="K2002" i="1" s="1"/>
  <c r="F2002" i="1"/>
  <c r="E2002" i="1"/>
  <c r="D2002" i="1"/>
  <c r="C2002" i="1"/>
  <c r="B2002" i="1"/>
  <c r="A2002" i="1"/>
  <c r="L2001" i="1"/>
  <c r="M2001" i="1" s="1"/>
  <c r="J2001" i="1"/>
  <c r="I2001" i="1"/>
  <c r="K2001" i="1" s="1"/>
  <c r="H2001" i="1"/>
  <c r="G2001" i="1"/>
  <c r="F2001" i="1"/>
  <c r="E2001" i="1"/>
  <c r="C2001" i="1"/>
  <c r="D2001" i="1" s="1"/>
  <c r="B2001" i="1"/>
  <c r="A2001" i="1"/>
  <c r="L2000" i="1"/>
  <c r="M2000" i="1" s="1"/>
  <c r="J2000" i="1"/>
  <c r="I2000" i="1"/>
  <c r="K2000" i="1" s="1"/>
  <c r="H2000" i="1"/>
  <c r="G2000" i="1"/>
  <c r="F2000" i="1"/>
  <c r="D2000" i="1"/>
  <c r="C2000" i="1"/>
  <c r="E2000" i="1" s="1"/>
  <c r="B2000" i="1"/>
  <c r="A2000" i="1"/>
  <c r="L1999" i="1"/>
  <c r="M1999" i="1" s="1"/>
  <c r="J1999" i="1"/>
  <c r="I1999" i="1"/>
  <c r="K1999" i="1" s="1"/>
  <c r="H1999" i="1"/>
  <c r="G1999" i="1"/>
  <c r="E1999" i="1"/>
  <c r="D1999" i="1"/>
  <c r="C1999" i="1"/>
  <c r="F1999" i="1" s="1"/>
  <c r="B1999" i="1"/>
  <c r="A1999" i="1"/>
  <c r="L1998" i="1"/>
  <c r="M1998" i="1" s="1"/>
  <c r="J1998" i="1"/>
  <c r="I1998" i="1"/>
  <c r="K1998" i="1" s="1"/>
  <c r="H1998" i="1"/>
  <c r="G1998" i="1"/>
  <c r="C1998" i="1"/>
  <c r="B1998" i="1"/>
  <c r="A1998" i="1"/>
  <c r="L1997" i="1"/>
  <c r="M1997" i="1" s="1"/>
  <c r="J1997" i="1"/>
  <c r="I1997" i="1"/>
  <c r="H1997" i="1"/>
  <c r="G1997" i="1"/>
  <c r="D1997" i="1"/>
  <c r="C1997" i="1"/>
  <c r="F1997" i="1" s="1"/>
  <c r="B1997" i="1"/>
  <c r="A1997" i="1"/>
  <c r="M1996" i="1"/>
  <c r="L1996" i="1"/>
  <c r="K1996" i="1"/>
  <c r="J1996" i="1"/>
  <c r="H1996" i="1"/>
  <c r="G1996" i="1"/>
  <c r="I1996" i="1" s="1"/>
  <c r="D1996" i="1"/>
  <c r="C1996" i="1"/>
  <c r="F1996" i="1" s="1"/>
  <c r="B1996" i="1"/>
  <c r="A1996" i="1"/>
  <c r="M1995" i="1"/>
  <c r="L1995" i="1"/>
  <c r="K1995" i="1"/>
  <c r="J1995" i="1"/>
  <c r="H1995" i="1"/>
  <c r="G1995" i="1"/>
  <c r="I1995" i="1" s="1"/>
  <c r="F1995" i="1"/>
  <c r="E1995" i="1"/>
  <c r="D1995" i="1"/>
  <c r="C1995" i="1"/>
  <c r="B1995" i="1"/>
  <c r="A1995" i="1"/>
  <c r="L1994" i="1"/>
  <c r="M1994" i="1" s="1"/>
  <c r="J1994" i="1"/>
  <c r="H1994" i="1"/>
  <c r="G1994" i="1"/>
  <c r="I1994" i="1" s="1"/>
  <c r="F1994" i="1"/>
  <c r="E1994" i="1"/>
  <c r="D1994" i="1"/>
  <c r="C1994" i="1"/>
  <c r="B1994" i="1"/>
  <c r="A1994" i="1"/>
  <c r="M1993" i="1"/>
  <c r="L1993" i="1"/>
  <c r="J1993" i="1"/>
  <c r="I1993" i="1"/>
  <c r="K1993" i="1" s="1"/>
  <c r="H1993" i="1"/>
  <c r="G1993" i="1"/>
  <c r="F1993" i="1"/>
  <c r="E1993" i="1"/>
  <c r="C1993" i="1"/>
  <c r="D1993" i="1" s="1"/>
  <c r="B1993" i="1"/>
  <c r="A1993" i="1"/>
  <c r="L1992" i="1"/>
  <c r="M1992" i="1" s="1"/>
  <c r="K1992" i="1"/>
  <c r="J1992" i="1"/>
  <c r="I1992" i="1"/>
  <c r="H1992" i="1"/>
  <c r="G1992" i="1"/>
  <c r="F1992" i="1"/>
  <c r="E1992" i="1"/>
  <c r="C1992" i="1"/>
  <c r="D1992" i="1" s="1"/>
  <c r="B1992" i="1"/>
  <c r="A1992" i="1"/>
  <c r="L1991" i="1"/>
  <c r="M1991" i="1" s="1"/>
  <c r="J1991" i="1"/>
  <c r="H1991" i="1"/>
  <c r="G1991" i="1"/>
  <c r="I1991" i="1" s="1"/>
  <c r="F1991" i="1"/>
  <c r="C1991" i="1"/>
  <c r="D1991" i="1" s="1"/>
  <c r="B1991" i="1"/>
  <c r="A1991" i="1"/>
  <c r="M1990" i="1"/>
  <c r="L1990" i="1"/>
  <c r="K1990" i="1"/>
  <c r="J1990" i="1"/>
  <c r="H1990" i="1"/>
  <c r="G1990" i="1"/>
  <c r="I1990" i="1" s="1"/>
  <c r="F1990" i="1"/>
  <c r="E1990" i="1"/>
  <c r="D1990" i="1"/>
  <c r="C1990" i="1"/>
  <c r="B1990" i="1"/>
  <c r="A1990" i="1"/>
  <c r="L1989" i="1"/>
  <c r="M1989" i="1" s="1"/>
  <c r="J1989" i="1"/>
  <c r="I1989" i="1"/>
  <c r="K1989" i="1" s="1"/>
  <c r="H1989" i="1"/>
  <c r="G1989" i="1"/>
  <c r="F1989" i="1"/>
  <c r="E1989" i="1"/>
  <c r="C1989" i="1"/>
  <c r="D1989" i="1" s="1"/>
  <c r="B1989" i="1"/>
  <c r="A1989" i="1"/>
  <c r="L1988" i="1"/>
  <c r="M1988" i="1" s="1"/>
  <c r="J1988" i="1"/>
  <c r="I1988" i="1"/>
  <c r="K1988" i="1" s="1"/>
  <c r="H1988" i="1"/>
  <c r="G1988" i="1"/>
  <c r="C1988" i="1"/>
  <c r="B1988" i="1"/>
  <c r="A1988" i="1"/>
  <c r="M1987" i="1"/>
  <c r="L1987" i="1"/>
  <c r="J1987" i="1"/>
  <c r="I1987" i="1"/>
  <c r="H1987" i="1"/>
  <c r="G1987" i="1"/>
  <c r="D1987" i="1"/>
  <c r="C1987" i="1"/>
  <c r="B1987" i="1"/>
  <c r="A1987" i="1"/>
  <c r="M1986" i="1"/>
  <c r="L1986" i="1"/>
  <c r="K1986" i="1"/>
  <c r="J1986" i="1"/>
  <c r="H1986" i="1"/>
  <c r="G1986" i="1"/>
  <c r="I1986" i="1" s="1"/>
  <c r="F1986" i="1"/>
  <c r="E1986" i="1"/>
  <c r="D1986" i="1"/>
  <c r="C1986" i="1"/>
  <c r="B1986" i="1"/>
  <c r="A1986" i="1"/>
  <c r="L1985" i="1"/>
  <c r="M1985" i="1" s="1"/>
  <c r="K1985" i="1"/>
  <c r="J1985" i="1"/>
  <c r="I1985" i="1"/>
  <c r="H1985" i="1"/>
  <c r="G1985" i="1"/>
  <c r="C1985" i="1"/>
  <c r="D1985" i="1" s="1"/>
  <c r="B1985" i="1"/>
  <c r="A1985" i="1"/>
  <c r="M1984" i="1"/>
  <c r="L1984" i="1"/>
  <c r="J1984" i="1"/>
  <c r="H1984" i="1"/>
  <c r="G1984" i="1"/>
  <c r="I1984" i="1" s="1"/>
  <c r="K1984" i="1" s="1"/>
  <c r="F1984" i="1"/>
  <c r="D1984" i="1"/>
  <c r="C1984" i="1"/>
  <c r="E1984" i="1" s="1"/>
  <c r="B1984" i="1"/>
  <c r="A1984" i="1"/>
  <c r="M1983" i="1"/>
  <c r="L1983" i="1"/>
  <c r="J1983" i="1"/>
  <c r="H1983" i="1"/>
  <c r="G1983" i="1"/>
  <c r="I1983" i="1" s="1"/>
  <c r="K1983" i="1" s="1"/>
  <c r="E1983" i="1"/>
  <c r="D1983" i="1"/>
  <c r="C1983" i="1"/>
  <c r="F1983" i="1" s="1"/>
  <c r="B1983" i="1"/>
  <c r="A1983" i="1"/>
  <c r="L1982" i="1"/>
  <c r="M1982" i="1" s="1"/>
  <c r="J1982" i="1"/>
  <c r="I1982" i="1"/>
  <c r="K1982" i="1" s="1"/>
  <c r="H1982" i="1"/>
  <c r="G1982" i="1"/>
  <c r="F1982" i="1"/>
  <c r="C1982" i="1"/>
  <c r="B1982" i="1"/>
  <c r="A1982" i="1"/>
  <c r="L1981" i="1"/>
  <c r="M1981" i="1" s="1"/>
  <c r="J1981" i="1"/>
  <c r="H1981" i="1"/>
  <c r="G1981" i="1"/>
  <c r="I1981" i="1" s="1"/>
  <c r="K1981" i="1" s="1"/>
  <c r="D1981" i="1"/>
  <c r="C1981" i="1"/>
  <c r="F1981" i="1" s="1"/>
  <c r="B1981" i="1"/>
  <c r="A1981" i="1"/>
  <c r="M1980" i="1"/>
  <c r="L1980" i="1"/>
  <c r="J1980" i="1"/>
  <c r="H1980" i="1"/>
  <c r="G1980" i="1"/>
  <c r="I1980" i="1" s="1"/>
  <c r="K1980" i="1" s="1"/>
  <c r="F1980" i="1"/>
  <c r="E1980" i="1"/>
  <c r="D1980" i="1"/>
  <c r="C1980" i="1"/>
  <c r="B1980" i="1"/>
  <c r="A1980" i="1"/>
  <c r="L1979" i="1"/>
  <c r="M1979" i="1" s="1"/>
  <c r="J1979" i="1"/>
  <c r="I1979" i="1"/>
  <c r="K1979" i="1" s="1"/>
  <c r="H1979" i="1"/>
  <c r="G1979" i="1"/>
  <c r="F1979" i="1"/>
  <c r="E1979" i="1"/>
  <c r="C1979" i="1"/>
  <c r="D1979" i="1" s="1"/>
  <c r="B1979" i="1"/>
  <c r="A1979" i="1"/>
  <c r="M1978" i="1"/>
  <c r="L1978" i="1"/>
  <c r="J1978" i="1"/>
  <c r="H1978" i="1"/>
  <c r="G1978" i="1"/>
  <c r="I1978" i="1" s="1"/>
  <c r="K1978" i="1" s="1"/>
  <c r="F1978" i="1"/>
  <c r="C1978" i="1"/>
  <c r="D1978" i="1" s="1"/>
  <c r="B1978" i="1"/>
  <c r="A1978" i="1"/>
  <c r="M1977" i="1"/>
  <c r="L1977" i="1"/>
  <c r="J1977" i="1"/>
  <c r="H1977" i="1"/>
  <c r="G1977" i="1"/>
  <c r="I1977" i="1" s="1"/>
  <c r="K1977" i="1" s="1"/>
  <c r="E1977" i="1"/>
  <c r="D1977" i="1"/>
  <c r="C1977" i="1"/>
  <c r="F1977" i="1" s="1"/>
  <c r="B1977" i="1"/>
  <c r="A1977" i="1"/>
  <c r="L1976" i="1"/>
  <c r="M1976" i="1" s="1"/>
  <c r="J1976" i="1"/>
  <c r="I1976" i="1"/>
  <c r="K1976" i="1" s="1"/>
  <c r="H1976" i="1"/>
  <c r="G1976" i="1"/>
  <c r="C1976" i="1"/>
  <c r="B1976" i="1"/>
  <c r="A1976" i="1"/>
  <c r="M1975" i="1"/>
  <c r="L1975" i="1"/>
  <c r="J1975" i="1"/>
  <c r="I1975" i="1"/>
  <c r="H1975" i="1"/>
  <c r="G1975" i="1"/>
  <c r="D1975" i="1"/>
  <c r="C1975" i="1"/>
  <c r="B1975" i="1"/>
  <c r="A1975" i="1"/>
  <c r="M1974" i="1"/>
  <c r="L1974" i="1"/>
  <c r="K1974" i="1"/>
  <c r="J1974" i="1"/>
  <c r="H1974" i="1"/>
  <c r="G1974" i="1"/>
  <c r="I1974" i="1" s="1"/>
  <c r="F1974" i="1"/>
  <c r="E1974" i="1"/>
  <c r="D1974" i="1"/>
  <c r="C1974" i="1"/>
  <c r="B1974" i="1"/>
  <c r="A1974" i="1"/>
  <c r="L1973" i="1"/>
  <c r="M1973" i="1" s="1"/>
  <c r="K1973" i="1"/>
  <c r="J1973" i="1"/>
  <c r="I1973" i="1"/>
  <c r="H1973" i="1"/>
  <c r="G1973" i="1"/>
  <c r="C1973" i="1"/>
  <c r="D1973" i="1" s="1"/>
  <c r="B1973" i="1"/>
  <c r="A1973" i="1"/>
  <c r="L1972" i="1"/>
  <c r="M1972" i="1" s="1"/>
  <c r="J1972" i="1"/>
  <c r="I1972" i="1"/>
  <c r="K1972" i="1" s="1"/>
  <c r="H1972" i="1"/>
  <c r="G1972" i="1"/>
  <c r="F1972" i="1"/>
  <c r="D1972" i="1"/>
  <c r="C1972" i="1"/>
  <c r="E1972" i="1" s="1"/>
  <c r="B1972" i="1"/>
  <c r="A1972" i="1"/>
  <c r="M1971" i="1"/>
  <c r="L1971" i="1"/>
  <c r="J1971" i="1"/>
  <c r="H1971" i="1"/>
  <c r="G1971" i="1"/>
  <c r="I1971" i="1" s="1"/>
  <c r="K1971" i="1" s="1"/>
  <c r="E1971" i="1"/>
  <c r="D1971" i="1"/>
  <c r="C1971" i="1"/>
  <c r="F1971" i="1" s="1"/>
  <c r="B1971" i="1"/>
  <c r="A1971" i="1"/>
  <c r="L1970" i="1"/>
  <c r="M1970" i="1" s="1"/>
  <c r="J1970" i="1"/>
  <c r="I1970" i="1"/>
  <c r="K1970" i="1" s="1"/>
  <c r="H1970" i="1"/>
  <c r="G1970" i="1"/>
  <c r="F1970" i="1"/>
  <c r="C1970" i="1"/>
  <c r="B1970" i="1"/>
  <c r="A1970" i="1"/>
  <c r="L1969" i="1"/>
  <c r="M1969" i="1" s="1"/>
  <c r="J1969" i="1"/>
  <c r="I1969" i="1"/>
  <c r="K1969" i="1" s="1"/>
  <c r="H1969" i="1"/>
  <c r="G1969" i="1"/>
  <c r="C1969" i="1"/>
  <c r="B1969" i="1"/>
  <c r="A1969" i="1"/>
  <c r="M1968" i="1"/>
  <c r="L1968" i="1"/>
  <c r="J1968" i="1"/>
  <c r="H1968" i="1"/>
  <c r="G1968" i="1"/>
  <c r="I1968" i="1" s="1"/>
  <c r="K1968" i="1" s="1"/>
  <c r="F1968" i="1"/>
  <c r="E1968" i="1"/>
  <c r="D1968" i="1"/>
  <c r="C1968" i="1"/>
  <c r="B1968" i="1"/>
  <c r="A1968" i="1"/>
  <c r="L1967" i="1"/>
  <c r="M1967" i="1" s="1"/>
  <c r="J1967" i="1"/>
  <c r="I1967" i="1"/>
  <c r="K1967" i="1" s="1"/>
  <c r="H1967" i="1"/>
  <c r="G1967" i="1"/>
  <c r="F1967" i="1"/>
  <c r="E1967" i="1"/>
  <c r="C1967" i="1"/>
  <c r="D1967" i="1" s="1"/>
  <c r="B1967" i="1"/>
  <c r="A1967" i="1"/>
  <c r="M1966" i="1"/>
  <c r="L1966" i="1"/>
  <c r="J1966" i="1"/>
  <c r="H1966" i="1"/>
  <c r="G1966" i="1"/>
  <c r="I1966" i="1" s="1"/>
  <c r="K1966" i="1" s="1"/>
  <c r="C1966" i="1"/>
  <c r="B1966" i="1"/>
  <c r="A1966" i="1"/>
  <c r="M1965" i="1"/>
  <c r="L1965" i="1"/>
  <c r="J1965" i="1"/>
  <c r="H1965" i="1"/>
  <c r="G1965" i="1"/>
  <c r="I1965" i="1" s="1"/>
  <c r="K1965" i="1" s="1"/>
  <c r="E1965" i="1"/>
  <c r="D1965" i="1"/>
  <c r="C1965" i="1"/>
  <c r="F1965" i="1" s="1"/>
  <c r="B1965" i="1"/>
  <c r="A1965" i="1"/>
  <c r="L1964" i="1"/>
  <c r="M1964" i="1" s="1"/>
  <c r="J1964" i="1"/>
  <c r="I1964" i="1"/>
  <c r="K1964" i="1" s="1"/>
  <c r="H1964" i="1"/>
  <c r="G1964" i="1"/>
  <c r="C1964" i="1"/>
  <c r="E1964" i="1" s="1"/>
  <c r="B1964" i="1"/>
  <c r="A1964" i="1"/>
  <c r="M1963" i="1"/>
  <c r="L1963" i="1"/>
  <c r="J1963" i="1"/>
  <c r="I1963" i="1"/>
  <c r="K1963" i="1" s="1"/>
  <c r="H1963" i="1"/>
  <c r="G1963" i="1"/>
  <c r="F1963" i="1"/>
  <c r="D1963" i="1"/>
  <c r="C1963" i="1"/>
  <c r="E1963" i="1" s="1"/>
  <c r="B1963" i="1"/>
  <c r="A1963" i="1"/>
  <c r="M1962" i="1"/>
  <c r="L1962" i="1"/>
  <c r="K1962" i="1"/>
  <c r="J1962" i="1"/>
  <c r="H1962" i="1"/>
  <c r="G1962" i="1"/>
  <c r="I1962" i="1" s="1"/>
  <c r="F1962" i="1"/>
  <c r="E1962" i="1"/>
  <c r="D1962" i="1"/>
  <c r="C1962" i="1"/>
  <c r="B1962" i="1"/>
  <c r="A1962" i="1"/>
  <c r="L1961" i="1"/>
  <c r="M1961" i="1" s="1"/>
  <c r="K1961" i="1"/>
  <c r="J1961" i="1"/>
  <c r="I1961" i="1"/>
  <c r="H1961" i="1"/>
  <c r="G1961" i="1"/>
  <c r="C1961" i="1"/>
  <c r="D1961" i="1" s="1"/>
  <c r="B1961" i="1"/>
  <c r="A1961" i="1"/>
  <c r="L1960" i="1"/>
  <c r="M1960" i="1" s="1"/>
  <c r="J1960" i="1"/>
  <c r="I1960" i="1"/>
  <c r="K1960" i="1" s="1"/>
  <c r="H1960" i="1"/>
  <c r="G1960" i="1"/>
  <c r="F1960" i="1"/>
  <c r="D1960" i="1"/>
  <c r="C1960" i="1"/>
  <c r="E1960" i="1" s="1"/>
  <c r="B1960" i="1"/>
  <c r="A1960" i="1"/>
  <c r="M1959" i="1"/>
  <c r="L1959" i="1"/>
  <c r="J1959" i="1"/>
  <c r="H1959" i="1"/>
  <c r="G1959" i="1"/>
  <c r="I1959" i="1" s="1"/>
  <c r="K1959" i="1" s="1"/>
  <c r="E1959" i="1"/>
  <c r="D1959" i="1"/>
  <c r="C1959" i="1"/>
  <c r="F1959" i="1" s="1"/>
  <c r="B1959" i="1"/>
  <c r="A1959" i="1"/>
  <c r="L1958" i="1"/>
  <c r="M1958" i="1" s="1"/>
  <c r="J1958" i="1"/>
  <c r="I1958" i="1"/>
  <c r="K1958" i="1" s="1"/>
  <c r="H1958" i="1"/>
  <c r="G1958" i="1"/>
  <c r="F1958" i="1"/>
  <c r="C1958" i="1"/>
  <c r="B1958" i="1"/>
  <c r="A1958" i="1"/>
  <c r="L1957" i="1"/>
  <c r="M1957" i="1" s="1"/>
  <c r="J1957" i="1"/>
  <c r="I1957" i="1"/>
  <c r="K1957" i="1" s="1"/>
  <c r="H1957" i="1"/>
  <c r="G1957" i="1"/>
  <c r="C1957" i="1"/>
  <c r="B1957" i="1"/>
  <c r="A1957" i="1"/>
  <c r="M1956" i="1"/>
  <c r="L1956" i="1"/>
  <c r="J1956" i="1"/>
  <c r="H1956" i="1"/>
  <c r="G1956" i="1"/>
  <c r="I1956" i="1" s="1"/>
  <c r="K1956" i="1" s="1"/>
  <c r="F1956" i="1"/>
  <c r="E1956" i="1"/>
  <c r="D1956" i="1"/>
  <c r="C1956" i="1"/>
  <c r="B1956" i="1"/>
  <c r="A1956" i="1"/>
  <c r="L1955" i="1"/>
  <c r="M1955" i="1" s="1"/>
  <c r="K1955" i="1"/>
  <c r="J1955" i="1"/>
  <c r="I1955" i="1"/>
  <c r="H1955" i="1"/>
  <c r="G1955" i="1"/>
  <c r="F1955" i="1"/>
  <c r="E1955" i="1"/>
  <c r="C1955" i="1"/>
  <c r="D1955" i="1" s="1"/>
  <c r="B1955" i="1"/>
  <c r="A1955" i="1"/>
  <c r="M1954" i="1"/>
  <c r="L1954" i="1"/>
  <c r="J1954" i="1"/>
  <c r="H1954" i="1"/>
  <c r="G1954" i="1"/>
  <c r="I1954" i="1" s="1"/>
  <c r="F1954" i="1"/>
  <c r="D1954" i="1"/>
  <c r="C1954" i="1"/>
  <c r="E1954" i="1" s="1"/>
  <c r="B1954" i="1"/>
  <c r="A1954" i="1"/>
  <c r="M1953" i="1"/>
  <c r="L1953" i="1"/>
  <c r="K1953" i="1"/>
  <c r="J1953" i="1"/>
  <c r="H1953" i="1"/>
  <c r="G1953" i="1"/>
  <c r="I1953" i="1" s="1"/>
  <c r="E1953" i="1"/>
  <c r="D1953" i="1"/>
  <c r="C1953" i="1"/>
  <c r="F1953" i="1" s="1"/>
  <c r="B1953" i="1"/>
  <c r="A1953" i="1"/>
  <c r="L1952" i="1"/>
  <c r="M1952" i="1" s="1"/>
  <c r="J1952" i="1"/>
  <c r="I1952" i="1"/>
  <c r="K1952" i="1" s="1"/>
  <c r="H1952" i="1"/>
  <c r="G1952" i="1"/>
  <c r="F1952" i="1"/>
  <c r="C1952" i="1"/>
  <c r="D1952" i="1" s="1"/>
  <c r="B1952" i="1"/>
  <c r="A1952" i="1"/>
  <c r="M1951" i="1"/>
  <c r="L1951" i="1"/>
  <c r="J1951" i="1"/>
  <c r="H1951" i="1"/>
  <c r="G1951" i="1"/>
  <c r="I1951" i="1" s="1"/>
  <c r="K1951" i="1" s="1"/>
  <c r="D1951" i="1"/>
  <c r="C1951" i="1"/>
  <c r="E1951" i="1" s="1"/>
  <c r="B1951" i="1"/>
  <c r="A1951" i="1"/>
  <c r="M1950" i="1"/>
  <c r="L1950" i="1"/>
  <c r="K1950" i="1"/>
  <c r="J1950" i="1"/>
  <c r="H1950" i="1"/>
  <c r="G1950" i="1"/>
  <c r="I1950" i="1" s="1"/>
  <c r="F1950" i="1"/>
  <c r="E1950" i="1"/>
  <c r="D1950" i="1"/>
  <c r="C1950" i="1"/>
  <c r="B1950" i="1"/>
  <c r="A1950" i="1"/>
  <c r="L1949" i="1"/>
  <c r="M1949" i="1" s="1"/>
  <c r="J1949" i="1"/>
  <c r="I1949" i="1"/>
  <c r="K1949" i="1" s="1"/>
  <c r="H1949" i="1"/>
  <c r="G1949" i="1"/>
  <c r="F1949" i="1"/>
  <c r="C1949" i="1"/>
  <c r="D1949" i="1" s="1"/>
  <c r="B1949" i="1"/>
  <c r="A1949" i="1"/>
  <c r="L1948" i="1"/>
  <c r="M1948" i="1" s="1"/>
  <c r="J1948" i="1"/>
  <c r="H1948" i="1"/>
  <c r="G1948" i="1"/>
  <c r="I1948" i="1" s="1"/>
  <c r="K1948" i="1" s="1"/>
  <c r="F1948" i="1"/>
  <c r="D1948" i="1"/>
  <c r="C1948" i="1"/>
  <c r="E1948" i="1" s="1"/>
  <c r="B1948" i="1"/>
  <c r="A1948" i="1"/>
  <c r="M1947" i="1"/>
  <c r="L1947" i="1"/>
  <c r="K1947" i="1"/>
  <c r="J1947" i="1"/>
  <c r="H1947" i="1"/>
  <c r="G1947" i="1"/>
  <c r="I1947" i="1" s="1"/>
  <c r="E1947" i="1"/>
  <c r="D1947" i="1"/>
  <c r="C1947" i="1"/>
  <c r="F1947" i="1" s="1"/>
  <c r="B1947" i="1"/>
  <c r="A1947" i="1"/>
  <c r="L1946" i="1"/>
  <c r="M1946" i="1" s="1"/>
  <c r="J1946" i="1"/>
  <c r="I1946" i="1"/>
  <c r="K1946" i="1" s="1"/>
  <c r="H1946" i="1"/>
  <c r="G1946" i="1"/>
  <c r="F1946" i="1"/>
  <c r="E1946" i="1"/>
  <c r="C1946" i="1"/>
  <c r="D1946" i="1" s="1"/>
  <c r="B1946" i="1"/>
  <c r="A1946" i="1"/>
  <c r="M1945" i="1"/>
  <c r="L1945" i="1"/>
  <c r="J1945" i="1"/>
  <c r="I1945" i="1"/>
  <c r="H1945" i="1"/>
  <c r="G1945" i="1"/>
  <c r="C1945" i="1"/>
  <c r="E1945" i="1" s="1"/>
  <c r="B1945" i="1"/>
  <c r="A1945" i="1"/>
  <c r="M1944" i="1"/>
  <c r="L1944" i="1"/>
  <c r="J1944" i="1"/>
  <c r="H1944" i="1"/>
  <c r="G1944" i="1"/>
  <c r="I1944" i="1" s="1"/>
  <c r="K1944" i="1" s="1"/>
  <c r="F1944" i="1"/>
  <c r="E1944" i="1"/>
  <c r="D1944" i="1"/>
  <c r="C1944" i="1"/>
  <c r="B1944" i="1"/>
  <c r="A1944" i="1"/>
  <c r="L1943" i="1"/>
  <c r="M1943" i="1" s="1"/>
  <c r="K1943" i="1"/>
  <c r="J1943" i="1"/>
  <c r="I1943" i="1"/>
  <c r="H1943" i="1"/>
  <c r="G1943" i="1"/>
  <c r="E1943" i="1"/>
  <c r="C1943" i="1"/>
  <c r="D1943" i="1" s="1"/>
  <c r="B1943" i="1"/>
  <c r="A1943" i="1"/>
  <c r="M1942" i="1"/>
  <c r="L1942" i="1"/>
  <c r="J1942" i="1"/>
  <c r="I1942" i="1"/>
  <c r="H1942" i="1"/>
  <c r="G1942" i="1"/>
  <c r="F1942" i="1"/>
  <c r="C1942" i="1"/>
  <c r="E1942" i="1" s="1"/>
  <c r="B1942" i="1"/>
  <c r="A1942" i="1"/>
  <c r="M1941" i="1"/>
  <c r="L1941" i="1"/>
  <c r="J1941" i="1"/>
  <c r="H1941" i="1"/>
  <c r="G1941" i="1"/>
  <c r="I1941" i="1" s="1"/>
  <c r="K1941" i="1" s="1"/>
  <c r="E1941" i="1"/>
  <c r="D1941" i="1"/>
  <c r="C1941" i="1"/>
  <c r="F1941" i="1" s="1"/>
  <c r="B1941" i="1"/>
  <c r="A1941" i="1"/>
  <c r="L1940" i="1"/>
  <c r="M1940" i="1" s="1"/>
  <c r="K1940" i="1"/>
  <c r="J1940" i="1"/>
  <c r="I1940" i="1"/>
  <c r="H1940" i="1"/>
  <c r="G1940" i="1"/>
  <c r="C1940" i="1"/>
  <c r="D1940" i="1" s="1"/>
  <c r="B1940" i="1"/>
  <c r="A1940" i="1"/>
  <c r="L1939" i="1"/>
  <c r="M1939" i="1" s="1"/>
  <c r="J1939" i="1"/>
  <c r="I1939" i="1"/>
  <c r="K1939" i="1" s="1"/>
  <c r="H1939" i="1"/>
  <c r="G1939" i="1"/>
  <c r="F1939" i="1"/>
  <c r="D1939" i="1"/>
  <c r="C1939" i="1"/>
  <c r="E1939" i="1" s="1"/>
  <c r="B1939" i="1"/>
  <c r="A1939" i="1"/>
  <c r="M1938" i="1"/>
  <c r="L1938" i="1"/>
  <c r="K1938" i="1"/>
  <c r="J1938" i="1"/>
  <c r="H1938" i="1"/>
  <c r="G1938" i="1"/>
  <c r="I1938" i="1" s="1"/>
  <c r="F1938" i="1"/>
  <c r="E1938" i="1"/>
  <c r="D1938" i="1"/>
  <c r="C1938" i="1"/>
  <c r="B1938" i="1"/>
  <c r="A1938" i="1"/>
  <c r="L1937" i="1"/>
  <c r="M1937" i="1" s="1"/>
  <c r="K1937" i="1"/>
  <c r="J1937" i="1"/>
  <c r="I1937" i="1"/>
  <c r="H1937" i="1"/>
  <c r="G1937" i="1"/>
  <c r="F1937" i="1"/>
  <c r="C1937" i="1"/>
  <c r="D1937" i="1" s="1"/>
  <c r="B1937" i="1"/>
  <c r="A1937" i="1"/>
  <c r="L1936" i="1"/>
  <c r="M1936" i="1" s="1"/>
  <c r="J1936" i="1"/>
  <c r="H1936" i="1"/>
  <c r="G1936" i="1"/>
  <c r="I1936" i="1" s="1"/>
  <c r="K1936" i="1" s="1"/>
  <c r="D1936" i="1"/>
  <c r="C1936" i="1"/>
  <c r="E1936" i="1" s="1"/>
  <c r="B1936" i="1"/>
  <c r="A1936" i="1"/>
  <c r="M1935" i="1"/>
  <c r="L1935" i="1"/>
  <c r="K1935" i="1"/>
  <c r="J1935" i="1"/>
  <c r="H1935" i="1"/>
  <c r="G1935" i="1"/>
  <c r="I1935" i="1" s="1"/>
  <c r="E1935" i="1"/>
  <c r="D1935" i="1"/>
  <c r="C1935" i="1"/>
  <c r="F1935" i="1" s="1"/>
  <c r="B1935" i="1"/>
  <c r="A1935" i="1"/>
  <c r="L1934" i="1"/>
  <c r="M1934" i="1" s="1"/>
  <c r="K1934" i="1"/>
  <c r="J1934" i="1"/>
  <c r="I1934" i="1"/>
  <c r="H1934" i="1"/>
  <c r="G1934" i="1"/>
  <c r="F1934" i="1"/>
  <c r="E1934" i="1"/>
  <c r="C1934" i="1"/>
  <c r="D1934" i="1" s="1"/>
  <c r="B1934" i="1"/>
  <c r="A1934" i="1"/>
  <c r="M1933" i="1"/>
  <c r="L1933" i="1"/>
  <c r="J1933" i="1"/>
  <c r="H1933" i="1"/>
  <c r="G1933" i="1"/>
  <c r="I1933" i="1" s="1"/>
  <c r="K1933" i="1" s="1"/>
  <c r="C1933" i="1"/>
  <c r="E1933" i="1" s="1"/>
  <c r="B1933" i="1"/>
  <c r="A1933" i="1"/>
  <c r="M1932" i="1"/>
  <c r="L1932" i="1"/>
  <c r="J1932" i="1"/>
  <c r="H1932" i="1"/>
  <c r="G1932" i="1"/>
  <c r="I1932" i="1" s="1"/>
  <c r="K1932" i="1" s="1"/>
  <c r="F1932" i="1"/>
  <c r="E1932" i="1"/>
  <c r="D1932" i="1"/>
  <c r="C1932" i="1"/>
  <c r="B1932" i="1"/>
  <c r="A1932" i="1"/>
  <c r="L1931" i="1"/>
  <c r="M1931" i="1" s="1"/>
  <c r="J1931" i="1"/>
  <c r="I1931" i="1"/>
  <c r="K1931" i="1" s="1"/>
  <c r="H1931" i="1"/>
  <c r="G1931" i="1"/>
  <c r="F1931" i="1"/>
  <c r="E1931" i="1"/>
  <c r="C1931" i="1"/>
  <c r="D1931" i="1" s="1"/>
  <c r="B1931" i="1"/>
  <c r="A1931" i="1"/>
  <c r="M1930" i="1"/>
  <c r="L1930" i="1"/>
  <c r="J1930" i="1"/>
  <c r="I1930" i="1"/>
  <c r="H1930" i="1"/>
  <c r="G1930" i="1"/>
  <c r="C1930" i="1"/>
  <c r="E1930" i="1" s="1"/>
  <c r="B1930" i="1"/>
  <c r="A1930" i="1"/>
  <c r="M1929" i="1"/>
  <c r="L1929" i="1"/>
  <c r="J1929" i="1"/>
  <c r="K1929" i="1" s="1"/>
  <c r="I1929" i="1"/>
  <c r="H1929" i="1"/>
  <c r="G1929" i="1"/>
  <c r="C1929" i="1"/>
  <c r="F1929" i="1" s="1"/>
  <c r="B1929" i="1"/>
  <c r="A1929" i="1"/>
  <c r="L1928" i="1"/>
  <c r="M1928" i="1" s="1"/>
  <c r="K1928" i="1"/>
  <c r="J1928" i="1"/>
  <c r="I1928" i="1"/>
  <c r="H1928" i="1"/>
  <c r="G1928" i="1"/>
  <c r="C1928" i="1"/>
  <c r="E1928" i="1" s="1"/>
  <c r="B1928" i="1"/>
  <c r="A1928" i="1"/>
  <c r="L1927" i="1"/>
  <c r="M1927" i="1" s="1"/>
  <c r="J1927" i="1"/>
  <c r="K1927" i="1" s="1"/>
  <c r="I1927" i="1"/>
  <c r="H1927" i="1"/>
  <c r="G1927" i="1"/>
  <c r="F1927" i="1"/>
  <c r="E1927" i="1"/>
  <c r="D1927" i="1"/>
  <c r="C1927" i="1"/>
  <c r="B1927" i="1"/>
  <c r="A1927" i="1"/>
  <c r="M1926" i="1"/>
  <c r="L1926" i="1"/>
  <c r="K1926" i="1"/>
  <c r="J1926" i="1"/>
  <c r="H1926" i="1"/>
  <c r="G1926" i="1"/>
  <c r="I1926" i="1" s="1"/>
  <c r="F1926" i="1"/>
  <c r="E1926" i="1"/>
  <c r="D1926" i="1"/>
  <c r="C1926" i="1"/>
  <c r="B1926" i="1"/>
  <c r="A1926" i="1"/>
  <c r="M1925" i="1"/>
  <c r="L1925" i="1"/>
  <c r="J1925" i="1"/>
  <c r="I1925" i="1"/>
  <c r="K1925" i="1" s="1"/>
  <c r="H1925" i="1"/>
  <c r="G1925" i="1"/>
  <c r="F1925" i="1"/>
  <c r="E1925" i="1"/>
  <c r="C1925" i="1"/>
  <c r="D1925" i="1" s="1"/>
  <c r="B1925" i="1"/>
  <c r="A1925" i="1"/>
  <c r="M1924" i="1"/>
  <c r="L1924" i="1"/>
  <c r="J1924" i="1"/>
  <c r="I1924" i="1"/>
  <c r="H1924" i="1"/>
  <c r="G1924" i="1"/>
  <c r="C1924" i="1"/>
  <c r="E1924" i="1" s="1"/>
  <c r="B1924" i="1"/>
  <c r="A1924" i="1"/>
  <c r="M1923" i="1"/>
  <c r="L1923" i="1"/>
  <c r="J1923" i="1"/>
  <c r="K1923" i="1" s="1"/>
  <c r="I1923" i="1"/>
  <c r="H1923" i="1"/>
  <c r="G1923" i="1"/>
  <c r="C1923" i="1"/>
  <c r="F1923" i="1" s="1"/>
  <c r="B1923" i="1"/>
  <c r="A1923" i="1"/>
  <c r="L1922" i="1"/>
  <c r="M1922" i="1" s="1"/>
  <c r="K1922" i="1"/>
  <c r="J1922" i="1"/>
  <c r="I1922" i="1"/>
  <c r="H1922" i="1"/>
  <c r="G1922" i="1"/>
  <c r="C1922" i="1"/>
  <c r="E1922" i="1" s="1"/>
  <c r="B1922" i="1"/>
  <c r="A1922" i="1"/>
  <c r="L1921" i="1"/>
  <c r="M1921" i="1" s="1"/>
  <c r="J1921" i="1"/>
  <c r="K1921" i="1" s="1"/>
  <c r="I1921" i="1"/>
  <c r="H1921" i="1"/>
  <c r="G1921" i="1"/>
  <c r="F1921" i="1"/>
  <c r="E1921" i="1"/>
  <c r="D1921" i="1"/>
  <c r="C1921" i="1"/>
  <c r="B1921" i="1"/>
  <c r="A1921" i="1"/>
  <c r="M1920" i="1"/>
  <c r="L1920" i="1"/>
  <c r="K1920" i="1"/>
  <c r="J1920" i="1"/>
  <c r="H1920" i="1"/>
  <c r="G1920" i="1"/>
  <c r="I1920" i="1" s="1"/>
  <c r="F1920" i="1"/>
  <c r="E1920" i="1"/>
  <c r="D1920" i="1"/>
  <c r="C1920" i="1"/>
  <c r="B1920" i="1"/>
  <c r="A1920" i="1"/>
  <c r="M1919" i="1"/>
  <c r="L1919" i="1"/>
  <c r="J1919" i="1"/>
  <c r="I1919" i="1"/>
  <c r="K1919" i="1" s="1"/>
  <c r="H1919" i="1"/>
  <c r="G1919" i="1"/>
  <c r="F1919" i="1"/>
  <c r="E1919" i="1"/>
  <c r="C1919" i="1"/>
  <c r="D1919" i="1" s="1"/>
  <c r="B1919" i="1"/>
  <c r="A1919" i="1"/>
  <c r="M1918" i="1"/>
  <c r="L1918" i="1"/>
  <c r="J1918" i="1"/>
  <c r="I1918" i="1"/>
  <c r="H1918" i="1"/>
  <c r="G1918" i="1"/>
  <c r="C1918" i="1"/>
  <c r="E1918" i="1" s="1"/>
  <c r="B1918" i="1"/>
  <c r="A1918" i="1"/>
  <c r="M1917" i="1"/>
  <c r="L1917" i="1"/>
  <c r="J1917" i="1"/>
  <c r="K1917" i="1" s="1"/>
  <c r="I1917" i="1"/>
  <c r="H1917" i="1"/>
  <c r="G1917" i="1"/>
  <c r="C1917" i="1"/>
  <c r="F1917" i="1" s="1"/>
  <c r="B1917" i="1"/>
  <c r="A1917" i="1"/>
  <c r="L1916" i="1"/>
  <c r="M1916" i="1" s="1"/>
  <c r="K1916" i="1"/>
  <c r="J1916" i="1"/>
  <c r="I1916" i="1"/>
  <c r="H1916" i="1"/>
  <c r="G1916" i="1"/>
  <c r="C1916" i="1"/>
  <c r="E1916" i="1" s="1"/>
  <c r="B1916" i="1"/>
  <c r="A1916" i="1"/>
  <c r="L1915" i="1"/>
  <c r="M1915" i="1" s="1"/>
  <c r="J1915" i="1"/>
  <c r="K1915" i="1" s="1"/>
  <c r="I1915" i="1"/>
  <c r="H1915" i="1"/>
  <c r="G1915" i="1"/>
  <c r="F1915" i="1"/>
  <c r="E1915" i="1"/>
  <c r="D1915" i="1"/>
  <c r="C1915" i="1"/>
  <c r="B1915" i="1"/>
  <c r="A1915" i="1"/>
  <c r="M1914" i="1"/>
  <c r="L1914" i="1"/>
  <c r="K1914" i="1"/>
  <c r="J1914" i="1"/>
  <c r="H1914" i="1"/>
  <c r="G1914" i="1"/>
  <c r="I1914" i="1" s="1"/>
  <c r="F1914" i="1"/>
  <c r="E1914" i="1"/>
  <c r="D1914" i="1"/>
  <c r="C1914" i="1"/>
  <c r="B1914" i="1"/>
  <c r="A1914" i="1"/>
  <c r="M1913" i="1"/>
  <c r="L1913" i="1"/>
  <c r="J1913" i="1"/>
  <c r="I1913" i="1"/>
  <c r="K1913" i="1" s="1"/>
  <c r="H1913" i="1"/>
  <c r="G1913" i="1"/>
  <c r="F1913" i="1"/>
  <c r="E1913" i="1"/>
  <c r="C1913" i="1"/>
  <c r="D1913" i="1" s="1"/>
  <c r="B1913" i="1"/>
  <c r="A1913" i="1"/>
  <c r="M1912" i="1"/>
  <c r="L1912" i="1"/>
  <c r="J1912" i="1"/>
  <c r="I1912" i="1"/>
  <c r="H1912" i="1"/>
  <c r="G1912" i="1"/>
  <c r="C1912" i="1"/>
  <c r="E1912" i="1" s="1"/>
  <c r="B1912" i="1"/>
  <c r="A1912" i="1"/>
  <c r="M1911" i="1"/>
  <c r="L1911" i="1"/>
  <c r="J1911" i="1"/>
  <c r="K1911" i="1" s="1"/>
  <c r="I1911" i="1"/>
  <c r="H1911" i="1"/>
  <c r="G1911" i="1"/>
  <c r="C1911" i="1"/>
  <c r="F1911" i="1" s="1"/>
  <c r="B1911" i="1"/>
  <c r="A1911" i="1"/>
  <c r="L1910" i="1"/>
  <c r="M1910" i="1" s="1"/>
  <c r="K1910" i="1"/>
  <c r="J1910" i="1"/>
  <c r="I1910" i="1"/>
  <c r="H1910" i="1"/>
  <c r="G1910" i="1"/>
  <c r="C1910" i="1"/>
  <c r="E1910" i="1" s="1"/>
  <c r="B1910" i="1"/>
  <c r="A1910" i="1"/>
  <c r="L1909" i="1"/>
  <c r="M1909" i="1" s="1"/>
  <c r="J1909" i="1"/>
  <c r="K1909" i="1" s="1"/>
  <c r="I1909" i="1"/>
  <c r="H1909" i="1"/>
  <c r="G1909" i="1"/>
  <c r="F1909" i="1"/>
  <c r="E1909" i="1"/>
  <c r="D1909" i="1"/>
  <c r="C1909" i="1"/>
  <c r="B1909" i="1"/>
  <c r="A1909" i="1"/>
  <c r="M1908" i="1"/>
  <c r="L1908" i="1"/>
  <c r="K1908" i="1"/>
  <c r="J1908" i="1"/>
  <c r="H1908" i="1"/>
  <c r="G1908" i="1"/>
  <c r="I1908" i="1" s="1"/>
  <c r="F1908" i="1"/>
  <c r="E1908" i="1"/>
  <c r="D1908" i="1"/>
  <c r="C1908" i="1"/>
  <c r="B1908" i="1"/>
  <c r="A1908" i="1"/>
  <c r="M1907" i="1"/>
  <c r="L1907" i="1"/>
  <c r="J1907" i="1"/>
  <c r="H1907" i="1"/>
  <c r="G1907" i="1"/>
  <c r="I1907" i="1" s="1"/>
  <c r="K1907" i="1" s="1"/>
  <c r="F1907" i="1"/>
  <c r="E1907" i="1"/>
  <c r="C1907" i="1"/>
  <c r="D1907" i="1" s="1"/>
  <c r="B1907" i="1"/>
  <c r="A1907" i="1"/>
  <c r="M1906" i="1"/>
  <c r="L1906" i="1"/>
  <c r="J1906" i="1"/>
  <c r="I1906" i="1"/>
  <c r="H1906" i="1"/>
  <c r="G1906" i="1"/>
  <c r="C1906" i="1"/>
  <c r="E1906" i="1" s="1"/>
  <c r="B1906" i="1"/>
  <c r="A1906" i="1"/>
  <c r="M1905" i="1"/>
  <c r="L1905" i="1"/>
  <c r="J1905" i="1"/>
  <c r="K1905" i="1" s="1"/>
  <c r="I1905" i="1"/>
  <c r="H1905" i="1"/>
  <c r="G1905" i="1"/>
  <c r="C1905" i="1"/>
  <c r="F1905" i="1" s="1"/>
  <c r="B1905" i="1"/>
  <c r="A1905" i="1"/>
  <c r="L1904" i="1"/>
  <c r="M1904" i="1" s="1"/>
  <c r="K1904" i="1"/>
  <c r="J1904" i="1"/>
  <c r="I1904" i="1"/>
  <c r="H1904" i="1"/>
  <c r="G1904" i="1"/>
  <c r="C1904" i="1"/>
  <c r="E1904" i="1" s="1"/>
  <c r="B1904" i="1"/>
  <c r="A1904" i="1"/>
  <c r="L1903" i="1"/>
  <c r="M1903" i="1" s="1"/>
  <c r="J1903" i="1"/>
  <c r="K1903" i="1" s="1"/>
  <c r="I1903" i="1"/>
  <c r="H1903" i="1"/>
  <c r="G1903" i="1"/>
  <c r="F1903" i="1"/>
  <c r="E1903" i="1"/>
  <c r="D1903" i="1"/>
  <c r="C1903" i="1"/>
  <c r="B1903" i="1"/>
  <c r="A1903" i="1"/>
  <c r="M1902" i="1"/>
  <c r="L1902" i="1"/>
  <c r="K1902" i="1"/>
  <c r="J1902" i="1"/>
  <c r="H1902" i="1"/>
  <c r="G1902" i="1"/>
  <c r="I1902" i="1" s="1"/>
  <c r="F1902" i="1"/>
  <c r="E1902" i="1"/>
  <c r="D1902" i="1"/>
  <c r="C1902" i="1"/>
  <c r="B1902" i="1"/>
  <c r="A1902" i="1"/>
  <c r="M1901" i="1"/>
  <c r="L1901" i="1"/>
  <c r="J1901" i="1"/>
  <c r="H1901" i="1"/>
  <c r="G1901" i="1"/>
  <c r="I1901" i="1" s="1"/>
  <c r="K1901" i="1" s="1"/>
  <c r="F1901" i="1"/>
  <c r="E1901" i="1"/>
  <c r="C1901" i="1"/>
  <c r="D1901" i="1" s="1"/>
  <c r="B1901" i="1"/>
  <c r="A1901" i="1"/>
  <c r="M1900" i="1"/>
  <c r="L1900" i="1"/>
  <c r="J1900" i="1"/>
  <c r="I1900" i="1"/>
  <c r="H1900" i="1"/>
  <c r="G1900" i="1"/>
  <c r="C1900" i="1"/>
  <c r="E1900" i="1" s="1"/>
  <c r="B1900" i="1"/>
  <c r="A1900" i="1"/>
  <c r="M1899" i="1"/>
  <c r="L1899" i="1"/>
  <c r="J1899" i="1"/>
  <c r="K1899" i="1" s="1"/>
  <c r="I1899" i="1"/>
  <c r="H1899" i="1"/>
  <c r="G1899" i="1"/>
  <c r="C1899" i="1"/>
  <c r="F1899" i="1" s="1"/>
  <c r="B1899" i="1"/>
  <c r="A1899" i="1"/>
  <c r="L1898" i="1"/>
  <c r="M1898" i="1" s="1"/>
  <c r="K1898" i="1"/>
  <c r="J1898" i="1"/>
  <c r="I1898" i="1"/>
  <c r="H1898" i="1"/>
  <c r="G1898" i="1"/>
  <c r="C1898" i="1"/>
  <c r="E1898" i="1" s="1"/>
  <c r="B1898" i="1"/>
  <c r="A1898" i="1"/>
  <c r="L1897" i="1"/>
  <c r="M1897" i="1" s="1"/>
  <c r="J1897" i="1"/>
  <c r="K1897" i="1" s="1"/>
  <c r="I1897" i="1"/>
  <c r="H1897" i="1"/>
  <c r="G1897" i="1"/>
  <c r="F1897" i="1"/>
  <c r="E1897" i="1"/>
  <c r="D1897" i="1"/>
  <c r="C1897" i="1"/>
  <c r="B1897" i="1"/>
  <c r="A1897" i="1"/>
  <c r="M1896" i="1"/>
  <c r="L1896" i="1"/>
  <c r="K1896" i="1"/>
  <c r="J1896" i="1"/>
  <c r="H1896" i="1"/>
  <c r="G1896" i="1"/>
  <c r="I1896" i="1" s="1"/>
  <c r="F1896" i="1"/>
  <c r="E1896" i="1"/>
  <c r="D1896" i="1"/>
  <c r="C1896" i="1"/>
  <c r="B1896" i="1"/>
  <c r="A1896" i="1"/>
  <c r="M1895" i="1"/>
  <c r="L1895" i="1"/>
  <c r="J1895" i="1"/>
  <c r="H1895" i="1"/>
  <c r="G1895" i="1"/>
  <c r="I1895" i="1" s="1"/>
  <c r="K1895" i="1" s="1"/>
  <c r="F1895" i="1"/>
  <c r="E1895" i="1"/>
  <c r="C1895" i="1"/>
  <c r="D1895" i="1" s="1"/>
  <c r="B1895" i="1"/>
  <c r="A1895" i="1"/>
  <c r="M1894" i="1"/>
  <c r="L1894" i="1"/>
  <c r="J1894" i="1"/>
  <c r="I1894" i="1"/>
  <c r="H1894" i="1"/>
  <c r="G1894" i="1"/>
  <c r="C1894" i="1"/>
  <c r="E1894" i="1" s="1"/>
  <c r="B1894" i="1"/>
  <c r="A1894" i="1"/>
  <c r="M1893" i="1"/>
  <c r="L1893" i="1"/>
  <c r="J1893" i="1"/>
  <c r="K1893" i="1" s="1"/>
  <c r="I1893" i="1"/>
  <c r="H1893" i="1"/>
  <c r="G1893" i="1"/>
  <c r="C1893" i="1"/>
  <c r="F1893" i="1" s="1"/>
  <c r="B1893" i="1"/>
  <c r="A1893" i="1"/>
  <c r="L1892" i="1"/>
  <c r="M1892" i="1" s="1"/>
  <c r="K1892" i="1"/>
  <c r="J1892" i="1"/>
  <c r="I1892" i="1"/>
  <c r="H1892" i="1"/>
  <c r="G1892" i="1"/>
  <c r="C1892" i="1"/>
  <c r="E1892" i="1" s="1"/>
  <c r="B1892" i="1"/>
  <c r="A1892" i="1"/>
  <c r="L1891" i="1"/>
  <c r="M1891" i="1" s="1"/>
  <c r="J1891" i="1"/>
  <c r="K1891" i="1" s="1"/>
  <c r="I1891" i="1"/>
  <c r="H1891" i="1"/>
  <c r="G1891" i="1"/>
  <c r="F1891" i="1"/>
  <c r="E1891" i="1"/>
  <c r="D1891" i="1"/>
  <c r="C1891" i="1"/>
  <c r="B1891" i="1"/>
  <c r="A1891" i="1"/>
  <c r="M1890" i="1"/>
  <c r="L1890" i="1"/>
  <c r="K1890" i="1"/>
  <c r="J1890" i="1"/>
  <c r="H1890" i="1"/>
  <c r="G1890" i="1"/>
  <c r="I1890" i="1" s="1"/>
  <c r="F1890" i="1"/>
  <c r="E1890" i="1"/>
  <c r="D1890" i="1"/>
  <c r="C1890" i="1"/>
  <c r="B1890" i="1"/>
  <c r="A1890" i="1"/>
  <c r="M1889" i="1"/>
  <c r="L1889" i="1"/>
  <c r="J1889" i="1"/>
  <c r="H1889" i="1"/>
  <c r="G1889" i="1"/>
  <c r="I1889" i="1" s="1"/>
  <c r="K1889" i="1" s="1"/>
  <c r="F1889" i="1"/>
  <c r="E1889" i="1"/>
  <c r="C1889" i="1"/>
  <c r="D1889" i="1" s="1"/>
  <c r="B1889" i="1"/>
  <c r="A1889" i="1"/>
  <c r="M1888" i="1"/>
  <c r="L1888" i="1"/>
  <c r="J1888" i="1"/>
  <c r="I1888" i="1"/>
  <c r="H1888" i="1"/>
  <c r="G1888" i="1"/>
  <c r="C1888" i="1"/>
  <c r="E1888" i="1" s="1"/>
  <c r="B1888" i="1"/>
  <c r="A1888" i="1"/>
  <c r="M1887" i="1"/>
  <c r="L1887" i="1"/>
  <c r="J1887" i="1"/>
  <c r="K1887" i="1" s="1"/>
  <c r="I1887" i="1"/>
  <c r="H1887" i="1"/>
  <c r="G1887" i="1"/>
  <c r="C1887" i="1"/>
  <c r="F1887" i="1" s="1"/>
  <c r="B1887" i="1"/>
  <c r="A1887" i="1"/>
  <c r="L1886" i="1"/>
  <c r="M1886" i="1" s="1"/>
  <c r="K1886" i="1"/>
  <c r="J1886" i="1"/>
  <c r="I1886" i="1"/>
  <c r="H1886" i="1"/>
  <c r="G1886" i="1"/>
  <c r="C1886" i="1"/>
  <c r="E1886" i="1" s="1"/>
  <c r="B1886" i="1"/>
  <c r="A1886" i="1"/>
  <c r="L1885" i="1"/>
  <c r="M1885" i="1" s="1"/>
  <c r="J1885" i="1"/>
  <c r="K1885" i="1" s="1"/>
  <c r="I1885" i="1"/>
  <c r="H1885" i="1"/>
  <c r="G1885" i="1"/>
  <c r="F1885" i="1"/>
  <c r="E1885" i="1"/>
  <c r="D1885" i="1"/>
  <c r="C1885" i="1"/>
  <c r="B1885" i="1"/>
  <c r="A1885" i="1"/>
  <c r="M1884" i="1"/>
  <c r="L1884" i="1"/>
  <c r="K1884" i="1"/>
  <c r="J1884" i="1"/>
  <c r="H1884" i="1"/>
  <c r="G1884" i="1"/>
  <c r="I1884" i="1" s="1"/>
  <c r="F1884" i="1"/>
  <c r="E1884" i="1"/>
  <c r="D1884" i="1"/>
  <c r="C1884" i="1"/>
  <c r="B1884" i="1"/>
  <c r="A1884" i="1"/>
  <c r="M1883" i="1"/>
  <c r="L1883" i="1"/>
  <c r="J1883" i="1"/>
  <c r="H1883" i="1"/>
  <c r="G1883" i="1"/>
  <c r="I1883" i="1" s="1"/>
  <c r="K1883" i="1" s="1"/>
  <c r="F1883" i="1"/>
  <c r="E1883" i="1"/>
  <c r="C1883" i="1"/>
  <c r="D1883" i="1" s="1"/>
  <c r="B1883" i="1"/>
  <c r="A1883" i="1"/>
  <c r="M1882" i="1"/>
  <c r="L1882" i="1"/>
  <c r="J1882" i="1"/>
  <c r="I1882" i="1"/>
  <c r="H1882" i="1"/>
  <c r="G1882" i="1"/>
  <c r="C1882" i="1"/>
  <c r="E1882" i="1" s="1"/>
  <c r="B1882" i="1"/>
  <c r="A1882" i="1"/>
  <c r="M1881" i="1"/>
  <c r="L1881" i="1"/>
  <c r="J1881" i="1"/>
  <c r="K1881" i="1" s="1"/>
  <c r="I1881" i="1"/>
  <c r="H1881" i="1"/>
  <c r="G1881" i="1"/>
  <c r="C1881" i="1"/>
  <c r="F1881" i="1" s="1"/>
  <c r="B1881" i="1"/>
  <c r="A1881" i="1"/>
  <c r="L1880" i="1"/>
  <c r="M1880" i="1" s="1"/>
  <c r="K1880" i="1"/>
  <c r="J1880" i="1"/>
  <c r="I1880" i="1"/>
  <c r="H1880" i="1"/>
  <c r="G1880" i="1"/>
  <c r="C1880" i="1"/>
  <c r="E1880" i="1" s="1"/>
  <c r="B1880" i="1"/>
  <c r="A1880" i="1"/>
  <c r="L1879" i="1"/>
  <c r="M1879" i="1" s="1"/>
  <c r="J1879" i="1"/>
  <c r="K1879" i="1" s="1"/>
  <c r="I1879" i="1"/>
  <c r="H1879" i="1"/>
  <c r="G1879" i="1"/>
  <c r="F1879" i="1"/>
  <c r="E1879" i="1"/>
  <c r="D1879" i="1"/>
  <c r="C1879" i="1"/>
  <c r="B1879" i="1"/>
  <c r="A1879" i="1"/>
  <c r="M1878" i="1"/>
  <c r="L1878" i="1"/>
  <c r="K1878" i="1"/>
  <c r="J1878" i="1"/>
  <c r="H1878" i="1"/>
  <c r="G1878" i="1"/>
  <c r="I1878" i="1" s="1"/>
  <c r="F1878" i="1"/>
  <c r="E1878" i="1"/>
  <c r="D1878" i="1"/>
  <c r="C1878" i="1"/>
  <c r="B1878" i="1"/>
  <c r="A1878" i="1"/>
  <c r="M1877" i="1"/>
  <c r="L1877" i="1"/>
  <c r="J1877" i="1"/>
  <c r="H1877" i="1"/>
  <c r="G1877" i="1"/>
  <c r="I1877" i="1" s="1"/>
  <c r="K1877" i="1" s="1"/>
  <c r="F1877" i="1"/>
  <c r="E1877" i="1"/>
  <c r="C1877" i="1"/>
  <c r="D1877" i="1" s="1"/>
  <c r="B1877" i="1"/>
  <c r="A1877" i="1"/>
  <c r="M1876" i="1"/>
  <c r="L1876" i="1"/>
  <c r="J1876" i="1"/>
  <c r="I1876" i="1"/>
  <c r="H1876" i="1"/>
  <c r="G1876" i="1"/>
  <c r="C1876" i="1"/>
  <c r="E1876" i="1" s="1"/>
  <c r="B1876" i="1"/>
  <c r="A1876" i="1"/>
  <c r="M1875" i="1"/>
  <c r="L1875" i="1"/>
  <c r="J1875" i="1"/>
  <c r="K1875" i="1" s="1"/>
  <c r="I1875" i="1"/>
  <c r="H1875" i="1"/>
  <c r="G1875" i="1"/>
  <c r="C1875" i="1"/>
  <c r="F1875" i="1" s="1"/>
  <c r="B1875" i="1"/>
  <c r="A1875" i="1"/>
  <c r="L1874" i="1"/>
  <c r="M1874" i="1" s="1"/>
  <c r="K1874" i="1"/>
  <c r="J1874" i="1"/>
  <c r="I1874" i="1"/>
  <c r="H1874" i="1"/>
  <c r="G1874" i="1"/>
  <c r="C1874" i="1"/>
  <c r="E1874" i="1" s="1"/>
  <c r="B1874" i="1"/>
  <c r="A1874" i="1"/>
  <c r="L1873" i="1"/>
  <c r="M1873" i="1" s="1"/>
  <c r="J1873" i="1"/>
  <c r="K1873" i="1" s="1"/>
  <c r="I1873" i="1"/>
  <c r="H1873" i="1"/>
  <c r="G1873" i="1"/>
  <c r="F1873" i="1"/>
  <c r="E1873" i="1"/>
  <c r="D1873" i="1"/>
  <c r="C1873" i="1"/>
  <c r="B1873" i="1"/>
  <c r="A1873" i="1"/>
  <c r="M1872" i="1"/>
  <c r="L1872" i="1"/>
  <c r="K1872" i="1"/>
  <c r="J1872" i="1"/>
  <c r="H1872" i="1"/>
  <c r="G1872" i="1"/>
  <c r="I1872" i="1" s="1"/>
  <c r="F1872" i="1"/>
  <c r="E1872" i="1"/>
  <c r="D1872" i="1"/>
  <c r="C1872" i="1"/>
  <c r="B1872" i="1"/>
  <c r="A1872" i="1"/>
  <c r="M1871" i="1"/>
  <c r="L1871" i="1"/>
  <c r="J1871" i="1"/>
  <c r="H1871" i="1"/>
  <c r="G1871" i="1"/>
  <c r="I1871" i="1" s="1"/>
  <c r="K1871" i="1" s="1"/>
  <c r="F1871" i="1"/>
  <c r="E1871" i="1"/>
  <c r="C1871" i="1"/>
  <c r="D1871" i="1" s="1"/>
  <c r="B1871" i="1"/>
  <c r="A1871" i="1"/>
  <c r="M1870" i="1"/>
  <c r="L1870" i="1"/>
  <c r="J1870" i="1"/>
  <c r="I1870" i="1"/>
  <c r="H1870" i="1"/>
  <c r="G1870" i="1"/>
  <c r="C1870" i="1"/>
  <c r="E1870" i="1" s="1"/>
  <c r="B1870" i="1"/>
  <c r="A1870" i="1"/>
  <c r="M1869" i="1"/>
  <c r="L1869" i="1"/>
  <c r="J1869" i="1"/>
  <c r="K1869" i="1" s="1"/>
  <c r="I1869" i="1"/>
  <c r="H1869" i="1"/>
  <c r="G1869" i="1"/>
  <c r="C1869" i="1"/>
  <c r="F1869" i="1" s="1"/>
  <c r="B1869" i="1"/>
  <c r="A1869" i="1"/>
  <c r="L1868" i="1"/>
  <c r="M1868" i="1" s="1"/>
  <c r="K1868" i="1"/>
  <c r="J1868" i="1"/>
  <c r="I1868" i="1"/>
  <c r="H1868" i="1"/>
  <c r="G1868" i="1"/>
  <c r="C1868" i="1"/>
  <c r="E1868" i="1" s="1"/>
  <c r="B1868" i="1"/>
  <c r="A1868" i="1"/>
  <c r="L1867" i="1"/>
  <c r="M1867" i="1" s="1"/>
  <c r="J1867" i="1"/>
  <c r="K1867" i="1" s="1"/>
  <c r="I1867" i="1"/>
  <c r="H1867" i="1"/>
  <c r="G1867" i="1"/>
  <c r="F1867" i="1"/>
  <c r="E1867" i="1"/>
  <c r="D1867" i="1"/>
  <c r="C1867" i="1"/>
  <c r="B1867" i="1"/>
  <c r="A1867" i="1"/>
  <c r="M1866" i="1"/>
  <c r="L1866" i="1"/>
  <c r="K1866" i="1"/>
  <c r="J1866" i="1"/>
  <c r="H1866" i="1"/>
  <c r="G1866" i="1"/>
  <c r="I1866" i="1" s="1"/>
  <c r="F1866" i="1"/>
  <c r="E1866" i="1"/>
  <c r="D1866" i="1"/>
  <c r="C1866" i="1"/>
  <c r="B1866" i="1"/>
  <c r="A1866" i="1"/>
  <c r="M1865" i="1"/>
  <c r="L1865" i="1"/>
  <c r="J1865" i="1"/>
  <c r="H1865" i="1"/>
  <c r="G1865" i="1"/>
  <c r="I1865" i="1" s="1"/>
  <c r="K1865" i="1" s="1"/>
  <c r="F1865" i="1"/>
  <c r="E1865" i="1"/>
  <c r="C1865" i="1"/>
  <c r="D1865" i="1" s="1"/>
  <c r="B1865" i="1"/>
  <c r="A1865" i="1"/>
  <c r="M1864" i="1"/>
  <c r="L1864" i="1"/>
  <c r="J1864" i="1"/>
  <c r="I1864" i="1"/>
  <c r="H1864" i="1"/>
  <c r="G1864" i="1"/>
  <c r="C1864" i="1"/>
  <c r="E1864" i="1" s="1"/>
  <c r="B1864" i="1"/>
  <c r="A1864" i="1"/>
  <c r="M1863" i="1"/>
  <c r="L1863" i="1"/>
  <c r="J1863" i="1"/>
  <c r="K1863" i="1" s="1"/>
  <c r="I1863" i="1"/>
  <c r="H1863" i="1"/>
  <c r="G1863" i="1"/>
  <c r="C1863" i="1"/>
  <c r="F1863" i="1" s="1"/>
  <c r="B1863" i="1"/>
  <c r="A1863" i="1"/>
  <c r="L1862" i="1"/>
  <c r="M1862" i="1" s="1"/>
  <c r="K1862" i="1"/>
  <c r="J1862" i="1"/>
  <c r="I1862" i="1"/>
  <c r="H1862" i="1"/>
  <c r="G1862" i="1"/>
  <c r="C1862" i="1"/>
  <c r="E1862" i="1" s="1"/>
  <c r="B1862" i="1"/>
  <c r="A1862" i="1"/>
  <c r="L1861" i="1"/>
  <c r="M1861" i="1" s="1"/>
  <c r="J1861" i="1"/>
  <c r="K1861" i="1" s="1"/>
  <c r="I1861" i="1"/>
  <c r="H1861" i="1"/>
  <c r="G1861" i="1"/>
  <c r="F1861" i="1"/>
  <c r="E1861" i="1"/>
  <c r="D1861" i="1"/>
  <c r="C1861" i="1"/>
  <c r="B1861" i="1"/>
  <c r="A1861" i="1"/>
  <c r="M1860" i="1"/>
  <c r="L1860" i="1"/>
  <c r="K1860" i="1"/>
  <c r="J1860" i="1"/>
  <c r="H1860" i="1"/>
  <c r="G1860" i="1"/>
  <c r="I1860" i="1" s="1"/>
  <c r="F1860" i="1"/>
  <c r="E1860" i="1"/>
  <c r="D1860" i="1"/>
  <c r="C1860" i="1"/>
  <c r="B1860" i="1"/>
  <c r="A1860" i="1"/>
  <c r="M1859" i="1"/>
  <c r="L1859" i="1"/>
  <c r="J1859" i="1"/>
  <c r="H1859" i="1"/>
  <c r="G1859" i="1"/>
  <c r="I1859" i="1" s="1"/>
  <c r="K1859" i="1" s="1"/>
  <c r="F1859" i="1"/>
  <c r="E1859" i="1"/>
  <c r="C1859" i="1"/>
  <c r="D1859" i="1" s="1"/>
  <c r="B1859" i="1"/>
  <c r="A1859" i="1"/>
  <c r="M1858" i="1"/>
  <c r="L1858" i="1"/>
  <c r="J1858" i="1"/>
  <c r="I1858" i="1"/>
  <c r="H1858" i="1"/>
  <c r="G1858" i="1"/>
  <c r="C1858" i="1"/>
  <c r="E1858" i="1" s="1"/>
  <c r="B1858" i="1"/>
  <c r="A1858" i="1"/>
  <c r="M1857" i="1"/>
  <c r="L1857" i="1"/>
  <c r="J1857" i="1"/>
  <c r="K1857" i="1" s="1"/>
  <c r="I1857" i="1"/>
  <c r="H1857" i="1"/>
  <c r="G1857" i="1"/>
  <c r="C1857" i="1"/>
  <c r="F1857" i="1" s="1"/>
  <c r="B1857" i="1"/>
  <c r="A1857" i="1"/>
  <c r="L1856" i="1"/>
  <c r="M1856" i="1" s="1"/>
  <c r="K1856" i="1"/>
  <c r="J1856" i="1"/>
  <c r="I1856" i="1"/>
  <c r="H1856" i="1"/>
  <c r="G1856" i="1"/>
  <c r="C1856" i="1"/>
  <c r="E1856" i="1" s="1"/>
  <c r="B1856" i="1"/>
  <c r="A1856" i="1"/>
  <c r="L1855" i="1"/>
  <c r="M1855" i="1" s="1"/>
  <c r="J1855" i="1"/>
  <c r="K1855" i="1" s="1"/>
  <c r="I1855" i="1"/>
  <c r="H1855" i="1"/>
  <c r="G1855" i="1"/>
  <c r="F1855" i="1"/>
  <c r="E1855" i="1"/>
  <c r="D1855" i="1"/>
  <c r="C1855" i="1"/>
  <c r="B1855" i="1"/>
  <c r="A1855" i="1"/>
  <c r="M1854" i="1"/>
  <c r="L1854" i="1"/>
  <c r="K1854" i="1"/>
  <c r="J1854" i="1"/>
  <c r="H1854" i="1"/>
  <c r="G1854" i="1"/>
  <c r="I1854" i="1" s="1"/>
  <c r="F1854" i="1"/>
  <c r="E1854" i="1"/>
  <c r="D1854" i="1"/>
  <c r="C1854" i="1"/>
  <c r="B1854" i="1"/>
  <c r="A1854" i="1"/>
  <c r="M1853" i="1"/>
  <c r="L1853" i="1"/>
  <c r="J1853" i="1"/>
  <c r="H1853" i="1"/>
  <c r="G1853" i="1"/>
  <c r="I1853" i="1" s="1"/>
  <c r="K1853" i="1" s="1"/>
  <c r="F1853" i="1"/>
  <c r="E1853" i="1"/>
  <c r="C1853" i="1"/>
  <c r="D1853" i="1" s="1"/>
  <c r="B1853" i="1"/>
  <c r="A1853" i="1"/>
  <c r="M1852" i="1"/>
  <c r="L1852" i="1"/>
  <c r="J1852" i="1"/>
  <c r="I1852" i="1"/>
  <c r="H1852" i="1"/>
  <c r="G1852" i="1"/>
  <c r="C1852" i="1"/>
  <c r="E1852" i="1" s="1"/>
  <c r="B1852" i="1"/>
  <c r="A1852" i="1"/>
  <c r="M1851" i="1"/>
  <c r="L1851" i="1"/>
  <c r="J1851" i="1"/>
  <c r="K1851" i="1" s="1"/>
  <c r="I1851" i="1"/>
  <c r="H1851" i="1"/>
  <c r="G1851" i="1"/>
  <c r="C1851" i="1"/>
  <c r="F1851" i="1" s="1"/>
  <c r="B1851" i="1"/>
  <c r="A1851" i="1"/>
  <c r="L1850" i="1"/>
  <c r="M1850" i="1" s="1"/>
  <c r="K1850" i="1"/>
  <c r="J1850" i="1"/>
  <c r="I1850" i="1"/>
  <c r="H1850" i="1"/>
  <c r="G1850" i="1"/>
  <c r="C1850" i="1"/>
  <c r="B1850" i="1"/>
  <c r="A1850" i="1"/>
  <c r="L1849" i="1"/>
  <c r="M1849" i="1" s="1"/>
  <c r="J1849" i="1"/>
  <c r="K1849" i="1" s="1"/>
  <c r="I1849" i="1"/>
  <c r="H1849" i="1"/>
  <c r="G1849" i="1"/>
  <c r="F1849" i="1"/>
  <c r="E1849" i="1"/>
  <c r="D1849" i="1"/>
  <c r="C1849" i="1"/>
  <c r="B1849" i="1"/>
  <c r="A1849" i="1"/>
  <c r="M1848" i="1"/>
  <c r="L1848" i="1"/>
  <c r="K1848" i="1"/>
  <c r="J1848" i="1"/>
  <c r="H1848" i="1"/>
  <c r="G1848" i="1"/>
  <c r="I1848" i="1" s="1"/>
  <c r="F1848" i="1"/>
  <c r="E1848" i="1"/>
  <c r="D1848" i="1"/>
  <c r="C1848" i="1"/>
  <c r="B1848" i="1"/>
  <c r="A1848" i="1"/>
  <c r="M1847" i="1"/>
  <c r="L1847" i="1"/>
  <c r="J1847" i="1"/>
  <c r="H1847" i="1"/>
  <c r="G1847" i="1"/>
  <c r="I1847" i="1" s="1"/>
  <c r="K1847" i="1" s="1"/>
  <c r="F1847" i="1"/>
  <c r="E1847" i="1"/>
  <c r="C1847" i="1"/>
  <c r="D1847" i="1" s="1"/>
  <c r="B1847" i="1"/>
  <c r="A1847" i="1"/>
  <c r="M1846" i="1"/>
  <c r="L1846" i="1"/>
  <c r="J1846" i="1"/>
  <c r="I1846" i="1"/>
  <c r="H1846" i="1"/>
  <c r="G1846" i="1"/>
  <c r="C1846" i="1"/>
  <c r="B1846" i="1"/>
  <c r="A1846" i="1"/>
  <c r="M1845" i="1"/>
  <c r="L1845" i="1"/>
  <c r="J1845" i="1"/>
  <c r="K1845" i="1" s="1"/>
  <c r="I1845" i="1"/>
  <c r="H1845" i="1"/>
  <c r="G1845" i="1"/>
  <c r="C1845" i="1"/>
  <c r="B1845" i="1"/>
  <c r="A1845" i="1"/>
  <c r="L1844" i="1"/>
  <c r="M1844" i="1" s="1"/>
  <c r="K1844" i="1"/>
  <c r="J1844" i="1"/>
  <c r="I1844" i="1"/>
  <c r="H1844" i="1"/>
  <c r="G1844" i="1"/>
  <c r="C1844" i="1"/>
  <c r="B1844" i="1"/>
  <c r="A1844" i="1"/>
  <c r="L1843" i="1"/>
  <c r="M1843" i="1" s="1"/>
  <c r="J1843" i="1"/>
  <c r="K1843" i="1" s="1"/>
  <c r="I1843" i="1"/>
  <c r="H1843" i="1"/>
  <c r="G1843" i="1"/>
  <c r="F1843" i="1"/>
  <c r="E1843" i="1"/>
  <c r="D1843" i="1"/>
  <c r="C1843" i="1"/>
  <c r="B1843" i="1"/>
  <c r="A1843" i="1"/>
  <c r="M1842" i="1"/>
  <c r="L1842" i="1"/>
  <c r="K1842" i="1"/>
  <c r="J1842" i="1"/>
  <c r="H1842" i="1"/>
  <c r="G1842" i="1"/>
  <c r="I1842" i="1" s="1"/>
  <c r="F1842" i="1"/>
  <c r="E1842" i="1"/>
  <c r="D1842" i="1"/>
  <c r="C1842" i="1"/>
  <c r="B1842" i="1"/>
  <c r="A1842" i="1"/>
  <c r="M1841" i="1"/>
  <c r="L1841" i="1"/>
  <c r="J1841" i="1"/>
  <c r="H1841" i="1"/>
  <c r="G1841" i="1"/>
  <c r="I1841" i="1" s="1"/>
  <c r="K1841" i="1" s="1"/>
  <c r="F1841" i="1"/>
  <c r="E1841" i="1"/>
  <c r="C1841" i="1"/>
  <c r="D1841" i="1" s="1"/>
  <c r="B1841" i="1"/>
  <c r="A1841" i="1"/>
  <c r="M1840" i="1"/>
  <c r="L1840" i="1"/>
  <c r="J1840" i="1"/>
  <c r="I1840" i="1"/>
  <c r="H1840" i="1"/>
  <c r="G1840" i="1"/>
  <c r="C1840" i="1"/>
  <c r="B1840" i="1"/>
  <c r="A1840" i="1"/>
  <c r="M1839" i="1"/>
  <c r="L1839" i="1"/>
  <c r="J1839" i="1"/>
  <c r="K1839" i="1" s="1"/>
  <c r="I1839" i="1"/>
  <c r="H1839" i="1"/>
  <c r="G1839" i="1"/>
  <c r="C1839" i="1"/>
  <c r="B1839" i="1"/>
  <c r="A1839" i="1"/>
  <c r="L1838" i="1"/>
  <c r="M1838" i="1" s="1"/>
  <c r="K1838" i="1"/>
  <c r="J1838" i="1"/>
  <c r="I1838" i="1"/>
  <c r="H1838" i="1"/>
  <c r="G1838" i="1"/>
  <c r="C1838" i="1"/>
  <c r="B1838" i="1"/>
  <c r="A1838" i="1"/>
  <c r="L1837" i="1"/>
  <c r="M1837" i="1" s="1"/>
  <c r="J1837" i="1"/>
  <c r="K1837" i="1" s="1"/>
  <c r="I1837" i="1"/>
  <c r="H1837" i="1"/>
  <c r="G1837" i="1"/>
  <c r="F1837" i="1"/>
  <c r="E1837" i="1"/>
  <c r="D1837" i="1"/>
  <c r="C1837" i="1"/>
  <c r="B1837" i="1"/>
  <c r="A1837" i="1"/>
  <c r="M1836" i="1"/>
  <c r="L1836" i="1"/>
  <c r="K1836" i="1"/>
  <c r="J1836" i="1"/>
  <c r="H1836" i="1"/>
  <c r="G1836" i="1"/>
  <c r="I1836" i="1" s="1"/>
  <c r="F1836" i="1"/>
  <c r="E1836" i="1"/>
  <c r="D1836" i="1"/>
  <c r="C1836" i="1"/>
  <c r="B1836" i="1"/>
  <c r="A1836" i="1"/>
  <c r="M1835" i="1"/>
  <c r="L1835" i="1"/>
  <c r="J1835" i="1"/>
  <c r="H1835" i="1"/>
  <c r="G1835" i="1"/>
  <c r="I1835" i="1" s="1"/>
  <c r="K1835" i="1" s="1"/>
  <c r="F1835" i="1"/>
  <c r="E1835" i="1"/>
  <c r="C1835" i="1"/>
  <c r="D1835" i="1" s="1"/>
  <c r="B1835" i="1"/>
  <c r="A1835" i="1"/>
  <c r="M1834" i="1"/>
  <c r="L1834" i="1"/>
  <c r="J1834" i="1"/>
  <c r="I1834" i="1"/>
  <c r="H1834" i="1"/>
  <c r="G1834" i="1"/>
  <c r="C1834" i="1"/>
  <c r="B1834" i="1"/>
  <c r="A1834" i="1"/>
  <c r="M1833" i="1"/>
  <c r="L1833" i="1"/>
  <c r="J1833" i="1"/>
  <c r="K1833" i="1" s="1"/>
  <c r="I1833" i="1"/>
  <c r="H1833" i="1"/>
  <c r="G1833" i="1"/>
  <c r="C1833" i="1"/>
  <c r="B1833" i="1"/>
  <c r="A1833" i="1"/>
  <c r="L1832" i="1"/>
  <c r="M1832" i="1" s="1"/>
  <c r="K1832" i="1"/>
  <c r="J1832" i="1"/>
  <c r="I1832" i="1"/>
  <c r="H1832" i="1"/>
  <c r="G1832" i="1"/>
  <c r="C1832" i="1"/>
  <c r="B1832" i="1"/>
  <c r="A1832" i="1"/>
  <c r="L1831" i="1"/>
  <c r="M1831" i="1" s="1"/>
  <c r="J1831" i="1"/>
  <c r="K1831" i="1" s="1"/>
  <c r="I1831" i="1"/>
  <c r="H1831" i="1"/>
  <c r="G1831" i="1"/>
  <c r="F1831" i="1"/>
  <c r="E1831" i="1"/>
  <c r="D1831" i="1"/>
  <c r="C1831" i="1"/>
  <c r="B1831" i="1"/>
  <c r="A1831" i="1"/>
  <c r="M1830" i="1"/>
  <c r="L1830" i="1"/>
  <c r="K1830" i="1"/>
  <c r="J1830" i="1"/>
  <c r="H1830" i="1"/>
  <c r="G1830" i="1"/>
  <c r="I1830" i="1" s="1"/>
  <c r="F1830" i="1"/>
  <c r="E1830" i="1"/>
  <c r="D1830" i="1"/>
  <c r="C1830" i="1"/>
  <c r="B1830" i="1"/>
  <c r="A1830" i="1"/>
  <c r="M1829" i="1"/>
  <c r="L1829" i="1"/>
  <c r="J1829" i="1"/>
  <c r="H1829" i="1"/>
  <c r="G1829" i="1"/>
  <c r="I1829" i="1" s="1"/>
  <c r="K1829" i="1" s="1"/>
  <c r="F1829" i="1"/>
  <c r="E1829" i="1"/>
  <c r="C1829" i="1"/>
  <c r="D1829" i="1" s="1"/>
  <c r="B1829" i="1"/>
  <c r="A1829" i="1"/>
  <c r="M1828" i="1"/>
  <c r="L1828" i="1"/>
  <c r="J1828" i="1"/>
  <c r="I1828" i="1"/>
  <c r="H1828" i="1"/>
  <c r="G1828" i="1"/>
  <c r="C1828" i="1"/>
  <c r="B1828" i="1"/>
  <c r="A1828" i="1"/>
  <c r="M1827" i="1"/>
  <c r="L1827" i="1"/>
  <c r="J1827" i="1"/>
  <c r="K1827" i="1" s="1"/>
  <c r="I1827" i="1"/>
  <c r="H1827" i="1"/>
  <c r="G1827" i="1"/>
  <c r="C1827" i="1"/>
  <c r="B1827" i="1"/>
  <c r="A1827" i="1"/>
  <c r="L1826" i="1"/>
  <c r="M1826" i="1" s="1"/>
  <c r="K1826" i="1"/>
  <c r="J1826" i="1"/>
  <c r="I1826" i="1"/>
  <c r="H1826" i="1"/>
  <c r="G1826" i="1"/>
  <c r="C1826" i="1"/>
  <c r="B1826" i="1"/>
  <c r="A1826" i="1"/>
  <c r="L1825" i="1"/>
  <c r="M1825" i="1" s="1"/>
  <c r="J1825" i="1"/>
  <c r="K1825" i="1" s="1"/>
  <c r="I1825" i="1"/>
  <c r="H1825" i="1"/>
  <c r="G1825" i="1"/>
  <c r="F1825" i="1"/>
  <c r="E1825" i="1"/>
  <c r="D1825" i="1"/>
  <c r="C1825" i="1"/>
  <c r="B1825" i="1"/>
  <c r="A1825" i="1"/>
  <c r="M1824" i="1"/>
  <c r="L1824" i="1"/>
  <c r="K1824" i="1"/>
  <c r="J1824" i="1"/>
  <c r="H1824" i="1"/>
  <c r="G1824" i="1"/>
  <c r="I1824" i="1" s="1"/>
  <c r="F1824" i="1"/>
  <c r="E1824" i="1"/>
  <c r="D1824" i="1"/>
  <c r="C1824" i="1"/>
  <c r="B1824" i="1"/>
  <c r="A1824" i="1"/>
  <c r="M1823" i="1"/>
  <c r="L1823" i="1"/>
  <c r="J1823" i="1"/>
  <c r="H1823" i="1"/>
  <c r="G1823" i="1"/>
  <c r="I1823" i="1" s="1"/>
  <c r="K1823" i="1" s="1"/>
  <c r="F1823" i="1"/>
  <c r="E1823" i="1"/>
  <c r="C1823" i="1"/>
  <c r="D1823" i="1" s="1"/>
  <c r="B1823" i="1"/>
  <c r="A1823" i="1"/>
  <c r="M1822" i="1"/>
  <c r="L1822" i="1"/>
  <c r="J1822" i="1"/>
  <c r="I1822" i="1"/>
  <c r="H1822" i="1"/>
  <c r="G1822" i="1"/>
  <c r="C1822" i="1"/>
  <c r="B1822" i="1"/>
  <c r="A1822" i="1"/>
  <c r="M1821" i="1"/>
  <c r="L1821" i="1"/>
  <c r="J1821" i="1"/>
  <c r="K1821" i="1" s="1"/>
  <c r="I1821" i="1"/>
  <c r="H1821" i="1"/>
  <c r="G1821" i="1"/>
  <c r="C1821" i="1"/>
  <c r="B1821" i="1"/>
  <c r="A1821" i="1"/>
  <c r="L1820" i="1"/>
  <c r="M1820" i="1" s="1"/>
  <c r="K1820" i="1"/>
  <c r="J1820" i="1"/>
  <c r="I1820" i="1"/>
  <c r="H1820" i="1"/>
  <c r="G1820" i="1"/>
  <c r="C1820" i="1"/>
  <c r="B1820" i="1"/>
  <c r="A1820" i="1"/>
  <c r="L1819" i="1"/>
  <c r="M1819" i="1" s="1"/>
  <c r="J1819" i="1"/>
  <c r="K1819" i="1" s="1"/>
  <c r="I1819" i="1"/>
  <c r="H1819" i="1"/>
  <c r="G1819" i="1"/>
  <c r="F1819" i="1"/>
  <c r="E1819" i="1"/>
  <c r="D1819" i="1"/>
  <c r="C1819" i="1"/>
  <c r="B1819" i="1"/>
  <c r="A1819" i="1"/>
  <c r="M1818" i="1"/>
  <c r="L1818" i="1"/>
  <c r="K1818" i="1"/>
  <c r="J1818" i="1"/>
  <c r="H1818" i="1"/>
  <c r="G1818" i="1"/>
  <c r="I1818" i="1" s="1"/>
  <c r="F1818" i="1"/>
  <c r="E1818" i="1"/>
  <c r="D1818" i="1"/>
  <c r="C1818" i="1"/>
  <c r="B1818" i="1"/>
  <c r="A1818" i="1"/>
  <c r="M1817" i="1"/>
  <c r="L1817" i="1"/>
  <c r="J1817" i="1"/>
  <c r="H1817" i="1"/>
  <c r="G1817" i="1"/>
  <c r="I1817" i="1" s="1"/>
  <c r="K1817" i="1" s="1"/>
  <c r="F1817" i="1"/>
  <c r="E1817" i="1"/>
  <c r="C1817" i="1"/>
  <c r="D1817" i="1" s="1"/>
  <c r="B1817" i="1"/>
  <c r="A1817" i="1"/>
  <c r="M1816" i="1"/>
  <c r="L1816" i="1"/>
  <c r="J1816" i="1"/>
  <c r="I1816" i="1"/>
  <c r="H1816" i="1"/>
  <c r="G1816" i="1"/>
  <c r="C1816" i="1"/>
  <c r="B1816" i="1"/>
  <c r="A1816" i="1"/>
  <c r="M1815" i="1"/>
  <c r="L1815" i="1"/>
  <c r="J1815" i="1"/>
  <c r="K1815" i="1" s="1"/>
  <c r="I1815" i="1"/>
  <c r="H1815" i="1"/>
  <c r="G1815" i="1"/>
  <c r="C1815" i="1"/>
  <c r="B1815" i="1"/>
  <c r="A1815" i="1"/>
  <c r="L1814" i="1"/>
  <c r="M1814" i="1" s="1"/>
  <c r="K1814" i="1"/>
  <c r="J1814" i="1"/>
  <c r="I1814" i="1"/>
  <c r="H1814" i="1"/>
  <c r="G1814" i="1"/>
  <c r="C1814" i="1"/>
  <c r="B1814" i="1"/>
  <c r="A1814" i="1"/>
  <c r="L1813" i="1"/>
  <c r="M1813" i="1" s="1"/>
  <c r="J1813" i="1"/>
  <c r="K1813" i="1" s="1"/>
  <c r="I1813" i="1"/>
  <c r="H1813" i="1"/>
  <c r="G1813" i="1"/>
  <c r="F1813" i="1"/>
  <c r="E1813" i="1"/>
  <c r="D1813" i="1"/>
  <c r="C1813" i="1"/>
  <c r="B1813" i="1"/>
  <c r="A1813" i="1"/>
  <c r="M1812" i="1"/>
  <c r="L1812" i="1"/>
  <c r="K1812" i="1"/>
  <c r="J1812" i="1"/>
  <c r="H1812" i="1"/>
  <c r="G1812" i="1"/>
  <c r="I1812" i="1" s="1"/>
  <c r="F1812" i="1"/>
  <c r="E1812" i="1"/>
  <c r="D1812" i="1"/>
  <c r="C1812" i="1"/>
  <c r="B1812" i="1"/>
  <c r="A1812" i="1"/>
  <c r="M1811" i="1"/>
  <c r="L1811" i="1"/>
  <c r="J1811" i="1"/>
  <c r="H1811" i="1"/>
  <c r="G1811" i="1"/>
  <c r="I1811" i="1" s="1"/>
  <c r="K1811" i="1" s="1"/>
  <c r="F1811" i="1"/>
  <c r="E1811" i="1"/>
  <c r="C1811" i="1"/>
  <c r="D1811" i="1" s="1"/>
  <c r="B1811" i="1"/>
  <c r="A1811" i="1"/>
  <c r="M1810" i="1"/>
  <c r="L1810" i="1"/>
  <c r="J1810" i="1"/>
  <c r="I1810" i="1"/>
  <c r="H1810" i="1"/>
  <c r="G1810" i="1"/>
  <c r="C1810" i="1"/>
  <c r="B1810" i="1"/>
  <c r="A1810" i="1"/>
  <c r="M1809" i="1"/>
  <c r="L1809" i="1"/>
  <c r="J1809" i="1"/>
  <c r="K1809" i="1" s="1"/>
  <c r="I1809" i="1"/>
  <c r="H1809" i="1"/>
  <c r="G1809" i="1"/>
  <c r="C1809" i="1"/>
  <c r="B1809" i="1"/>
  <c r="A1809" i="1"/>
  <c r="L1808" i="1"/>
  <c r="M1808" i="1" s="1"/>
  <c r="K1808" i="1"/>
  <c r="J1808" i="1"/>
  <c r="I1808" i="1"/>
  <c r="H1808" i="1"/>
  <c r="G1808" i="1"/>
  <c r="C1808" i="1"/>
  <c r="B1808" i="1"/>
  <c r="A1808" i="1"/>
  <c r="L1807" i="1"/>
  <c r="M1807" i="1" s="1"/>
  <c r="J1807" i="1"/>
  <c r="K1807" i="1" s="1"/>
  <c r="I1807" i="1"/>
  <c r="H1807" i="1"/>
  <c r="G1807" i="1"/>
  <c r="F1807" i="1"/>
  <c r="E1807" i="1"/>
  <c r="D1807" i="1"/>
  <c r="C1807" i="1"/>
  <c r="B1807" i="1"/>
  <c r="A1807" i="1"/>
  <c r="M1806" i="1"/>
  <c r="L1806" i="1"/>
  <c r="K1806" i="1"/>
  <c r="J1806" i="1"/>
  <c r="H1806" i="1"/>
  <c r="G1806" i="1"/>
  <c r="I1806" i="1" s="1"/>
  <c r="F1806" i="1"/>
  <c r="E1806" i="1"/>
  <c r="D1806" i="1"/>
  <c r="C1806" i="1"/>
  <c r="B1806" i="1"/>
  <c r="A1806" i="1"/>
  <c r="M1805" i="1"/>
  <c r="L1805" i="1"/>
  <c r="J1805" i="1"/>
  <c r="H1805" i="1"/>
  <c r="G1805" i="1"/>
  <c r="I1805" i="1" s="1"/>
  <c r="K1805" i="1" s="1"/>
  <c r="F1805" i="1"/>
  <c r="E1805" i="1"/>
  <c r="C1805" i="1"/>
  <c r="D1805" i="1" s="1"/>
  <c r="B1805" i="1"/>
  <c r="A1805" i="1"/>
  <c r="M1804" i="1"/>
  <c r="L1804" i="1"/>
  <c r="J1804" i="1"/>
  <c r="I1804" i="1"/>
  <c r="H1804" i="1"/>
  <c r="G1804" i="1"/>
  <c r="C1804" i="1"/>
  <c r="B1804" i="1"/>
  <c r="A1804" i="1"/>
  <c r="M1803" i="1"/>
  <c r="L1803" i="1"/>
  <c r="J1803" i="1"/>
  <c r="K1803" i="1" s="1"/>
  <c r="I1803" i="1"/>
  <c r="H1803" i="1"/>
  <c r="G1803" i="1"/>
  <c r="C1803" i="1"/>
  <c r="B1803" i="1"/>
  <c r="A1803" i="1"/>
  <c r="L1802" i="1"/>
  <c r="M1802" i="1" s="1"/>
  <c r="K1802" i="1"/>
  <c r="J1802" i="1"/>
  <c r="I1802" i="1"/>
  <c r="H1802" i="1"/>
  <c r="G1802" i="1"/>
  <c r="C1802" i="1"/>
  <c r="B1802" i="1"/>
  <c r="A1802" i="1"/>
  <c r="L1801" i="1"/>
  <c r="M1801" i="1" s="1"/>
  <c r="J1801" i="1"/>
  <c r="K1801" i="1" s="1"/>
  <c r="I1801" i="1"/>
  <c r="H1801" i="1"/>
  <c r="G1801" i="1"/>
  <c r="F1801" i="1"/>
  <c r="E1801" i="1"/>
  <c r="D1801" i="1"/>
  <c r="C1801" i="1"/>
  <c r="B1801" i="1"/>
  <c r="A1801" i="1"/>
  <c r="M1800" i="1"/>
  <c r="L1800" i="1"/>
  <c r="K1800" i="1"/>
  <c r="J1800" i="1"/>
  <c r="H1800" i="1"/>
  <c r="G1800" i="1"/>
  <c r="I1800" i="1" s="1"/>
  <c r="F1800" i="1"/>
  <c r="E1800" i="1"/>
  <c r="D1800" i="1"/>
  <c r="C1800" i="1"/>
  <c r="B1800" i="1"/>
  <c r="A1800" i="1"/>
  <c r="M1799" i="1"/>
  <c r="L1799" i="1"/>
  <c r="J1799" i="1"/>
  <c r="H1799" i="1"/>
  <c r="G1799" i="1"/>
  <c r="I1799" i="1" s="1"/>
  <c r="K1799" i="1" s="1"/>
  <c r="F1799" i="1"/>
  <c r="E1799" i="1"/>
  <c r="C1799" i="1"/>
  <c r="D1799" i="1" s="1"/>
  <c r="B1799" i="1"/>
  <c r="A1799" i="1"/>
  <c r="M1798" i="1"/>
  <c r="L1798" i="1"/>
  <c r="J1798" i="1"/>
  <c r="I1798" i="1"/>
  <c r="H1798" i="1"/>
  <c r="G1798" i="1"/>
  <c r="C1798" i="1"/>
  <c r="B1798" i="1"/>
  <c r="A1798" i="1"/>
  <c r="M1797" i="1"/>
  <c r="L1797" i="1"/>
  <c r="J1797" i="1"/>
  <c r="K1797" i="1" s="1"/>
  <c r="I1797" i="1"/>
  <c r="H1797" i="1"/>
  <c r="G1797" i="1"/>
  <c r="C1797" i="1"/>
  <c r="B1797" i="1"/>
  <c r="A1797" i="1"/>
  <c r="L1796" i="1"/>
  <c r="M1796" i="1" s="1"/>
  <c r="J1796" i="1"/>
  <c r="I1796" i="1"/>
  <c r="K1796" i="1" s="1"/>
  <c r="H1796" i="1"/>
  <c r="G1796" i="1"/>
  <c r="C1796" i="1"/>
  <c r="B1796" i="1"/>
  <c r="A1796" i="1"/>
  <c r="L1795" i="1"/>
  <c r="M1795" i="1" s="1"/>
  <c r="J1795" i="1"/>
  <c r="K1795" i="1" s="1"/>
  <c r="I1795" i="1"/>
  <c r="H1795" i="1"/>
  <c r="G1795" i="1"/>
  <c r="F1795" i="1"/>
  <c r="E1795" i="1"/>
  <c r="D1795" i="1"/>
  <c r="C1795" i="1"/>
  <c r="B1795" i="1"/>
  <c r="A1795" i="1"/>
  <c r="M1794" i="1"/>
  <c r="L1794" i="1"/>
  <c r="K1794" i="1"/>
  <c r="J1794" i="1"/>
  <c r="H1794" i="1"/>
  <c r="G1794" i="1"/>
  <c r="I1794" i="1" s="1"/>
  <c r="F1794" i="1"/>
  <c r="E1794" i="1"/>
  <c r="D1794" i="1"/>
  <c r="C1794" i="1"/>
  <c r="B1794" i="1"/>
  <c r="A1794" i="1"/>
  <c r="M1793" i="1"/>
  <c r="L1793" i="1"/>
  <c r="J1793" i="1"/>
  <c r="H1793" i="1"/>
  <c r="G1793" i="1"/>
  <c r="I1793" i="1" s="1"/>
  <c r="K1793" i="1" s="1"/>
  <c r="F1793" i="1"/>
  <c r="E1793" i="1"/>
  <c r="C1793" i="1"/>
  <c r="D1793" i="1" s="1"/>
  <c r="B1793" i="1"/>
  <c r="A1793" i="1"/>
  <c r="M1792" i="1"/>
  <c r="L1792" i="1"/>
  <c r="J1792" i="1"/>
  <c r="I1792" i="1"/>
  <c r="H1792" i="1"/>
  <c r="G1792" i="1"/>
  <c r="D1792" i="1"/>
  <c r="C1792" i="1"/>
  <c r="B1792" i="1"/>
  <c r="A1792" i="1"/>
  <c r="M1791" i="1"/>
  <c r="L1791" i="1"/>
  <c r="J1791" i="1"/>
  <c r="K1791" i="1" s="1"/>
  <c r="I1791" i="1"/>
  <c r="H1791" i="1"/>
  <c r="G1791" i="1"/>
  <c r="D1791" i="1"/>
  <c r="C1791" i="1"/>
  <c r="B1791" i="1"/>
  <c r="A1791" i="1"/>
  <c r="L1790" i="1"/>
  <c r="M1790" i="1" s="1"/>
  <c r="J1790" i="1"/>
  <c r="I1790" i="1"/>
  <c r="K1790" i="1" s="1"/>
  <c r="H1790" i="1"/>
  <c r="G1790" i="1"/>
  <c r="C1790" i="1"/>
  <c r="B1790" i="1"/>
  <c r="A1790" i="1"/>
  <c r="L1789" i="1"/>
  <c r="M1789" i="1" s="1"/>
  <c r="J1789" i="1"/>
  <c r="K1789" i="1" s="1"/>
  <c r="I1789" i="1"/>
  <c r="H1789" i="1"/>
  <c r="G1789" i="1"/>
  <c r="F1789" i="1"/>
  <c r="E1789" i="1"/>
  <c r="D1789" i="1"/>
  <c r="C1789" i="1"/>
  <c r="B1789" i="1"/>
  <c r="A1789" i="1"/>
  <c r="M1788" i="1"/>
  <c r="L1788" i="1"/>
  <c r="K1788" i="1"/>
  <c r="J1788" i="1"/>
  <c r="H1788" i="1"/>
  <c r="G1788" i="1"/>
  <c r="I1788" i="1" s="1"/>
  <c r="F1788" i="1"/>
  <c r="E1788" i="1"/>
  <c r="D1788" i="1"/>
  <c r="C1788" i="1"/>
  <c r="B1788" i="1"/>
  <c r="A1788" i="1"/>
  <c r="M1787" i="1"/>
  <c r="L1787" i="1"/>
  <c r="J1787" i="1"/>
  <c r="H1787" i="1"/>
  <c r="G1787" i="1"/>
  <c r="I1787" i="1" s="1"/>
  <c r="K1787" i="1" s="1"/>
  <c r="F1787" i="1"/>
  <c r="E1787" i="1"/>
  <c r="C1787" i="1"/>
  <c r="D1787" i="1" s="1"/>
  <c r="B1787" i="1"/>
  <c r="A1787" i="1"/>
  <c r="M1786" i="1"/>
  <c r="L1786" i="1"/>
  <c r="J1786" i="1"/>
  <c r="I1786" i="1"/>
  <c r="H1786" i="1"/>
  <c r="G1786" i="1"/>
  <c r="C1786" i="1"/>
  <c r="B1786" i="1"/>
  <c r="A1786" i="1"/>
  <c r="M1785" i="1"/>
  <c r="L1785" i="1"/>
  <c r="J1785" i="1"/>
  <c r="K1785" i="1" s="1"/>
  <c r="I1785" i="1"/>
  <c r="H1785" i="1"/>
  <c r="G1785" i="1"/>
  <c r="D1785" i="1"/>
  <c r="C1785" i="1"/>
  <c r="B1785" i="1"/>
  <c r="A1785" i="1"/>
  <c r="L1784" i="1"/>
  <c r="M1784" i="1" s="1"/>
  <c r="J1784" i="1"/>
  <c r="I1784" i="1"/>
  <c r="K1784" i="1" s="1"/>
  <c r="H1784" i="1"/>
  <c r="G1784" i="1"/>
  <c r="D1784" i="1"/>
  <c r="C1784" i="1"/>
  <c r="B1784" i="1"/>
  <c r="A1784" i="1"/>
  <c r="L1783" i="1"/>
  <c r="M1783" i="1" s="1"/>
  <c r="J1783" i="1"/>
  <c r="K1783" i="1" s="1"/>
  <c r="I1783" i="1"/>
  <c r="H1783" i="1"/>
  <c r="G1783" i="1"/>
  <c r="F1783" i="1"/>
  <c r="E1783" i="1"/>
  <c r="D1783" i="1"/>
  <c r="C1783" i="1"/>
  <c r="B1783" i="1"/>
  <c r="A1783" i="1"/>
  <c r="M1782" i="1"/>
  <c r="L1782" i="1"/>
  <c r="K1782" i="1"/>
  <c r="J1782" i="1"/>
  <c r="H1782" i="1"/>
  <c r="G1782" i="1"/>
  <c r="I1782" i="1" s="1"/>
  <c r="F1782" i="1"/>
  <c r="E1782" i="1"/>
  <c r="D1782" i="1"/>
  <c r="C1782" i="1"/>
  <c r="B1782" i="1"/>
  <c r="A1782" i="1"/>
  <c r="M1781" i="1"/>
  <c r="L1781" i="1"/>
  <c r="J1781" i="1"/>
  <c r="H1781" i="1"/>
  <c r="G1781" i="1"/>
  <c r="I1781" i="1" s="1"/>
  <c r="K1781" i="1" s="1"/>
  <c r="F1781" i="1"/>
  <c r="E1781" i="1"/>
  <c r="C1781" i="1"/>
  <c r="D1781" i="1" s="1"/>
  <c r="B1781" i="1"/>
  <c r="A1781" i="1"/>
  <c r="M1780" i="1"/>
  <c r="L1780" i="1"/>
  <c r="J1780" i="1"/>
  <c r="I1780" i="1"/>
  <c r="H1780" i="1"/>
  <c r="G1780" i="1"/>
  <c r="C1780" i="1"/>
  <c r="B1780" i="1"/>
  <c r="A1780" i="1"/>
  <c r="M1779" i="1"/>
  <c r="L1779" i="1"/>
  <c r="J1779" i="1"/>
  <c r="K1779" i="1" s="1"/>
  <c r="I1779" i="1"/>
  <c r="H1779" i="1"/>
  <c r="G1779" i="1"/>
  <c r="C1779" i="1"/>
  <c r="B1779" i="1"/>
  <c r="A1779" i="1"/>
  <c r="L1778" i="1"/>
  <c r="M1778" i="1" s="1"/>
  <c r="J1778" i="1"/>
  <c r="I1778" i="1"/>
  <c r="K1778" i="1" s="1"/>
  <c r="H1778" i="1"/>
  <c r="G1778" i="1"/>
  <c r="C1778" i="1"/>
  <c r="B1778" i="1"/>
  <c r="A1778" i="1"/>
  <c r="L1777" i="1"/>
  <c r="M1777" i="1" s="1"/>
  <c r="J1777" i="1"/>
  <c r="K1777" i="1" s="1"/>
  <c r="I1777" i="1"/>
  <c r="H1777" i="1"/>
  <c r="G1777" i="1"/>
  <c r="F1777" i="1"/>
  <c r="E1777" i="1"/>
  <c r="D1777" i="1"/>
  <c r="C1777" i="1"/>
  <c r="B1777" i="1"/>
  <c r="A1777" i="1"/>
  <c r="M1776" i="1"/>
  <c r="L1776" i="1"/>
  <c r="K1776" i="1"/>
  <c r="J1776" i="1"/>
  <c r="H1776" i="1"/>
  <c r="G1776" i="1"/>
  <c r="I1776" i="1" s="1"/>
  <c r="F1776" i="1"/>
  <c r="E1776" i="1"/>
  <c r="D1776" i="1"/>
  <c r="C1776" i="1"/>
  <c r="B1776" i="1"/>
  <c r="A1776" i="1"/>
  <c r="M1775" i="1"/>
  <c r="L1775" i="1"/>
  <c r="J1775" i="1"/>
  <c r="H1775" i="1"/>
  <c r="G1775" i="1"/>
  <c r="I1775" i="1" s="1"/>
  <c r="K1775" i="1" s="1"/>
  <c r="F1775" i="1"/>
  <c r="E1775" i="1"/>
  <c r="C1775" i="1"/>
  <c r="D1775" i="1" s="1"/>
  <c r="B1775" i="1"/>
  <c r="A1775" i="1"/>
  <c r="M1774" i="1"/>
  <c r="L1774" i="1"/>
  <c r="J1774" i="1"/>
  <c r="I1774" i="1"/>
  <c r="H1774" i="1"/>
  <c r="G1774" i="1"/>
  <c r="D1774" i="1"/>
  <c r="C1774" i="1"/>
  <c r="B1774" i="1"/>
  <c r="A1774" i="1"/>
  <c r="M1773" i="1"/>
  <c r="L1773" i="1"/>
  <c r="J1773" i="1"/>
  <c r="K1773" i="1" s="1"/>
  <c r="I1773" i="1"/>
  <c r="H1773" i="1"/>
  <c r="G1773" i="1"/>
  <c r="C1773" i="1"/>
  <c r="B1773" i="1"/>
  <c r="A1773" i="1"/>
  <c r="L1772" i="1"/>
  <c r="M1772" i="1" s="1"/>
  <c r="J1772" i="1"/>
  <c r="I1772" i="1"/>
  <c r="K1772" i="1" s="1"/>
  <c r="H1772" i="1"/>
  <c r="G1772" i="1"/>
  <c r="C1772" i="1"/>
  <c r="D1772" i="1" s="1"/>
  <c r="B1772" i="1"/>
  <c r="A1772" i="1"/>
  <c r="L1771" i="1"/>
  <c r="M1771" i="1" s="1"/>
  <c r="J1771" i="1"/>
  <c r="K1771" i="1" s="1"/>
  <c r="I1771" i="1"/>
  <c r="H1771" i="1"/>
  <c r="G1771" i="1"/>
  <c r="F1771" i="1"/>
  <c r="E1771" i="1"/>
  <c r="D1771" i="1"/>
  <c r="C1771" i="1"/>
  <c r="B1771" i="1"/>
  <c r="A1771" i="1"/>
  <c r="M1770" i="1"/>
  <c r="L1770" i="1"/>
  <c r="K1770" i="1"/>
  <c r="J1770" i="1"/>
  <c r="H1770" i="1"/>
  <c r="G1770" i="1"/>
  <c r="I1770" i="1" s="1"/>
  <c r="F1770" i="1"/>
  <c r="E1770" i="1"/>
  <c r="D1770" i="1"/>
  <c r="C1770" i="1"/>
  <c r="B1770" i="1"/>
  <c r="A1770" i="1"/>
  <c r="M1769" i="1"/>
  <c r="L1769" i="1"/>
  <c r="J1769" i="1"/>
  <c r="H1769" i="1"/>
  <c r="G1769" i="1"/>
  <c r="I1769" i="1" s="1"/>
  <c r="K1769" i="1" s="1"/>
  <c r="F1769" i="1"/>
  <c r="E1769" i="1"/>
  <c r="C1769" i="1"/>
  <c r="D1769" i="1" s="1"/>
  <c r="B1769" i="1"/>
  <c r="A1769" i="1"/>
  <c r="L1768" i="1"/>
  <c r="M1768" i="1" s="1"/>
  <c r="J1768" i="1"/>
  <c r="H1768" i="1"/>
  <c r="G1768" i="1"/>
  <c r="I1768" i="1" s="1"/>
  <c r="K1768" i="1" s="1"/>
  <c r="F1768" i="1"/>
  <c r="E1768" i="1"/>
  <c r="D1768" i="1"/>
  <c r="C1768" i="1"/>
  <c r="B1768" i="1"/>
  <c r="A1768" i="1"/>
  <c r="M1767" i="1"/>
  <c r="L1767" i="1"/>
  <c r="J1767" i="1"/>
  <c r="H1767" i="1"/>
  <c r="G1767" i="1"/>
  <c r="I1767" i="1" s="1"/>
  <c r="K1767" i="1" s="1"/>
  <c r="C1767" i="1"/>
  <c r="F1767" i="1" s="1"/>
  <c r="B1767" i="1"/>
  <c r="A1767" i="1"/>
  <c r="L1766" i="1"/>
  <c r="M1766" i="1" s="1"/>
  <c r="J1766" i="1"/>
  <c r="I1766" i="1"/>
  <c r="K1766" i="1" s="1"/>
  <c r="H1766" i="1"/>
  <c r="G1766" i="1"/>
  <c r="F1766" i="1"/>
  <c r="D1766" i="1"/>
  <c r="C1766" i="1"/>
  <c r="E1766" i="1" s="1"/>
  <c r="B1766" i="1"/>
  <c r="A1766" i="1"/>
  <c r="M1765" i="1"/>
  <c r="L1765" i="1"/>
  <c r="J1765" i="1"/>
  <c r="I1765" i="1"/>
  <c r="K1765" i="1" s="1"/>
  <c r="H1765" i="1"/>
  <c r="G1765" i="1"/>
  <c r="C1765" i="1"/>
  <c r="F1765" i="1" s="1"/>
  <c r="B1765" i="1"/>
  <c r="A1765" i="1"/>
  <c r="L1764" i="1"/>
  <c r="M1764" i="1" s="1"/>
  <c r="K1764" i="1"/>
  <c r="J1764" i="1"/>
  <c r="I1764" i="1"/>
  <c r="H1764" i="1"/>
  <c r="G1764" i="1"/>
  <c r="F1764" i="1"/>
  <c r="E1764" i="1"/>
  <c r="D1764" i="1"/>
  <c r="C1764" i="1"/>
  <c r="B1764" i="1"/>
  <c r="A1764" i="1"/>
  <c r="L1763" i="1"/>
  <c r="M1763" i="1" s="1"/>
  <c r="J1763" i="1"/>
  <c r="H1763" i="1"/>
  <c r="G1763" i="1"/>
  <c r="I1763" i="1" s="1"/>
  <c r="K1763" i="1" s="1"/>
  <c r="F1763" i="1"/>
  <c r="E1763" i="1"/>
  <c r="C1763" i="1"/>
  <c r="D1763" i="1" s="1"/>
  <c r="B1763" i="1"/>
  <c r="A1763" i="1"/>
  <c r="M1762" i="1"/>
  <c r="L1762" i="1"/>
  <c r="J1762" i="1"/>
  <c r="H1762" i="1"/>
  <c r="G1762" i="1"/>
  <c r="I1762" i="1" s="1"/>
  <c r="K1762" i="1" s="1"/>
  <c r="F1762" i="1"/>
  <c r="E1762" i="1"/>
  <c r="D1762" i="1"/>
  <c r="C1762" i="1"/>
  <c r="B1762" i="1"/>
  <c r="A1762" i="1"/>
  <c r="M1761" i="1"/>
  <c r="L1761" i="1"/>
  <c r="J1761" i="1"/>
  <c r="H1761" i="1"/>
  <c r="G1761" i="1"/>
  <c r="I1761" i="1" s="1"/>
  <c r="K1761" i="1" s="1"/>
  <c r="C1761" i="1"/>
  <c r="B1761" i="1"/>
  <c r="A1761" i="1"/>
  <c r="L1760" i="1"/>
  <c r="M1760" i="1" s="1"/>
  <c r="J1760" i="1"/>
  <c r="I1760" i="1"/>
  <c r="K1760" i="1" s="1"/>
  <c r="H1760" i="1"/>
  <c r="G1760" i="1"/>
  <c r="D1760" i="1"/>
  <c r="C1760" i="1"/>
  <c r="B1760" i="1"/>
  <c r="A1760" i="1"/>
  <c r="M1759" i="1"/>
  <c r="L1759" i="1"/>
  <c r="J1759" i="1"/>
  <c r="I1759" i="1"/>
  <c r="K1759" i="1" s="1"/>
  <c r="H1759" i="1"/>
  <c r="G1759" i="1"/>
  <c r="C1759" i="1"/>
  <c r="F1759" i="1" s="1"/>
  <c r="B1759" i="1"/>
  <c r="A1759" i="1"/>
  <c r="L1758" i="1"/>
  <c r="M1758" i="1" s="1"/>
  <c r="J1758" i="1"/>
  <c r="K1758" i="1" s="1"/>
  <c r="I1758" i="1"/>
  <c r="H1758" i="1"/>
  <c r="G1758" i="1"/>
  <c r="F1758" i="1"/>
  <c r="E1758" i="1"/>
  <c r="D1758" i="1"/>
  <c r="C1758" i="1"/>
  <c r="B1758" i="1"/>
  <c r="A1758" i="1"/>
  <c r="M1757" i="1"/>
  <c r="L1757" i="1"/>
  <c r="J1757" i="1"/>
  <c r="H1757" i="1"/>
  <c r="G1757" i="1"/>
  <c r="I1757" i="1" s="1"/>
  <c r="K1757" i="1" s="1"/>
  <c r="F1757" i="1"/>
  <c r="E1757" i="1"/>
  <c r="C1757" i="1"/>
  <c r="D1757" i="1" s="1"/>
  <c r="B1757" i="1"/>
  <c r="A1757" i="1"/>
  <c r="L1756" i="1"/>
  <c r="M1756" i="1" s="1"/>
  <c r="J1756" i="1"/>
  <c r="H1756" i="1"/>
  <c r="G1756" i="1"/>
  <c r="I1756" i="1" s="1"/>
  <c r="K1756" i="1" s="1"/>
  <c r="F1756" i="1"/>
  <c r="E1756" i="1"/>
  <c r="D1756" i="1"/>
  <c r="C1756" i="1"/>
  <c r="B1756" i="1"/>
  <c r="A1756" i="1"/>
  <c r="M1755" i="1"/>
  <c r="L1755" i="1"/>
  <c r="J1755" i="1"/>
  <c r="H1755" i="1"/>
  <c r="G1755" i="1"/>
  <c r="I1755" i="1" s="1"/>
  <c r="K1755" i="1" s="1"/>
  <c r="C1755" i="1"/>
  <c r="F1755" i="1" s="1"/>
  <c r="B1755" i="1"/>
  <c r="A1755" i="1"/>
  <c r="L1754" i="1"/>
  <c r="M1754" i="1" s="1"/>
  <c r="J1754" i="1"/>
  <c r="I1754" i="1"/>
  <c r="K1754" i="1" s="1"/>
  <c r="H1754" i="1"/>
  <c r="G1754" i="1"/>
  <c r="F1754" i="1"/>
  <c r="D1754" i="1"/>
  <c r="C1754" i="1"/>
  <c r="E1754" i="1" s="1"/>
  <c r="B1754" i="1"/>
  <c r="A1754" i="1"/>
  <c r="M1753" i="1"/>
  <c r="L1753" i="1"/>
  <c r="K1753" i="1"/>
  <c r="J1753" i="1"/>
  <c r="I1753" i="1"/>
  <c r="H1753" i="1"/>
  <c r="G1753" i="1"/>
  <c r="C1753" i="1"/>
  <c r="F1753" i="1" s="1"/>
  <c r="B1753" i="1"/>
  <c r="A1753" i="1"/>
  <c r="L1752" i="1"/>
  <c r="M1752" i="1" s="1"/>
  <c r="J1752" i="1"/>
  <c r="K1752" i="1" s="1"/>
  <c r="I1752" i="1"/>
  <c r="H1752" i="1"/>
  <c r="G1752" i="1"/>
  <c r="F1752" i="1"/>
  <c r="E1752" i="1"/>
  <c r="D1752" i="1"/>
  <c r="C1752" i="1"/>
  <c r="B1752" i="1"/>
  <c r="A1752" i="1"/>
  <c r="M1751" i="1"/>
  <c r="L1751" i="1"/>
  <c r="J1751" i="1"/>
  <c r="H1751" i="1"/>
  <c r="G1751" i="1"/>
  <c r="I1751" i="1" s="1"/>
  <c r="K1751" i="1" s="1"/>
  <c r="F1751" i="1"/>
  <c r="E1751" i="1"/>
  <c r="C1751" i="1"/>
  <c r="D1751" i="1" s="1"/>
  <c r="B1751" i="1"/>
  <c r="A1751" i="1"/>
  <c r="M1750" i="1"/>
  <c r="L1750" i="1"/>
  <c r="J1750" i="1"/>
  <c r="H1750" i="1"/>
  <c r="G1750" i="1"/>
  <c r="I1750" i="1" s="1"/>
  <c r="K1750" i="1" s="1"/>
  <c r="F1750" i="1"/>
  <c r="E1750" i="1"/>
  <c r="D1750" i="1"/>
  <c r="C1750" i="1"/>
  <c r="B1750" i="1"/>
  <c r="A1750" i="1"/>
  <c r="M1749" i="1"/>
  <c r="L1749" i="1"/>
  <c r="J1749" i="1"/>
  <c r="H1749" i="1"/>
  <c r="G1749" i="1"/>
  <c r="I1749" i="1" s="1"/>
  <c r="K1749" i="1" s="1"/>
  <c r="C1749" i="1"/>
  <c r="B1749" i="1"/>
  <c r="A1749" i="1"/>
  <c r="L1748" i="1"/>
  <c r="M1748" i="1" s="1"/>
  <c r="J1748" i="1"/>
  <c r="I1748" i="1"/>
  <c r="K1748" i="1" s="1"/>
  <c r="H1748" i="1"/>
  <c r="G1748" i="1"/>
  <c r="D1748" i="1"/>
  <c r="C1748" i="1"/>
  <c r="B1748" i="1"/>
  <c r="A1748" i="1"/>
  <c r="M1747" i="1"/>
  <c r="L1747" i="1"/>
  <c r="J1747" i="1"/>
  <c r="I1747" i="1"/>
  <c r="K1747" i="1" s="1"/>
  <c r="H1747" i="1"/>
  <c r="G1747" i="1"/>
  <c r="E1747" i="1"/>
  <c r="C1747" i="1"/>
  <c r="F1747" i="1" s="1"/>
  <c r="B1747" i="1"/>
  <c r="A1747" i="1"/>
  <c r="L1746" i="1"/>
  <c r="M1746" i="1" s="1"/>
  <c r="J1746" i="1"/>
  <c r="K1746" i="1" s="1"/>
  <c r="I1746" i="1"/>
  <c r="H1746" i="1"/>
  <c r="G1746" i="1"/>
  <c r="F1746" i="1"/>
  <c r="E1746" i="1"/>
  <c r="D1746" i="1"/>
  <c r="C1746" i="1"/>
  <c r="B1746" i="1"/>
  <c r="A1746" i="1"/>
  <c r="M1745" i="1"/>
  <c r="L1745" i="1"/>
  <c r="J1745" i="1"/>
  <c r="H1745" i="1"/>
  <c r="G1745" i="1"/>
  <c r="I1745" i="1" s="1"/>
  <c r="K1745" i="1" s="1"/>
  <c r="F1745" i="1"/>
  <c r="E1745" i="1"/>
  <c r="C1745" i="1"/>
  <c r="D1745" i="1" s="1"/>
  <c r="B1745" i="1"/>
  <c r="A1745" i="1"/>
  <c r="L1744" i="1"/>
  <c r="M1744" i="1" s="1"/>
  <c r="J1744" i="1"/>
  <c r="H1744" i="1"/>
  <c r="G1744" i="1"/>
  <c r="I1744" i="1" s="1"/>
  <c r="K1744" i="1" s="1"/>
  <c r="F1744" i="1"/>
  <c r="E1744" i="1"/>
  <c r="D1744" i="1"/>
  <c r="C1744" i="1"/>
  <c r="B1744" i="1"/>
  <c r="A1744" i="1"/>
  <c r="M1743" i="1"/>
  <c r="L1743" i="1"/>
  <c r="J1743" i="1"/>
  <c r="I1743" i="1"/>
  <c r="K1743" i="1" s="1"/>
  <c r="H1743" i="1"/>
  <c r="G1743" i="1"/>
  <c r="C1743" i="1"/>
  <c r="F1743" i="1" s="1"/>
  <c r="B1743" i="1"/>
  <c r="A1743" i="1"/>
  <c r="L1742" i="1"/>
  <c r="M1742" i="1" s="1"/>
  <c r="J1742" i="1"/>
  <c r="I1742" i="1"/>
  <c r="K1742" i="1" s="1"/>
  <c r="H1742" i="1"/>
  <c r="G1742" i="1"/>
  <c r="F1742" i="1"/>
  <c r="D1742" i="1"/>
  <c r="C1742" i="1"/>
  <c r="E1742" i="1" s="1"/>
  <c r="B1742" i="1"/>
  <c r="A1742" i="1"/>
  <c r="M1741" i="1"/>
  <c r="L1741" i="1"/>
  <c r="J1741" i="1"/>
  <c r="I1741" i="1"/>
  <c r="K1741" i="1" s="1"/>
  <c r="H1741" i="1"/>
  <c r="G1741" i="1"/>
  <c r="C1741" i="1"/>
  <c r="F1741" i="1" s="1"/>
  <c r="B1741" i="1"/>
  <c r="A1741" i="1"/>
  <c r="L1740" i="1"/>
  <c r="M1740" i="1" s="1"/>
  <c r="K1740" i="1"/>
  <c r="J1740" i="1"/>
  <c r="I1740" i="1"/>
  <c r="H1740" i="1"/>
  <c r="G1740" i="1"/>
  <c r="F1740" i="1"/>
  <c r="E1740" i="1"/>
  <c r="D1740" i="1"/>
  <c r="C1740" i="1"/>
  <c r="B1740" i="1"/>
  <c r="A1740" i="1"/>
  <c r="L1739" i="1"/>
  <c r="M1739" i="1" s="1"/>
  <c r="K1739" i="1"/>
  <c r="J1739" i="1"/>
  <c r="H1739" i="1"/>
  <c r="G1739" i="1"/>
  <c r="I1739" i="1" s="1"/>
  <c r="F1739" i="1"/>
  <c r="E1739" i="1"/>
  <c r="C1739" i="1"/>
  <c r="D1739" i="1" s="1"/>
  <c r="B1739" i="1"/>
  <c r="A1739" i="1"/>
  <c r="L1738" i="1"/>
  <c r="M1738" i="1" s="1"/>
  <c r="J1738" i="1"/>
  <c r="H1738" i="1"/>
  <c r="G1738" i="1"/>
  <c r="I1738" i="1" s="1"/>
  <c r="K1738" i="1" s="1"/>
  <c r="F1738" i="1"/>
  <c r="E1738" i="1"/>
  <c r="D1738" i="1"/>
  <c r="C1738" i="1"/>
  <c r="B1738" i="1"/>
  <c r="A1738" i="1"/>
  <c r="M1737" i="1"/>
  <c r="L1737" i="1"/>
  <c r="J1737" i="1"/>
  <c r="H1737" i="1"/>
  <c r="G1737" i="1"/>
  <c r="I1737" i="1" s="1"/>
  <c r="K1737" i="1" s="1"/>
  <c r="C1737" i="1"/>
  <c r="B1737" i="1"/>
  <c r="A1737" i="1"/>
  <c r="L1736" i="1"/>
  <c r="M1736" i="1" s="1"/>
  <c r="J1736" i="1"/>
  <c r="I1736" i="1"/>
  <c r="K1736" i="1" s="1"/>
  <c r="H1736" i="1"/>
  <c r="G1736" i="1"/>
  <c r="C1736" i="1"/>
  <c r="B1736" i="1"/>
  <c r="A1736" i="1"/>
  <c r="M1735" i="1"/>
  <c r="L1735" i="1"/>
  <c r="J1735" i="1"/>
  <c r="I1735" i="1"/>
  <c r="K1735" i="1" s="1"/>
  <c r="H1735" i="1"/>
  <c r="G1735" i="1"/>
  <c r="E1735" i="1"/>
  <c r="D1735" i="1"/>
  <c r="C1735" i="1"/>
  <c r="F1735" i="1" s="1"/>
  <c r="B1735" i="1"/>
  <c r="A1735" i="1"/>
  <c r="L1734" i="1"/>
  <c r="M1734" i="1" s="1"/>
  <c r="J1734" i="1"/>
  <c r="K1734" i="1" s="1"/>
  <c r="I1734" i="1"/>
  <c r="H1734" i="1"/>
  <c r="G1734" i="1"/>
  <c r="F1734" i="1"/>
  <c r="E1734" i="1"/>
  <c r="D1734" i="1"/>
  <c r="C1734" i="1"/>
  <c r="B1734" i="1"/>
  <c r="A1734" i="1"/>
  <c r="M1733" i="1"/>
  <c r="L1733" i="1"/>
  <c r="J1733" i="1"/>
  <c r="H1733" i="1"/>
  <c r="G1733" i="1"/>
  <c r="I1733" i="1" s="1"/>
  <c r="K1733" i="1" s="1"/>
  <c r="F1733" i="1"/>
  <c r="E1733" i="1"/>
  <c r="C1733" i="1"/>
  <c r="D1733" i="1" s="1"/>
  <c r="B1733" i="1"/>
  <c r="A1733" i="1"/>
  <c r="L1732" i="1"/>
  <c r="M1732" i="1" s="1"/>
  <c r="J1732" i="1"/>
  <c r="H1732" i="1"/>
  <c r="G1732" i="1"/>
  <c r="I1732" i="1" s="1"/>
  <c r="K1732" i="1" s="1"/>
  <c r="F1732" i="1"/>
  <c r="E1732" i="1"/>
  <c r="D1732" i="1"/>
  <c r="C1732" i="1"/>
  <c r="B1732" i="1"/>
  <c r="A1732" i="1"/>
  <c r="M1731" i="1"/>
  <c r="L1731" i="1"/>
  <c r="J1731" i="1"/>
  <c r="H1731" i="1"/>
  <c r="G1731" i="1"/>
  <c r="I1731" i="1" s="1"/>
  <c r="K1731" i="1" s="1"/>
  <c r="C1731" i="1"/>
  <c r="F1731" i="1" s="1"/>
  <c r="B1731" i="1"/>
  <c r="A1731" i="1"/>
  <c r="L1730" i="1"/>
  <c r="M1730" i="1" s="1"/>
  <c r="J1730" i="1"/>
  <c r="I1730" i="1"/>
  <c r="H1730" i="1"/>
  <c r="G1730" i="1"/>
  <c r="F1730" i="1"/>
  <c r="D1730" i="1"/>
  <c r="C1730" i="1"/>
  <c r="E1730" i="1" s="1"/>
  <c r="B1730" i="1"/>
  <c r="A1730" i="1"/>
  <c r="M1729" i="1"/>
  <c r="L1729" i="1"/>
  <c r="J1729" i="1"/>
  <c r="K1729" i="1" s="1"/>
  <c r="I1729" i="1"/>
  <c r="H1729" i="1"/>
  <c r="G1729" i="1"/>
  <c r="C1729" i="1"/>
  <c r="F1729" i="1" s="1"/>
  <c r="B1729" i="1"/>
  <c r="A1729" i="1"/>
  <c r="L1728" i="1"/>
  <c r="M1728" i="1" s="1"/>
  <c r="K1728" i="1"/>
  <c r="J1728" i="1"/>
  <c r="I1728" i="1"/>
  <c r="H1728" i="1"/>
  <c r="G1728" i="1"/>
  <c r="F1728" i="1"/>
  <c r="E1728" i="1"/>
  <c r="D1728" i="1"/>
  <c r="C1728" i="1"/>
  <c r="B1728" i="1"/>
  <c r="A1728" i="1"/>
  <c r="M1727" i="1"/>
  <c r="L1727" i="1"/>
  <c r="J1727" i="1"/>
  <c r="H1727" i="1"/>
  <c r="G1727" i="1"/>
  <c r="I1727" i="1" s="1"/>
  <c r="K1727" i="1" s="1"/>
  <c r="F1727" i="1"/>
  <c r="E1727" i="1"/>
  <c r="C1727" i="1"/>
  <c r="D1727" i="1" s="1"/>
  <c r="B1727" i="1"/>
  <c r="A1727" i="1"/>
  <c r="M1726" i="1"/>
  <c r="L1726" i="1"/>
  <c r="J1726" i="1"/>
  <c r="H1726" i="1"/>
  <c r="G1726" i="1"/>
  <c r="I1726" i="1" s="1"/>
  <c r="K1726" i="1" s="1"/>
  <c r="F1726" i="1"/>
  <c r="E1726" i="1"/>
  <c r="D1726" i="1"/>
  <c r="C1726" i="1"/>
  <c r="B1726" i="1"/>
  <c r="A1726" i="1"/>
  <c r="M1725" i="1"/>
  <c r="L1725" i="1"/>
  <c r="J1725" i="1"/>
  <c r="H1725" i="1"/>
  <c r="G1725" i="1"/>
  <c r="I1725" i="1" s="1"/>
  <c r="K1725" i="1" s="1"/>
  <c r="C1725" i="1"/>
  <c r="B1725" i="1"/>
  <c r="A1725" i="1"/>
  <c r="L1724" i="1"/>
  <c r="M1724" i="1" s="1"/>
  <c r="J1724" i="1"/>
  <c r="I1724" i="1"/>
  <c r="K1724" i="1" s="1"/>
  <c r="H1724" i="1"/>
  <c r="G1724" i="1"/>
  <c r="D1724" i="1"/>
  <c r="C1724" i="1"/>
  <c r="B1724" i="1"/>
  <c r="A1724" i="1"/>
  <c r="M1723" i="1"/>
  <c r="L1723" i="1"/>
  <c r="J1723" i="1"/>
  <c r="I1723" i="1"/>
  <c r="K1723" i="1" s="1"/>
  <c r="H1723" i="1"/>
  <c r="G1723" i="1"/>
  <c r="C1723" i="1"/>
  <c r="F1723" i="1" s="1"/>
  <c r="B1723" i="1"/>
  <c r="A1723" i="1"/>
  <c r="L1722" i="1"/>
  <c r="M1722" i="1" s="1"/>
  <c r="J1722" i="1"/>
  <c r="K1722" i="1" s="1"/>
  <c r="I1722" i="1"/>
  <c r="H1722" i="1"/>
  <c r="G1722" i="1"/>
  <c r="F1722" i="1"/>
  <c r="E1722" i="1"/>
  <c r="D1722" i="1"/>
  <c r="C1722" i="1"/>
  <c r="B1722" i="1"/>
  <c r="A1722" i="1"/>
  <c r="M1721" i="1"/>
  <c r="L1721" i="1"/>
  <c r="J1721" i="1"/>
  <c r="H1721" i="1"/>
  <c r="G1721" i="1"/>
  <c r="I1721" i="1" s="1"/>
  <c r="K1721" i="1" s="1"/>
  <c r="F1721" i="1"/>
  <c r="E1721" i="1"/>
  <c r="C1721" i="1"/>
  <c r="D1721" i="1" s="1"/>
  <c r="B1721" i="1"/>
  <c r="A1721" i="1"/>
  <c r="L1720" i="1"/>
  <c r="M1720" i="1" s="1"/>
  <c r="J1720" i="1"/>
  <c r="H1720" i="1"/>
  <c r="G1720" i="1"/>
  <c r="I1720" i="1" s="1"/>
  <c r="K1720" i="1" s="1"/>
  <c r="F1720" i="1"/>
  <c r="E1720" i="1"/>
  <c r="D1720" i="1"/>
  <c r="C1720" i="1"/>
  <c r="B1720" i="1"/>
  <c r="A1720" i="1"/>
  <c r="M1719" i="1"/>
  <c r="L1719" i="1"/>
  <c r="J1719" i="1"/>
  <c r="I1719" i="1"/>
  <c r="K1719" i="1" s="1"/>
  <c r="H1719" i="1"/>
  <c r="G1719" i="1"/>
  <c r="C1719" i="1"/>
  <c r="F1719" i="1" s="1"/>
  <c r="B1719" i="1"/>
  <c r="A1719" i="1"/>
  <c r="L1718" i="1"/>
  <c r="M1718" i="1" s="1"/>
  <c r="J1718" i="1"/>
  <c r="I1718" i="1"/>
  <c r="H1718" i="1"/>
  <c r="G1718" i="1"/>
  <c r="F1718" i="1"/>
  <c r="D1718" i="1"/>
  <c r="C1718" i="1"/>
  <c r="E1718" i="1" s="1"/>
  <c r="B1718" i="1"/>
  <c r="A1718" i="1"/>
  <c r="M1717" i="1"/>
  <c r="L1717" i="1"/>
  <c r="K1717" i="1"/>
  <c r="J1717" i="1"/>
  <c r="I1717" i="1"/>
  <c r="H1717" i="1"/>
  <c r="G1717" i="1"/>
  <c r="E1717" i="1"/>
  <c r="C1717" i="1"/>
  <c r="B1717" i="1"/>
  <c r="A1717" i="1"/>
  <c r="L1716" i="1"/>
  <c r="M1716" i="1" s="1"/>
  <c r="K1716" i="1"/>
  <c r="J1716" i="1"/>
  <c r="I1716" i="1"/>
  <c r="H1716" i="1"/>
  <c r="G1716" i="1"/>
  <c r="F1716" i="1"/>
  <c r="E1716" i="1"/>
  <c r="D1716" i="1"/>
  <c r="C1716" i="1"/>
  <c r="B1716" i="1"/>
  <c r="A1716" i="1"/>
  <c r="L1715" i="1"/>
  <c r="M1715" i="1" s="1"/>
  <c r="K1715" i="1"/>
  <c r="J1715" i="1"/>
  <c r="H1715" i="1"/>
  <c r="G1715" i="1"/>
  <c r="I1715" i="1" s="1"/>
  <c r="F1715" i="1"/>
  <c r="E1715" i="1"/>
  <c r="C1715" i="1"/>
  <c r="D1715" i="1" s="1"/>
  <c r="B1715" i="1"/>
  <c r="A1715" i="1"/>
  <c r="L1714" i="1"/>
  <c r="M1714" i="1" s="1"/>
  <c r="J1714" i="1"/>
  <c r="H1714" i="1"/>
  <c r="G1714" i="1"/>
  <c r="I1714" i="1" s="1"/>
  <c r="K1714" i="1" s="1"/>
  <c r="F1714" i="1"/>
  <c r="E1714" i="1"/>
  <c r="D1714" i="1"/>
  <c r="C1714" i="1"/>
  <c r="B1714" i="1"/>
  <c r="A1714" i="1"/>
  <c r="M1713" i="1"/>
  <c r="L1713" i="1"/>
  <c r="J1713" i="1"/>
  <c r="I1713" i="1"/>
  <c r="K1713" i="1" s="1"/>
  <c r="H1713" i="1"/>
  <c r="G1713" i="1"/>
  <c r="C1713" i="1"/>
  <c r="B1713" i="1"/>
  <c r="A1713" i="1"/>
  <c r="L1712" i="1"/>
  <c r="M1712" i="1" s="1"/>
  <c r="J1712" i="1"/>
  <c r="I1712" i="1"/>
  <c r="H1712" i="1"/>
  <c r="G1712" i="1"/>
  <c r="C1712" i="1"/>
  <c r="B1712" i="1"/>
  <c r="A1712" i="1"/>
  <c r="M1711" i="1"/>
  <c r="L1711" i="1"/>
  <c r="J1711" i="1"/>
  <c r="I1711" i="1"/>
  <c r="K1711" i="1" s="1"/>
  <c r="H1711" i="1"/>
  <c r="G1711" i="1"/>
  <c r="C1711" i="1"/>
  <c r="F1711" i="1" s="1"/>
  <c r="B1711" i="1"/>
  <c r="A1711" i="1"/>
  <c r="L1710" i="1"/>
  <c r="M1710" i="1" s="1"/>
  <c r="J1710" i="1"/>
  <c r="K1710" i="1" s="1"/>
  <c r="I1710" i="1"/>
  <c r="H1710" i="1"/>
  <c r="G1710" i="1"/>
  <c r="F1710" i="1"/>
  <c r="E1710" i="1"/>
  <c r="D1710" i="1"/>
  <c r="C1710" i="1"/>
  <c r="B1710" i="1"/>
  <c r="A1710" i="1"/>
  <c r="M1709" i="1"/>
  <c r="L1709" i="1"/>
  <c r="J1709" i="1"/>
  <c r="H1709" i="1"/>
  <c r="G1709" i="1"/>
  <c r="I1709" i="1" s="1"/>
  <c r="K1709" i="1" s="1"/>
  <c r="F1709" i="1"/>
  <c r="E1709" i="1"/>
  <c r="C1709" i="1"/>
  <c r="D1709" i="1" s="1"/>
  <c r="B1709" i="1"/>
  <c r="A1709" i="1"/>
  <c r="L1708" i="1"/>
  <c r="M1708" i="1" s="1"/>
  <c r="J1708" i="1"/>
  <c r="H1708" i="1"/>
  <c r="G1708" i="1"/>
  <c r="I1708" i="1" s="1"/>
  <c r="K1708" i="1" s="1"/>
  <c r="F1708" i="1"/>
  <c r="E1708" i="1"/>
  <c r="D1708" i="1"/>
  <c r="C1708" i="1"/>
  <c r="B1708" i="1"/>
  <c r="A1708" i="1"/>
  <c r="M1707" i="1"/>
  <c r="L1707" i="1"/>
  <c r="J1707" i="1"/>
  <c r="I1707" i="1"/>
  <c r="K1707" i="1" s="1"/>
  <c r="H1707" i="1"/>
  <c r="G1707" i="1"/>
  <c r="C1707" i="1"/>
  <c r="B1707" i="1"/>
  <c r="A1707" i="1"/>
  <c r="L1706" i="1"/>
  <c r="M1706" i="1" s="1"/>
  <c r="J1706" i="1"/>
  <c r="I1706" i="1"/>
  <c r="H1706" i="1"/>
  <c r="G1706" i="1"/>
  <c r="F1706" i="1"/>
  <c r="D1706" i="1"/>
  <c r="C1706" i="1"/>
  <c r="E1706" i="1" s="1"/>
  <c r="B1706" i="1"/>
  <c r="A1706" i="1"/>
  <c r="M1705" i="1"/>
  <c r="L1705" i="1"/>
  <c r="J1705" i="1"/>
  <c r="K1705" i="1" s="1"/>
  <c r="I1705" i="1"/>
  <c r="H1705" i="1"/>
  <c r="G1705" i="1"/>
  <c r="C1705" i="1"/>
  <c r="B1705" i="1"/>
  <c r="A1705" i="1"/>
  <c r="L1704" i="1"/>
  <c r="M1704" i="1" s="1"/>
  <c r="K1704" i="1"/>
  <c r="J1704" i="1"/>
  <c r="I1704" i="1"/>
  <c r="H1704" i="1"/>
  <c r="G1704" i="1"/>
  <c r="F1704" i="1"/>
  <c r="E1704" i="1"/>
  <c r="D1704" i="1"/>
  <c r="C1704" i="1"/>
  <c r="B1704" i="1"/>
  <c r="A1704" i="1"/>
  <c r="L1703" i="1"/>
  <c r="M1703" i="1" s="1"/>
  <c r="K1703" i="1"/>
  <c r="J1703" i="1"/>
  <c r="H1703" i="1"/>
  <c r="G1703" i="1"/>
  <c r="I1703" i="1" s="1"/>
  <c r="F1703" i="1"/>
  <c r="E1703" i="1"/>
  <c r="C1703" i="1"/>
  <c r="D1703" i="1" s="1"/>
  <c r="B1703" i="1"/>
  <c r="A1703" i="1"/>
  <c r="L1702" i="1"/>
  <c r="M1702" i="1" s="1"/>
  <c r="J1702" i="1"/>
  <c r="H1702" i="1"/>
  <c r="G1702" i="1"/>
  <c r="I1702" i="1" s="1"/>
  <c r="K1702" i="1" s="1"/>
  <c r="F1702" i="1"/>
  <c r="E1702" i="1"/>
  <c r="D1702" i="1"/>
  <c r="C1702" i="1"/>
  <c r="B1702" i="1"/>
  <c r="A1702" i="1"/>
  <c r="M1701" i="1"/>
  <c r="L1701" i="1"/>
  <c r="J1701" i="1"/>
  <c r="I1701" i="1"/>
  <c r="K1701" i="1" s="1"/>
  <c r="H1701" i="1"/>
  <c r="G1701" i="1"/>
  <c r="C1701" i="1"/>
  <c r="B1701" i="1"/>
  <c r="A1701" i="1"/>
  <c r="L1700" i="1"/>
  <c r="M1700" i="1" s="1"/>
  <c r="J1700" i="1"/>
  <c r="I1700" i="1"/>
  <c r="K1700" i="1" s="1"/>
  <c r="H1700" i="1"/>
  <c r="G1700" i="1"/>
  <c r="C1700" i="1"/>
  <c r="B1700" i="1"/>
  <c r="A1700" i="1"/>
  <c r="M1699" i="1"/>
  <c r="L1699" i="1"/>
  <c r="K1699" i="1"/>
  <c r="J1699" i="1"/>
  <c r="I1699" i="1"/>
  <c r="H1699" i="1"/>
  <c r="G1699" i="1"/>
  <c r="C1699" i="1"/>
  <c r="F1699" i="1" s="1"/>
  <c r="B1699" i="1"/>
  <c r="A1699" i="1"/>
  <c r="L1698" i="1"/>
  <c r="M1698" i="1" s="1"/>
  <c r="J1698" i="1"/>
  <c r="K1698" i="1" s="1"/>
  <c r="I1698" i="1"/>
  <c r="H1698" i="1"/>
  <c r="G1698" i="1"/>
  <c r="F1698" i="1"/>
  <c r="E1698" i="1"/>
  <c r="D1698" i="1"/>
  <c r="C1698" i="1"/>
  <c r="B1698" i="1"/>
  <c r="A1698" i="1"/>
  <c r="M1697" i="1"/>
  <c r="L1697" i="1"/>
  <c r="J1697" i="1"/>
  <c r="H1697" i="1"/>
  <c r="G1697" i="1"/>
  <c r="I1697" i="1" s="1"/>
  <c r="K1697" i="1" s="1"/>
  <c r="F1697" i="1"/>
  <c r="E1697" i="1"/>
  <c r="C1697" i="1"/>
  <c r="D1697" i="1" s="1"/>
  <c r="B1697" i="1"/>
  <c r="A1697" i="1"/>
  <c r="L1696" i="1"/>
  <c r="M1696" i="1" s="1"/>
  <c r="J1696" i="1"/>
  <c r="H1696" i="1"/>
  <c r="G1696" i="1"/>
  <c r="I1696" i="1" s="1"/>
  <c r="K1696" i="1" s="1"/>
  <c r="F1696" i="1"/>
  <c r="E1696" i="1"/>
  <c r="D1696" i="1"/>
  <c r="C1696" i="1"/>
  <c r="B1696" i="1"/>
  <c r="A1696" i="1"/>
  <c r="M1695" i="1"/>
  <c r="L1695" i="1"/>
  <c r="J1695" i="1"/>
  <c r="I1695" i="1"/>
  <c r="K1695" i="1" s="1"/>
  <c r="H1695" i="1"/>
  <c r="G1695" i="1"/>
  <c r="C1695" i="1"/>
  <c r="B1695" i="1"/>
  <c r="A1695" i="1"/>
  <c r="L1694" i="1"/>
  <c r="M1694" i="1" s="1"/>
  <c r="J1694" i="1"/>
  <c r="I1694" i="1"/>
  <c r="H1694" i="1"/>
  <c r="G1694" i="1"/>
  <c r="F1694" i="1"/>
  <c r="D1694" i="1"/>
  <c r="C1694" i="1"/>
  <c r="E1694" i="1" s="1"/>
  <c r="B1694" i="1"/>
  <c r="A1694" i="1"/>
  <c r="M1693" i="1"/>
  <c r="L1693" i="1"/>
  <c r="K1693" i="1"/>
  <c r="J1693" i="1"/>
  <c r="I1693" i="1"/>
  <c r="H1693" i="1"/>
  <c r="G1693" i="1"/>
  <c r="E1693" i="1"/>
  <c r="C1693" i="1"/>
  <c r="B1693" i="1"/>
  <c r="A1693" i="1"/>
  <c r="L1692" i="1"/>
  <c r="M1692" i="1" s="1"/>
  <c r="K1692" i="1"/>
  <c r="J1692" i="1"/>
  <c r="I1692" i="1"/>
  <c r="H1692" i="1"/>
  <c r="G1692" i="1"/>
  <c r="F1692" i="1"/>
  <c r="E1692" i="1"/>
  <c r="D1692" i="1"/>
  <c r="C1692" i="1"/>
  <c r="B1692" i="1"/>
  <c r="A1692" i="1"/>
  <c r="L1691" i="1"/>
  <c r="M1691" i="1" s="1"/>
  <c r="K1691" i="1"/>
  <c r="J1691" i="1"/>
  <c r="H1691" i="1"/>
  <c r="G1691" i="1"/>
  <c r="I1691" i="1" s="1"/>
  <c r="F1691" i="1"/>
  <c r="E1691" i="1"/>
  <c r="C1691" i="1"/>
  <c r="D1691" i="1" s="1"/>
  <c r="B1691" i="1"/>
  <c r="A1691" i="1"/>
  <c r="L1690" i="1"/>
  <c r="M1690" i="1" s="1"/>
  <c r="J1690" i="1"/>
  <c r="H1690" i="1"/>
  <c r="G1690" i="1"/>
  <c r="I1690" i="1" s="1"/>
  <c r="K1690" i="1" s="1"/>
  <c r="F1690" i="1"/>
  <c r="E1690" i="1"/>
  <c r="D1690" i="1"/>
  <c r="C1690" i="1"/>
  <c r="B1690" i="1"/>
  <c r="A1690" i="1"/>
  <c r="M1689" i="1"/>
  <c r="L1689" i="1"/>
  <c r="J1689" i="1"/>
  <c r="I1689" i="1"/>
  <c r="K1689" i="1" s="1"/>
  <c r="H1689" i="1"/>
  <c r="G1689" i="1"/>
  <c r="C1689" i="1"/>
  <c r="B1689" i="1"/>
  <c r="A1689" i="1"/>
  <c r="L1688" i="1"/>
  <c r="M1688" i="1" s="1"/>
  <c r="J1688" i="1"/>
  <c r="I1688" i="1"/>
  <c r="H1688" i="1"/>
  <c r="G1688" i="1"/>
  <c r="C1688" i="1"/>
  <c r="B1688" i="1"/>
  <c r="A1688" i="1"/>
  <c r="M1687" i="1"/>
  <c r="L1687" i="1"/>
  <c r="J1687" i="1"/>
  <c r="I1687" i="1"/>
  <c r="K1687" i="1" s="1"/>
  <c r="H1687" i="1"/>
  <c r="G1687" i="1"/>
  <c r="C1687" i="1"/>
  <c r="F1687" i="1" s="1"/>
  <c r="B1687" i="1"/>
  <c r="A1687" i="1"/>
  <c r="L1686" i="1"/>
  <c r="M1686" i="1" s="1"/>
  <c r="J1686" i="1"/>
  <c r="K1686" i="1" s="1"/>
  <c r="I1686" i="1"/>
  <c r="H1686" i="1"/>
  <c r="G1686" i="1"/>
  <c r="F1686" i="1"/>
  <c r="E1686" i="1"/>
  <c r="D1686" i="1"/>
  <c r="C1686" i="1"/>
  <c r="B1686" i="1"/>
  <c r="A1686" i="1"/>
  <c r="M1685" i="1"/>
  <c r="L1685" i="1"/>
  <c r="J1685" i="1"/>
  <c r="H1685" i="1"/>
  <c r="G1685" i="1"/>
  <c r="I1685" i="1" s="1"/>
  <c r="K1685" i="1" s="1"/>
  <c r="F1685" i="1"/>
  <c r="E1685" i="1"/>
  <c r="C1685" i="1"/>
  <c r="D1685" i="1" s="1"/>
  <c r="B1685" i="1"/>
  <c r="A1685" i="1"/>
  <c r="L1684" i="1"/>
  <c r="M1684" i="1" s="1"/>
  <c r="J1684" i="1"/>
  <c r="H1684" i="1"/>
  <c r="G1684" i="1"/>
  <c r="I1684" i="1" s="1"/>
  <c r="K1684" i="1" s="1"/>
  <c r="F1684" i="1"/>
  <c r="E1684" i="1"/>
  <c r="D1684" i="1"/>
  <c r="C1684" i="1"/>
  <c r="B1684" i="1"/>
  <c r="A1684" i="1"/>
  <c r="M1683" i="1"/>
  <c r="L1683" i="1"/>
  <c r="J1683" i="1"/>
  <c r="I1683" i="1"/>
  <c r="K1683" i="1" s="1"/>
  <c r="H1683" i="1"/>
  <c r="G1683" i="1"/>
  <c r="C1683" i="1"/>
  <c r="B1683" i="1"/>
  <c r="A1683" i="1"/>
  <c r="L1682" i="1"/>
  <c r="M1682" i="1" s="1"/>
  <c r="J1682" i="1"/>
  <c r="I1682" i="1"/>
  <c r="K1682" i="1" s="1"/>
  <c r="H1682" i="1"/>
  <c r="G1682" i="1"/>
  <c r="F1682" i="1"/>
  <c r="D1682" i="1"/>
  <c r="C1682" i="1"/>
  <c r="E1682" i="1" s="1"/>
  <c r="B1682" i="1"/>
  <c r="A1682" i="1"/>
  <c r="M1681" i="1"/>
  <c r="L1681" i="1"/>
  <c r="J1681" i="1"/>
  <c r="I1681" i="1"/>
  <c r="K1681" i="1" s="1"/>
  <c r="H1681" i="1"/>
  <c r="G1681" i="1"/>
  <c r="E1681" i="1"/>
  <c r="C1681" i="1"/>
  <c r="B1681" i="1"/>
  <c r="A1681" i="1"/>
  <c r="L1680" i="1"/>
  <c r="M1680" i="1" s="1"/>
  <c r="K1680" i="1"/>
  <c r="J1680" i="1"/>
  <c r="I1680" i="1"/>
  <c r="H1680" i="1"/>
  <c r="G1680" i="1"/>
  <c r="F1680" i="1"/>
  <c r="E1680" i="1"/>
  <c r="D1680" i="1"/>
  <c r="C1680" i="1"/>
  <c r="B1680" i="1"/>
  <c r="A1680" i="1"/>
  <c r="M1679" i="1"/>
  <c r="L1679" i="1"/>
  <c r="J1679" i="1"/>
  <c r="H1679" i="1"/>
  <c r="G1679" i="1"/>
  <c r="I1679" i="1" s="1"/>
  <c r="K1679" i="1" s="1"/>
  <c r="F1679" i="1"/>
  <c r="E1679" i="1"/>
  <c r="C1679" i="1"/>
  <c r="D1679" i="1" s="1"/>
  <c r="B1679" i="1"/>
  <c r="A1679" i="1"/>
  <c r="M1678" i="1"/>
  <c r="L1678" i="1"/>
  <c r="J1678" i="1"/>
  <c r="H1678" i="1"/>
  <c r="G1678" i="1"/>
  <c r="I1678" i="1" s="1"/>
  <c r="F1678" i="1"/>
  <c r="E1678" i="1"/>
  <c r="D1678" i="1"/>
  <c r="C1678" i="1"/>
  <c r="B1678" i="1"/>
  <c r="A1678" i="1"/>
  <c r="M1677" i="1"/>
  <c r="L1677" i="1"/>
  <c r="J1677" i="1"/>
  <c r="H1677" i="1"/>
  <c r="G1677" i="1"/>
  <c r="I1677" i="1" s="1"/>
  <c r="K1677" i="1" s="1"/>
  <c r="C1677" i="1"/>
  <c r="B1677" i="1"/>
  <c r="A1677" i="1"/>
  <c r="L1676" i="1"/>
  <c r="M1676" i="1" s="1"/>
  <c r="J1676" i="1"/>
  <c r="I1676" i="1"/>
  <c r="K1676" i="1" s="1"/>
  <c r="H1676" i="1"/>
  <c r="G1676" i="1"/>
  <c r="C1676" i="1"/>
  <c r="B1676" i="1"/>
  <c r="A1676" i="1"/>
  <c r="M1675" i="1"/>
  <c r="L1675" i="1"/>
  <c r="K1675" i="1"/>
  <c r="J1675" i="1"/>
  <c r="I1675" i="1"/>
  <c r="H1675" i="1"/>
  <c r="G1675" i="1"/>
  <c r="E1675" i="1"/>
  <c r="C1675" i="1"/>
  <c r="F1675" i="1" s="1"/>
  <c r="B1675" i="1"/>
  <c r="A1675" i="1"/>
  <c r="L1674" i="1"/>
  <c r="M1674" i="1" s="1"/>
  <c r="J1674" i="1"/>
  <c r="K1674" i="1" s="1"/>
  <c r="I1674" i="1"/>
  <c r="H1674" i="1"/>
  <c r="G1674" i="1"/>
  <c r="F1674" i="1"/>
  <c r="E1674" i="1"/>
  <c r="D1674" i="1"/>
  <c r="C1674" i="1"/>
  <c r="B1674" i="1"/>
  <c r="A1674" i="1"/>
  <c r="M1673" i="1"/>
  <c r="L1673" i="1"/>
  <c r="K1673" i="1"/>
  <c r="J1673" i="1"/>
  <c r="H1673" i="1"/>
  <c r="G1673" i="1"/>
  <c r="I1673" i="1" s="1"/>
  <c r="E1673" i="1"/>
  <c r="C1673" i="1"/>
  <c r="D1673" i="1" s="1"/>
  <c r="B1673" i="1"/>
  <c r="A1673" i="1"/>
  <c r="L1672" i="1"/>
  <c r="M1672" i="1" s="1"/>
  <c r="J1672" i="1"/>
  <c r="H1672" i="1"/>
  <c r="G1672" i="1"/>
  <c r="I1672" i="1" s="1"/>
  <c r="K1672" i="1" s="1"/>
  <c r="F1672" i="1"/>
  <c r="E1672" i="1"/>
  <c r="D1672" i="1"/>
  <c r="C1672" i="1"/>
  <c r="B1672" i="1"/>
  <c r="A1672" i="1"/>
  <c r="M1671" i="1"/>
  <c r="L1671" i="1"/>
  <c r="J1671" i="1"/>
  <c r="I1671" i="1"/>
  <c r="K1671" i="1" s="1"/>
  <c r="H1671" i="1"/>
  <c r="G1671" i="1"/>
  <c r="E1671" i="1"/>
  <c r="C1671" i="1"/>
  <c r="B1671" i="1"/>
  <c r="A1671" i="1"/>
  <c r="L1670" i="1"/>
  <c r="M1670" i="1" s="1"/>
  <c r="J1670" i="1"/>
  <c r="I1670" i="1"/>
  <c r="H1670" i="1"/>
  <c r="G1670" i="1"/>
  <c r="F1670" i="1"/>
  <c r="D1670" i="1"/>
  <c r="C1670" i="1"/>
  <c r="E1670" i="1" s="1"/>
  <c r="B1670" i="1"/>
  <c r="A1670" i="1"/>
  <c r="M1669" i="1"/>
  <c r="L1669" i="1"/>
  <c r="K1669" i="1"/>
  <c r="J1669" i="1"/>
  <c r="I1669" i="1"/>
  <c r="H1669" i="1"/>
  <c r="G1669" i="1"/>
  <c r="C1669" i="1"/>
  <c r="B1669" i="1"/>
  <c r="A1669" i="1"/>
  <c r="L1668" i="1"/>
  <c r="M1668" i="1" s="1"/>
  <c r="J1668" i="1"/>
  <c r="K1668" i="1" s="1"/>
  <c r="I1668" i="1"/>
  <c r="H1668" i="1"/>
  <c r="G1668" i="1"/>
  <c r="F1668" i="1"/>
  <c r="E1668" i="1"/>
  <c r="D1668" i="1"/>
  <c r="C1668" i="1"/>
  <c r="B1668" i="1"/>
  <c r="A1668" i="1"/>
  <c r="M1667" i="1"/>
  <c r="L1667" i="1"/>
  <c r="J1667" i="1"/>
  <c r="I1667" i="1"/>
  <c r="K1667" i="1" s="1"/>
  <c r="H1667" i="1"/>
  <c r="G1667" i="1"/>
  <c r="F1667" i="1"/>
  <c r="E1667" i="1"/>
  <c r="C1667" i="1"/>
  <c r="D1667" i="1" s="1"/>
  <c r="B1667" i="1"/>
  <c r="A1667" i="1"/>
  <c r="M1666" i="1"/>
  <c r="L1666" i="1"/>
  <c r="J1666" i="1"/>
  <c r="H1666" i="1"/>
  <c r="G1666" i="1"/>
  <c r="I1666" i="1" s="1"/>
  <c r="K1666" i="1" s="1"/>
  <c r="F1666" i="1"/>
  <c r="E1666" i="1"/>
  <c r="D1666" i="1"/>
  <c r="C1666" i="1"/>
  <c r="B1666" i="1"/>
  <c r="A1666" i="1"/>
  <c r="M1665" i="1"/>
  <c r="L1665" i="1"/>
  <c r="J1665" i="1"/>
  <c r="I1665" i="1"/>
  <c r="K1665" i="1" s="1"/>
  <c r="H1665" i="1"/>
  <c r="G1665" i="1"/>
  <c r="C1665" i="1"/>
  <c r="B1665" i="1"/>
  <c r="A1665" i="1"/>
  <c r="L1664" i="1"/>
  <c r="M1664" i="1" s="1"/>
  <c r="J1664" i="1"/>
  <c r="I1664" i="1"/>
  <c r="K1664" i="1" s="1"/>
  <c r="H1664" i="1"/>
  <c r="G1664" i="1"/>
  <c r="C1664" i="1"/>
  <c r="B1664" i="1"/>
  <c r="A1664" i="1"/>
  <c r="M1663" i="1"/>
  <c r="L1663" i="1"/>
  <c r="J1663" i="1"/>
  <c r="K1663" i="1" s="1"/>
  <c r="I1663" i="1"/>
  <c r="H1663" i="1"/>
  <c r="G1663" i="1"/>
  <c r="C1663" i="1"/>
  <c r="F1663" i="1" s="1"/>
  <c r="B1663" i="1"/>
  <c r="A1663" i="1"/>
  <c r="L1662" i="1"/>
  <c r="M1662" i="1" s="1"/>
  <c r="J1662" i="1"/>
  <c r="K1662" i="1" s="1"/>
  <c r="I1662" i="1"/>
  <c r="H1662" i="1"/>
  <c r="G1662" i="1"/>
  <c r="F1662" i="1"/>
  <c r="E1662" i="1"/>
  <c r="D1662" i="1"/>
  <c r="C1662" i="1"/>
  <c r="B1662" i="1"/>
  <c r="A1662" i="1"/>
  <c r="M1661" i="1"/>
  <c r="L1661" i="1"/>
  <c r="J1661" i="1"/>
  <c r="H1661" i="1"/>
  <c r="G1661" i="1"/>
  <c r="I1661" i="1" s="1"/>
  <c r="K1661" i="1" s="1"/>
  <c r="F1661" i="1"/>
  <c r="C1661" i="1"/>
  <c r="D1661" i="1" s="1"/>
  <c r="B1661" i="1"/>
  <c r="A1661" i="1"/>
  <c r="L1660" i="1"/>
  <c r="M1660" i="1" s="1"/>
  <c r="J1660" i="1"/>
  <c r="H1660" i="1"/>
  <c r="G1660" i="1"/>
  <c r="I1660" i="1" s="1"/>
  <c r="K1660" i="1" s="1"/>
  <c r="F1660" i="1"/>
  <c r="E1660" i="1"/>
  <c r="D1660" i="1"/>
  <c r="C1660" i="1"/>
  <c r="B1660" i="1"/>
  <c r="A1660" i="1"/>
  <c r="M1659" i="1"/>
  <c r="L1659" i="1"/>
  <c r="J1659" i="1"/>
  <c r="H1659" i="1"/>
  <c r="G1659" i="1"/>
  <c r="I1659" i="1" s="1"/>
  <c r="K1659" i="1" s="1"/>
  <c r="C1659" i="1"/>
  <c r="B1659" i="1"/>
  <c r="A1659" i="1"/>
  <c r="L1658" i="1"/>
  <c r="M1658" i="1" s="1"/>
  <c r="J1658" i="1"/>
  <c r="I1658" i="1"/>
  <c r="H1658" i="1"/>
  <c r="G1658" i="1"/>
  <c r="C1658" i="1"/>
  <c r="E1658" i="1" s="1"/>
  <c r="B1658" i="1"/>
  <c r="A1658" i="1"/>
  <c r="M1657" i="1"/>
  <c r="L1657" i="1"/>
  <c r="J1657" i="1"/>
  <c r="I1657" i="1"/>
  <c r="K1657" i="1" s="1"/>
  <c r="H1657" i="1"/>
  <c r="G1657" i="1"/>
  <c r="C1657" i="1"/>
  <c r="F1657" i="1" s="1"/>
  <c r="B1657" i="1"/>
  <c r="A1657" i="1"/>
  <c r="L1656" i="1"/>
  <c r="M1656" i="1" s="1"/>
  <c r="J1656" i="1"/>
  <c r="K1656" i="1" s="1"/>
  <c r="I1656" i="1"/>
  <c r="H1656" i="1"/>
  <c r="G1656" i="1"/>
  <c r="F1656" i="1"/>
  <c r="E1656" i="1"/>
  <c r="D1656" i="1"/>
  <c r="C1656" i="1"/>
  <c r="B1656" i="1"/>
  <c r="A1656" i="1"/>
  <c r="M1655" i="1"/>
  <c r="L1655" i="1"/>
  <c r="J1655" i="1"/>
  <c r="I1655" i="1"/>
  <c r="K1655" i="1" s="1"/>
  <c r="H1655" i="1"/>
  <c r="G1655" i="1"/>
  <c r="F1655" i="1"/>
  <c r="E1655" i="1"/>
  <c r="C1655" i="1"/>
  <c r="D1655" i="1" s="1"/>
  <c r="B1655" i="1"/>
  <c r="A1655" i="1"/>
  <c r="M1654" i="1"/>
  <c r="L1654" i="1"/>
  <c r="J1654" i="1"/>
  <c r="H1654" i="1"/>
  <c r="G1654" i="1"/>
  <c r="I1654" i="1" s="1"/>
  <c r="K1654" i="1" s="1"/>
  <c r="F1654" i="1"/>
  <c r="E1654" i="1"/>
  <c r="D1654" i="1"/>
  <c r="C1654" i="1"/>
  <c r="B1654" i="1"/>
  <c r="A1654" i="1"/>
  <c r="M1653" i="1"/>
  <c r="L1653" i="1"/>
  <c r="J1653" i="1"/>
  <c r="I1653" i="1"/>
  <c r="K1653" i="1" s="1"/>
  <c r="H1653" i="1"/>
  <c r="G1653" i="1"/>
  <c r="C1653" i="1"/>
  <c r="B1653" i="1"/>
  <c r="A1653" i="1"/>
  <c r="M1652" i="1"/>
  <c r="L1652" i="1"/>
  <c r="J1652" i="1"/>
  <c r="I1652" i="1"/>
  <c r="H1652" i="1"/>
  <c r="G1652" i="1"/>
  <c r="D1652" i="1"/>
  <c r="C1652" i="1"/>
  <c r="B1652" i="1"/>
  <c r="A1652" i="1"/>
  <c r="M1651" i="1"/>
  <c r="L1651" i="1"/>
  <c r="K1651" i="1"/>
  <c r="J1651" i="1"/>
  <c r="I1651" i="1"/>
  <c r="H1651" i="1"/>
  <c r="G1651" i="1"/>
  <c r="D1651" i="1"/>
  <c r="C1651" i="1"/>
  <c r="F1651" i="1" s="1"/>
  <c r="B1651" i="1"/>
  <c r="A1651" i="1"/>
  <c r="L1650" i="1"/>
  <c r="M1650" i="1" s="1"/>
  <c r="J1650" i="1"/>
  <c r="K1650" i="1" s="1"/>
  <c r="I1650" i="1"/>
  <c r="H1650" i="1"/>
  <c r="G1650" i="1"/>
  <c r="D1650" i="1"/>
  <c r="C1650" i="1"/>
  <c r="F1650" i="1" s="1"/>
  <c r="B1650" i="1"/>
  <c r="A1650" i="1"/>
  <c r="L1649" i="1"/>
  <c r="M1649" i="1" s="1"/>
  <c r="K1649" i="1"/>
  <c r="J1649" i="1"/>
  <c r="H1649" i="1"/>
  <c r="G1649" i="1"/>
  <c r="I1649" i="1" s="1"/>
  <c r="D1649" i="1"/>
  <c r="C1649" i="1"/>
  <c r="F1649" i="1" s="1"/>
  <c r="B1649" i="1"/>
  <c r="A1649" i="1"/>
  <c r="L1648" i="1"/>
  <c r="M1648" i="1" s="1"/>
  <c r="J1648" i="1"/>
  <c r="H1648" i="1"/>
  <c r="G1648" i="1"/>
  <c r="I1648" i="1" s="1"/>
  <c r="K1648" i="1" s="1"/>
  <c r="F1648" i="1"/>
  <c r="E1648" i="1"/>
  <c r="D1648" i="1"/>
  <c r="C1648" i="1"/>
  <c r="B1648" i="1"/>
  <c r="A1648" i="1"/>
  <c r="M1647" i="1"/>
  <c r="L1647" i="1"/>
  <c r="J1647" i="1"/>
  <c r="H1647" i="1"/>
  <c r="G1647" i="1"/>
  <c r="I1647" i="1" s="1"/>
  <c r="K1647" i="1" s="1"/>
  <c r="C1647" i="1"/>
  <c r="D1647" i="1" s="1"/>
  <c r="B1647" i="1"/>
  <c r="A1647" i="1"/>
  <c r="L1646" i="1"/>
  <c r="M1646" i="1" s="1"/>
  <c r="J1646" i="1"/>
  <c r="I1646" i="1"/>
  <c r="K1646" i="1" s="1"/>
  <c r="H1646" i="1"/>
  <c r="G1646" i="1"/>
  <c r="F1646" i="1"/>
  <c r="D1646" i="1"/>
  <c r="C1646" i="1"/>
  <c r="E1646" i="1" s="1"/>
  <c r="B1646" i="1"/>
  <c r="A1646" i="1"/>
  <c r="M1645" i="1"/>
  <c r="L1645" i="1"/>
  <c r="J1645" i="1"/>
  <c r="I1645" i="1"/>
  <c r="K1645" i="1" s="1"/>
  <c r="H1645" i="1"/>
  <c r="G1645" i="1"/>
  <c r="E1645" i="1"/>
  <c r="D1645" i="1"/>
  <c r="C1645" i="1"/>
  <c r="F1645" i="1" s="1"/>
  <c r="B1645" i="1"/>
  <c r="A1645" i="1"/>
  <c r="L1644" i="1"/>
  <c r="M1644" i="1" s="1"/>
  <c r="J1644" i="1"/>
  <c r="K1644" i="1" s="1"/>
  <c r="I1644" i="1"/>
  <c r="H1644" i="1"/>
  <c r="G1644" i="1"/>
  <c r="F1644" i="1"/>
  <c r="E1644" i="1"/>
  <c r="D1644" i="1"/>
  <c r="C1644" i="1"/>
  <c r="B1644" i="1"/>
  <c r="A1644" i="1"/>
  <c r="M1643" i="1"/>
  <c r="L1643" i="1"/>
  <c r="J1643" i="1"/>
  <c r="I1643" i="1"/>
  <c r="K1643" i="1" s="1"/>
  <c r="H1643" i="1"/>
  <c r="G1643" i="1"/>
  <c r="F1643" i="1"/>
  <c r="E1643" i="1"/>
  <c r="C1643" i="1"/>
  <c r="D1643" i="1" s="1"/>
  <c r="B1643" i="1"/>
  <c r="A1643" i="1"/>
  <c r="M1642" i="1"/>
  <c r="L1642" i="1"/>
  <c r="J1642" i="1"/>
  <c r="H1642" i="1"/>
  <c r="G1642" i="1"/>
  <c r="I1642" i="1" s="1"/>
  <c r="K1642" i="1" s="1"/>
  <c r="F1642" i="1"/>
  <c r="E1642" i="1"/>
  <c r="D1642" i="1"/>
  <c r="C1642" i="1"/>
  <c r="B1642" i="1"/>
  <c r="A1642" i="1"/>
  <c r="M1641" i="1"/>
  <c r="L1641" i="1"/>
  <c r="J1641" i="1"/>
  <c r="I1641" i="1"/>
  <c r="K1641" i="1" s="1"/>
  <c r="H1641" i="1"/>
  <c r="G1641" i="1"/>
  <c r="E1641" i="1"/>
  <c r="C1641" i="1"/>
  <c r="B1641" i="1"/>
  <c r="A1641" i="1"/>
  <c r="M1640" i="1"/>
  <c r="L1640" i="1"/>
  <c r="J1640" i="1"/>
  <c r="I1640" i="1"/>
  <c r="K1640" i="1" s="1"/>
  <c r="H1640" i="1"/>
  <c r="G1640" i="1"/>
  <c r="C1640" i="1"/>
  <c r="E1640" i="1" s="1"/>
  <c r="B1640" i="1"/>
  <c r="A1640" i="1"/>
  <c r="M1639" i="1"/>
  <c r="L1639" i="1"/>
  <c r="J1639" i="1"/>
  <c r="H1639" i="1"/>
  <c r="G1639" i="1"/>
  <c r="I1639" i="1" s="1"/>
  <c r="K1639" i="1" s="1"/>
  <c r="C1639" i="1"/>
  <c r="F1639" i="1" s="1"/>
  <c r="B1639" i="1"/>
  <c r="A1639" i="1"/>
  <c r="L1638" i="1"/>
  <c r="M1638" i="1" s="1"/>
  <c r="K1638" i="1"/>
  <c r="J1638" i="1"/>
  <c r="I1638" i="1"/>
  <c r="H1638" i="1"/>
  <c r="G1638" i="1"/>
  <c r="C1638" i="1"/>
  <c r="F1638" i="1" s="1"/>
  <c r="B1638" i="1"/>
  <c r="A1638" i="1"/>
  <c r="L1637" i="1"/>
  <c r="M1637" i="1" s="1"/>
  <c r="J1637" i="1"/>
  <c r="H1637" i="1"/>
  <c r="G1637" i="1"/>
  <c r="I1637" i="1" s="1"/>
  <c r="K1637" i="1" s="1"/>
  <c r="F1637" i="1"/>
  <c r="D1637" i="1"/>
  <c r="C1637" i="1"/>
  <c r="E1637" i="1" s="1"/>
  <c r="B1637" i="1"/>
  <c r="A1637" i="1"/>
  <c r="M1636" i="1"/>
  <c r="L1636" i="1"/>
  <c r="J1636" i="1"/>
  <c r="H1636" i="1"/>
  <c r="G1636" i="1"/>
  <c r="I1636" i="1" s="1"/>
  <c r="F1636" i="1"/>
  <c r="E1636" i="1"/>
  <c r="D1636" i="1"/>
  <c r="C1636" i="1"/>
  <c r="B1636" i="1"/>
  <c r="A1636" i="1"/>
  <c r="M1635" i="1"/>
  <c r="L1635" i="1"/>
  <c r="J1635" i="1"/>
  <c r="H1635" i="1"/>
  <c r="G1635" i="1"/>
  <c r="I1635" i="1" s="1"/>
  <c r="K1635" i="1" s="1"/>
  <c r="C1635" i="1"/>
  <c r="D1635" i="1" s="1"/>
  <c r="B1635" i="1"/>
  <c r="A1635" i="1"/>
  <c r="L1634" i="1"/>
  <c r="M1634" i="1" s="1"/>
  <c r="J1634" i="1"/>
  <c r="I1634" i="1"/>
  <c r="H1634" i="1"/>
  <c r="G1634" i="1"/>
  <c r="C1634" i="1"/>
  <c r="E1634" i="1" s="1"/>
  <c r="B1634" i="1"/>
  <c r="A1634" i="1"/>
  <c r="M1633" i="1"/>
  <c r="L1633" i="1"/>
  <c r="J1633" i="1"/>
  <c r="I1633" i="1"/>
  <c r="K1633" i="1" s="1"/>
  <c r="H1633" i="1"/>
  <c r="G1633" i="1"/>
  <c r="C1633" i="1"/>
  <c r="F1633" i="1" s="1"/>
  <c r="B1633" i="1"/>
  <c r="A1633" i="1"/>
  <c r="L1632" i="1"/>
  <c r="M1632" i="1" s="1"/>
  <c r="J1632" i="1"/>
  <c r="I1632" i="1"/>
  <c r="K1632" i="1" s="1"/>
  <c r="H1632" i="1"/>
  <c r="G1632" i="1"/>
  <c r="F1632" i="1"/>
  <c r="E1632" i="1"/>
  <c r="D1632" i="1"/>
  <c r="C1632" i="1"/>
  <c r="B1632" i="1"/>
  <c r="A1632" i="1"/>
  <c r="M1631" i="1"/>
  <c r="L1631" i="1"/>
  <c r="J1631" i="1"/>
  <c r="I1631" i="1"/>
  <c r="K1631" i="1" s="1"/>
  <c r="H1631" i="1"/>
  <c r="G1631" i="1"/>
  <c r="C1631" i="1"/>
  <c r="D1631" i="1" s="1"/>
  <c r="B1631" i="1"/>
  <c r="A1631" i="1"/>
  <c r="M1630" i="1"/>
  <c r="L1630" i="1"/>
  <c r="J1630" i="1"/>
  <c r="K1630" i="1" s="1"/>
  <c r="H1630" i="1"/>
  <c r="G1630" i="1"/>
  <c r="I1630" i="1" s="1"/>
  <c r="F1630" i="1"/>
  <c r="E1630" i="1"/>
  <c r="D1630" i="1"/>
  <c r="C1630" i="1"/>
  <c r="B1630" i="1"/>
  <c r="A1630" i="1"/>
  <c r="M1629" i="1"/>
  <c r="L1629" i="1"/>
  <c r="J1629" i="1"/>
  <c r="I1629" i="1"/>
  <c r="K1629" i="1" s="1"/>
  <c r="H1629" i="1"/>
  <c r="G1629" i="1"/>
  <c r="C1629" i="1"/>
  <c r="E1629" i="1" s="1"/>
  <c r="B1629" i="1"/>
  <c r="A1629" i="1"/>
  <c r="M1628" i="1"/>
  <c r="L1628" i="1"/>
  <c r="J1628" i="1"/>
  <c r="I1628" i="1"/>
  <c r="K1628" i="1" s="1"/>
  <c r="H1628" i="1"/>
  <c r="G1628" i="1"/>
  <c r="F1628" i="1"/>
  <c r="D1628" i="1"/>
  <c r="C1628" i="1"/>
  <c r="E1628" i="1" s="1"/>
  <c r="B1628" i="1"/>
  <c r="A1628" i="1"/>
  <c r="M1627" i="1"/>
  <c r="L1627" i="1"/>
  <c r="J1627" i="1"/>
  <c r="H1627" i="1"/>
  <c r="G1627" i="1"/>
  <c r="I1627" i="1" s="1"/>
  <c r="K1627" i="1" s="1"/>
  <c r="E1627" i="1"/>
  <c r="D1627" i="1"/>
  <c r="C1627" i="1"/>
  <c r="F1627" i="1" s="1"/>
  <c r="B1627" i="1"/>
  <c r="A1627" i="1"/>
  <c r="L1626" i="1"/>
  <c r="M1626" i="1" s="1"/>
  <c r="K1626" i="1"/>
  <c r="J1626" i="1"/>
  <c r="I1626" i="1"/>
  <c r="H1626" i="1"/>
  <c r="G1626" i="1"/>
  <c r="F1626" i="1"/>
  <c r="E1626" i="1"/>
  <c r="D1626" i="1"/>
  <c r="C1626" i="1"/>
  <c r="B1626" i="1"/>
  <c r="A1626" i="1"/>
  <c r="L1625" i="1"/>
  <c r="M1625" i="1" s="1"/>
  <c r="J1625" i="1"/>
  <c r="H1625" i="1"/>
  <c r="G1625" i="1"/>
  <c r="I1625" i="1" s="1"/>
  <c r="K1625" i="1" s="1"/>
  <c r="C1625" i="1"/>
  <c r="F1625" i="1" s="1"/>
  <c r="B1625" i="1"/>
  <c r="A1625" i="1"/>
  <c r="M1624" i="1"/>
  <c r="L1624" i="1"/>
  <c r="J1624" i="1"/>
  <c r="H1624" i="1"/>
  <c r="G1624" i="1"/>
  <c r="I1624" i="1" s="1"/>
  <c r="K1624" i="1" s="1"/>
  <c r="F1624" i="1"/>
  <c r="E1624" i="1"/>
  <c r="D1624" i="1"/>
  <c r="C1624" i="1"/>
  <c r="B1624" i="1"/>
  <c r="A1624" i="1"/>
  <c r="L1623" i="1"/>
  <c r="M1623" i="1" s="1"/>
  <c r="J1623" i="1"/>
  <c r="H1623" i="1"/>
  <c r="G1623" i="1"/>
  <c r="I1623" i="1" s="1"/>
  <c r="K1623" i="1" s="1"/>
  <c r="F1623" i="1"/>
  <c r="E1623" i="1"/>
  <c r="C1623" i="1"/>
  <c r="D1623" i="1" s="1"/>
  <c r="B1623" i="1"/>
  <c r="A1623" i="1"/>
  <c r="L1622" i="1"/>
  <c r="M1622" i="1" s="1"/>
  <c r="J1622" i="1"/>
  <c r="H1622" i="1"/>
  <c r="G1622" i="1"/>
  <c r="I1622" i="1" s="1"/>
  <c r="K1622" i="1" s="1"/>
  <c r="F1622" i="1"/>
  <c r="C1622" i="1"/>
  <c r="E1622" i="1" s="1"/>
  <c r="B1622" i="1"/>
  <c r="A1622" i="1"/>
  <c r="M1621" i="1"/>
  <c r="L1621" i="1"/>
  <c r="J1621" i="1"/>
  <c r="H1621" i="1"/>
  <c r="G1621" i="1"/>
  <c r="I1621" i="1" s="1"/>
  <c r="K1621" i="1" s="1"/>
  <c r="E1621" i="1"/>
  <c r="C1621" i="1"/>
  <c r="F1621" i="1" s="1"/>
  <c r="B1621" i="1"/>
  <c r="A1621" i="1"/>
  <c r="L1620" i="1"/>
  <c r="M1620" i="1" s="1"/>
  <c r="J1620" i="1"/>
  <c r="I1620" i="1"/>
  <c r="K1620" i="1" s="1"/>
  <c r="H1620" i="1"/>
  <c r="G1620" i="1"/>
  <c r="F1620" i="1"/>
  <c r="E1620" i="1"/>
  <c r="C1620" i="1"/>
  <c r="D1620" i="1" s="1"/>
  <c r="B1620" i="1"/>
  <c r="A1620" i="1"/>
  <c r="M1619" i="1"/>
  <c r="L1619" i="1"/>
  <c r="J1619" i="1"/>
  <c r="H1619" i="1"/>
  <c r="G1619" i="1"/>
  <c r="I1619" i="1" s="1"/>
  <c r="K1619" i="1" s="1"/>
  <c r="F1619" i="1"/>
  <c r="E1619" i="1"/>
  <c r="D1619" i="1"/>
  <c r="C1619" i="1"/>
  <c r="B1619" i="1"/>
  <c r="A1619" i="1"/>
  <c r="L1618" i="1"/>
  <c r="M1618" i="1" s="1"/>
  <c r="K1618" i="1"/>
  <c r="J1618" i="1"/>
  <c r="H1618" i="1"/>
  <c r="G1618" i="1"/>
  <c r="I1618" i="1" s="1"/>
  <c r="F1618" i="1"/>
  <c r="E1618" i="1"/>
  <c r="D1618" i="1"/>
  <c r="C1618" i="1"/>
  <c r="B1618" i="1"/>
  <c r="A1618" i="1"/>
  <c r="L1617" i="1"/>
  <c r="M1617" i="1" s="1"/>
  <c r="J1617" i="1"/>
  <c r="H1617" i="1"/>
  <c r="G1617" i="1"/>
  <c r="I1617" i="1" s="1"/>
  <c r="K1617" i="1" s="1"/>
  <c r="F1617" i="1"/>
  <c r="E1617" i="1"/>
  <c r="C1617" i="1"/>
  <c r="D1617" i="1" s="1"/>
  <c r="B1617" i="1"/>
  <c r="A1617" i="1"/>
  <c r="L1616" i="1"/>
  <c r="M1616" i="1" s="1"/>
  <c r="J1616" i="1"/>
  <c r="H1616" i="1"/>
  <c r="G1616" i="1"/>
  <c r="I1616" i="1" s="1"/>
  <c r="K1616" i="1" s="1"/>
  <c r="F1616" i="1"/>
  <c r="C1616" i="1"/>
  <c r="E1616" i="1" s="1"/>
  <c r="B1616" i="1"/>
  <c r="A1616" i="1"/>
  <c r="M1615" i="1"/>
  <c r="L1615" i="1"/>
  <c r="J1615" i="1"/>
  <c r="H1615" i="1"/>
  <c r="G1615" i="1"/>
  <c r="I1615" i="1" s="1"/>
  <c r="K1615" i="1" s="1"/>
  <c r="E1615" i="1"/>
  <c r="C1615" i="1"/>
  <c r="F1615" i="1" s="1"/>
  <c r="B1615" i="1"/>
  <c r="A1615" i="1"/>
  <c r="L1614" i="1"/>
  <c r="M1614" i="1" s="1"/>
  <c r="J1614" i="1"/>
  <c r="I1614" i="1"/>
  <c r="K1614" i="1" s="1"/>
  <c r="H1614" i="1"/>
  <c r="G1614" i="1"/>
  <c r="E1614" i="1"/>
  <c r="C1614" i="1"/>
  <c r="F1614" i="1" s="1"/>
  <c r="B1614" i="1"/>
  <c r="A1614" i="1"/>
  <c r="M1613" i="1"/>
  <c r="L1613" i="1"/>
  <c r="J1613" i="1"/>
  <c r="H1613" i="1"/>
  <c r="G1613" i="1"/>
  <c r="I1613" i="1" s="1"/>
  <c r="K1613" i="1" s="1"/>
  <c r="F1613" i="1"/>
  <c r="E1613" i="1"/>
  <c r="D1613" i="1"/>
  <c r="C1613" i="1"/>
  <c r="B1613" i="1"/>
  <c r="A1613" i="1"/>
  <c r="L1612" i="1"/>
  <c r="M1612" i="1" s="1"/>
  <c r="K1612" i="1"/>
  <c r="J1612" i="1"/>
  <c r="H1612" i="1"/>
  <c r="G1612" i="1"/>
  <c r="I1612" i="1" s="1"/>
  <c r="F1612" i="1"/>
  <c r="E1612" i="1"/>
  <c r="D1612" i="1"/>
  <c r="C1612" i="1"/>
  <c r="B1612" i="1"/>
  <c r="A1612" i="1"/>
  <c r="L1611" i="1"/>
  <c r="M1611" i="1" s="1"/>
  <c r="J1611" i="1"/>
  <c r="H1611" i="1"/>
  <c r="G1611" i="1"/>
  <c r="I1611" i="1" s="1"/>
  <c r="K1611" i="1" s="1"/>
  <c r="F1611" i="1"/>
  <c r="E1611" i="1"/>
  <c r="C1611" i="1"/>
  <c r="D1611" i="1" s="1"/>
  <c r="B1611" i="1"/>
  <c r="A1611" i="1"/>
  <c r="L1610" i="1"/>
  <c r="M1610" i="1" s="1"/>
  <c r="J1610" i="1"/>
  <c r="H1610" i="1"/>
  <c r="G1610" i="1"/>
  <c r="I1610" i="1" s="1"/>
  <c r="K1610" i="1" s="1"/>
  <c r="F1610" i="1"/>
  <c r="C1610" i="1"/>
  <c r="E1610" i="1" s="1"/>
  <c r="B1610" i="1"/>
  <c r="A1610" i="1"/>
  <c r="M1609" i="1"/>
  <c r="L1609" i="1"/>
  <c r="J1609" i="1"/>
  <c r="H1609" i="1"/>
  <c r="G1609" i="1"/>
  <c r="I1609" i="1" s="1"/>
  <c r="K1609" i="1" s="1"/>
  <c r="E1609" i="1"/>
  <c r="C1609" i="1"/>
  <c r="F1609" i="1" s="1"/>
  <c r="B1609" i="1"/>
  <c r="A1609" i="1"/>
  <c r="L1608" i="1"/>
  <c r="M1608" i="1" s="1"/>
  <c r="J1608" i="1"/>
  <c r="I1608" i="1"/>
  <c r="K1608" i="1" s="1"/>
  <c r="H1608" i="1"/>
  <c r="G1608" i="1"/>
  <c r="E1608" i="1"/>
  <c r="C1608" i="1"/>
  <c r="F1608" i="1" s="1"/>
  <c r="B1608" i="1"/>
  <c r="A1608" i="1"/>
  <c r="M1607" i="1"/>
  <c r="L1607" i="1"/>
  <c r="J1607" i="1"/>
  <c r="H1607" i="1"/>
  <c r="G1607" i="1"/>
  <c r="I1607" i="1" s="1"/>
  <c r="K1607" i="1" s="1"/>
  <c r="F1607" i="1"/>
  <c r="E1607" i="1"/>
  <c r="D1607" i="1"/>
  <c r="C1607" i="1"/>
  <c r="B1607" i="1"/>
  <c r="A1607" i="1"/>
  <c r="L1606" i="1"/>
  <c r="M1606" i="1" s="1"/>
  <c r="K1606" i="1"/>
  <c r="J1606" i="1"/>
  <c r="H1606" i="1"/>
  <c r="G1606" i="1"/>
  <c r="I1606" i="1" s="1"/>
  <c r="F1606" i="1"/>
  <c r="E1606" i="1"/>
  <c r="D1606" i="1"/>
  <c r="C1606" i="1"/>
  <c r="B1606" i="1"/>
  <c r="A1606" i="1"/>
  <c r="L1605" i="1"/>
  <c r="M1605" i="1" s="1"/>
  <c r="J1605" i="1"/>
  <c r="H1605" i="1"/>
  <c r="G1605" i="1"/>
  <c r="I1605" i="1" s="1"/>
  <c r="K1605" i="1" s="1"/>
  <c r="F1605" i="1"/>
  <c r="E1605" i="1"/>
  <c r="C1605" i="1"/>
  <c r="D1605" i="1" s="1"/>
  <c r="B1605" i="1"/>
  <c r="A1605" i="1"/>
  <c r="L1604" i="1"/>
  <c r="M1604" i="1" s="1"/>
  <c r="J1604" i="1"/>
  <c r="H1604" i="1"/>
  <c r="G1604" i="1"/>
  <c r="I1604" i="1" s="1"/>
  <c r="K1604" i="1" s="1"/>
  <c r="F1604" i="1"/>
  <c r="C1604" i="1"/>
  <c r="E1604" i="1" s="1"/>
  <c r="B1604" i="1"/>
  <c r="A1604" i="1"/>
  <c r="M1603" i="1"/>
  <c r="L1603" i="1"/>
  <c r="J1603" i="1"/>
  <c r="H1603" i="1"/>
  <c r="G1603" i="1"/>
  <c r="I1603" i="1" s="1"/>
  <c r="K1603" i="1" s="1"/>
  <c r="E1603" i="1"/>
  <c r="C1603" i="1"/>
  <c r="F1603" i="1" s="1"/>
  <c r="B1603" i="1"/>
  <c r="A1603" i="1"/>
  <c r="L1602" i="1"/>
  <c r="M1602" i="1" s="1"/>
  <c r="J1602" i="1"/>
  <c r="I1602" i="1"/>
  <c r="K1602" i="1" s="1"/>
  <c r="H1602" i="1"/>
  <c r="G1602" i="1"/>
  <c r="E1602" i="1"/>
  <c r="C1602" i="1"/>
  <c r="F1602" i="1" s="1"/>
  <c r="B1602" i="1"/>
  <c r="A1602" i="1"/>
  <c r="M1601" i="1"/>
  <c r="L1601" i="1"/>
  <c r="J1601" i="1"/>
  <c r="H1601" i="1"/>
  <c r="G1601" i="1"/>
  <c r="I1601" i="1" s="1"/>
  <c r="K1601" i="1" s="1"/>
  <c r="F1601" i="1"/>
  <c r="E1601" i="1"/>
  <c r="D1601" i="1"/>
  <c r="C1601" i="1"/>
  <c r="B1601" i="1"/>
  <c r="A1601" i="1"/>
  <c r="L1600" i="1"/>
  <c r="M1600" i="1" s="1"/>
  <c r="K1600" i="1"/>
  <c r="J1600" i="1"/>
  <c r="H1600" i="1"/>
  <c r="G1600" i="1"/>
  <c r="I1600" i="1" s="1"/>
  <c r="F1600" i="1"/>
  <c r="E1600" i="1"/>
  <c r="D1600" i="1"/>
  <c r="C1600" i="1"/>
  <c r="B1600" i="1"/>
  <c r="A1600" i="1"/>
  <c r="L1599" i="1"/>
  <c r="M1599" i="1" s="1"/>
  <c r="J1599" i="1"/>
  <c r="H1599" i="1"/>
  <c r="G1599" i="1"/>
  <c r="I1599" i="1" s="1"/>
  <c r="K1599" i="1" s="1"/>
  <c r="F1599" i="1"/>
  <c r="E1599" i="1"/>
  <c r="C1599" i="1"/>
  <c r="D1599" i="1" s="1"/>
  <c r="B1599" i="1"/>
  <c r="A1599" i="1"/>
  <c r="L1598" i="1"/>
  <c r="M1598" i="1" s="1"/>
  <c r="J1598" i="1"/>
  <c r="H1598" i="1"/>
  <c r="G1598" i="1"/>
  <c r="I1598" i="1" s="1"/>
  <c r="K1598" i="1" s="1"/>
  <c r="F1598" i="1"/>
  <c r="C1598" i="1"/>
  <c r="E1598" i="1" s="1"/>
  <c r="B1598" i="1"/>
  <c r="A1598" i="1"/>
  <c r="M1597" i="1"/>
  <c r="L1597" i="1"/>
  <c r="J1597" i="1"/>
  <c r="H1597" i="1"/>
  <c r="G1597" i="1"/>
  <c r="I1597" i="1" s="1"/>
  <c r="K1597" i="1" s="1"/>
  <c r="E1597" i="1"/>
  <c r="C1597" i="1"/>
  <c r="F1597" i="1" s="1"/>
  <c r="B1597" i="1"/>
  <c r="A1597" i="1"/>
  <c r="L1596" i="1"/>
  <c r="M1596" i="1" s="1"/>
  <c r="J1596" i="1"/>
  <c r="I1596" i="1"/>
  <c r="K1596" i="1" s="1"/>
  <c r="H1596" i="1"/>
  <c r="G1596" i="1"/>
  <c r="E1596" i="1"/>
  <c r="C1596" i="1"/>
  <c r="F1596" i="1" s="1"/>
  <c r="B1596" i="1"/>
  <c r="A1596" i="1"/>
  <c r="M1595" i="1"/>
  <c r="L1595" i="1"/>
  <c r="J1595" i="1"/>
  <c r="H1595" i="1"/>
  <c r="G1595" i="1"/>
  <c r="I1595" i="1" s="1"/>
  <c r="K1595" i="1" s="1"/>
  <c r="F1595" i="1"/>
  <c r="E1595" i="1"/>
  <c r="D1595" i="1"/>
  <c r="C1595" i="1"/>
  <c r="B1595" i="1"/>
  <c r="A1595" i="1"/>
  <c r="L1594" i="1"/>
  <c r="M1594" i="1" s="1"/>
  <c r="K1594" i="1"/>
  <c r="J1594" i="1"/>
  <c r="H1594" i="1"/>
  <c r="G1594" i="1"/>
  <c r="I1594" i="1" s="1"/>
  <c r="F1594" i="1"/>
  <c r="E1594" i="1"/>
  <c r="D1594" i="1"/>
  <c r="C1594" i="1"/>
  <c r="B1594" i="1"/>
  <c r="A1594" i="1"/>
  <c r="L1593" i="1"/>
  <c r="M1593" i="1" s="1"/>
  <c r="J1593" i="1"/>
  <c r="H1593" i="1"/>
  <c r="G1593" i="1"/>
  <c r="I1593" i="1" s="1"/>
  <c r="K1593" i="1" s="1"/>
  <c r="F1593" i="1"/>
  <c r="E1593" i="1"/>
  <c r="C1593" i="1"/>
  <c r="D1593" i="1" s="1"/>
  <c r="B1593" i="1"/>
  <c r="A1593" i="1"/>
  <c r="L1592" i="1"/>
  <c r="M1592" i="1" s="1"/>
  <c r="J1592" i="1"/>
  <c r="H1592" i="1"/>
  <c r="G1592" i="1"/>
  <c r="I1592" i="1" s="1"/>
  <c r="K1592" i="1" s="1"/>
  <c r="F1592" i="1"/>
  <c r="C1592" i="1"/>
  <c r="E1592" i="1" s="1"/>
  <c r="B1592" i="1"/>
  <c r="A1592" i="1"/>
  <c r="M1591" i="1"/>
  <c r="L1591" i="1"/>
  <c r="J1591" i="1"/>
  <c r="H1591" i="1"/>
  <c r="G1591" i="1"/>
  <c r="I1591" i="1" s="1"/>
  <c r="K1591" i="1" s="1"/>
  <c r="E1591" i="1"/>
  <c r="C1591" i="1"/>
  <c r="F1591" i="1" s="1"/>
  <c r="B1591" i="1"/>
  <c r="A1591" i="1"/>
  <c r="L1590" i="1"/>
  <c r="M1590" i="1" s="1"/>
  <c r="J1590" i="1"/>
  <c r="I1590" i="1"/>
  <c r="K1590" i="1" s="1"/>
  <c r="H1590" i="1"/>
  <c r="G1590" i="1"/>
  <c r="E1590" i="1"/>
  <c r="C1590" i="1"/>
  <c r="F1590" i="1" s="1"/>
  <c r="B1590" i="1"/>
  <c r="A1590" i="1"/>
  <c r="M1589" i="1"/>
  <c r="L1589" i="1"/>
  <c r="J1589" i="1"/>
  <c r="H1589" i="1"/>
  <c r="G1589" i="1"/>
  <c r="I1589" i="1" s="1"/>
  <c r="K1589" i="1" s="1"/>
  <c r="F1589" i="1"/>
  <c r="E1589" i="1"/>
  <c r="D1589" i="1"/>
  <c r="C1589" i="1"/>
  <c r="B1589" i="1"/>
  <c r="A1589" i="1"/>
  <c r="L1588" i="1"/>
  <c r="M1588" i="1" s="1"/>
  <c r="K1588" i="1"/>
  <c r="J1588" i="1"/>
  <c r="H1588" i="1"/>
  <c r="G1588" i="1"/>
  <c r="I1588" i="1" s="1"/>
  <c r="F1588" i="1"/>
  <c r="E1588" i="1"/>
  <c r="D1588" i="1"/>
  <c r="C1588" i="1"/>
  <c r="B1588" i="1"/>
  <c r="A1588" i="1"/>
  <c r="L1587" i="1"/>
  <c r="M1587" i="1" s="1"/>
  <c r="J1587" i="1"/>
  <c r="H1587" i="1"/>
  <c r="G1587" i="1"/>
  <c r="I1587" i="1" s="1"/>
  <c r="K1587" i="1" s="1"/>
  <c r="F1587" i="1"/>
  <c r="E1587" i="1"/>
  <c r="C1587" i="1"/>
  <c r="D1587" i="1" s="1"/>
  <c r="B1587" i="1"/>
  <c r="A1587" i="1"/>
  <c r="L1586" i="1"/>
  <c r="M1586" i="1" s="1"/>
  <c r="J1586" i="1"/>
  <c r="H1586" i="1"/>
  <c r="G1586" i="1"/>
  <c r="I1586" i="1" s="1"/>
  <c r="K1586" i="1" s="1"/>
  <c r="F1586" i="1"/>
  <c r="C1586" i="1"/>
  <c r="E1586" i="1" s="1"/>
  <c r="B1586" i="1"/>
  <c r="A1586" i="1"/>
  <c r="M1585" i="1"/>
  <c r="L1585" i="1"/>
  <c r="J1585" i="1"/>
  <c r="H1585" i="1"/>
  <c r="G1585" i="1"/>
  <c r="I1585" i="1" s="1"/>
  <c r="K1585" i="1" s="1"/>
  <c r="E1585" i="1"/>
  <c r="C1585" i="1"/>
  <c r="F1585" i="1" s="1"/>
  <c r="B1585" i="1"/>
  <c r="A1585" i="1"/>
  <c r="L1584" i="1"/>
  <c r="M1584" i="1" s="1"/>
  <c r="J1584" i="1"/>
  <c r="I1584" i="1"/>
  <c r="K1584" i="1" s="1"/>
  <c r="H1584" i="1"/>
  <c r="G1584" i="1"/>
  <c r="E1584" i="1"/>
  <c r="C1584" i="1"/>
  <c r="F1584" i="1" s="1"/>
  <c r="B1584" i="1"/>
  <c r="A1584" i="1"/>
  <c r="M1583" i="1"/>
  <c r="L1583" i="1"/>
  <c r="J1583" i="1"/>
  <c r="H1583" i="1"/>
  <c r="G1583" i="1"/>
  <c r="I1583" i="1" s="1"/>
  <c r="K1583" i="1" s="1"/>
  <c r="F1583" i="1"/>
  <c r="E1583" i="1"/>
  <c r="D1583" i="1"/>
  <c r="C1583" i="1"/>
  <c r="B1583" i="1"/>
  <c r="A1583" i="1"/>
  <c r="L1582" i="1"/>
  <c r="M1582" i="1" s="1"/>
  <c r="K1582" i="1"/>
  <c r="J1582" i="1"/>
  <c r="H1582" i="1"/>
  <c r="G1582" i="1"/>
  <c r="I1582" i="1" s="1"/>
  <c r="F1582" i="1"/>
  <c r="E1582" i="1"/>
  <c r="D1582" i="1"/>
  <c r="C1582" i="1"/>
  <c r="B1582" i="1"/>
  <c r="A1582" i="1"/>
  <c r="L1581" i="1"/>
  <c r="M1581" i="1" s="1"/>
  <c r="J1581" i="1"/>
  <c r="H1581" i="1"/>
  <c r="G1581" i="1"/>
  <c r="I1581" i="1" s="1"/>
  <c r="K1581" i="1" s="1"/>
  <c r="F1581" i="1"/>
  <c r="E1581" i="1"/>
  <c r="C1581" i="1"/>
  <c r="D1581" i="1" s="1"/>
  <c r="B1581" i="1"/>
  <c r="A1581" i="1"/>
  <c r="L1580" i="1"/>
  <c r="M1580" i="1" s="1"/>
  <c r="J1580" i="1"/>
  <c r="H1580" i="1"/>
  <c r="G1580" i="1"/>
  <c r="I1580" i="1" s="1"/>
  <c r="K1580" i="1" s="1"/>
  <c r="F1580" i="1"/>
  <c r="C1580" i="1"/>
  <c r="E1580" i="1" s="1"/>
  <c r="B1580" i="1"/>
  <c r="A1580" i="1"/>
  <c r="M1579" i="1"/>
  <c r="L1579" i="1"/>
  <c r="J1579" i="1"/>
  <c r="H1579" i="1"/>
  <c r="G1579" i="1"/>
  <c r="I1579" i="1" s="1"/>
  <c r="K1579" i="1" s="1"/>
  <c r="E1579" i="1"/>
  <c r="C1579" i="1"/>
  <c r="F1579" i="1" s="1"/>
  <c r="B1579" i="1"/>
  <c r="A1579" i="1"/>
  <c r="L1578" i="1"/>
  <c r="M1578" i="1" s="1"/>
  <c r="J1578" i="1"/>
  <c r="I1578" i="1"/>
  <c r="K1578" i="1" s="1"/>
  <c r="H1578" i="1"/>
  <c r="G1578" i="1"/>
  <c r="E1578" i="1"/>
  <c r="C1578" i="1"/>
  <c r="F1578" i="1" s="1"/>
  <c r="B1578" i="1"/>
  <c r="A1578" i="1"/>
  <c r="M1577" i="1"/>
  <c r="L1577" i="1"/>
  <c r="J1577" i="1"/>
  <c r="H1577" i="1"/>
  <c r="G1577" i="1"/>
  <c r="I1577" i="1" s="1"/>
  <c r="K1577" i="1" s="1"/>
  <c r="F1577" i="1"/>
  <c r="E1577" i="1"/>
  <c r="D1577" i="1"/>
  <c r="C1577" i="1"/>
  <c r="B1577" i="1"/>
  <c r="A1577" i="1"/>
  <c r="L1576" i="1"/>
  <c r="M1576" i="1" s="1"/>
  <c r="K1576" i="1"/>
  <c r="J1576" i="1"/>
  <c r="H1576" i="1"/>
  <c r="G1576" i="1"/>
  <c r="I1576" i="1" s="1"/>
  <c r="F1576" i="1"/>
  <c r="E1576" i="1"/>
  <c r="D1576" i="1"/>
  <c r="C1576" i="1"/>
  <c r="B1576" i="1"/>
  <c r="A1576" i="1"/>
  <c r="L1575" i="1"/>
  <c r="M1575" i="1" s="1"/>
  <c r="J1575" i="1"/>
  <c r="H1575" i="1"/>
  <c r="G1575" i="1"/>
  <c r="I1575" i="1" s="1"/>
  <c r="K1575" i="1" s="1"/>
  <c r="F1575" i="1"/>
  <c r="E1575" i="1"/>
  <c r="C1575" i="1"/>
  <c r="D1575" i="1" s="1"/>
  <c r="B1575" i="1"/>
  <c r="A1575" i="1"/>
  <c r="L1574" i="1"/>
  <c r="M1574" i="1" s="1"/>
  <c r="J1574" i="1"/>
  <c r="H1574" i="1"/>
  <c r="G1574" i="1"/>
  <c r="I1574" i="1" s="1"/>
  <c r="K1574" i="1" s="1"/>
  <c r="F1574" i="1"/>
  <c r="C1574" i="1"/>
  <c r="E1574" i="1" s="1"/>
  <c r="B1574" i="1"/>
  <c r="A1574" i="1"/>
  <c r="M1573" i="1"/>
  <c r="L1573" i="1"/>
  <c r="J1573" i="1"/>
  <c r="H1573" i="1"/>
  <c r="G1573" i="1"/>
  <c r="I1573" i="1" s="1"/>
  <c r="K1573" i="1" s="1"/>
  <c r="E1573" i="1"/>
  <c r="C1573" i="1"/>
  <c r="F1573" i="1" s="1"/>
  <c r="B1573" i="1"/>
  <c r="A1573" i="1"/>
  <c r="L1572" i="1"/>
  <c r="M1572" i="1" s="1"/>
  <c r="J1572" i="1"/>
  <c r="I1572" i="1"/>
  <c r="K1572" i="1" s="1"/>
  <c r="H1572" i="1"/>
  <c r="G1572" i="1"/>
  <c r="E1572" i="1"/>
  <c r="C1572" i="1"/>
  <c r="F1572" i="1" s="1"/>
  <c r="B1572" i="1"/>
  <c r="A1572" i="1"/>
  <c r="M1571" i="1"/>
  <c r="L1571" i="1"/>
  <c r="J1571" i="1"/>
  <c r="H1571" i="1"/>
  <c r="G1571" i="1"/>
  <c r="I1571" i="1" s="1"/>
  <c r="K1571" i="1" s="1"/>
  <c r="F1571" i="1"/>
  <c r="E1571" i="1"/>
  <c r="D1571" i="1"/>
  <c r="C1571" i="1"/>
  <c r="B1571" i="1"/>
  <c r="A1571" i="1"/>
  <c r="L1570" i="1"/>
  <c r="M1570" i="1" s="1"/>
  <c r="K1570" i="1"/>
  <c r="J1570" i="1"/>
  <c r="H1570" i="1"/>
  <c r="G1570" i="1"/>
  <c r="I1570" i="1" s="1"/>
  <c r="F1570" i="1"/>
  <c r="E1570" i="1"/>
  <c r="D1570" i="1"/>
  <c r="C1570" i="1"/>
  <c r="B1570" i="1"/>
  <c r="A1570" i="1"/>
  <c r="L1569" i="1"/>
  <c r="M1569" i="1" s="1"/>
  <c r="J1569" i="1"/>
  <c r="H1569" i="1"/>
  <c r="G1569" i="1"/>
  <c r="I1569" i="1" s="1"/>
  <c r="K1569" i="1" s="1"/>
  <c r="F1569" i="1"/>
  <c r="E1569" i="1"/>
  <c r="C1569" i="1"/>
  <c r="D1569" i="1" s="1"/>
  <c r="B1569" i="1"/>
  <c r="A1569" i="1"/>
  <c r="L1568" i="1"/>
  <c r="M1568" i="1" s="1"/>
  <c r="J1568" i="1"/>
  <c r="H1568" i="1"/>
  <c r="G1568" i="1"/>
  <c r="I1568" i="1" s="1"/>
  <c r="K1568" i="1" s="1"/>
  <c r="C1568" i="1"/>
  <c r="B1568" i="1"/>
  <c r="A1568" i="1"/>
  <c r="M1567" i="1"/>
  <c r="L1567" i="1"/>
  <c r="J1567" i="1"/>
  <c r="H1567" i="1"/>
  <c r="G1567" i="1"/>
  <c r="I1567" i="1" s="1"/>
  <c r="K1567" i="1" s="1"/>
  <c r="C1567" i="1"/>
  <c r="B1567" i="1"/>
  <c r="A1567" i="1"/>
  <c r="L1566" i="1"/>
  <c r="M1566" i="1" s="1"/>
  <c r="J1566" i="1"/>
  <c r="I1566" i="1"/>
  <c r="K1566" i="1" s="1"/>
  <c r="H1566" i="1"/>
  <c r="G1566" i="1"/>
  <c r="E1566" i="1"/>
  <c r="C1566" i="1"/>
  <c r="B1566" i="1"/>
  <c r="A1566" i="1"/>
  <c r="M1565" i="1"/>
  <c r="L1565" i="1"/>
  <c r="J1565" i="1"/>
  <c r="H1565" i="1"/>
  <c r="G1565" i="1"/>
  <c r="I1565" i="1" s="1"/>
  <c r="K1565" i="1" s="1"/>
  <c r="F1565" i="1"/>
  <c r="E1565" i="1"/>
  <c r="D1565" i="1"/>
  <c r="C1565" i="1"/>
  <c r="B1565" i="1"/>
  <c r="A1565" i="1"/>
  <c r="L1564" i="1"/>
  <c r="M1564" i="1" s="1"/>
  <c r="K1564" i="1"/>
  <c r="J1564" i="1"/>
  <c r="H1564" i="1"/>
  <c r="G1564" i="1"/>
  <c r="I1564" i="1" s="1"/>
  <c r="F1564" i="1"/>
  <c r="E1564" i="1"/>
  <c r="D1564" i="1"/>
  <c r="C1564" i="1"/>
  <c r="B1564" i="1"/>
  <c r="A1564" i="1"/>
  <c r="L1563" i="1"/>
  <c r="M1563" i="1" s="1"/>
  <c r="J1563" i="1"/>
  <c r="H1563" i="1"/>
  <c r="G1563" i="1"/>
  <c r="I1563" i="1" s="1"/>
  <c r="K1563" i="1" s="1"/>
  <c r="F1563" i="1"/>
  <c r="E1563" i="1"/>
  <c r="C1563" i="1"/>
  <c r="D1563" i="1" s="1"/>
  <c r="B1563" i="1"/>
  <c r="A1563" i="1"/>
  <c r="L1562" i="1"/>
  <c r="M1562" i="1" s="1"/>
  <c r="J1562" i="1"/>
  <c r="H1562" i="1"/>
  <c r="G1562" i="1"/>
  <c r="I1562" i="1" s="1"/>
  <c r="K1562" i="1" s="1"/>
  <c r="C1562" i="1"/>
  <c r="B1562" i="1"/>
  <c r="A1562" i="1"/>
  <c r="M1561" i="1"/>
  <c r="L1561" i="1"/>
  <c r="J1561" i="1"/>
  <c r="H1561" i="1"/>
  <c r="G1561" i="1"/>
  <c r="I1561" i="1" s="1"/>
  <c r="K1561" i="1" s="1"/>
  <c r="E1561" i="1"/>
  <c r="C1561" i="1"/>
  <c r="B1561" i="1"/>
  <c r="A1561" i="1"/>
  <c r="L1560" i="1"/>
  <c r="M1560" i="1" s="1"/>
  <c r="J1560" i="1"/>
  <c r="I1560" i="1"/>
  <c r="K1560" i="1" s="1"/>
  <c r="H1560" i="1"/>
  <c r="G1560" i="1"/>
  <c r="C1560" i="1"/>
  <c r="B1560" i="1"/>
  <c r="A1560" i="1"/>
  <c r="M1559" i="1"/>
  <c r="L1559" i="1"/>
  <c r="J1559" i="1"/>
  <c r="H1559" i="1"/>
  <c r="G1559" i="1"/>
  <c r="I1559" i="1" s="1"/>
  <c r="K1559" i="1" s="1"/>
  <c r="F1559" i="1"/>
  <c r="E1559" i="1"/>
  <c r="D1559" i="1"/>
  <c r="C1559" i="1"/>
  <c r="B1559" i="1"/>
  <c r="A1559" i="1"/>
  <c r="L1558" i="1"/>
  <c r="M1558" i="1" s="1"/>
  <c r="K1558" i="1"/>
  <c r="J1558" i="1"/>
  <c r="H1558" i="1"/>
  <c r="G1558" i="1"/>
  <c r="I1558" i="1" s="1"/>
  <c r="F1558" i="1"/>
  <c r="E1558" i="1"/>
  <c r="D1558" i="1"/>
  <c r="C1558" i="1"/>
  <c r="B1558" i="1"/>
  <c r="A1558" i="1"/>
  <c r="L1557" i="1"/>
  <c r="M1557" i="1" s="1"/>
  <c r="J1557" i="1"/>
  <c r="H1557" i="1"/>
  <c r="G1557" i="1"/>
  <c r="I1557" i="1" s="1"/>
  <c r="K1557" i="1" s="1"/>
  <c r="F1557" i="1"/>
  <c r="E1557" i="1"/>
  <c r="C1557" i="1"/>
  <c r="D1557" i="1" s="1"/>
  <c r="B1557" i="1"/>
  <c r="A1557" i="1"/>
  <c r="L1556" i="1"/>
  <c r="M1556" i="1" s="1"/>
  <c r="J1556" i="1"/>
  <c r="H1556" i="1"/>
  <c r="G1556" i="1"/>
  <c r="I1556" i="1" s="1"/>
  <c r="K1556" i="1" s="1"/>
  <c r="F1556" i="1"/>
  <c r="C1556" i="1"/>
  <c r="B1556" i="1"/>
  <c r="A1556" i="1"/>
  <c r="M1555" i="1"/>
  <c r="L1555" i="1"/>
  <c r="J1555" i="1"/>
  <c r="H1555" i="1"/>
  <c r="G1555" i="1"/>
  <c r="I1555" i="1" s="1"/>
  <c r="K1555" i="1" s="1"/>
  <c r="C1555" i="1"/>
  <c r="B1555" i="1"/>
  <c r="A1555" i="1"/>
  <c r="L1554" i="1"/>
  <c r="M1554" i="1" s="1"/>
  <c r="J1554" i="1"/>
  <c r="I1554" i="1"/>
  <c r="K1554" i="1" s="1"/>
  <c r="H1554" i="1"/>
  <c r="G1554" i="1"/>
  <c r="C1554" i="1"/>
  <c r="B1554" i="1"/>
  <c r="A1554" i="1"/>
  <c r="M1553" i="1"/>
  <c r="L1553" i="1"/>
  <c r="J1553" i="1"/>
  <c r="H1553" i="1"/>
  <c r="G1553" i="1"/>
  <c r="I1553" i="1" s="1"/>
  <c r="K1553" i="1" s="1"/>
  <c r="F1553" i="1"/>
  <c r="E1553" i="1"/>
  <c r="D1553" i="1"/>
  <c r="C1553" i="1"/>
  <c r="B1553" i="1"/>
  <c r="A1553" i="1"/>
  <c r="L1552" i="1"/>
  <c r="M1552" i="1" s="1"/>
  <c r="K1552" i="1"/>
  <c r="J1552" i="1"/>
  <c r="H1552" i="1"/>
  <c r="G1552" i="1"/>
  <c r="I1552" i="1" s="1"/>
  <c r="F1552" i="1"/>
  <c r="E1552" i="1"/>
  <c r="D1552" i="1"/>
  <c r="C1552" i="1"/>
  <c r="B1552" i="1"/>
  <c r="A1552" i="1"/>
  <c r="L1551" i="1"/>
  <c r="M1551" i="1" s="1"/>
  <c r="J1551" i="1"/>
  <c r="H1551" i="1"/>
  <c r="G1551" i="1"/>
  <c r="I1551" i="1" s="1"/>
  <c r="K1551" i="1" s="1"/>
  <c r="F1551" i="1"/>
  <c r="E1551" i="1"/>
  <c r="C1551" i="1"/>
  <c r="D1551" i="1" s="1"/>
  <c r="B1551" i="1"/>
  <c r="A1551" i="1"/>
  <c r="L1550" i="1"/>
  <c r="M1550" i="1" s="1"/>
  <c r="J1550" i="1"/>
  <c r="H1550" i="1"/>
  <c r="G1550" i="1"/>
  <c r="I1550" i="1" s="1"/>
  <c r="K1550" i="1" s="1"/>
  <c r="C1550" i="1"/>
  <c r="B1550" i="1"/>
  <c r="A1550" i="1"/>
  <c r="M1549" i="1"/>
  <c r="L1549" i="1"/>
  <c r="J1549" i="1"/>
  <c r="H1549" i="1"/>
  <c r="G1549" i="1"/>
  <c r="I1549" i="1" s="1"/>
  <c r="K1549" i="1" s="1"/>
  <c r="C1549" i="1"/>
  <c r="B1549" i="1"/>
  <c r="A1549" i="1"/>
  <c r="L1548" i="1"/>
  <c r="M1548" i="1" s="1"/>
  <c r="J1548" i="1"/>
  <c r="I1548" i="1"/>
  <c r="K1548" i="1" s="1"/>
  <c r="H1548" i="1"/>
  <c r="G1548" i="1"/>
  <c r="C1548" i="1"/>
  <c r="B1548" i="1"/>
  <c r="A1548" i="1"/>
  <c r="M1547" i="1"/>
  <c r="L1547" i="1"/>
  <c r="J1547" i="1"/>
  <c r="H1547" i="1"/>
  <c r="G1547" i="1"/>
  <c r="I1547" i="1" s="1"/>
  <c r="K1547" i="1" s="1"/>
  <c r="F1547" i="1"/>
  <c r="E1547" i="1"/>
  <c r="D1547" i="1"/>
  <c r="C1547" i="1"/>
  <c r="B1547" i="1"/>
  <c r="A1547" i="1"/>
  <c r="L1546" i="1"/>
  <c r="M1546" i="1" s="1"/>
  <c r="K1546" i="1"/>
  <c r="J1546" i="1"/>
  <c r="H1546" i="1"/>
  <c r="G1546" i="1"/>
  <c r="I1546" i="1" s="1"/>
  <c r="F1546" i="1"/>
  <c r="E1546" i="1"/>
  <c r="D1546" i="1"/>
  <c r="C1546" i="1"/>
  <c r="B1546" i="1"/>
  <c r="A1546" i="1"/>
  <c r="L1545" i="1"/>
  <c r="M1545" i="1" s="1"/>
  <c r="J1545" i="1"/>
  <c r="H1545" i="1"/>
  <c r="G1545" i="1"/>
  <c r="I1545" i="1" s="1"/>
  <c r="K1545" i="1" s="1"/>
  <c r="F1545" i="1"/>
  <c r="E1545" i="1"/>
  <c r="C1545" i="1"/>
  <c r="D1545" i="1" s="1"/>
  <c r="B1545" i="1"/>
  <c r="A1545" i="1"/>
  <c r="L1544" i="1"/>
  <c r="M1544" i="1" s="1"/>
  <c r="J1544" i="1"/>
  <c r="H1544" i="1"/>
  <c r="G1544" i="1"/>
  <c r="I1544" i="1" s="1"/>
  <c r="K1544" i="1" s="1"/>
  <c r="C1544" i="1"/>
  <c r="B1544" i="1"/>
  <c r="A1544" i="1"/>
  <c r="M1543" i="1"/>
  <c r="L1543" i="1"/>
  <c r="J1543" i="1"/>
  <c r="H1543" i="1"/>
  <c r="G1543" i="1"/>
  <c r="I1543" i="1" s="1"/>
  <c r="K1543" i="1" s="1"/>
  <c r="C1543" i="1"/>
  <c r="B1543" i="1"/>
  <c r="A1543" i="1"/>
  <c r="L1542" i="1"/>
  <c r="M1542" i="1" s="1"/>
  <c r="J1542" i="1"/>
  <c r="I1542" i="1"/>
  <c r="K1542" i="1" s="1"/>
  <c r="H1542" i="1"/>
  <c r="G1542" i="1"/>
  <c r="E1542" i="1"/>
  <c r="C1542" i="1"/>
  <c r="B1542" i="1"/>
  <c r="A1542" i="1"/>
  <c r="M1541" i="1"/>
  <c r="L1541" i="1"/>
  <c r="J1541" i="1"/>
  <c r="H1541" i="1"/>
  <c r="G1541" i="1"/>
  <c r="I1541" i="1" s="1"/>
  <c r="K1541" i="1" s="1"/>
  <c r="F1541" i="1"/>
  <c r="E1541" i="1"/>
  <c r="D1541" i="1"/>
  <c r="C1541" i="1"/>
  <c r="B1541" i="1"/>
  <c r="A1541" i="1"/>
  <c r="L1540" i="1"/>
  <c r="M1540" i="1" s="1"/>
  <c r="K1540" i="1"/>
  <c r="J1540" i="1"/>
  <c r="H1540" i="1"/>
  <c r="G1540" i="1"/>
  <c r="I1540" i="1" s="1"/>
  <c r="F1540" i="1"/>
  <c r="E1540" i="1"/>
  <c r="D1540" i="1"/>
  <c r="C1540" i="1"/>
  <c r="B1540" i="1"/>
  <c r="A1540" i="1"/>
  <c r="L1539" i="1"/>
  <c r="M1539" i="1" s="1"/>
  <c r="J1539" i="1"/>
  <c r="H1539" i="1"/>
  <c r="G1539" i="1"/>
  <c r="I1539" i="1" s="1"/>
  <c r="K1539" i="1" s="1"/>
  <c r="F1539" i="1"/>
  <c r="E1539" i="1"/>
  <c r="C1539" i="1"/>
  <c r="D1539" i="1" s="1"/>
  <c r="B1539" i="1"/>
  <c r="A1539" i="1"/>
  <c r="L1538" i="1"/>
  <c r="M1538" i="1" s="1"/>
  <c r="J1538" i="1"/>
  <c r="H1538" i="1"/>
  <c r="G1538" i="1"/>
  <c r="I1538" i="1" s="1"/>
  <c r="K1538" i="1" s="1"/>
  <c r="C1538" i="1"/>
  <c r="B1538" i="1"/>
  <c r="A1538" i="1"/>
  <c r="M1537" i="1"/>
  <c r="L1537" i="1"/>
  <c r="J1537" i="1"/>
  <c r="H1537" i="1"/>
  <c r="G1537" i="1"/>
  <c r="I1537" i="1" s="1"/>
  <c r="K1537" i="1" s="1"/>
  <c r="E1537" i="1"/>
  <c r="C1537" i="1"/>
  <c r="B1537" i="1"/>
  <c r="A1537" i="1"/>
  <c r="L1536" i="1"/>
  <c r="M1536" i="1" s="1"/>
  <c r="J1536" i="1"/>
  <c r="I1536" i="1"/>
  <c r="K1536" i="1" s="1"/>
  <c r="H1536" i="1"/>
  <c r="G1536" i="1"/>
  <c r="C1536" i="1"/>
  <c r="B1536" i="1"/>
  <c r="A1536" i="1"/>
  <c r="M1535" i="1"/>
  <c r="L1535" i="1"/>
  <c r="J1535" i="1"/>
  <c r="H1535" i="1"/>
  <c r="G1535" i="1"/>
  <c r="I1535" i="1" s="1"/>
  <c r="K1535" i="1" s="1"/>
  <c r="F1535" i="1"/>
  <c r="E1535" i="1"/>
  <c r="D1535" i="1"/>
  <c r="C1535" i="1"/>
  <c r="B1535" i="1"/>
  <c r="A1535" i="1"/>
  <c r="L1534" i="1"/>
  <c r="M1534" i="1" s="1"/>
  <c r="K1534" i="1"/>
  <c r="J1534" i="1"/>
  <c r="H1534" i="1"/>
  <c r="G1534" i="1"/>
  <c r="I1534" i="1" s="1"/>
  <c r="F1534" i="1"/>
  <c r="E1534" i="1"/>
  <c r="D1534" i="1"/>
  <c r="C1534" i="1"/>
  <c r="B1534" i="1"/>
  <c r="A1534" i="1"/>
  <c r="L1533" i="1"/>
  <c r="M1533" i="1" s="1"/>
  <c r="J1533" i="1"/>
  <c r="H1533" i="1"/>
  <c r="G1533" i="1"/>
  <c r="I1533" i="1" s="1"/>
  <c r="K1533" i="1" s="1"/>
  <c r="F1533" i="1"/>
  <c r="E1533" i="1"/>
  <c r="C1533" i="1"/>
  <c r="D1533" i="1" s="1"/>
  <c r="B1533" i="1"/>
  <c r="A1533" i="1"/>
  <c r="L1532" i="1"/>
  <c r="M1532" i="1" s="1"/>
  <c r="J1532" i="1"/>
  <c r="H1532" i="1"/>
  <c r="G1532" i="1"/>
  <c r="I1532" i="1" s="1"/>
  <c r="K1532" i="1" s="1"/>
  <c r="C1532" i="1"/>
  <c r="E1532" i="1" s="1"/>
  <c r="B1532" i="1"/>
  <c r="A1532" i="1"/>
  <c r="M1531" i="1"/>
  <c r="L1531" i="1"/>
  <c r="J1531" i="1"/>
  <c r="H1531" i="1"/>
  <c r="G1531" i="1"/>
  <c r="I1531" i="1" s="1"/>
  <c r="K1531" i="1" s="1"/>
  <c r="E1531" i="1"/>
  <c r="C1531" i="1"/>
  <c r="F1531" i="1" s="1"/>
  <c r="B1531" i="1"/>
  <c r="A1531" i="1"/>
  <c r="L1530" i="1"/>
  <c r="M1530" i="1" s="1"/>
  <c r="J1530" i="1"/>
  <c r="I1530" i="1"/>
  <c r="K1530" i="1" s="1"/>
  <c r="H1530" i="1"/>
  <c r="G1530" i="1"/>
  <c r="C1530" i="1"/>
  <c r="F1530" i="1" s="1"/>
  <c r="B1530" i="1"/>
  <c r="A1530" i="1"/>
  <c r="M1529" i="1"/>
  <c r="L1529" i="1"/>
  <c r="J1529" i="1"/>
  <c r="H1529" i="1"/>
  <c r="G1529" i="1"/>
  <c r="I1529" i="1" s="1"/>
  <c r="K1529" i="1" s="1"/>
  <c r="F1529" i="1"/>
  <c r="E1529" i="1"/>
  <c r="D1529" i="1"/>
  <c r="C1529" i="1"/>
  <c r="B1529" i="1"/>
  <c r="A1529" i="1"/>
  <c r="L1528" i="1"/>
  <c r="M1528" i="1" s="1"/>
  <c r="K1528" i="1"/>
  <c r="J1528" i="1"/>
  <c r="H1528" i="1"/>
  <c r="G1528" i="1"/>
  <c r="I1528" i="1" s="1"/>
  <c r="F1528" i="1"/>
  <c r="E1528" i="1"/>
  <c r="D1528" i="1"/>
  <c r="C1528" i="1"/>
  <c r="B1528" i="1"/>
  <c r="A1528" i="1"/>
  <c r="L1527" i="1"/>
  <c r="M1527" i="1" s="1"/>
  <c r="J1527" i="1"/>
  <c r="H1527" i="1"/>
  <c r="G1527" i="1"/>
  <c r="I1527" i="1" s="1"/>
  <c r="K1527" i="1" s="1"/>
  <c r="F1527" i="1"/>
  <c r="E1527" i="1"/>
  <c r="C1527" i="1"/>
  <c r="D1527" i="1" s="1"/>
  <c r="B1527" i="1"/>
  <c r="A1527" i="1"/>
  <c r="L1526" i="1"/>
  <c r="M1526" i="1" s="1"/>
  <c r="J1526" i="1"/>
  <c r="H1526" i="1"/>
  <c r="G1526" i="1"/>
  <c r="I1526" i="1" s="1"/>
  <c r="K1526" i="1" s="1"/>
  <c r="C1526" i="1"/>
  <c r="E1526" i="1" s="1"/>
  <c r="B1526" i="1"/>
  <c r="A1526" i="1"/>
  <c r="M1525" i="1"/>
  <c r="L1525" i="1"/>
  <c r="J1525" i="1"/>
  <c r="H1525" i="1"/>
  <c r="G1525" i="1"/>
  <c r="I1525" i="1" s="1"/>
  <c r="K1525" i="1" s="1"/>
  <c r="E1525" i="1"/>
  <c r="C1525" i="1"/>
  <c r="F1525" i="1" s="1"/>
  <c r="B1525" i="1"/>
  <c r="A1525" i="1"/>
  <c r="L1524" i="1"/>
  <c r="M1524" i="1" s="1"/>
  <c r="J1524" i="1"/>
  <c r="I1524" i="1"/>
  <c r="K1524" i="1" s="1"/>
  <c r="H1524" i="1"/>
  <c r="G1524" i="1"/>
  <c r="C1524" i="1"/>
  <c r="F1524" i="1" s="1"/>
  <c r="B1524" i="1"/>
  <c r="A1524" i="1"/>
  <c r="M1523" i="1"/>
  <c r="L1523" i="1"/>
  <c r="J1523" i="1"/>
  <c r="H1523" i="1"/>
  <c r="G1523" i="1"/>
  <c r="I1523" i="1" s="1"/>
  <c r="K1523" i="1" s="1"/>
  <c r="F1523" i="1"/>
  <c r="E1523" i="1"/>
  <c r="D1523" i="1"/>
  <c r="C1523" i="1"/>
  <c r="B1523" i="1"/>
  <c r="A1523" i="1"/>
  <c r="L1522" i="1"/>
  <c r="M1522" i="1" s="1"/>
  <c r="K1522" i="1"/>
  <c r="J1522" i="1"/>
  <c r="H1522" i="1"/>
  <c r="G1522" i="1"/>
  <c r="I1522" i="1" s="1"/>
  <c r="F1522" i="1"/>
  <c r="E1522" i="1"/>
  <c r="D1522" i="1"/>
  <c r="C1522" i="1"/>
  <c r="B1522" i="1"/>
  <c r="A1522" i="1"/>
  <c r="L1521" i="1"/>
  <c r="M1521" i="1" s="1"/>
  <c r="J1521" i="1"/>
  <c r="H1521" i="1"/>
  <c r="G1521" i="1"/>
  <c r="I1521" i="1" s="1"/>
  <c r="K1521" i="1" s="1"/>
  <c r="F1521" i="1"/>
  <c r="E1521" i="1"/>
  <c r="C1521" i="1"/>
  <c r="D1521" i="1" s="1"/>
  <c r="B1521" i="1"/>
  <c r="A1521" i="1"/>
  <c r="L1520" i="1"/>
  <c r="M1520" i="1" s="1"/>
  <c r="J1520" i="1"/>
  <c r="H1520" i="1"/>
  <c r="G1520" i="1"/>
  <c r="I1520" i="1" s="1"/>
  <c r="K1520" i="1" s="1"/>
  <c r="C1520" i="1"/>
  <c r="E1520" i="1" s="1"/>
  <c r="B1520" i="1"/>
  <c r="A1520" i="1"/>
  <c r="M1519" i="1"/>
  <c r="L1519" i="1"/>
  <c r="J1519" i="1"/>
  <c r="H1519" i="1"/>
  <c r="G1519" i="1"/>
  <c r="I1519" i="1" s="1"/>
  <c r="K1519" i="1" s="1"/>
  <c r="E1519" i="1"/>
  <c r="C1519" i="1"/>
  <c r="F1519" i="1" s="1"/>
  <c r="B1519" i="1"/>
  <c r="A1519" i="1"/>
  <c r="L1518" i="1"/>
  <c r="M1518" i="1" s="1"/>
  <c r="J1518" i="1"/>
  <c r="I1518" i="1"/>
  <c r="K1518" i="1" s="1"/>
  <c r="H1518" i="1"/>
  <c r="G1518" i="1"/>
  <c r="C1518" i="1"/>
  <c r="F1518" i="1" s="1"/>
  <c r="B1518" i="1"/>
  <c r="A1518" i="1"/>
  <c r="M1517" i="1"/>
  <c r="L1517" i="1"/>
  <c r="J1517" i="1"/>
  <c r="H1517" i="1"/>
  <c r="G1517" i="1"/>
  <c r="I1517" i="1" s="1"/>
  <c r="K1517" i="1" s="1"/>
  <c r="F1517" i="1"/>
  <c r="E1517" i="1"/>
  <c r="D1517" i="1"/>
  <c r="C1517" i="1"/>
  <c r="B1517" i="1"/>
  <c r="A1517" i="1"/>
  <c r="L1516" i="1"/>
  <c r="M1516" i="1" s="1"/>
  <c r="K1516" i="1"/>
  <c r="J1516" i="1"/>
  <c r="H1516" i="1"/>
  <c r="G1516" i="1"/>
  <c r="I1516" i="1" s="1"/>
  <c r="F1516" i="1"/>
  <c r="E1516" i="1"/>
  <c r="D1516" i="1"/>
  <c r="C1516" i="1"/>
  <c r="B1516" i="1"/>
  <c r="A1516" i="1"/>
  <c r="L1515" i="1"/>
  <c r="M1515" i="1" s="1"/>
  <c r="J1515" i="1"/>
  <c r="H1515" i="1"/>
  <c r="G1515" i="1"/>
  <c r="I1515" i="1" s="1"/>
  <c r="K1515" i="1" s="1"/>
  <c r="F1515" i="1"/>
  <c r="E1515" i="1"/>
  <c r="C1515" i="1"/>
  <c r="D1515" i="1" s="1"/>
  <c r="B1515" i="1"/>
  <c r="A1515" i="1"/>
  <c r="L1514" i="1"/>
  <c r="M1514" i="1" s="1"/>
  <c r="J1514" i="1"/>
  <c r="H1514" i="1"/>
  <c r="G1514" i="1"/>
  <c r="I1514" i="1" s="1"/>
  <c r="K1514" i="1" s="1"/>
  <c r="C1514" i="1"/>
  <c r="E1514" i="1" s="1"/>
  <c r="B1514" i="1"/>
  <c r="A1514" i="1"/>
  <c r="M1513" i="1"/>
  <c r="L1513" i="1"/>
  <c r="J1513" i="1"/>
  <c r="H1513" i="1"/>
  <c r="G1513" i="1"/>
  <c r="I1513" i="1" s="1"/>
  <c r="K1513" i="1" s="1"/>
  <c r="E1513" i="1"/>
  <c r="C1513" i="1"/>
  <c r="F1513" i="1" s="1"/>
  <c r="B1513" i="1"/>
  <c r="A1513" i="1"/>
  <c r="L1512" i="1"/>
  <c r="M1512" i="1" s="1"/>
  <c r="J1512" i="1"/>
  <c r="I1512" i="1"/>
  <c r="K1512" i="1" s="1"/>
  <c r="H1512" i="1"/>
  <c r="G1512" i="1"/>
  <c r="C1512" i="1"/>
  <c r="F1512" i="1" s="1"/>
  <c r="B1512" i="1"/>
  <c r="A1512" i="1"/>
  <c r="M1511" i="1"/>
  <c r="L1511" i="1"/>
  <c r="J1511" i="1"/>
  <c r="H1511" i="1"/>
  <c r="G1511" i="1"/>
  <c r="I1511" i="1" s="1"/>
  <c r="K1511" i="1" s="1"/>
  <c r="F1511" i="1"/>
  <c r="E1511" i="1"/>
  <c r="D1511" i="1"/>
  <c r="C1511" i="1"/>
  <c r="B1511" i="1"/>
  <c r="A1511" i="1"/>
  <c r="L1510" i="1"/>
  <c r="M1510" i="1" s="1"/>
  <c r="K1510" i="1"/>
  <c r="J1510" i="1"/>
  <c r="H1510" i="1"/>
  <c r="G1510" i="1"/>
  <c r="I1510" i="1" s="1"/>
  <c r="F1510" i="1"/>
  <c r="E1510" i="1"/>
  <c r="D1510" i="1"/>
  <c r="C1510" i="1"/>
  <c r="B1510" i="1"/>
  <c r="A1510" i="1"/>
  <c r="L1509" i="1"/>
  <c r="M1509" i="1" s="1"/>
  <c r="J1509" i="1"/>
  <c r="H1509" i="1"/>
  <c r="G1509" i="1"/>
  <c r="I1509" i="1" s="1"/>
  <c r="K1509" i="1" s="1"/>
  <c r="F1509" i="1"/>
  <c r="E1509" i="1"/>
  <c r="C1509" i="1"/>
  <c r="D1509" i="1" s="1"/>
  <c r="B1509" i="1"/>
  <c r="A1509" i="1"/>
  <c r="L1508" i="1"/>
  <c r="M1508" i="1" s="1"/>
  <c r="J1508" i="1"/>
  <c r="H1508" i="1"/>
  <c r="G1508" i="1"/>
  <c r="I1508" i="1" s="1"/>
  <c r="K1508" i="1" s="1"/>
  <c r="C1508" i="1"/>
  <c r="E1508" i="1" s="1"/>
  <c r="B1508" i="1"/>
  <c r="A1508" i="1"/>
  <c r="M1507" i="1"/>
  <c r="L1507" i="1"/>
  <c r="J1507" i="1"/>
  <c r="H1507" i="1"/>
  <c r="G1507" i="1"/>
  <c r="I1507" i="1" s="1"/>
  <c r="K1507" i="1" s="1"/>
  <c r="E1507" i="1"/>
  <c r="C1507" i="1"/>
  <c r="F1507" i="1" s="1"/>
  <c r="B1507" i="1"/>
  <c r="A1507" i="1"/>
  <c r="L1506" i="1"/>
  <c r="M1506" i="1" s="1"/>
  <c r="J1506" i="1"/>
  <c r="I1506" i="1"/>
  <c r="K1506" i="1" s="1"/>
  <c r="H1506" i="1"/>
  <c r="G1506" i="1"/>
  <c r="C1506" i="1"/>
  <c r="F1506" i="1" s="1"/>
  <c r="B1506" i="1"/>
  <c r="A1506" i="1"/>
  <c r="M1505" i="1"/>
  <c r="L1505" i="1"/>
  <c r="J1505" i="1"/>
  <c r="H1505" i="1"/>
  <c r="G1505" i="1"/>
  <c r="I1505" i="1" s="1"/>
  <c r="F1505" i="1"/>
  <c r="E1505" i="1"/>
  <c r="D1505" i="1"/>
  <c r="C1505" i="1"/>
  <c r="B1505" i="1"/>
  <c r="A1505" i="1"/>
  <c r="L1504" i="1"/>
  <c r="M1504" i="1" s="1"/>
  <c r="K1504" i="1"/>
  <c r="J1504" i="1"/>
  <c r="H1504" i="1"/>
  <c r="G1504" i="1"/>
  <c r="I1504" i="1" s="1"/>
  <c r="F1504" i="1"/>
  <c r="E1504" i="1"/>
  <c r="D1504" i="1"/>
  <c r="C1504" i="1"/>
  <c r="B1504" i="1"/>
  <c r="A1504" i="1"/>
  <c r="L1503" i="1"/>
  <c r="M1503" i="1" s="1"/>
  <c r="K1503" i="1"/>
  <c r="J1503" i="1"/>
  <c r="H1503" i="1"/>
  <c r="G1503" i="1"/>
  <c r="I1503" i="1" s="1"/>
  <c r="F1503" i="1"/>
  <c r="E1503" i="1"/>
  <c r="C1503" i="1"/>
  <c r="D1503" i="1" s="1"/>
  <c r="B1503" i="1"/>
  <c r="A1503" i="1"/>
  <c r="L1502" i="1"/>
  <c r="M1502" i="1" s="1"/>
  <c r="K1502" i="1"/>
  <c r="J1502" i="1"/>
  <c r="H1502" i="1"/>
  <c r="G1502" i="1"/>
  <c r="I1502" i="1" s="1"/>
  <c r="F1502" i="1"/>
  <c r="E1502" i="1"/>
  <c r="C1502" i="1"/>
  <c r="D1502" i="1" s="1"/>
  <c r="B1502" i="1"/>
  <c r="A1502" i="1"/>
  <c r="L1501" i="1"/>
  <c r="M1501" i="1" s="1"/>
  <c r="J1501" i="1"/>
  <c r="H1501" i="1"/>
  <c r="G1501" i="1"/>
  <c r="I1501" i="1" s="1"/>
  <c r="K1501" i="1" s="1"/>
  <c r="C1501" i="1"/>
  <c r="B1501" i="1"/>
  <c r="A1501" i="1"/>
  <c r="M1500" i="1"/>
  <c r="L1500" i="1"/>
  <c r="J1500" i="1"/>
  <c r="H1500" i="1"/>
  <c r="G1500" i="1"/>
  <c r="I1500" i="1" s="1"/>
  <c r="K1500" i="1" s="1"/>
  <c r="E1500" i="1"/>
  <c r="D1500" i="1"/>
  <c r="C1500" i="1"/>
  <c r="F1500" i="1" s="1"/>
  <c r="B1500" i="1"/>
  <c r="A1500" i="1"/>
  <c r="L1499" i="1"/>
  <c r="M1499" i="1" s="1"/>
  <c r="J1499" i="1"/>
  <c r="I1499" i="1"/>
  <c r="K1499" i="1" s="1"/>
  <c r="H1499" i="1"/>
  <c r="G1499" i="1"/>
  <c r="E1499" i="1"/>
  <c r="C1499" i="1"/>
  <c r="F1499" i="1" s="1"/>
  <c r="B1499" i="1"/>
  <c r="A1499" i="1"/>
  <c r="L1498" i="1"/>
  <c r="M1498" i="1" s="1"/>
  <c r="J1498" i="1"/>
  <c r="I1498" i="1"/>
  <c r="K1498" i="1" s="1"/>
  <c r="H1498" i="1"/>
  <c r="G1498" i="1"/>
  <c r="C1498" i="1"/>
  <c r="F1498" i="1" s="1"/>
  <c r="B1498" i="1"/>
  <c r="A1498" i="1"/>
  <c r="L1497" i="1"/>
  <c r="M1497" i="1" s="1"/>
  <c r="K1497" i="1"/>
  <c r="J1497" i="1"/>
  <c r="H1497" i="1"/>
  <c r="G1497" i="1"/>
  <c r="I1497" i="1" s="1"/>
  <c r="F1497" i="1"/>
  <c r="E1497" i="1"/>
  <c r="D1497" i="1"/>
  <c r="C1497" i="1"/>
  <c r="B1497" i="1"/>
  <c r="A1497" i="1"/>
  <c r="M1496" i="1"/>
  <c r="L1496" i="1"/>
  <c r="K1496" i="1"/>
  <c r="J1496" i="1"/>
  <c r="I1496" i="1"/>
  <c r="H1496" i="1"/>
  <c r="G1496" i="1"/>
  <c r="F1496" i="1"/>
  <c r="E1496" i="1"/>
  <c r="C1496" i="1"/>
  <c r="D1496" i="1" s="1"/>
  <c r="B1496" i="1"/>
  <c r="A1496" i="1"/>
  <c r="M1495" i="1"/>
  <c r="L1495" i="1"/>
  <c r="J1495" i="1"/>
  <c r="H1495" i="1"/>
  <c r="G1495" i="1"/>
  <c r="I1495" i="1" s="1"/>
  <c r="K1495" i="1" s="1"/>
  <c r="F1495" i="1"/>
  <c r="C1495" i="1"/>
  <c r="E1495" i="1" s="1"/>
  <c r="B1495" i="1"/>
  <c r="A1495" i="1"/>
  <c r="M1494" i="1"/>
  <c r="L1494" i="1"/>
  <c r="J1494" i="1"/>
  <c r="H1494" i="1"/>
  <c r="G1494" i="1"/>
  <c r="I1494" i="1" s="1"/>
  <c r="K1494" i="1" s="1"/>
  <c r="C1494" i="1"/>
  <c r="B1494" i="1"/>
  <c r="A1494" i="1"/>
  <c r="L1493" i="1"/>
  <c r="M1493" i="1" s="1"/>
  <c r="K1493" i="1"/>
  <c r="J1493" i="1"/>
  <c r="I1493" i="1"/>
  <c r="H1493" i="1"/>
  <c r="G1493" i="1"/>
  <c r="D1493" i="1"/>
  <c r="C1493" i="1"/>
  <c r="B1493" i="1"/>
  <c r="A1493" i="1"/>
  <c r="L1492" i="1"/>
  <c r="M1492" i="1" s="1"/>
  <c r="J1492" i="1"/>
  <c r="I1492" i="1"/>
  <c r="K1492" i="1" s="1"/>
  <c r="H1492" i="1"/>
  <c r="G1492" i="1"/>
  <c r="C1492" i="1"/>
  <c r="F1492" i="1" s="1"/>
  <c r="B1492" i="1"/>
  <c r="A1492" i="1"/>
  <c r="M1491" i="1"/>
  <c r="L1491" i="1"/>
  <c r="K1491" i="1"/>
  <c r="J1491" i="1"/>
  <c r="H1491" i="1"/>
  <c r="G1491" i="1"/>
  <c r="I1491" i="1" s="1"/>
  <c r="F1491" i="1"/>
  <c r="E1491" i="1"/>
  <c r="D1491" i="1"/>
  <c r="C1491" i="1"/>
  <c r="B1491" i="1"/>
  <c r="A1491" i="1"/>
  <c r="L1490" i="1"/>
  <c r="M1490" i="1" s="1"/>
  <c r="J1490" i="1"/>
  <c r="H1490" i="1"/>
  <c r="G1490" i="1"/>
  <c r="I1490" i="1" s="1"/>
  <c r="K1490" i="1" s="1"/>
  <c r="F1490" i="1"/>
  <c r="E1490" i="1"/>
  <c r="C1490" i="1"/>
  <c r="D1490" i="1" s="1"/>
  <c r="B1490" i="1"/>
  <c r="A1490" i="1"/>
  <c r="M1489" i="1"/>
  <c r="L1489" i="1"/>
  <c r="J1489" i="1"/>
  <c r="H1489" i="1"/>
  <c r="G1489" i="1"/>
  <c r="I1489" i="1" s="1"/>
  <c r="K1489" i="1" s="1"/>
  <c r="C1489" i="1"/>
  <c r="B1489" i="1"/>
  <c r="A1489" i="1"/>
  <c r="M1488" i="1"/>
  <c r="L1488" i="1"/>
  <c r="J1488" i="1"/>
  <c r="H1488" i="1"/>
  <c r="G1488" i="1"/>
  <c r="I1488" i="1" s="1"/>
  <c r="K1488" i="1" s="1"/>
  <c r="E1488" i="1"/>
  <c r="D1488" i="1"/>
  <c r="C1488" i="1"/>
  <c r="F1488" i="1" s="1"/>
  <c r="B1488" i="1"/>
  <c r="A1488" i="1"/>
  <c r="L1487" i="1"/>
  <c r="M1487" i="1" s="1"/>
  <c r="J1487" i="1"/>
  <c r="I1487" i="1"/>
  <c r="K1487" i="1" s="1"/>
  <c r="H1487" i="1"/>
  <c r="G1487" i="1"/>
  <c r="C1487" i="1"/>
  <c r="B1487" i="1"/>
  <c r="A1487" i="1"/>
  <c r="L1486" i="1"/>
  <c r="M1486" i="1" s="1"/>
  <c r="J1486" i="1"/>
  <c r="I1486" i="1"/>
  <c r="K1486" i="1" s="1"/>
  <c r="H1486" i="1"/>
  <c r="G1486" i="1"/>
  <c r="F1486" i="1"/>
  <c r="D1486" i="1"/>
  <c r="C1486" i="1"/>
  <c r="E1486" i="1" s="1"/>
  <c r="B1486" i="1"/>
  <c r="A1486" i="1"/>
  <c r="L1485" i="1"/>
  <c r="M1485" i="1" s="1"/>
  <c r="J1485" i="1"/>
  <c r="H1485" i="1"/>
  <c r="G1485" i="1"/>
  <c r="I1485" i="1" s="1"/>
  <c r="K1485" i="1" s="1"/>
  <c r="F1485" i="1"/>
  <c r="E1485" i="1"/>
  <c r="D1485" i="1"/>
  <c r="C1485" i="1"/>
  <c r="B1485" i="1"/>
  <c r="A1485" i="1"/>
  <c r="L1484" i="1"/>
  <c r="M1484" i="1" s="1"/>
  <c r="K1484" i="1"/>
  <c r="J1484" i="1"/>
  <c r="I1484" i="1"/>
  <c r="H1484" i="1"/>
  <c r="G1484" i="1"/>
  <c r="F1484" i="1"/>
  <c r="E1484" i="1"/>
  <c r="C1484" i="1"/>
  <c r="D1484" i="1" s="1"/>
  <c r="B1484" i="1"/>
  <c r="A1484" i="1"/>
  <c r="L1483" i="1"/>
  <c r="M1483" i="1" s="1"/>
  <c r="J1483" i="1"/>
  <c r="H1483" i="1"/>
  <c r="G1483" i="1"/>
  <c r="I1483" i="1" s="1"/>
  <c r="K1483" i="1" s="1"/>
  <c r="F1483" i="1"/>
  <c r="C1483" i="1"/>
  <c r="E1483" i="1" s="1"/>
  <c r="B1483" i="1"/>
  <c r="A1483" i="1"/>
  <c r="M1482" i="1"/>
  <c r="L1482" i="1"/>
  <c r="J1482" i="1"/>
  <c r="H1482" i="1"/>
  <c r="G1482" i="1"/>
  <c r="I1482" i="1" s="1"/>
  <c r="K1482" i="1" s="1"/>
  <c r="C1482" i="1"/>
  <c r="B1482" i="1"/>
  <c r="A1482" i="1"/>
  <c r="L1481" i="1"/>
  <c r="M1481" i="1" s="1"/>
  <c r="J1481" i="1"/>
  <c r="I1481" i="1"/>
  <c r="K1481" i="1" s="1"/>
  <c r="H1481" i="1"/>
  <c r="G1481" i="1"/>
  <c r="C1481" i="1"/>
  <c r="B1481" i="1"/>
  <c r="A1481" i="1"/>
  <c r="L1480" i="1"/>
  <c r="M1480" i="1" s="1"/>
  <c r="J1480" i="1"/>
  <c r="I1480" i="1"/>
  <c r="H1480" i="1"/>
  <c r="G1480" i="1"/>
  <c r="C1480" i="1"/>
  <c r="F1480" i="1" s="1"/>
  <c r="B1480" i="1"/>
  <c r="A1480" i="1"/>
  <c r="M1479" i="1"/>
  <c r="L1479" i="1"/>
  <c r="J1479" i="1"/>
  <c r="H1479" i="1"/>
  <c r="G1479" i="1"/>
  <c r="I1479" i="1" s="1"/>
  <c r="K1479" i="1" s="1"/>
  <c r="F1479" i="1"/>
  <c r="E1479" i="1"/>
  <c r="D1479" i="1"/>
  <c r="C1479" i="1"/>
  <c r="B1479" i="1"/>
  <c r="A1479" i="1"/>
  <c r="L1478" i="1"/>
  <c r="M1478" i="1" s="1"/>
  <c r="K1478" i="1"/>
  <c r="J1478" i="1"/>
  <c r="H1478" i="1"/>
  <c r="G1478" i="1"/>
  <c r="I1478" i="1" s="1"/>
  <c r="F1478" i="1"/>
  <c r="E1478" i="1"/>
  <c r="C1478" i="1"/>
  <c r="D1478" i="1" s="1"/>
  <c r="B1478" i="1"/>
  <c r="A1478" i="1"/>
  <c r="L1477" i="1"/>
  <c r="M1477" i="1" s="1"/>
  <c r="J1477" i="1"/>
  <c r="H1477" i="1"/>
  <c r="G1477" i="1"/>
  <c r="I1477" i="1" s="1"/>
  <c r="K1477" i="1" s="1"/>
  <c r="F1477" i="1"/>
  <c r="C1477" i="1"/>
  <c r="B1477" i="1"/>
  <c r="A1477" i="1"/>
  <c r="M1476" i="1"/>
  <c r="L1476" i="1"/>
  <c r="J1476" i="1"/>
  <c r="H1476" i="1"/>
  <c r="G1476" i="1"/>
  <c r="I1476" i="1" s="1"/>
  <c r="K1476" i="1" s="1"/>
  <c r="E1476" i="1"/>
  <c r="D1476" i="1"/>
  <c r="C1476" i="1"/>
  <c r="F1476" i="1" s="1"/>
  <c r="B1476" i="1"/>
  <c r="A1476" i="1"/>
  <c r="L1475" i="1"/>
  <c r="M1475" i="1" s="1"/>
  <c r="J1475" i="1"/>
  <c r="I1475" i="1"/>
  <c r="H1475" i="1"/>
  <c r="G1475" i="1"/>
  <c r="E1475" i="1"/>
  <c r="C1475" i="1"/>
  <c r="B1475" i="1"/>
  <c r="A1475" i="1"/>
  <c r="L1474" i="1"/>
  <c r="M1474" i="1" s="1"/>
  <c r="J1474" i="1"/>
  <c r="I1474" i="1"/>
  <c r="K1474" i="1" s="1"/>
  <c r="H1474" i="1"/>
  <c r="G1474" i="1"/>
  <c r="F1474" i="1"/>
  <c r="C1474" i="1"/>
  <c r="E1474" i="1" s="1"/>
  <c r="B1474" i="1"/>
  <c r="A1474" i="1"/>
  <c r="L1473" i="1"/>
  <c r="M1473" i="1" s="1"/>
  <c r="K1473" i="1"/>
  <c r="J1473" i="1"/>
  <c r="H1473" i="1"/>
  <c r="G1473" i="1"/>
  <c r="I1473" i="1" s="1"/>
  <c r="F1473" i="1"/>
  <c r="E1473" i="1"/>
  <c r="D1473" i="1"/>
  <c r="C1473" i="1"/>
  <c r="B1473" i="1"/>
  <c r="A1473" i="1"/>
  <c r="M1472" i="1"/>
  <c r="L1472" i="1"/>
  <c r="K1472" i="1"/>
  <c r="J1472" i="1"/>
  <c r="I1472" i="1"/>
  <c r="H1472" i="1"/>
  <c r="G1472" i="1"/>
  <c r="F1472" i="1"/>
  <c r="E1472" i="1"/>
  <c r="C1472" i="1"/>
  <c r="D1472" i="1" s="1"/>
  <c r="B1472" i="1"/>
  <c r="A1472" i="1"/>
  <c r="M1471" i="1"/>
  <c r="L1471" i="1"/>
  <c r="J1471" i="1"/>
  <c r="H1471" i="1"/>
  <c r="G1471" i="1"/>
  <c r="I1471" i="1" s="1"/>
  <c r="K1471" i="1" s="1"/>
  <c r="F1471" i="1"/>
  <c r="C1471" i="1"/>
  <c r="B1471" i="1"/>
  <c r="A1471" i="1"/>
  <c r="M1470" i="1"/>
  <c r="L1470" i="1"/>
  <c r="J1470" i="1"/>
  <c r="H1470" i="1"/>
  <c r="G1470" i="1"/>
  <c r="I1470" i="1" s="1"/>
  <c r="K1470" i="1" s="1"/>
  <c r="C1470" i="1"/>
  <c r="D1470" i="1" s="1"/>
  <c r="B1470" i="1"/>
  <c r="A1470" i="1"/>
  <c r="L1469" i="1"/>
  <c r="M1469" i="1" s="1"/>
  <c r="K1469" i="1"/>
  <c r="J1469" i="1"/>
  <c r="I1469" i="1"/>
  <c r="H1469" i="1"/>
  <c r="G1469" i="1"/>
  <c r="D1469" i="1"/>
  <c r="C1469" i="1"/>
  <c r="F1469" i="1" s="1"/>
  <c r="B1469" i="1"/>
  <c r="A1469" i="1"/>
  <c r="L1468" i="1"/>
  <c r="M1468" i="1" s="1"/>
  <c r="J1468" i="1"/>
  <c r="I1468" i="1"/>
  <c r="K1468" i="1" s="1"/>
  <c r="H1468" i="1"/>
  <c r="G1468" i="1"/>
  <c r="C1468" i="1"/>
  <c r="F1468" i="1" s="1"/>
  <c r="B1468" i="1"/>
  <c r="A1468" i="1"/>
  <c r="M1467" i="1"/>
  <c r="L1467" i="1"/>
  <c r="J1467" i="1"/>
  <c r="H1467" i="1"/>
  <c r="G1467" i="1"/>
  <c r="I1467" i="1" s="1"/>
  <c r="K1467" i="1" s="1"/>
  <c r="F1467" i="1"/>
  <c r="E1467" i="1"/>
  <c r="D1467" i="1"/>
  <c r="C1467" i="1"/>
  <c r="B1467" i="1"/>
  <c r="A1467" i="1"/>
  <c r="L1466" i="1"/>
  <c r="M1466" i="1" s="1"/>
  <c r="K1466" i="1"/>
  <c r="J1466" i="1"/>
  <c r="H1466" i="1"/>
  <c r="G1466" i="1"/>
  <c r="I1466" i="1" s="1"/>
  <c r="F1466" i="1"/>
  <c r="E1466" i="1"/>
  <c r="C1466" i="1"/>
  <c r="D1466" i="1" s="1"/>
  <c r="B1466" i="1"/>
  <c r="A1466" i="1"/>
  <c r="L1465" i="1"/>
  <c r="M1465" i="1" s="1"/>
  <c r="J1465" i="1"/>
  <c r="H1465" i="1"/>
  <c r="G1465" i="1"/>
  <c r="I1465" i="1" s="1"/>
  <c r="K1465" i="1" s="1"/>
  <c r="C1465" i="1"/>
  <c r="B1465" i="1"/>
  <c r="A1465" i="1"/>
  <c r="M1464" i="1"/>
  <c r="L1464" i="1"/>
  <c r="J1464" i="1"/>
  <c r="H1464" i="1"/>
  <c r="G1464" i="1"/>
  <c r="I1464" i="1" s="1"/>
  <c r="K1464" i="1" s="1"/>
  <c r="E1464" i="1"/>
  <c r="D1464" i="1"/>
  <c r="C1464" i="1"/>
  <c r="F1464" i="1" s="1"/>
  <c r="B1464" i="1"/>
  <c r="A1464" i="1"/>
  <c r="L1463" i="1"/>
  <c r="M1463" i="1" s="1"/>
  <c r="J1463" i="1"/>
  <c r="I1463" i="1"/>
  <c r="K1463" i="1" s="1"/>
  <c r="H1463" i="1"/>
  <c r="G1463" i="1"/>
  <c r="E1463" i="1"/>
  <c r="C1463" i="1"/>
  <c r="B1463" i="1"/>
  <c r="A1463" i="1"/>
  <c r="L1462" i="1"/>
  <c r="M1462" i="1" s="1"/>
  <c r="J1462" i="1"/>
  <c r="K1462" i="1" s="1"/>
  <c r="I1462" i="1"/>
  <c r="H1462" i="1"/>
  <c r="G1462" i="1"/>
  <c r="C1462" i="1"/>
  <c r="E1462" i="1" s="1"/>
  <c r="B1462" i="1"/>
  <c r="A1462" i="1"/>
  <c r="L1461" i="1"/>
  <c r="M1461" i="1" s="1"/>
  <c r="J1461" i="1"/>
  <c r="H1461" i="1"/>
  <c r="G1461" i="1"/>
  <c r="I1461" i="1" s="1"/>
  <c r="K1461" i="1" s="1"/>
  <c r="F1461" i="1"/>
  <c r="E1461" i="1"/>
  <c r="D1461" i="1"/>
  <c r="C1461" i="1"/>
  <c r="B1461" i="1"/>
  <c r="A1461" i="1"/>
  <c r="L1460" i="1"/>
  <c r="M1460" i="1" s="1"/>
  <c r="K1460" i="1"/>
  <c r="J1460" i="1"/>
  <c r="I1460" i="1"/>
  <c r="H1460" i="1"/>
  <c r="G1460" i="1"/>
  <c r="F1460" i="1"/>
  <c r="E1460" i="1"/>
  <c r="C1460" i="1"/>
  <c r="D1460" i="1" s="1"/>
  <c r="B1460" i="1"/>
  <c r="A1460" i="1"/>
  <c r="L1459" i="1"/>
  <c r="M1459" i="1" s="1"/>
  <c r="J1459" i="1"/>
  <c r="H1459" i="1"/>
  <c r="G1459" i="1"/>
  <c r="I1459" i="1" s="1"/>
  <c r="K1459" i="1" s="1"/>
  <c r="C1459" i="1"/>
  <c r="F1459" i="1" s="1"/>
  <c r="B1459" i="1"/>
  <c r="A1459" i="1"/>
  <c r="M1458" i="1"/>
  <c r="L1458" i="1"/>
  <c r="J1458" i="1"/>
  <c r="H1458" i="1"/>
  <c r="G1458" i="1"/>
  <c r="I1458" i="1" s="1"/>
  <c r="K1458" i="1" s="1"/>
  <c r="D1458" i="1"/>
  <c r="C1458" i="1"/>
  <c r="B1458" i="1"/>
  <c r="A1458" i="1"/>
  <c r="L1457" i="1"/>
  <c r="M1457" i="1" s="1"/>
  <c r="K1457" i="1"/>
  <c r="J1457" i="1"/>
  <c r="I1457" i="1"/>
  <c r="H1457" i="1"/>
  <c r="G1457" i="1"/>
  <c r="C1457" i="1"/>
  <c r="F1457" i="1" s="1"/>
  <c r="B1457" i="1"/>
  <c r="A1457" i="1"/>
  <c r="L1456" i="1"/>
  <c r="M1456" i="1" s="1"/>
  <c r="J1456" i="1"/>
  <c r="I1456" i="1"/>
  <c r="K1456" i="1" s="1"/>
  <c r="H1456" i="1"/>
  <c r="G1456" i="1"/>
  <c r="F1456" i="1"/>
  <c r="D1456" i="1"/>
  <c r="C1456" i="1"/>
  <c r="E1456" i="1" s="1"/>
  <c r="B1456" i="1"/>
  <c r="A1456" i="1"/>
  <c r="M1455" i="1"/>
  <c r="L1455" i="1"/>
  <c r="J1455" i="1"/>
  <c r="K1455" i="1" s="1"/>
  <c r="H1455" i="1"/>
  <c r="G1455" i="1"/>
  <c r="I1455" i="1" s="1"/>
  <c r="F1455" i="1"/>
  <c r="E1455" i="1"/>
  <c r="D1455" i="1"/>
  <c r="C1455" i="1"/>
  <c r="B1455" i="1"/>
  <c r="A1455" i="1"/>
  <c r="L1454" i="1"/>
  <c r="M1454" i="1" s="1"/>
  <c r="J1454" i="1"/>
  <c r="H1454" i="1"/>
  <c r="G1454" i="1"/>
  <c r="I1454" i="1" s="1"/>
  <c r="K1454" i="1" s="1"/>
  <c r="F1454" i="1"/>
  <c r="E1454" i="1"/>
  <c r="C1454" i="1"/>
  <c r="D1454" i="1" s="1"/>
  <c r="B1454" i="1"/>
  <c r="A1454" i="1"/>
  <c r="M1453" i="1"/>
  <c r="L1453" i="1"/>
  <c r="J1453" i="1"/>
  <c r="H1453" i="1"/>
  <c r="G1453" i="1"/>
  <c r="I1453" i="1" s="1"/>
  <c r="K1453" i="1" s="1"/>
  <c r="F1453" i="1"/>
  <c r="C1453" i="1"/>
  <c r="B1453" i="1"/>
  <c r="A1453" i="1"/>
  <c r="M1452" i="1"/>
  <c r="L1452" i="1"/>
  <c r="J1452" i="1"/>
  <c r="H1452" i="1"/>
  <c r="G1452" i="1"/>
  <c r="I1452" i="1" s="1"/>
  <c r="K1452" i="1" s="1"/>
  <c r="E1452" i="1"/>
  <c r="D1452" i="1"/>
  <c r="C1452" i="1"/>
  <c r="F1452" i="1" s="1"/>
  <c r="B1452" i="1"/>
  <c r="A1452" i="1"/>
  <c r="L1451" i="1"/>
  <c r="M1451" i="1" s="1"/>
  <c r="J1451" i="1"/>
  <c r="I1451" i="1"/>
  <c r="K1451" i="1" s="1"/>
  <c r="H1451" i="1"/>
  <c r="G1451" i="1"/>
  <c r="C1451" i="1"/>
  <c r="E1451" i="1" s="1"/>
  <c r="B1451" i="1"/>
  <c r="A1451" i="1"/>
  <c r="L1450" i="1"/>
  <c r="M1450" i="1" s="1"/>
  <c r="K1450" i="1"/>
  <c r="J1450" i="1"/>
  <c r="I1450" i="1"/>
  <c r="H1450" i="1"/>
  <c r="G1450" i="1"/>
  <c r="D1450" i="1"/>
  <c r="C1450" i="1"/>
  <c r="E1450" i="1" s="1"/>
  <c r="B1450" i="1"/>
  <c r="A1450" i="1"/>
  <c r="M1449" i="1"/>
  <c r="L1449" i="1"/>
  <c r="K1449" i="1"/>
  <c r="J1449" i="1"/>
  <c r="H1449" i="1"/>
  <c r="G1449" i="1"/>
  <c r="I1449" i="1" s="1"/>
  <c r="F1449" i="1"/>
  <c r="E1449" i="1"/>
  <c r="D1449" i="1"/>
  <c r="C1449" i="1"/>
  <c r="B1449" i="1"/>
  <c r="A1449" i="1"/>
  <c r="M1448" i="1"/>
  <c r="L1448" i="1"/>
  <c r="K1448" i="1"/>
  <c r="J1448" i="1"/>
  <c r="I1448" i="1"/>
  <c r="H1448" i="1"/>
  <c r="G1448" i="1"/>
  <c r="F1448" i="1"/>
  <c r="E1448" i="1"/>
  <c r="C1448" i="1"/>
  <c r="D1448" i="1" s="1"/>
  <c r="B1448" i="1"/>
  <c r="A1448" i="1"/>
  <c r="M1447" i="1"/>
  <c r="L1447" i="1"/>
  <c r="J1447" i="1"/>
  <c r="H1447" i="1"/>
  <c r="G1447" i="1"/>
  <c r="I1447" i="1" s="1"/>
  <c r="K1447" i="1" s="1"/>
  <c r="F1447" i="1"/>
  <c r="C1447" i="1"/>
  <c r="B1447" i="1"/>
  <c r="A1447" i="1"/>
  <c r="M1446" i="1"/>
  <c r="L1446" i="1"/>
  <c r="J1446" i="1"/>
  <c r="H1446" i="1"/>
  <c r="G1446" i="1"/>
  <c r="I1446" i="1" s="1"/>
  <c r="K1446" i="1" s="1"/>
  <c r="C1446" i="1"/>
  <c r="B1446" i="1"/>
  <c r="A1446" i="1"/>
  <c r="L1445" i="1"/>
  <c r="M1445" i="1" s="1"/>
  <c r="K1445" i="1"/>
  <c r="J1445" i="1"/>
  <c r="I1445" i="1"/>
  <c r="H1445" i="1"/>
  <c r="G1445" i="1"/>
  <c r="E1445" i="1"/>
  <c r="D1445" i="1"/>
  <c r="C1445" i="1"/>
  <c r="F1445" i="1" s="1"/>
  <c r="B1445" i="1"/>
  <c r="A1445" i="1"/>
  <c r="L1444" i="1"/>
  <c r="M1444" i="1" s="1"/>
  <c r="J1444" i="1"/>
  <c r="I1444" i="1"/>
  <c r="K1444" i="1" s="1"/>
  <c r="H1444" i="1"/>
  <c r="G1444" i="1"/>
  <c r="C1444" i="1"/>
  <c r="F1444" i="1" s="1"/>
  <c r="B1444" i="1"/>
  <c r="A1444" i="1"/>
  <c r="M1443" i="1"/>
  <c r="L1443" i="1"/>
  <c r="J1443" i="1"/>
  <c r="H1443" i="1"/>
  <c r="G1443" i="1"/>
  <c r="I1443" i="1" s="1"/>
  <c r="K1443" i="1" s="1"/>
  <c r="F1443" i="1"/>
  <c r="E1443" i="1"/>
  <c r="D1443" i="1"/>
  <c r="C1443" i="1"/>
  <c r="B1443" i="1"/>
  <c r="A1443" i="1"/>
  <c r="L1442" i="1"/>
  <c r="M1442" i="1" s="1"/>
  <c r="K1442" i="1"/>
  <c r="J1442" i="1"/>
  <c r="H1442" i="1"/>
  <c r="G1442" i="1"/>
  <c r="I1442" i="1" s="1"/>
  <c r="F1442" i="1"/>
  <c r="E1442" i="1"/>
  <c r="C1442" i="1"/>
  <c r="D1442" i="1" s="1"/>
  <c r="B1442" i="1"/>
  <c r="A1442" i="1"/>
  <c r="L1441" i="1"/>
  <c r="M1441" i="1" s="1"/>
  <c r="J1441" i="1"/>
  <c r="H1441" i="1"/>
  <c r="G1441" i="1"/>
  <c r="I1441" i="1" s="1"/>
  <c r="K1441" i="1" s="1"/>
  <c r="C1441" i="1"/>
  <c r="F1441" i="1" s="1"/>
  <c r="B1441" i="1"/>
  <c r="A1441" i="1"/>
  <c r="M1440" i="1"/>
  <c r="L1440" i="1"/>
  <c r="J1440" i="1"/>
  <c r="H1440" i="1"/>
  <c r="G1440" i="1"/>
  <c r="I1440" i="1" s="1"/>
  <c r="K1440" i="1" s="1"/>
  <c r="E1440" i="1"/>
  <c r="D1440" i="1"/>
  <c r="C1440" i="1"/>
  <c r="F1440" i="1" s="1"/>
  <c r="B1440" i="1"/>
  <c r="A1440" i="1"/>
  <c r="L1439" i="1"/>
  <c r="M1439" i="1" s="1"/>
  <c r="J1439" i="1"/>
  <c r="K1439" i="1" s="1"/>
  <c r="I1439" i="1"/>
  <c r="H1439" i="1"/>
  <c r="G1439" i="1"/>
  <c r="E1439" i="1"/>
  <c r="C1439" i="1"/>
  <c r="B1439" i="1"/>
  <c r="A1439" i="1"/>
  <c r="L1438" i="1"/>
  <c r="M1438" i="1" s="1"/>
  <c r="J1438" i="1"/>
  <c r="K1438" i="1" s="1"/>
  <c r="I1438" i="1"/>
  <c r="H1438" i="1"/>
  <c r="G1438" i="1"/>
  <c r="C1438" i="1"/>
  <c r="E1438" i="1" s="1"/>
  <c r="B1438" i="1"/>
  <c r="A1438" i="1"/>
  <c r="L1437" i="1"/>
  <c r="M1437" i="1" s="1"/>
  <c r="J1437" i="1"/>
  <c r="H1437" i="1"/>
  <c r="G1437" i="1"/>
  <c r="I1437" i="1" s="1"/>
  <c r="K1437" i="1" s="1"/>
  <c r="F1437" i="1"/>
  <c r="E1437" i="1"/>
  <c r="D1437" i="1"/>
  <c r="C1437" i="1"/>
  <c r="B1437" i="1"/>
  <c r="A1437" i="1"/>
  <c r="L1436" i="1"/>
  <c r="M1436" i="1" s="1"/>
  <c r="K1436" i="1"/>
  <c r="J1436" i="1"/>
  <c r="I1436" i="1"/>
  <c r="H1436" i="1"/>
  <c r="G1436" i="1"/>
  <c r="F1436" i="1"/>
  <c r="E1436" i="1"/>
  <c r="C1436" i="1"/>
  <c r="D1436" i="1" s="1"/>
  <c r="B1436" i="1"/>
  <c r="A1436" i="1"/>
  <c r="L1435" i="1"/>
  <c r="M1435" i="1" s="1"/>
  <c r="J1435" i="1"/>
  <c r="H1435" i="1"/>
  <c r="G1435" i="1"/>
  <c r="I1435" i="1" s="1"/>
  <c r="K1435" i="1" s="1"/>
  <c r="C1435" i="1"/>
  <c r="B1435" i="1"/>
  <c r="A1435" i="1"/>
  <c r="M1434" i="1"/>
  <c r="L1434" i="1"/>
  <c r="J1434" i="1"/>
  <c r="H1434" i="1"/>
  <c r="G1434" i="1"/>
  <c r="I1434" i="1" s="1"/>
  <c r="K1434" i="1" s="1"/>
  <c r="D1434" i="1"/>
  <c r="C1434" i="1"/>
  <c r="B1434" i="1"/>
  <c r="A1434" i="1"/>
  <c r="L1433" i="1"/>
  <c r="M1433" i="1" s="1"/>
  <c r="K1433" i="1"/>
  <c r="J1433" i="1"/>
  <c r="I1433" i="1"/>
  <c r="H1433" i="1"/>
  <c r="G1433" i="1"/>
  <c r="C1433" i="1"/>
  <c r="F1433" i="1" s="1"/>
  <c r="B1433" i="1"/>
  <c r="A1433" i="1"/>
  <c r="L1432" i="1"/>
  <c r="M1432" i="1" s="1"/>
  <c r="J1432" i="1"/>
  <c r="I1432" i="1"/>
  <c r="H1432" i="1"/>
  <c r="G1432" i="1"/>
  <c r="F1432" i="1"/>
  <c r="C1432" i="1"/>
  <c r="D1432" i="1" s="1"/>
  <c r="B1432" i="1"/>
  <c r="A1432" i="1"/>
  <c r="M1431" i="1"/>
  <c r="L1431" i="1"/>
  <c r="K1431" i="1"/>
  <c r="J1431" i="1"/>
  <c r="H1431" i="1"/>
  <c r="G1431" i="1"/>
  <c r="I1431" i="1" s="1"/>
  <c r="F1431" i="1"/>
  <c r="E1431" i="1"/>
  <c r="D1431" i="1"/>
  <c r="C1431" i="1"/>
  <c r="B1431" i="1"/>
  <c r="A1431" i="1"/>
  <c r="L1430" i="1"/>
  <c r="M1430" i="1" s="1"/>
  <c r="J1430" i="1"/>
  <c r="H1430" i="1"/>
  <c r="G1430" i="1"/>
  <c r="I1430" i="1" s="1"/>
  <c r="K1430" i="1" s="1"/>
  <c r="F1430" i="1"/>
  <c r="E1430" i="1"/>
  <c r="C1430" i="1"/>
  <c r="D1430" i="1" s="1"/>
  <c r="B1430" i="1"/>
  <c r="A1430" i="1"/>
  <c r="M1429" i="1"/>
  <c r="L1429" i="1"/>
  <c r="J1429" i="1"/>
  <c r="H1429" i="1"/>
  <c r="G1429" i="1"/>
  <c r="I1429" i="1" s="1"/>
  <c r="K1429" i="1" s="1"/>
  <c r="F1429" i="1"/>
  <c r="C1429" i="1"/>
  <c r="B1429" i="1"/>
  <c r="A1429" i="1"/>
  <c r="M1428" i="1"/>
  <c r="L1428" i="1"/>
  <c r="J1428" i="1"/>
  <c r="I1428" i="1"/>
  <c r="H1428" i="1"/>
  <c r="G1428" i="1"/>
  <c r="E1428" i="1"/>
  <c r="D1428" i="1"/>
  <c r="C1428" i="1"/>
  <c r="F1428" i="1" s="1"/>
  <c r="B1428" i="1"/>
  <c r="A1428" i="1"/>
  <c r="L1427" i="1"/>
  <c r="M1427" i="1" s="1"/>
  <c r="J1427" i="1"/>
  <c r="I1427" i="1"/>
  <c r="K1427" i="1" s="1"/>
  <c r="H1427" i="1"/>
  <c r="G1427" i="1"/>
  <c r="C1427" i="1"/>
  <c r="B1427" i="1"/>
  <c r="A1427" i="1"/>
  <c r="L1426" i="1"/>
  <c r="M1426" i="1" s="1"/>
  <c r="K1426" i="1"/>
  <c r="J1426" i="1"/>
  <c r="I1426" i="1"/>
  <c r="H1426" i="1"/>
  <c r="G1426" i="1"/>
  <c r="F1426" i="1"/>
  <c r="D1426" i="1"/>
  <c r="C1426" i="1"/>
  <c r="E1426" i="1" s="1"/>
  <c r="B1426" i="1"/>
  <c r="A1426" i="1"/>
  <c r="M1425" i="1"/>
  <c r="L1425" i="1"/>
  <c r="K1425" i="1"/>
  <c r="J1425" i="1"/>
  <c r="H1425" i="1"/>
  <c r="G1425" i="1"/>
  <c r="I1425" i="1" s="1"/>
  <c r="F1425" i="1"/>
  <c r="E1425" i="1"/>
  <c r="D1425" i="1"/>
  <c r="C1425" i="1"/>
  <c r="B1425" i="1"/>
  <c r="A1425" i="1"/>
  <c r="M1424" i="1"/>
  <c r="L1424" i="1"/>
  <c r="K1424" i="1"/>
  <c r="J1424" i="1"/>
  <c r="I1424" i="1"/>
  <c r="H1424" i="1"/>
  <c r="G1424" i="1"/>
  <c r="F1424" i="1"/>
  <c r="E1424" i="1"/>
  <c r="C1424" i="1"/>
  <c r="D1424" i="1" s="1"/>
  <c r="B1424" i="1"/>
  <c r="A1424" i="1"/>
  <c r="M1423" i="1"/>
  <c r="L1423" i="1"/>
  <c r="J1423" i="1"/>
  <c r="H1423" i="1"/>
  <c r="G1423" i="1"/>
  <c r="I1423" i="1" s="1"/>
  <c r="K1423" i="1" s="1"/>
  <c r="F1423" i="1"/>
  <c r="C1423" i="1"/>
  <c r="B1423" i="1"/>
  <c r="A1423" i="1"/>
  <c r="M1422" i="1"/>
  <c r="L1422" i="1"/>
  <c r="J1422" i="1"/>
  <c r="H1422" i="1"/>
  <c r="G1422" i="1"/>
  <c r="I1422" i="1" s="1"/>
  <c r="K1422" i="1" s="1"/>
  <c r="C1422" i="1"/>
  <c r="D1422" i="1" s="1"/>
  <c r="B1422" i="1"/>
  <c r="A1422" i="1"/>
  <c r="L1421" i="1"/>
  <c r="M1421" i="1" s="1"/>
  <c r="K1421" i="1"/>
  <c r="J1421" i="1"/>
  <c r="I1421" i="1"/>
  <c r="H1421" i="1"/>
  <c r="G1421" i="1"/>
  <c r="D1421" i="1"/>
  <c r="C1421" i="1"/>
  <c r="F1421" i="1" s="1"/>
  <c r="B1421" i="1"/>
  <c r="A1421" i="1"/>
  <c r="L1420" i="1"/>
  <c r="M1420" i="1" s="1"/>
  <c r="J1420" i="1"/>
  <c r="I1420" i="1"/>
  <c r="K1420" i="1" s="1"/>
  <c r="H1420" i="1"/>
  <c r="G1420" i="1"/>
  <c r="C1420" i="1"/>
  <c r="F1420" i="1" s="1"/>
  <c r="B1420" i="1"/>
  <c r="A1420" i="1"/>
  <c r="M1419" i="1"/>
  <c r="L1419" i="1"/>
  <c r="J1419" i="1"/>
  <c r="H1419" i="1"/>
  <c r="G1419" i="1"/>
  <c r="I1419" i="1" s="1"/>
  <c r="K1419" i="1" s="1"/>
  <c r="F1419" i="1"/>
  <c r="E1419" i="1"/>
  <c r="D1419" i="1"/>
  <c r="C1419" i="1"/>
  <c r="B1419" i="1"/>
  <c r="A1419" i="1"/>
  <c r="L1418" i="1"/>
  <c r="M1418" i="1" s="1"/>
  <c r="K1418" i="1"/>
  <c r="J1418" i="1"/>
  <c r="H1418" i="1"/>
  <c r="G1418" i="1"/>
  <c r="I1418" i="1" s="1"/>
  <c r="C1418" i="1"/>
  <c r="D1418" i="1" s="1"/>
  <c r="B1418" i="1"/>
  <c r="A1418" i="1"/>
  <c r="L1417" i="1"/>
  <c r="M1417" i="1" s="1"/>
  <c r="J1417" i="1"/>
  <c r="H1417" i="1"/>
  <c r="G1417" i="1"/>
  <c r="I1417" i="1" s="1"/>
  <c r="K1417" i="1" s="1"/>
  <c r="D1417" i="1"/>
  <c r="C1417" i="1"/>
  <c r="E1417" i="1" s="1"/>
  <c r="B1417" i="1"/>
  <c r="A1417" i="1"/>
  <c r="M1416" i="1"/>
  <c r="L1416" i="1"/>
  <c r="J1416" i="1"/>
  <c r="I1416" i="1"/>
  <c r="K1416" i="1" s="1"/>
  <c r="H1416" i="1"/>
  <c r="G1416" i="1"/>
  <c r="E1416" i="1"/>
  <c r="D1416" i="1"/>
  <c r="C1416" i="1"/>
  <c r="F1416" i="1" s="1"/>
  <c r="B1416" i="1"/>
  <c r="A1416" i="1"/>
  <c r="L1415" i="1"/>
  <c r="M1415" i="1" s="1"/>
  <c r="K1415" i="1"/>
  <c r="J1415" i="1"/>
  <c r="I1415" i="1"/>
  <c r="H1415" i="1"/>
  <c r="G1415" i="1"/>
  <c r="F1415" i="1"/>
  <c r="E1415" i="1"/>
  <c r="C1415" i="1"/>
  <c r="D1415" i="1" s="1"/>
  <c r="B1415" i="1"/>
  <c r="A1415" i="1"/>
  <c r="L1414" i="1"/>
  <c r="M1414" i="1" s="1"/>
  <c r="J1414" i="1"/>
  <c r="H1414" i="1"/>
  <c r="G1414" i="1"/>
  <c r="I1414" i="1" s="1"/>
  <c r="K1414" i="1" s="1"/>
  <c r="F1414" i="1"/>
  <c r="E1414" i="1"/>
  <c r="D1414" i="1"/>
  <c r="C1414" i="1"/>
  <c r="B1414" i="1"/>
  <c r="A1414" i="1"/>
  <c r="M1413" i="1"/>
  <c r="L1413" i="1"/>
  <c r="K1413" i="1"/>
  <c r="J1413" i="1"/>
  <c r="H1413" i="1"/>
  <c r="G1413" i="1"/>
  <c r="I1413" i="1" s="1"/>
  <c r="F1413" i="1"/>
  <c r="E1413" i="1"/>
  <c r="D1413" i="1"/>
  <c r="C1413" i="1"/>
  <c r="B1413" i="1"/>
  <c r="A1413" i="1"/>
  <c r="M1412" i="1"/>
  <c r="L1412" i="1"/>
  <c r="J1412" i="1"/>
  <c r="H1412" i="1"/>
  <c r="G1412" i="1"/>
  <c r="I1412" i="1" s="1"/>
  <c r="K1412" i="1" s="1"/>
  <c r="F1412" i="1"/>
  <c r="E1412" i="1"/>
  <c r="C1412" i="1"/>
  <c r="D1412" i="1" s="1"/>
  <c r="B1412" i="1"/>
  <c r="A1412" i="1"/>
  <c r="M1411" i="1"/>
  <c r="L1411" i="1"/>
  <c r="J1411" i="1"/>
  <c r="H1411" i="1"/>
  <c r="G1411" i="1"/>
  <c r="I1411" i="1" s="1"/>
  <c r="K1411" i="1" s="1"/>
  <c r="F1411" i="1"/>
  <c r="C1411" i="1"/>
  <c r="B1411" i="1"/>
  <c r="A1411" i="1"/>
  <c r="M1410" i="1"/>
  <c r="L1410" i="1"/>
  <c r="J1410" i="1"/>
  <c r="I1410" i="1"/>
  <c r="K1410" i="1" s="1"/>
  <c r="H1410" i="1"/>
  <c r="G1410" i="1"/>
  <c r="C1410" i="1"/>
  <c r="B1410" i="1"/>
  <c r="A1410" i="1"/>
  <c r="L1409" i="1"/>
  <c r="M1409" i="1" s="1"/>
  <c r="J1409" i="1"/>
  <c r="I1409" i="1"/>
  <c r="K1409" i="1" s="1"/>
  <c r="H1409" i="1"/>
  <c r="G1409" i="1"/>
  <c r="C1409" i="1"/>
  <c r="F1409" i="1" s="1"/>
  <c r="B1409" i="1"/>
  <c r="A1409" i="1"/>
  <c r="M1408" i="1"/>
  <c r="L1408" i="1"/>
  <c r="J1408" i="1"/>
  <c r="I1408" i="1"/>
  <c r="K1408" i="1" s="1"/>
  <c r="H1408" i="1"/>
  <c r="G1408" i="1"/>
  <c r="C1408" i="1"/>
  <c r="E1408" i="1" s="1"/>
  <c r="B1408" i="1"/>
  <c r="A1408" i="1"/>
  <c r="L1407" i="1"/>
  <c r="M1407" i="1" s="1"/>
  <c r="J1407" i="1"/>
  <c r="H1407" i="1"/>
  <c r="G1407" i="1"/>
  <c r="I1407" i="1" s="1"/>
  <c r="K1407" i="1" s="1"/>
  <c r="F1407" i="1"/>
  <c r="E1407" i="1"/>
  <c r="D1407" i="1"/>
  <c r="C1407" i="1"/>
  <c r="B1407" i="1"/>
  <c r="A1407" i="1"/>
  <c r="L1406" i="1"/>
  <c r="M1406" i="1" s="1"/>
  <c r="J1406" i="1"/>
  <c r="H1406" i="1"/>
  <c r="G1406" i="1"/>
  <c r="I1406" i="1" s="1"/>
  <c r="K1406" i="1" s="1"/>
  <c r="C1406" i="1"/>
  <c r="D1406" i="1" s="1"/>
  <c r="B1406" i="1"/>
  <c r="A1406" i="1"/>
  <c r="M1405" i="1"/>
  <c r="L1405" i="1"/>
  <c r="J1405" i="1"/>
  <c r="I1405" i="1"/>
  <c r="K1405" i="1" s="1"/>
  <c r="H1405" i="1"/>
  <c r="G1405" i="1"/>
  <c r="F1405" i="1"/>
  <c r="C1405" i="1"/>
  <c r="E1405" i="1" s="1"/>
  <c r="B1405" i="1"/>
  <c r="A1405" i="1"/>
  <c r="M1404" i="1"/>
  <c r="L1404" i="1"/>
  <c r="J1404" i="1"/>
  <c r="H1404" i="1"/>
  <c r="G1404" i="1"/>
  <c r="I1404" i="1" s="1"/>
  <c r="K1404" i="1" s="1"/>
  <c r="D1404" i="1"/>
  <c r="C1404" i="1"/>
  <c r="F1404" i="1" s="1"/>
  <c r="B1404" i="1"/>
  <c r="A1404" i="1"/>
  <c r="L1403" i="1"/>
  <c r="M1403" i="1" s="1"/>
  <c r="J1403" i="1"/>
  <c r="K1403" i="1" s="1"/>
  <c r="I1403" i="1"/>
  <c r="H1403" i="1"/>
  <c r="G1403" i="1"/>
  <c r="F1403" i="1"/>
  <c r="D1403" i="1"/>
  <c r="C1403" i="1"/>
  <c r="E1403" i="1" s="1"/>
  <c r="B1403" i="1"/>
  <c r="A1403" i="1"/>
  <c r="L1402" i="1"/>
  <c r="M1402" i="1" s="1"/>
  <c r="J1402" i="1"/>
  <c r="H1402" i="1"/>
  <c r="G1402" i="1"/>
  <c r="I1402" i="1" s="1"/>
  <c r="K1402" i="1" s="1"/>
  <c r="F1402" i="1"/>
  <c r="D1402" i="1"/>
  <c r="C1402" i="1"/>
  <c r="E1402" i="1" s="1"/>
  <c r="B1402" i="1"/>
  <c r="A1402" i="1"/>
  <c r="M1401" i="1"/>
  <c r="L1401" i="1"/>
  <c r="K1401" i="1"/>
  <c r="J1401" i="1"/>
  <c r="H1401" i="1"/>
  <c r="G1401" i="1"/>
  <c r="I1401" i="1" s="1"/>
  <c r="F1401" i="1"/>
  <c r="E1401" i="1"/>
  <c r="D1401" i="1"/>
  <c r="C1401" i="1"/>
  <c r="B1401" i="1"/>
  <c r="A1401" i="1"/>
  <c r="M1400" i="1"/>
  <c r="L1400" i="1"/>
  <c r="J1400" i="1"/>
  <c r="H1400" i="1"/>
  <c r="G1400" i="1"/>
  <c r="I1400" i="1" s="1"/>
  <c r="K1400" i="1" s="1"/>
  <c r="F1400" i="1"/>
  <c r="E1400" i="1"/>
  <c r="C1400" i="1"/>
  <c r="D1400" i="1" s="1"/>
  <c r="B1400" i="1"/>
  <c r="A1400" i="1"/>
  <c r="M1399" i="1"/>
  <c r="L1399" i="1"/>
  <c r="J1399" i="1"/>
  <c r="H1399" i="1"/>
  <c r="G1399" i="1"/>
  <c r="I1399" i="1" s="1"/>
  <c r="K1399" i="1" s="1"/>
  <c r="F1399" i="1"/>
  <c r="C1399" i="1"/>
  <c r="B1399" i="1"/>
  <c r="A1399" i="1"/>
  <c r="M1398" i="1"/>
  <c r="L1398" i="1"/>
  <c r="J1398" i="1"/>
  <c r="I1398" i="1"/>
  <c r="K1398" i="1" s="1"/>
  <c r="H1398" i="1"/>
  <c r="G1398" i="1"/>
  <c r="C1398" i="1"/>
  <c r="B1398" i="1"/>
  <c r="A1398" i="1"/>
  <c r="L1397" i="1"/>
  <c r="M1397" i="1" s="1"/>
  <c r="J1397" i="1"/>
  <c r="I1397" i="1"/>
  <c r="K1397" i="1" s="1"/>
  <c r="H1397" i="1"/>
  <c r="G1397" i="1"/>
  <c r="D1397" i="1"/>
  <c r="C1397" i="1"/>
  <c r="F1397" i="1" s="1"/>
  <c r="B1397" i="1"/>
  <c r="A1397" i="1"/>
  <c r="M1396" i="1"/>
  <c r="L1396" i="1"/>
  <c r="J1396" i="1"/>
  <c r="I1396" i="1"/>
  <c r="K1396" i="1" s="1"/>
  <c r="H1396" i="1"/>
  <c r="G1396" i="1"/>
  <c r="C1396" i="1"/>
  <c r="F1396" i="1" s="1"/>
  <c r="B1396" i="1"/>
  <c r="A1396" i="1"/>
  <c r="L1395" i="1"/>
  <c r="M1395" i="1" s="1"/>
  <c r="J1395" i="1"/>
  <c r="H1395" i="1"/>
  <c r="G1395" i="1"/>
  <c r="I1395" i="1" s="1"/>
  <c r="K1395" i="1" s="1"/>
  <c r="F1395" i="1"/>
  <c r="E1395" i="1"/>
  <c r="D1395" i="1"/>
  <c r="C1395" i="1"/>
  <c r="B1395" i="1"/>
  <c r="A1395" i="1"/>
  <c r="L1394" i="1"/>
  <c r="M1394" i="1" s="1"/>
  <c r="J1394" i="1"/>
  <c r="H1394" i="1"/>
  <c r="G1394" i="1"/>
  <c r="I1394" i="1" s="1"/>
  <c r="K1394" i="1" s="1"/>
  <c r="E1394" i="1"/>
  <c r="C1394" i="1"/>
  <c r="D1394" i="1" s="1"/>
  <c r="B1394" i="1"/>
  <c r="A1394" i="1"/>
  <c r="M1393" i="1"/>
  <c r="L1393" i="1"/>
  <c r="J1393" i="1"/>
  <c r="I1393" i="1"/>
  <c r="K1393" i="1" s="1"/>
  <c r="H1393" i="1"/>
  <c r="G1393" i="1"/>
  <c r="F1393" i="1"/>
  <c r="C1393" i="1"/>
  <c r="E1393" i="1" s="1"/>
  <c r="B1393" i="1"/>
  <c r="A1393" i="1"/>
  <c r="M1392" i="1"/>
  <c r="L1392" i="1"/>
  <c r="J1392" i="1"/>
  <c r="I1392" i="1"/>
  <c r="K1392" i="1" s="1"/>
  <c r="H1392" i="1"/>
  <c r="G1392" i="1"/>
  <c r="E1392" i="1"/>
  <c r="C1392" i="1"/>
  <c r="F1392" i="1" s="1"/>
  <c r="B1392" i="1"/>
  <c r="A1392" i="1"/>
  <c r="L1391" i="1"/>
  <c r="M1391" i="1" s="1"/>
  <c r="K1391" i="1"/>
  <c r="J1391" i="1"/>
  <c r="I1391" i="1"/>
  <c r="H1391" i="1"/>
  <c r="G1391" i="1"/>
  <c r="E1391" i="1"/>
  <c r="C1391" i="1"/>
  <c r="F1391" i="1" s="1"/>
  <c r="B1391" i="1"/>
  <c r="A1391" i="1"/>
  <c r="L1390" i="1"/>
  <c r="M1390" i="1" s="1"/>
  <c r="J1390" i="1"/>
  <c r="I1390" i="1"/>
  <c r="K1390" i="1" s="1"/>
  <c r="H1390" i="1"/>
  <c r="G1390" i="1"/>
  <c r="F1390" i="1"/>
  <c r="D1390" i="1"/>
  <c r="C1390" i="1"/>
  <c r="E1390" i="1" s="1"/>
  <c r="B1390" i="1"/>
  <c r="A1390" i="1"/>
  <c r="M1389" i="1"/>
  <c r="L1389" i="1"/>
  <c r="J1389" i="1"/>
  <c r="K1389" i="1" s="1"/>
  <c r="H1389" i="1"/>
  <c r="G1389" i="1"/>
  <c r="I1389" i="1" s="1"/>
  <c r="F1389" i="1"/>
  <c r="E1389" i="1"/>
  <c r="D1389" i="1"/>
  <c r="C1389" i="1"/>
  <c r="B1389" i="1"/>
  <c r="A1389" i="1"/>
  <c r="M1388" i="1"/>
  <c r="L1388" i="1"/>
  <c r="J1388" i="1"/>
  <c r="H1388" i="1"/>
  <c r="G1388" i="1"/>
  <c r="I1388" i="1" s="1"/>
  <c r="K1388" i="1" s="1"/>
  <c r="E1388" i="1"/>
  <c r="C1388" i="1"/>
  <c r="D1388" i="1" s="1"/>
  <c r="B1388" i="1"/>
  <c r="A1388" i="1"/>
  <c r="M1387" i="1"/>
  <c r="L1387" i="1"/>
  <c r="J1387" i="1"/>
  <c r="I1387" i="1"/>
  <c r="K1387" i="1" s="1"/>
  <c r="H1387" i="1"/>
  <c r="G1387" i="1"/>
  <c r="F1387" i="1"/>
  <c r="C1387" i="1"/>
  <c r="E1387" i="1" s="1"/>
  <c r="B1387" i="1"/>
  <c r="A1387" i="1"/>
  <c r="M1386" i="1"/>
  <c r="L1386" i="1"/>
  <c r="J1386" i="1"/>
  <c r="I1386" i="1"/>
  <c r="K1386" i="1" s="1"/>
  <c r="H1386" i="1"/>
  <c r="G1386" i="1"/>
  <c r="E1386" i="1"/>
  <c r="C1386" i="1"/>
  <c r="F1386" i="1" s="1"/>
  <c r="B1386" i="1"/>
  <c r="A1386" i="1"/>
  <c r="L1385" i="1"/>
  <c r="M1385" i="1" s="1"/>
  <c r="K1385" i="1"/>
  <c r="J1385" i="1"/>
  <c r="I1385" i="1"/>
  <c r="H1385" i="1"/>
  <c r="G1385" i="1"/>
  <c r="E1385" i="1"/>
  <c r="C1385" i="1"/>
  <c r="F1385" i="1" s="1"/>
  <c r="B1385" i="1"/>
  <c r="A1385" i="1"/>
  <c r="L1384" i="1"/>
  <c r="M1384" i="1" s="1"/>
  <c r="J1384" i="1"/>
  <c r="I1384" i="1"/>
  <c r="K1384" i="1" s="1"/>
  <c r="H1384" i="1"/>
  <c r="G1384" i="1"/>
  <c r="F1384" i="1"/>
  <c r="D1384" i="1"/>
  <c r="C1384" i="1"/>
  <c r="E1384" i="1" s="1"/>
  <c r="B1384" i="1"/>
  <c r="A1384" i="1"/>
  <c r="M1383" i="1"/>
  <c r="L1383" i="1"/>
  <c r="J1383" i="1"/>
  <c r="K1383" i="1" s="1"/>
  <c r="H1383" i="1"/>
  <c r="G1383" i="1"/>
  <c r="I1383" i="1" s="1"/>
  <c r="F1383" i="1"/>
  <c r="E1383" i="1"/>
  <c r="D1383" i="1"/>
  <c r="C1383" i="1"/>
  <c r="B1383" i="1"/>
  <c r="A1383" i="1"/>
  <c r="M1382" i="1"/>
  <c r="L1382" i="1"/>
  <c r="J1382" i="1"/>
  <c r="H1382" i="1"/>
  <c r="G1382" i="1"/>
  <c r="I1382" i="1" s="1"/>
  <c r="K1382" i="1" s="1"/>
  <c r="E1382" i="1"/>
  <c r="C1382" i="1"/>
  <c r="D1382" i="1" s="1"/>
  <c r="B1382" i="1"/>
  <c r="A1382" i="1"/>
  <c r="M1381" i="1"/>
  <c r="L1381" i="1"/>
  <c r="J1381" i="1"/>
  <c r="I1381" i="1"/>
  <c r="K1381" i="1" s="1"/>
  <c r="H1381" i="1"/>
  <c r="G1381" i="1"/>
  <c r="F1381" i="1"/>
  <c r="C1381" i="1"/>
  <c r="E1381" i="1" s="1"/>
  <c r="B1381" i="1"/>
  <c r="A1381" i="1"/>
  <c r="M1380" i="1"/>
  <c r="L1380" i="1"/>
  <c r="J1380" i="1"/>
  <c r="I1380" i="1"/>
  <c r="K1380" i="1" s="1"/>
  <c r="H1380" i="1"/>
  <c r="G1380" i="1"/>
  <c r="E1380" i="1"/>
  <c r="C1380" i="1"/>
  <c r="F1380" i="1" s="1"/>
  <c r="B1380" i="1"/>
  <c r="A1380" i="1"/>
  <c r="L1379" i="1"/>
  <c r="M1379" i="1" s="1"/>
  <c r="K1379" i="1"/>
  <c r="J1379" i="1"/>
  <c r="I1379" i="1"/>
  <c r="H1379" i="1"/>
  <c r="G1379" i="1"/>
  <c r="E1379" i="1"/>
  <c r="C1379" i="1"/>
  <c r="F1379" i="1" s="1"/>
  <c r="B1379" i="1"/>
  <c r="A1379" i="1"/>
  <c r="L1378" i="1"/>
  <c r="M1378" i="1" s="1"/>
  <c r="J1378" i="1"/>
  <c r="I1378" i="1"/>
  <c r="K1378" i="1" s="1"/>
  <c r="H1378" i="1"/>
  <c r="G1378" i="1"/>
  <c r="F1378" i="1"/>
  <c r="D1378" i="1"/>
  <c r="C1378" i="1"/>
  <c r="E1378" i="1" s="1"/>
  <c r="B1378" i="1"/>
  <c r="A1378" i="1"/>
  <c r="M1377" i="1"/>
  <c r="L1377" i="1"/>
  <c r="J1377" i="1"/>
  <c r="K1377" i="1" s="1"/>
  <c r="H1377" i="1"/>
  <c r="G1377" i="1"/>
  <c r="I1377" i="1" s="1"/>
  <c r="F1377" i="1"/>
  <c r="E1377" i="1"/>
  <c r="D1377" i="1"/>
  <c r="C1377" i="1"/>
  <c r="B1377" i="1"/>
  <c r="A1377" i="1"/>
  <c r="M1376" i="1"/>
  <c r="L1376" i="1"/>
  <c r="J1376" i="1"/>
  <c r="H1376" i="1"/>
  <c r="G1376" i="1"/>
  <c r="I1376" i="1" s="1"/>
  <c r="K1376" i="1" s="1"/>
  <c r="E1376" i="1"/>
  <c r="C1376" i="1"/>
  <c r="D1376" i="1" s="1"/>
  <c r="B1376" i="1"/>
  <c r="A1376" i="1"/>
  <c r="M1375" i="1"/>
  <c r="L1375" i="1"/>
  <c r="J1375" i="1"/>
  <c r="I1375" i="1"/>
  <c r="K1375" i="1" s="1"/>
  <c r="H1375" i="1"/>
  <c r="G1375" i="1"/>
  <c r="F1375" i="1"/>
  <c r="C1375" i="1"/>
  <c r="E1375" i="1" s="1"/>
  <c r="B1375" i="1"/>
  <c r="A1375" i="1"/>
  <c r="M1374" i="1"/>
  <c r="L1374" i="1"/>
  <c r="J1374" i="1"/>
  <c r="I1374" i="1"/>
  <c r="K1374" i="1" s="1"/>
  <c r="H1374" i="1"/>
  <c r="G1374" i="1"/>
  <c r="E1374" i="1"/>
  <c r="C1374" i="1"/>
  <c r="F1374" i="1" s="1"/>
  <c r="B1374" i="1"/>
  <c r="A1374" i="1"/>
  <c r="L1373" i="1"/>
  <c r="M1373" i="1" s="1"/>
  <c r="K1373" i="1"/>
  <c r="J1373" i="1"/>
  <c r="I1373" i="1"/>
  <c r="H1373" i="1"/>
  <c r="G1373" i="1"/>
  <c r="E1373" i="1"/>
  <c r="C1373" i="1"/>
  <c r="F1373" i="1" s="1"/>
  <c r="B1373" i="1"/>
  <c r="A1373" i="1"/>
  <c r="L1372" i="1"/>
  <c r="M1372" i="1" s="1"/>
  <c r="J1372" i="1"/>
  <c r="I1372" i="1"/>
  <c r="K1372" i="1" s="1"/>
  <c r="H1372" i="1"/>
  <c r="G1372" i="1"/>
  <c r="F1372" i="1"/>
  <c r="D1372" i="1"/>
  <c r="C1372" i="1"/>
  <c r="E1372" i="1" s="1"/>
  <c r="B1372" i="1"/>
  <c r="A1372" i="1"/>
  <c r="M1371" i="1"/>
  <c r="L1371" i="1"/>
  <c r="J1371" i="1"/>
  <c r="K1371" i="1" s="1"/>
  <c r="H1371" i="1"/>
  <c r="G1371" i="1"/>
  <c r="I1371" i="1" s="1"/>
  <c r="F1371" i="1"/>
  <c r="E1371" i="1"/>
  <c r="D1371" i="1"/>
  <c r="C1371" i="1"/>
  <c r="B1371" i="1"/>
  <c r="A1371" i="1"/>
  <c r="M1370" i="1"/>
  <c r="L1370" i="1"/>
  <c r="J1370" i="1"/>
  <c r="H1370" i="1"/>
  <c r="G1370" i="1"/>
  <c r="I1370" i="1" s="1"/>
  <c r="K1370" i="1" s="1"/>
  <c r="E1370" i="1"/>
  <c r="C1370" i="1"/>
  <c r="D1370" i="1" s="1"/>
  <c r="B1370" i="1"/>
  <c r="A1370" i="1"/>
  <c r="M1369" i="1"/>
  <c r="L1369" i="1"/>
  <c r="J1369" i="1"/>
  <c r="I1369" i="1"/>
  <c r="K1369" i="1" s="1"/>
  <c r="H1369" i="1"/>
  <c r="G1369" i="1"/>
  <c r="F1369" i="1"/>
  <c r="C1369" i="1"/>
  <c r="E1369" i="1" s="1"/>
  <c r="B1369" i="1"/>
  <c r="A1369" i="1"/>
  <c r="M1368" i="1"/>
  <c r="L1368" i="1"/>
  <c r="J1368" i="1"/>
  <c r="I1368" i="1"/>
  <c r="K1368" i="1" s="1"/>
  <c r="H1368" i="1"/>
  <c r="G1368" i="1"/>
  <c r="E1368" i="1"/>
  <c r="C1368" i="1"/>
  <c r="F1368" i="1" s="1"/>
  <c r="B1368" i="1"/>
  <c r="A1368" i="1"/>
  <c r="L1367" i="1"/>
  <c r="M1367" i="1" s="1"/>
  <c r="K1367" i="1"/>
  <c r="J1367" i="1"/>
  <c r="I1367" i="1"/>
  <c r="H1367" i="1"/>
  <c r="G1367" i="1"/>
  <c r="E1367" i="1"/>
  <c r="C1367" i="1"/>
  <c r="F1367" i="1" s="1"/>
  <c r="B1367" i="1"/>
  <c r="A1367" i="1"/>
  <c r="L1366" i="1"/>
  <c r="M1366" i="1" s="1"/>
  <c r="J1366" i="1"/>
  <c r="I1366" i="1"/>
  <c r="K1366" i="1" s="1"/>
  <c r="H1366" i="1"/>
  <c r="G1366" i="1"/>
  <c r="F1366" i="1"/>
  <c r="D1366" i="1"/>
  <c r="C1366" i="1"/>
  <c r="E1366" i="1" s="1"/>
  <c r="B1366" i="1"/>
  <c r="A1366" i="1"/>
  <c r="M1365" i="1"/>
  <c r="L1365" i="1"/>
  <c r="J1365" i="1"/>
  <c r="K1365" i="1" s="1"/>
  <c r="H1365" i="1"/>
  <c r="G1365" i="1"/>
  <c r="I1365" i="1" s="1"/>
  <c r="F1365" i="1"/>
  <c r="E1365" i="1"/>
  <c r="D1365" i="1"/>
  <c r="C1365" i="1"/>
  <c r="B1365" i="1"/>
  <c r="A1365" i="1"/>
  <c r="M1364" i="1"/>
  <c r="L1364" i="1"/>
  <c r="J1364" i="1"/>
  <c r="H1364" i="1"/>
  <c r="G1364" i="1"/>
  <c r="I1364" i="1" s="1"/>
  <c r="K1364" i="1" s="1"/>
  <c r="E1364" i="1"/>
  <c r="C1364" i="1"/>
  <c r="D1364" i="1" s="1"/>
  <c r="B1364" i="1"/>
  <c r="A1364" i="1"/>
  <c r="M1363" i="1"/>
  <c r="L1363" i="1"/>
  <c r="J1363" i="1"/>
  <c r="I1363" i="1"/>
  <c r="K1363" i="1" s="1"/>
  <c r="H1363" i="1"/>
  <c r="G1363" i="1"/>
  <c r="F1363" i="1"/>
  <c r="C1363" i="1"/>
  <c r="E1363" i="1" s="1"/>
  <c r="B1363" i="1"/>
  <c r="A1363" i="1"/>
  <c r="M1362" i="1"/>
  <c r="L1362" i="1"/>
  <c r="J1362" i="1"/>
  <c r="I1362" i="1"/>
  <c r="K1362" i="1" s="1"/>
  <c r="H1362" i="1"/>
  <c r="G1362" i="1"/>
  <c r="E1362" i="1"/>
  <c r="C1362" i="1"/>
  <c r="F1362" i="1" s="1"/>
  <c r="B1362" i="1"/>
  <c r="A1362" i="1"/>
  <c r="L1361" i="1"/>
  <c r="M1361" i="1" s="1"/>
  <c r="K1361" i="1"/>
  <c r="J1361" i="1"/>
  <c r="I1361" i="1"/>
  <c r="H1361" i="1"/>
  <c r="G1361" i="1"/>
  <c r="E1361" i="1"/>
  <c r="C1361" i="1"/>
  <c r="F1361" i="1" s="1"/>
  <c r="B1361" i="1"/>
  <c r="A1361" i="1"/>
  <c r="L1360" i="1"/>
  <c r="M1360" i="1" s="1"/>
  <c r="J1360" i="1"/>
  <c r="I1360" i="1"/>
  <c r="K1360" i="1" s="1"/>
  <c r="H1360" i="1"/>
  <c r="G1360" i="1"/>
  <c r="F1360" i="1"/>
  <c r="D1360" i="1"/>
  <c r="C1360" i="1"/>
  <c r="E1360" i="1" s="1"/>
  <c r="B1360" i="1"/>
  <c r="A1360" i="1"/>
  <c r="M1359" i="1"/>
  <c r="L1359" i="1"/>
  <c r="J1359" i="1"/>
  <c r="K1359" i="1" s="1"/>
  <c r="H1359" i="1"/>
  <c r="G1359" i="1"/>
  <c r="I1359" i="1" s="1"/>
  <c r="F1359" i="1"/>
  <c r="E1359" i="1"/>
  <c r="D1359" i="1"/>
  <c r="C1359" i="1"/>
  <c r="B1359" i="1"/>
  <c r="A1359" i="1"/>
  <c r="M1358" i="1"/>
  <c r="L1358" i="1"/>
  <c r="J1358" i="1"/>
  <c r="H1358" i="1"/>
  <c r="G1358" i="1"/>
  <c r="I1358" i="1" s="1"/>
  <c r="K1358" i="1" s="1"/>
  <c r="E1358" i="1"/>
  <c r="C1358" i="1"/>
  <c r="D1358" i="1" s="1"/>
  <c r="B1358" i="1"/>
  <c r="A1358" i="1"/>
  <c r="M1357" i="1"/>
  <c r="L1357" i="1"/>
  <c r="J1357" i="1"/>
  <c r="I1357" i="1"/>
  <c r="K1357" i="1" s="1"/>
  <c r="H1357" i="1"/>
  <c r="G1357" i="1"/>
  <c r="F1357" i="1"/>
  <c r="C1357" i="1"/>
  <c r="E1357" i="1" s="1"/>
  <c r="B1357" i="1"/>
  <c r="A1357" i="1"/>
  <c r="M1356" i="1"/>
  <c r="L1356" i="1"/>
  <c r="J1356" i="1"/>
  <c r="I1356" i="1"/>
  <c r="K1356" i="1" s="1"/>
  <c r="H1356" i="1"/>
  <c r="G1356" i="1"/>
  <c r="E1356" i="1"/>
  <c r="C1356" i="1"/>
  <c r="F1356" i="1" s="1"/>
  <c r="B1356" i="1"/>
  <c r="A1356" i="1"/>
  <c r="L1355" i="1"/>
  <c r="M1355" i="1" s="1"/>
  <c r="K1355" i="1"/>
  <c r="J1355" i="1"/>
  <c r="I1355" i="1"/>
  <c r="H1355" i="1"/>
  <c r="G1355" i="1"/>
  <c r="E1355" i="1"/>
  <c r="C1355" i="1"/>
  <c r="F1355" i="1" s="1"/>
  <c r="B1355" i="1"/>
  <c r="A1355" i="1"/>
  <c r="L1354" i="1"/>
  <c r="M1354" i="1" s="1"/>
  <c r="J1354" i="1"/>
  <c r="I1354" i="1"/>
  <c r="K1354" i="1" s="1"/>
  <c r="H1354" i="1"/>
  <c r="G1354" i="1"/>
  <c r="F1354" i="1"/>
  <c r="D1354" i="1"/>
  <c r="C1354" i="1"/>
  <c r="E1354" i="1" s="1"/>
  <c r="B1354" i="1"/>
  <c r="A1354" i="1"/>
  <c r="M1353" i="1"/>
  <c r="L1353" i="1"/>
  <c r="J1353" i="1"/>
  <c r="K1353" i="1" s="1"/>
  <c r="H1353" i="1"/>
  <c r="G1353" i="1"/>
  <c r="I1353" i="1" s="1"/>
  <c r="F1353" i="1"/>
  <c r="E1353" i="1"/>
  <c r="D1353" i="1"/>
  <c r="C1353" i="1"/>
  <c r="B1353" i="1"/>
  <c r="A1353" i="1"/>
  <c r="M1352" i="1"/>
  <c r="L1352" i="1"/>
  <c r="J1352" i="1"/>
  <c r="H1352" i="1"/>
  <c r="G1352" i="1"/>
  <c r="I1352" i="1" s="1"/>
  <c r="K1352" i="1" s="1"/>
  <c r="E1352" i="1"/>
  <c r="C1352" i="1"/>
  <c r="D1352" i="1" s="1"/>
  <c r="B1352" i="1"/>
  <c r="A1352" i="1"/>
  <c r="M1351" i="1"/>
  <c r="L1351" i="1"/>
  <c r="J1351" i="1"/>
  <c r="I1351" i="1"/>
  <c r="K1351" i="1" s="1"/>
  <c r="H1351" i="1"/>
  <c r="G1351" i="1"/>
  <c r="C1351" i="1"/>
  <c r="B1351" i="1"/>
  <c r="A1351" i="1"/>
  <c r="M1350" i="1"/>
  <c r="L1350" i="1"/>
  <c r="J1350" i="1"/>
  <c r="I1350" i="1"/>
  <c r="K1350" i="1" s="1"/>
  <c r="H1350" i="1"/>
  <c r="G1350" i="1"/>
  <c r="E1350" i="1"/>
  <c r="C1350" i="1"/>
  <c r="B1350" i="1"/>
  <c r="A1350" i="1"/>
  <c r="L1349" i="1"/>
  <c r="M1349" i="1" s="1"/>
  <c r="K1349" i="1"/>
  <c r="J1349" i="1"/>
  <c r="I1349" i="1"/>
  <c r="H1349" i="1"/>
  <c r="G1349" i="1"/>
  <c r="E1349" i="1"/>
  <c r="C1349" i="1"/>
  <c r="B1349" i="1"/>
  <c r="A1349" i="1"/>
  <c r="L1348" i="1"/>
  <c r="M1348" i="1" s="1"/>
  <c r="J1348" i="1"/>
  <c r="I1348" i="1"/>
  <c r="K1348" i="1" s="1"/>
  <c r="H1348" i="1"/>
  <c r="G1348" i="1"/>
  <c r="F1348" i="1"/>
  <c r="D1348" i="1"/>
  <c r="C1348" i="1"/>
  <c r="E1348" i="1" s="1"/>
  <c r="B1348" i="1"/>
  <c r="A1348" i="1"/>
  <c r="M1347" i="1"/>
  <c r="L1347" i="1"/>
  <c r="J1347" i="1"/>
  <c r="K1347" i="1" s="1"/>
  <c r="H1347" i="1"/>
  <c r="G1347" i="1"/>
  <c r="I1347" i="1" s="1"/>
  <c r="F1347" i="1"/>
  <c r="E1347" i="1"/>
  <c r="D1347" i="1"/>
  <c r="C1347" i="1"/>
  <c r="B1347" i="1"/>
  <c r="A1347" i="1"/>
  <c r="M1346" i="1"/>
  <c r="L1346" i="1"/>
  <c r="J1346" i="1"/>
  <c r="H1346" i="1"/>
  <c r="G1346" i="1"/>
  <c r="I1346" i="1" s="1"/>
  <c r="K1346" i="1" s="1"/>
  <c r="E1346" i="1"/>
  <c r="C1346" i="1"/>
  <c r="D1346" i="1" s="1"/>
  <c r="B1346" i="1"/>
  <c r="A1346" i="1"/>
  <c r="M1345" i="1"/>
  <c r="L1345" i="1"/>
  <c r="J1345" i="1"/>
  <c r="I1345" i="1"/>
  <c r="K1345" i="1" s="1"/>
  <c r="H1345" i="1"/>
  <c r="G1345" i="1"/>
  <c r="C1345" i="1"/>
  <c r="B1345" i="1"/>
  <c r="A1345" i="1"/>
  <c r="M1344" i="1"/>
  <c r="L1344" i="1"/>
  <c r="J1344" i="1"/>
  <c r="I1344" i="1"/>
  <c r="K1344" i="1" s="1"/>
  <c r="H1344" i="1"/>
  <c r="G1344" i="1"/>
  <c r="E1344" i="1"/>
  <c r="C1344" i="1"/>
  <c r="B1344" i="1"/>
  <c r="A1344" i="1"/>
  <c r="L1343" i="1"/>
  <c r="M1343" i="1" s="1"/>
  <c r="K1343" i="1"/>
  <c r="J1343" i="1"/>
  <c r="I1343" i="1"/>
  <c r="H1343" i="1"/>
  <c r="G1343" i="1"/>
  <c r="E1343" i="1"/>
  <c r="C1343" i="1"/>
  <c r="B1343" i="1"/>
  <c r="A1343" i="1"/>
  <c r="L1342" i="1"/>
  <c r="M1342" i="1" s="1"/>
  <c r="J1342" i="1"/>
  <c r="I1342" i="1"/>
  <c r="K1342" i="1" s="1"/>
  <c r="H1342" i="1"/>
  <c r="G1342" i="1"/>
  <c r="F1342" i="1"/>
  <c r="D1342" i="1"/>
  <c r="C1342" i="1"/>
  <c r="E1342" i="1" s="1"/>
  <c r="B1342" i="1"/>
  <c r="A1342" i="1"/>
  <c r="M1341" i="1"/>
  <c r="L1341" i="1"/>
  <c r="J1341" i="1"/>
  <c r="K1341" i="1" s="1"/>
  <c r="H1341" i="1"/>
  <c r="G1341" i="1"/>
  <c r="I1341" i="1" s="1"/>
  <c r="F1341" i="1"/>
  <c r="E1341" i="1"/>
  <c r="D1341" i="1"/>
  <c r="C1341" i="1"/>
  <c r="B1341" i="1"/>
  <c r="A1341" i="1"/>
  <c r="M1340" i="1"/>
  <c r="L1340" i="1"/>
  <c r="J1340" i="1"/>
  <c r="H1340" i="1"/>
  <c r="G1340" i="1"/>
  <c r="I1340" i="1" s="1"/>
  <c r="K1340" i="1" s="1"/>
  <c r="E1340" i="1"/>
  <c r="C1340" i="1"/>
  <c r="D1340" i="1" s="1"/>
  <c r="B1340" i="1"/>
  <c r="A1340" i="1"/>
  <c r="M1339" i="1"/>
  <c r="L1339" i="1"/>
  <c r="J1339" i="1"/>
  <c r="I1339" i="1"/>
  <c r="K1339" i="1" s="1"/>
  <c r="H1339" i="1"/>
  <c r="G1339" i="1"/>
  <c r="C1339" i="1"/>
  <c r="B1339" i="1"/>
  <c r="A1339" i="1"/>
  <c r="M1338" i="1"/>
  <c r="L1338" i="1"/>
  <c r="J1338" i="1"/>
  <c r="I1338" i="1"/>
  <c r="K1338" i="1" s="1"/>
  <c r="H1338" i="1"/>
  <c r="G1338" i="1"/>
  <c r="E1338" i="1"/>
  <c r="C1338" i="1"/>
  <c r="B1338" i="1"/>
  <c r="A1338" i="1"/>
  <c r="L1337" i="1"/>
  <c r="M1337" i="1" s="1"/>
  <c r="K1337" i="1"/>
  <c r="J1337" i="1"/>
  <c r="I1337" i="1"/>
  <c r="H1337" i="1"/>
  <c r="G1337" i="1"/>
  <c r="E1337" i="1"/>
  <c r="C1337" i="1"/>
  <c r="B1337" i="1"/>
  <c r="A1337" i="1"/>
  <c r="L1336" i="1"/>
  <c r="M1336" i="1" s="1"/>
  <c r="J1336" i="1"/>
  <c r="I1336" i="1"/>
  <c r="K1336" i="1" s="1"/>
  <c r="H1336" i="1"/>
  <c r="G1336" i="1"/>
  <c r="F1336" i="1"/>
  <c r="D1336" i="1"/>
  <c r="C1336" i="1"/>
  <c r="E1336" i="1" s="1"/>
  <c r="B1336" i="1"/>
  <c r="A1336" i="1"/>
  <c r="M1335" i="1"/>
  <c r="L1335" i="1"/>
  <c r="J1335" i="1"/>
  <c r="K1335" i="1" s="1"/>
  <c r="H1335" i="1"/>
  <c r="G1335" i="1"/>
  <c r="I1335" i="1" s="1"/>
  <c r="F1335" i="1"/>
  <c r="E1335" i="1"/>
  <c r="D1335" i="1"/>
  <c r="C1335" i="1"/>
  <c r="B1335" i="1"/>
  <c r="A1335" i="1"/>
  <c r="M1334" i="1"/>
  <c r="L1334" i="1"/>
  <c r="J1334" i="1"/>
  <c r="H1334" i="1"/>
  <c r="G1334" i="1"/>
  <c r="I1334" i="1" s="1"/>
  <c r="K1334" i="1" s="1"/>
  <c r="E1334" i="1"/>
  <c r="C1334" i="1"/>
  <c r="D1334" i="1" s="1"/>
  <c r="B1334" i="1"/>
  <c r="A1334" i="1"/>
  <c r="M1333" i="1"/>
  <c r="L1333" i="1"/>
  <c r="J1333" i="1"/>
  <c r="I1333" i="1"/>
  <c r="K1333" i="1" s="1"/>
  <c r="H1333" i="1"/>
  <c r="G1333" i="1"/>
  <c r="C1333" i="1"/>
  <c r="B1333" i="1"/>
  <c r="A1333" i="1"/>
  <c r="M1332" i="1"/>
  <c r="L1332" i="1"/>
  <c r="J1332" i="1"/>
  <c r="I1332" i="1"/>
  <c r="K1332" i="1" s="1"/>
  <c r="H1332" i="1"/>
  <c r="G1332" i="1"/>
  <c r="E1332" i="1"/>
  <c r="C1332" i="1"/>
  <c r="B1332" i="1"/>
  <c r="A1332" i="1"/>
  <c r="L1331" i="1"/>
  <c r="M1331" i="1" s="1"/>
  <c r="K1331" i="1"/>
  <c r="J1331" i="1"/>
  <c r="I1331" i="1"/>
  <c r="H1331" i="1"/>
  <c r="G1331" i="1"/>
  <c r="E1331" i="1"/>
  <c r="C1331" i="1"/>
  <c r="B1331" i="1"/>
  <c r="A1331" i="1"/>
  <c r="L1330" i="1"/>
  <c r="M1330" i="1" s="1"/>
  <c r="J1330" i="1"/>
  <c r="I1330" i="1"/>
  <c r="K1330" i="1" s="1"/>
  <c r="H1330" i="1"/>
  <c r="G1330" i="1"/>
  <c r="F1330" i="1"/>
  <c r="D1330" i="1"/>
  <c r="C1330" i="1"/>
  <c r="E1330" i="1" s="1"/>
  <c r="B1330" i="1"/>
  <c r="A1330" i="1"/>
  <c r="M1329" i="1"/>
  <c r="L1329" i="1"/>
  <c r="J1329" i="1"/>
  <c r="H1329" i="1"/>
  <c r="G1329" i="1"/>
  <c r="I1329" i="1" s="1"/>
  <c r="K1329" i="1" s="1"/>
  <c r="E1329" i="1"/>
  <c r="C1329" i="1"/>
  <c r="F1329" i="1" s="1"/>
  <c r="B1329" i="1"/>
  <c r="A1329" i="1"/>
  <c r="L1328" i="1"/>
  <c r="M1328" i="1" s="1"/>
  <c r="J1328" i="1"/>
  <c r="K1328" i="1" s="1"/>
  <c r="I1328" i="1"/>
  <c r="H1328" i="1"/>
  <c r="G1328" i="1"/>
  <c r="F1328" i="1"/>
  <c r="E1328" i="1"/>
  <c r="D1328" i="1"/>
  <c r="C1328" i="1"/>
  <c r="B1328" i="1"/>
  <c r="A1328" i="1"/>
  <c r="L1327" i="1"/>
  <c r="M1327" i="1" s="1"/>
  <c r="J1327" i="1"/>
  <c r="I1327" i="1"/>
  <c r="K1327" i="1" s="1"/>
  <c r="H1327" i="1"/>
  <c r="G1327" i="1"/>
  <c r="C1327" i="1"/>
  <c r="F1327" i="1" s="1"/>
  <c r="B1327" i="1"/>
  <c r="A1327" i="1"/>
  <c r="L1326" i="1"/>
  <c r="M1326" i="1" s="1"/>
  <c r="J1326" i="1"/>
  <c r="H1326" i="1"/>
  <c r="G1326" i="1"/>
  <c r="I1326" i="1" s="1"/>
  <c r="F1326" i="1"/>
  <c r="D1326" i="1"/>
  <c r="C1326" i="1"/>
  <c r="E1326" i="1" s="1"/>
  <c r="B1326" i="1"/>
  <c r="A1326" i="1"/>
  <c r="M1325" i="1"/>
  <c r="L1325" i="1"/>
  <c r="K1325" i="1"/>
  <c r="J1325" i="1"/>
  <c r="I1325" i="1"/>
  <c r="H1325" i="1"/>
  <c r="G1325" i="1"/>
  <c r="E1325" i="1"/>
  <c r="C1325" i="1"/>
  <c r="F1325" i="1" s="1"/>
  <c r="B1325" i="1"/>
  <c r="A1325" i="1"/>
  <c r="L1324" i="1"/>
  <c r="M1324" i="1" s="1"/>
  <c r="J1324" i="1"/>
  <c r="I1324" i="1"/>
  <c r="K1324" i="1" s="1"/>
  <c r="H1324" i="1"/>
  <c r="G1324" i="1"/>
  <c r="F1324" i="1"/>
  <c r="C1324" i="1"/>
  <c r="D1324" i="1" s="1"/>
  <c r="B1324" i="1"/>
  <c r="A1324" i="1"/>
  <c r="M1323" i="1"/>
  <c r="L1323" i="1"/>
  <c r="K1323" i="1"/>
  <c r="J1323" i="1"/>
  <c r="H1323" i="1"/>
  <c r="G1323" i="1"/>
  <c r="I1323" i="1" s="1"/>
  <c r="C1323" i="1"/>
  <c r="E1323" i="1" s="1"/>
  <c r="B1323" i="1"/>
  <c r="A1323" i="1"/>
  <c r="L1322" i="1"/>
  <c r="M1322" i="1" s="1"/>
  <c r="J1322" i="1"/>
  <c r="H1322" i="1"/>
  <c r="G1322" i="1"/>
  <c r="I1322" i="1" s="1"/>
  <c r="K1322" i="1" s="1"/>
  <c r="F1322" i="1"/>
  <c r="E1322" i="1"/>
  <c r="D1322" i="1"/>
  <c r="C1322" i="1"/>
  <c r="B1322" i="1"/>
  <c r="A1322" i="1"/>
  <c r="M1321" i="1"/>
  <c r="L1321" i="1"/>
  <c r="J1321" i="1"/>
  <c r="I1321" i="1"/>
  <c r="K1321" i="1" s="1"/>
  <c r="H1321" i="1"/>
  <c r="G1321" i="1"/>
  <c r="C1321" i="1"/>
  <c r="B1321" i="1"/>
  <c r="A1321" i="1"/>
  <c r="L1320" i="1"/>
  <c r="M1320" i="1" s="1"/>
  <c r="J1320" i="1"/>
  <c r="H1320" i="1"/>
  <c r="G1320" i="1"/>
  <c r="I1320" i="1" s="1"/>
  <c r="K1320" i="1" s="1"/>
  <c r="F1320" i="1"/>
  <c r="E1320" i="1"/>
  <c r="D1320" i="1"/>
  <c r="C1320" i="1"/>
  <c r="B1320" i="1"/>
  <c r="A1320" i="1"/>
  <c r="M1319" i="1"/>
  <c r="L1319" i="1"/>
  <c r="J1319" i="1"/>
  <c r="H1319" i="1"/>
  <c r="G1319" i="1"/>
  <c r="I1319" i="1" s="1"/>
  <c r="K1319" i="1" s="1"/>
  <c r="E1319" i="1"/>
  <c r="C1319" i="1"/>
  <c r="B1319" i="1"/>
  <c r="A1319" i="1"/>
  <c r="L1318" i="1"/>
  <c r="M1318" i="1" s="1"/>
  <c r="J1318" i="1"/>
  <c r="I1318" i="1"/>
  <c r="K1318" i="1" s="1"/>
  <c r="H1318" i="1"/>
  <c r="G1318" i="1"/>
  <c r="F1318" i="1"/>
  <c r="D1318" i="1"/>
  <c r="C1318" i="1"/>
  <c r="E1318" i="1" s="1"/>
  <c r="B1318" i="1"/>
  <c r="A1318" i="1"/>
  <c r="M1317" i="1"/>
  <c r="L1317" i="1"/>
  <c r="J1317" i="1"/>
  <c r="H1317" i="1"/>
  <c r="G1317" i="1"/>
  <c r="I1317" i="1" s="1"/>
  <c r="K1317" i="1" s="1"/>
  <c r="E1317" i="1"/>
  <c r="C1317" i="1"/>
  <c r="F1317" i="1" s="1"/>
  <c r="B1317" i="1"/>
  <c r="A1317" i="1"/>
  <c r="L1316" i="1"/>
  <c r="M1316" i="1" s="1"/>
  <c r="J1316" i="1"/>
  <c r="K1316" i="1" s="1"/>
  <c r="I1316" i="1"/>
  <c r="H1316" i="1"/>
  <c r="G1316" i="1"/>
  <c r="F1316" i="1"/>
  <c r="E1316" i="1"/>
  <c r="D1316" i="1"/>
  <c r="C1316" i="1"/>
  <c r="B1316" i="1"/>
  <c r="A1316" i="1"/>
  <c r="L1315" i="1"/>
  <c r="M1315" i="1" s="1"/>
  <c r="J1315" i="1"/>
  <c r="I1315" i="1"/>
  <c r="K1315" i="1" s="1"/>
  <c r="H1315" i="1"/>
  <c r="G1315" i="1"/>
  <c r="C1315" i="1"/>
  <c r="B1315" i="1"/>
  <c r="A1315" i="1"/>
  <c r="L1314" i="1"/>
  <c r="M1314" i="1" s="1"/>
  <c r="J1314" i="1"/>
  <c r="H1314" i="1"/>
  <c r="G1314" i="1"/>
  <c r="I1314" i="1" s="1"/>
  <c r="F1314" i="1"/>
  <c r="D1314" i="1"/>
  <c r="C1314" i="1"/>
  <c r="E1314" i="1" s="1"/>
  <c r="B1314" i="1"/>
  <c r="A1314" i="1"/>
  <c r="M1313" i="1"/>
  <c r="L1313" i="1"/>
  <c r="K1313" i="1"/>
  <c r="J1313" i="1"/>
  <c r="I1313" i="1"/>
  <c r="H1313" i="1"/>
  <c r="G1313" i="1"/>
  <c r="E1313" i="1"/>
  <c r="C1313" i="1"/>
  <c r="F1313" i="1" s="1"/>
  <c r="B1313" i="1"/>
  <c r="A1313" i="1"/>
  <c r="L1312" i="1"/>
  <c r="M1312" i="1" s="1"/>
  <c r="J1312" i="1"/>
  <c r="I1312" i="1"/>
  <c r="K1312" i="1" s="1"/>
  <c r="H1312" i="1"/>
  <c r="G1312" i="1"/>
  <c r="F1312" i="1"/>
  <c r="C1312" i="1"/>
  <c r="D1312" i="1" s="1"/>
  <c r="B1312" i="1"/>
  <c r="A1312" i="1"/>
  <c r="M1311" i="1"/>
  <c r="L1311" i="1"/>
  <c r="K1311" i="1"/>
  <c r="J1311" i="1"/>
  <c r="H1311" i="1"/>
  <c r="G1311" i="1"/>
  <c r="I1311" i="1" s="1"/>
  <c r="C1311" i="1"/>
  <c r="E1311" i="1" s="1"/>
  <c r="B1311" i="1"/>
  <c r="A1311" i="1"/>
  <c r="L1310" i="1"/>
  <c r="M1310" i="1" s="1"/>
  <c r="J1310" i="1"/>
  <c r="H1310" i="1"/>
  <c r="G1310" i="1"/>
  <c r="I1310" i="1" s="1"/>
  <c r="K1310" i="1" s="1"/>
  <c r="F1310" i="1"/>
  <c r="E1310" i="1"/>
  <c r="D1310" i="1"/>
  <c r="C1310" i="1"/>
  <c r="B1310" i="1"/>
  <c r="A1310" i="1"/>
  <c r="M1309" i="1"/>
  <c r="L1309" i="1"/>
  <c r="J1309" i="1"/>
  <c r="I1309" i="1"/>
  <c r="K1309" i="1" s="1"/>
  <c r="H1309" i="1"/>
  <c r="G1309" i="1"/>
  <c r="C1309" i="1"/>
  <c r="B1309" i="1"/>
  <c r="A1309" i="1"/>
  <c r="L1308" i="1"/>
  <c r="M1308" i="1" s="1"/>
  <c r="J1308" i="1"/>
  <c r="H1308" i="1"/>
  <c r="G1308" i="1"/>
  <c r="I1308" i="1" s="1"/>
  <c r="K1308" i="1" s="1"/>
  <c r="F1308" i="1"/>
  <c r="E1308" i="1"/>
  <c r="D1308" i="1"/>
  <c r="C1308" i="1"/>
  <c r="B1308" i="1"/>
  <c r="A1308" i="1"/>
  <c r="M1307" i="1"/>
  <c r="L1307" i="1"/>
  <c r="J1307" i="1"/>
  <c r="H1307" i="1"/>
  <c r="G1307" i="1"/>
  <c r="I1307" i="1" s="1"/>
  <c r="K1307" i="1" s="1"/>
  <c r="C1307" i="1"/>
  <c r="B1307" i="1"/>
  <c r="A1307" i="1"/>
  <c r="L1306" i="1"/>
  <c r="M1306" i="1" s="1"/>
  <c r="J1306" i="1"/>
  <c r="I1306" i="1"/>
  <c r="K1306" i="1" s="1"/>
  <c r="H1306" i="1"/>
  <c r="G1306" i="1"/>
  <c r="F1306" i="1"/>
  <c r="D1306" i="1"/>
  <c r="C1306" i="1"/>
  <c r="E1306" i="1" s="1"/>
  <c r="B1306" i="1"/>
  <c r="A1306" i="1"/>
  <c r="M1305" i="1"/>
  <c r="L1305" i="1"/>
  <c r="J1305" i="1"/>
  <c r="H1305" i="1"/>
  <c r="G1305" i="1"/>
  <c r="I1305" i="1" s="1"/>
  <c r="K1305" i="1" s="1"/>
  <c r="E1305" i="1"/>
  <c r="C1305" i="1"/>
  <c r="F1305" i="1" s="1"/>
  <c r="B1305" i="1"/>
  <c r="A1305" i="1"/>
  <c r="L1304" i="1"/>
  <c r="M1304" i="1" s="1"/>
  <c r="J1304" i="1"/>
  <c r="K1304" i="1" s="1"/>
  <c r="I1304" i="1"/>
  <c r="H1304" i="1"/>
  <c r="G1304" i="1"/>
  <c r="F1304" i="1"/>
  <c r="E1304" i="1"/>
  <c r="D1304" i="1"/>
  <c r="C1304" i="1"/>
  <c r="B1304" i="1"/>
  <c r="A1304" i="1"/>
  <c r="L1303" i="1"/>
  <c r="M1303" i="1" s="1"/>
  <c r="J1303" i="1"/>
  <c r="I1303" i="1"/>
  <c r="K1303" i="1" s="1"/>
  <c r="H1303" i="1"/>
  <c r="G1303" i="1"/>
  <c r="C1303" i="1"/>
  <c r="B1303" i="1"/>
  <c r="A1303" i="1"/>
  <c r="L1302" i="1"/>
  <c r="M1302" i="1" s="1"/>
  <c r="J1302" i="1"/>
  <c r="H1302" i="1"/>
  <c r="G1302" i="1"/>
  <c r="I1302" i="1" s="1"/>
  <c r="F1302" i="1"/>
  <c r="D1302" i="1"/>
  <c r="C1302" i="1"/>
  <c r="E1302" i="1" s="1"/>
  <c r="B1302" i="1"/>
  <c r="A1302" i="1"/>
  <c r="M1301" i="1"/>
  <c r="L1301" i="1"/>
  <c r="K1301" i="1"/>
  <c r="J1301" i="1"/>
  <c r="I1301" i="1"/>
  <c r="H1301" i="1"/>
  <c r="G1301" i="1"/>
  <c r="E1301" i="1"/>
  <c r="C1301" i="1"/>
  <c r="F1301" i="1" s="1"/>
  <c r="B1301" i="1"/>
  <c r="A1301" i="1"/>
  <c r="L1300" i="1"/>
  <c r="M1300" i="1" s="1"/>
  <c r="J1300" i="1"/>
  <c r="I1300" i="1"/>
  <c r="K1300" i="1" s="1"/>
  <c r="H1300" i="1"/>
  <c r="G1300" i="1"/>
  <c r="F1300" i="1"/>
  <c r="C1300" i="1"/>
  <c r="D1300" i="1" s="1"/>
  <c r="B1300" i="1"/>
  <c r="A1300" i="1"/>
  <c r="M1299" i="1"/>
  <c r="L1299" i="1"/>
  <c r="K1299" i="1"/>
  <c r="J1299" i="1"/>
  <c r="H1299" i="1"/>
  <c r="G1299" i="1"/>
  <c r="I1299" i="1" s="1"/>
  <c r="C1299" i="1"/>
  <c r="E1299" i="1" s="1"/>
  <c r="B1299" i="1"/>
  <c r="A1299" i="1"/>
  <c r="L1298" i="1"/>
  <c r="M1298" i="1" s="1"/>
  <c r="J1298" i="1"/>
  <c r="H1298" i="1"/>
  <c r="G1298" i="1"/>
  <c r="I1298" i="1" s="1"/>
  <c r="K1298" i="1" s="1"/>
  <c r="F1298" i="1"/>
  <c r="E1298" i="1"/>
  <c r="D1298" i="1"/>
  <c r="C1298" i="1"/>
  <c r="B1298" i="1"/>
  <c r="A1298" i="1"/>
  <c r="M1297" i="1"/>
  <c r="L1297" i="1"/>
  <c r="J1297" i="1"/>
  <c r="I1297" i="1"/>
  <c r="K1297" i="1" s="1"/>
  <c r="H1297" i="1"/>
  <c r="G1297" i="1"/>
  <c r="C1297" i="1"/>
  <c r="B1297" i="1"/>
  <c r="A1297" i="1"/>
  <c r="L1296" i="1"/>
  <c r="M1296" i="1" s="1"/>
  <c r="J1296" i="1"/>
  <c r="H1296" i="1"/>
  <c r="G1296" i="1"/>
  <c r="I1296" i="1" s="1"/>
  <c r="F1296" i="1"/>
  <c r="E1296" i="1"/>
  <c r="D1296" i="1"/>
  <c r="C1296" i="1"/>
  <c r="B1296" i="1"/>
  <c r="A1296" i="1"/>
  <c r="M1295" i="1"/>
  <c r="L1295" i="1"/>
  <c r="J1295" i="1"/>
  <c r="H1295" i="1"/>
  <c r="G1295" i="1"/>
  <c r="I1295" i="1" s="1"/>
  <c r="K1295" i="1" s="1"/>
  <c r="E1295" i="1"/>
  <c r="C1295" i="1"/>
  <c r="B1295" i="1"/>
  <c r="A1295" i="1"/>
  <c r="L1294" i="1"/>
  <c r="M1294" i="1" s="1"/>
  <c r="J1294" i="1"/>
  <c r="I1294" i="1"/>
  <c r="K1294" i="1" s="1"/>
  <c r="H1294" i="1"/>
  <c r="G1294" i="1"/>
  <c r="F1294" i="1"/>
  <c r="D1294" i="1"/>
  <c r="C1294" i="1"/>
  <c r="E1294" i="1" s="1"/>
  <c r="B1294" i="1"/>
  <c r="A1294" i="1"/>
  <c r="M1293" i="1"/>
  <c r="L1293" i="1"/>
  <c r="J1293" i="1"/>
  <c r="H1293" i="1"/>
  <c r="G1293" i="1"/>
  <c r="I1293" i="1" s="1"/>
  <c r="K1293" i="1" s="1"/>
  <c r="E1293" i="1"/>
  <c r="C1293" i="1"/>
  <c r="F1293" i="1" s="1"/>
  <c r="B1293" i="1"/>
  <c r="A1293" i="1"/>
  <c r="L1292" i="1"/>
  <c r="M1292" i="1" s="1"/>
  <c r="J1292" i="1"/>
  <c r="K1292" i="1" s="1"/>
  <c r="I1292" i="1"/>
  <c r="H1292" i="1"/>
  <c r="G1292" i="1"/>
  <c r="F1292" i="1"/>
  <c r="E1292" i="1"/>
  <c r="D1292" i="1"/>
  <c r="C1292" i="1"/>
  <c r="B1292" i="1"/>
  <c r="A1292" i="1"/>
  <c r="L1291" i="1"/>
  <c r="M1291" i="1" s="1"/>
  <c r="J1291" i="1"/>
  <c r="I1291" i="1"/>
  <c r="K1291" i="1" s="1"/>
  <c r="H1291" i="1"/>
  <c r="G1291" i="1"/>
  <c r="C1291" i="1"/>
  <c r="B1291" i="1"/>
  <c r="A1291" i="1"/>
  <c r="L1290" i="1"/>
  <c r="M1290" i="1" s="1"/>
  <c r="J1290" i="1"/>
  <c r="H1290" i="1"/>
  <c r="G1290" i="1"/>
  <c r="I1290" i="1" s="1"/>
  <c r="K1290" i="1" s="1"/>
  <c r="F1290" i="1"/>
  <c r="D1290" i="1"/>
  <c r="C1290" i="1"/>
  <c r="E1290" i="1" s="1"/>
  <c r="B1290" i="1"/>
  <c r="A1290" i="1"/>
  <c r="M1289" i="1"/>
  <c r="L1289" i="1"/>
  <c r="J1289" i="1"/>
  <c r="H1289" i="1"/>
  <c r="G1289" i="1"/>
  <c r="I1289" i="1" s="1"/>
  <c r="K1289" i="1" s="1"/>
  <c r="E1289" i="1"/>
  <c r="C1289" i="1"/>
  <c r="F1289" i="1" s="1"/>
  <c r="B1289" i="1"/>
  <c r="A1289" i="1"/>
  <c r="L1288" i="1"/>
  <c r="M1288" i="1" s="1"/>
  <c r="J1288" i="1"/>
  <c r="I1288" i="1"/>
  <c r="H1288" i="1"/>
  <c r="G1288" i="1"/>
  <c r="F1288" i="1"/>
  <c r="C1288" i="1"/>
  <c r="D1288" i="1" s="1"/>
  <c r="B1288" i="1"/>
  <c r="A1288" i="1"/>
  <c r="M1287" i="1"/>
  <c r="L1287" i="1"/>
  <c r="J1287" i="1"/>
  <c r="I1287" i="1"/>
  <c r="K1287" i="1" s="1"/>
  <c r="H1287" i="1"/>
  <c r="G1287" i="1"/>
  <c r="C1287" i="1"/>
  <c r="E1287" i="1" s="1"/>
  <c r="B1287" i="1"/>
  <c r="A1287" i="1"/>
  <c r="L1286" i="1"/>
  <c r="M1286" i="1" s="1"/>
  <c r="J1286" i="1"/>
  <c r="H1286" i="1"/>
  <c r="G1286" i="1"/>
  <c r="I1286" i="1" s="1"/>
  <c r="F1286" i="1"/>
  <c r="E1286" i="1"/>
  <c r="D1286" i="1"/>
  <c r="C1286" i="1"/>
  <c r="B1286" i="1"/>
  <c r="A1286" i="1"/>
  <c r="M1285" i="1"/>
  <c r="L1285" i="1"/>
  <c r="K1285" i="1"/>
  <c r="J1285" i="1"/>
  <c r="I1285" i="1"/>
  <c r="H1285" i="1"/>
  <c r="G1285" i="1"/>
  <c r="C1285" i="1"/>
  <c r="B1285" i="1"/>
  <c r="A1285" i="1"/>
  <c r="L1284" i="1"/>
  <c r="M1284" i="1" s="1"/>
  <c r="J1284" i="1"/>
  <c r="H1284" i="1"/>
  <c r="G1284" i="1"/>
  <c r="I1284" i="1" s="1"/>
  <c r="K1284" i="1" s="1"/>
  <c r="F1284" i="1"/>
  <c r="E1284" i="1"/>
  <c r="D1284" i="1"/>
  <c r="C1284" i="1"/>
  <c r="B1284" i="1"/>
  <c r="A1284" i="1"/>
  <c r="M1283" i="1"/>
  <c r="L1283" i="1"/>
  <c r="J1283" i="1"/>
  <c r="H1283" i="1"/>
  <c r="G1283" i="1"/>
  <c r="I1283" i="1" s="1"/>
  <c r="K1283" i="1" s="1"/>
  <c r="E1283" i="1"/>
  <c r="C1283" i="1"/>
  <c r="B1283" i="1"/>
  <c r="A1283" i="1"/>
  <c r="L1282" i="1"/>
  <c r="M1282" i="1" s="1"/>
  <c r="J1282" i="1"/>
  <c r="I1282" i="1"/>
  <c r="K1282" i="1" s="1"/>
  <c r="H1282" i="1"/>
  <c r="G1282" i="1"/>
  <c r="F1282" i="1"/>
  <c r="D1282" i="1"/>
  <c r="C1282" i="1"/>
  <c r="E1282" i="1" s="1"/>
  <c r="B1282" i="1"/>
  <c r="A1282" i="1"/>
  <c r="M1281" i="1"/>
  <c r="L1281" i="1"/>
  <c r="J1281" i="1"/>
  <c r="H1281" i="1"/>
  <c r="G1281" i="1"/>
  <c r="I1281" i="1" s="1"/>
  <c r="K1281" i="1" s="1"/>
  <c r="C1281" i="1"/>
  <c r="B1281" i="1"/>
  <c r="A1281" i="1"/>
  <c r="L1280" i="1"/>
  <c r="M1280" i="1" s="1"/>
  <c r="J1280" i="1"/>
  <c r="K1280" i="1" s="1"/>
  <c r="I1280" i="1"/>
  <c r="H1280" i="1"/>
  <c r="G1280" i="1"/>
  <c r="F1280" i="1"/>
  <c r="E1280" i="1"/>
  <c r="D1280" i="1"/>
  <c r="C1280" i="1"/>
  <c r="B1280" i="1"/>
  <c r="A1280" i="1"/>
  <c r="L1279" i="1"/>
  <c r="M1279" i="1" s="1"/>
  <c r="J1279" i="1"/>
  <c r="I1279" i="1"/>
  <c r="K1279" i="1" s="1"/>
  <c r="H1279" i="1"/>
  <c r="G1279" i="1"/>
  <c r="C1279" i="1"/>
  <c r="E1279" i="1" s="1"/>
  <c r="B1279" i="1"/>
  <c r="A1279" i="1"/>
  <c r="L1278" i="1"/>
  <c r="M1278" i="1" s="1"/>
  <c r="J1278" i="1"/>
  <c r="H1278" i="1"/>
  <c r="G1278" i="1"/>
  <c r="I1278" i="1" s="1"/>
  <c r="F1278" i="1"/>
  <c r="D1278" i="1"/>
  <c r="C1278" i="1"/>
  <c r="E1278" i="1" s="1"/>
  <c r="B1278" i="1"/>
  <c r="A1278" i="1"/>
  <c r="M1277" i="1"/>
  <c r="L1277" i="1"/>
  <c r="K1277" i="1"/>
  <c r="J1277" i="1"/>
  <c r="I1277" i="1"/>
  <c r="H1277" i="1"/>
  <c r="G1277" i="1"/>
  <c r="E1277" i="1"/>
  <c r="C1277" i="1"/>
  <c r="F1277" i="1" s="1"/>
  <c r="B1277" i="1"/>
  <c r="A1277" i="1"/>
  <c r="L1276" i="1"/>
  <c r="M1276" i="1" s="1"/>
  <c r="J1276" i="1"/>
  <c r="I1276" i="1"/>
  <c r="K1276" i="1" s="1"/>
  <c r="H1276" i="1"/>
  <c r="G1276" i="1"/>
  <c r="F1276" i="1"/>
  <c r="C1276" i="1"/>
  <c r="D1276" i="1" s="1"/>
  <c r="B1276" i="1"/>
  <c r="A1276" i="1"/>
  <c r="M1275" i="1"/>
  <c r="L1275" i="1"/>
  <c r="J1275" i="1"/>
  <c r="H1275" i="1"/>
  <c r="G1275" i="1"/>
  <c r="I1275" i="1" s="1"/>
  <c r="K1275" i="1" s="1"/>
  <c r="C1275" i="1"/>
  <c r="E1275" i="1" s="1"/>
  <c r="B1275" i="1"/>
  <c r="A1275" i="1"/>
  <c r="L1274" i="1"/>
  <c r="M1274" i="1" s="1"/>
  <c r="J1274" i="1"/>
  <c r="H1274" i="1"/>
  <c r="G1274" i="1"/>
  <c r="I1274" i="1" s="1"/>
  <c r="F1274" i="1"/>
  <c r="E1274" i="1"/>
  <c r="D1274" i="1"/>
  <c r="C1274" i="1"/>
  <c r="B1274" i="1"/>
  <c r="A1274" i="1"/>
  <c r="M1273" i="1"/>
  <c r="L1273" i="1"/>
  <c r="J1273" i="1"/>
  <c r="I1273" i="1"/>
  <c r="K1273" i="1" s="1"/>
  <c r="H1273" i="1"/>
  <c r="G1273" i="1"/>
  <c r="C1273" i="1"/>
  <c r="E1273" i="1" s="1"/>
  <c r="B1273" i="1"/>
  <c r="A1273" i="1"/>
  <c r="L1272" i="1"/>
  <c r="M1272" i="1" s="1"/>
  <c r="J1272" i="1"/>
  <c r="H1272" i="1"/>
  <c r="G1272" i="1"/>
  <c r="I1272" i="1" s="1"/>
  <c r="F1272" i="1"/>
  <c r="E1272" i="1"/>
  <c r="D1272" i="1"/>
  <c r="C1272" i="1"/>
  <c r="B1272" i="1"/>
  <c r="A1272" i="1"/>
  <c r="M1271" i="1"/>
  <c r="L1271" i="1"/>
  <c r="K1271" i="1"/>
  <c r="J1271" i="1"/>
  <c r="H1271" i="1"/>
  <c r="G1271" i="1"/>
  <c r="I1271" i="1" s="1"/>
  <c r="C1271" i="1"/>
  <c r="B1271" i="1"/>
  <c r="A1271" i="1"/>
  <c r="L1270" i="1"/>
  <c r="M1270" i="1" s="1"/>
  <c r="J1270" i="1"/>
  <c r="I1270" i="1"/>
  <c r="K1270" i="1" s="1"/>
  <c r="H1270" i="1"/>
  <c r="G1270" i="1"/>
  <c r="F1270" i="1"/>
  <c r="D1270" i="1"/>
  <c r="C1270" i="1"/>
  <c r="E1270" i="1" s="1"/>
  <c r="B1270" i="1"/>
  <c r="A1270" i="1"/>
  <c r="M1269" i="1"/>
  <c r="L1269" i="1"/>
  <c r="J1269" i="1"/>
  <c r="H1269" i="1"/>
  <c r="G1269" i="1"/>
  <c r="I1269" i="1" s="1"/>
  <c r="K1269" i="1" s="1"/>
  <c r="C1269" i="1"/>
  <c r="B1269" i="1"/>
  <c r="A1269" i="1"/>
  <c r="L1268" i="1"/>
  <c r="M1268" i="1" s="1"/>
  <c r="J1268" i="1"/>
  <c r="K1268" i="1" s="1"/>
  <c r="I1268" i="1"/>
  <c r="H1268" i="1"/>
  <c r="G1268" i="1"/>
  <c r="F1268" i="1"/>
  <c r="E1268" i="1"/>
  <c r="D1268" i="1"/>
  <c r="C1268" i="1"/>
  <c r="B1268" i="1"/>
  <c r="A1268" i="1"/>
  <c r="L1267" i="1"/>
  <c r="M1267" i="1" s="1"/>
  <c r="K1267" i="1"/>
  <c r="J1267" i="1"/>
  <c r="I1267" i="1"/>
  <c r="H1267" i="1"/>
  <c r="G1267" i="1"/>
  <c r="C1267" i="1"/>
  <c r="B1267" i="1"/>
  <c r="A1267" i="1"/>
  <c r="L1266" i="1"/>
  <c r="M1266" i="1" s="1"/>
  <c r="J1266" i="1"/>
  <c r="H1266" i="1"/>
  <c r="G1266" i="1"/>
  <c r="I1266" i="1" s="1"/>
  <c r="K1266" i="1" s="1"/>
  <c r="F1266" i="1"/>
  <c r="D1266" i="1"/>
  <c r="C1266" i="1"/>
  <c r="E1266" i="1" s="1"/>
  <c r="B1266" i="1"/>
  <c r="A1266" i="1"/>
  <c r="M1265" i="1"/>
  <c r="L1265" i="1"/>
  <c r="J1265" i="1"/>
  <c r="H1265" i="1"/>
  <c r="G1265" i="1"/>
  <c r="I1265" i="1" s="1"/>
  <c r="K1265" i="1" s="1"/>
  <c r="E1265" i="1"/>
  <c r="C1265" i="1"/>
  <c r="F1265" i="1" s="1"/>
  <c r="B1265" i="1"/>
  <c r="A1265" i="1"/>
  <c r="L1264" i="1"/>
  <c r="M1264" i="1" s="1"/>
  <c r="J1264" i="1"/>
  <c r="I1264" i="1"/>
  <c r="K1264" i="1" s="1"/>
  <c r="H1264" i="1"/>
  <c r="G1264" i="1"/>
  <c r="F1264" i="1"/>
  <c r="C1264" i="1"/>
  <c r="D1264" i="1" s="1"/>
  <c r="B1264" i="1"/>
  <c r="A1264" i="1"/>
  <c r="M1263" i="1"/>
  <c r="L1263" i="1"/>
  <c r="J1263" i="1"/>
  <c r="I1263" i="1"/>
  <c r="K1263" i="1" s="1"/>
  <c r="H1263" i="1"/>
  <c r="G1263" i="1"/>
  <c r="C1263" i="1"/>
  <c r="B1263" i="1"/>
  <c r="A1263" i="1"/>
  <c r="L1262" i="1"/>
  <c r="M1262" i="1" s="1"/>
  <c r="J1262" i="1"/>
  <c r="H1262" i="1"/>
  <c r="G1262" i="1"/>
  <c r="I1262" i="1" s="1"/>
  <c r="F1262" i="1"/>
  <c r="E1262" i="1"/>
  <c r="D1262" i="1"/>
  <c r="C1262" i="1"/>
  <c r="B1262" i="1"/>
  <c r="A1262" i="1"/>
  <c r="M1261" i="1"/>
  <c r="L1261" i="1"/>
  <c r="K1261" i="1"/>
  <c r="J1261" i="1"/>
  <c r="I1261" i="1"/>
  <c r="H1261" i="1"/>
  <c r="G1261" i="1"/>
  <c r="C1261" i="1"/>
  <c r="B1261" i="1"/>
  <c r="A1261" i="1"/>
  <c r="L1260" i="1"/>
  <c r="M1260" i="1" s="1"/>
  <c r="J1260" i="1"/>
  <c r="H1260" i="1"/>
  <c r="G1260" i="1"/>
  <c r="I1260" i="1" s="1"/>
  <c r="K1260" i="1" s="1"/>
  <c r="F1260" i="1"/>
  <c r="E1260" i="1"/>
  <c r="D1260" i="1"/>
  <c r="C1260" i="1"/>
  <c r="B1260" i="1"/>
  <c r="A1260" i="1"/>
  <c r="M1259" i="1"/>
  <c r="L1259" i="1"/>
  <c r="J1259" i="1"/>
  <c r="H1259" i="1"/>
  <c r="G1259" i="1"/>
  <c r="I1259" i="1" s="1"/>
  <c r="K1259" i="1" s="1"/>
  <c r="E1259" i="1"/>
  <c r="C1259" i="1"/>
  <c r="B1259" i="1"/>
  <c r="A1259" i="1"/>
  <c r="L1258" i="1"/>
  <c r="M1258" i="1" s="1"/>
  <c r="J1258" i="1"/>
  <c r="I1258" i="1"/>
  <c r="K1258" i="1" s="1"/>
  <c r="H1258" i="1"/>
  <c r="G1258" i="1"/>
  <c r="F1258" i="1"/>
  <c r="D1258" i="1"/>
  <c r="C1258" i="1"/>
  <c r="E1258" i="1" s="1"/>
  <c r="B1258" i="1"/>
  <c r="A1258" i="1"/>
  <c r="M1257" i="1"/>
  <c r="L1257" i="1"/>
  <c r="J1257" i="1"/>
  <c r="I1257" i="1"/>
  <c r="K1257" i="1" s="1"/>
  <c r="H1257" i="1"/>
  <c r="G1257" i="1"/>
  <c r="E1257" i="1"/>
  <c r="C1257" i="1"/>
  <c r="B1257" i="1"/>
  <c r="A1257" i="1"/>
  <c r="L1256" i="1"/>
  <c r="M1256" i="1" s="1"/>
  <c r="J1256" i="1"/>
  <c r="K1256" i="1" s="1"/>
  <c r="I1256" i="1"/>
  <c r="H1256" i="1"/>
  <c r="G1256" i="1"/>
  <c r="F1256" i="1"/>
  <c r="E1256" i="1"/>
  <c r="D1256" i="1"/>
  <c r="C1256" i="1"/>
  <c r="B1256" i="1"/>
  <c r="A1256" i="1"/>
  <c r="L1255" i="1"/>
  <c r="M1255" i="1" s="1"/>
  <c r="K1255" i="1"/>
  <c r="J1255" i="1"/>
  <c r="I1255" i="1"/>
  <c r="H1255" i="1"/>
  <c r="G1255" i="1"/>
  <c r="C1255" i="1"/>
  <c r="B1255" i="1"/>
  <c r="A1255" i="1"/>
  <c r="L1254" i="1"/>
  <c r="M1254" i="1" s="1"/>
  <c r="J1254" i="1"/>
  <c r="H1254" i="1"/>
  <c r="G1254" i="1"/>
  <c r="I1254" i="1" s="1"/>
  <c r="K1254" i="1" s="1"/>
  <c r="F1254" i="1"/>
  <c r="D1254" i="1"/>
  <c r="C1254" i="1"/>
  <c r="E1254" i="1" s="1"/>
  <c r="B1254" i="1"/>
  <c r="A1254" i="1"/>
  <c r="M1253" i="1"/>
  <c r="L1253" i="1"/>
  <c r="J1253" i="1"/>
  <c r="H1253" i="1"/>
  <c r="G1253" i="1"/>
  <c r="I1253" i="1" s="1"/>
  <c r="K1253" i="1" s="1"/>
  <c r="E1253" i="1"/>
  <c r="C1253" i="1"/>
  <c r="F1253" i="1" s="1"/>
  <c r="B1253" i="1"/>
  <c r="A1253" i="1"/>
  <c r="L1252" i="1"/>
  <c r="M1252" i="1" s="1"/>
  <c r="J1252" i="1"/>
  <c r="I1252" i="1"/>
  <c r="H1252" i="1"/>
  <c r="G1252" i="1"/>
  <c r="F1252" i="1"/>
  <c r="C1252" i="1"/>
  <c r="D1252" i="1" s="1"/>
  <c r="B1252" i="1"/>
  <c r="A1252" i="1"/>
  <c r="M1251" i="1"/>
  <c r="L1251" i="1"/>
  <c r="J1251" i="1"/>
  <c r="I1251" i="1"/>
  <c r="K1251" i="1" s="1"/>
  <c r="H1251" i="1"/>
  <c r="G1251" i="1"/>
  <c r="C1251" i="1"/>
  <c r="B1251" i="1"/>
  <c r="A1251" i="1"/>
  <c r="L1250" i="1"/>
  <c r="M1250" i="1" s="1"/>
  <c r="J1250" i="1"/>
  <c r="H1250" i="1"/>
  <c r="G1250" i="1"/>
  <c r="I1250" i="1" s="1"/>
  <c r="F1250" i="1"/>
  <c r="E1250" i="1"/>
  <c r="D1250" i="1"/>
  <c r="C1250" i="1"/>
  <c r="B1250" i="1"/>
  <c r="A1250" i="1"/>
  <c r="M1249" i="1"/>
  <c r="L1249" i="1"/>
  <c r="K1249" i="1"/>
  <c r="J1249" i="1"/>
  <c r="I1249" i="1"/>
  <c r="H1249" i="1"/>
  <c r="G1249" i="1"/>
  <c r="C1249" i="1"/>
  <c r="B1249" i="1"/>
  <c r="A1249" i="1"/>
  <c r="L1248" i="1"/>
  <c r="M1248" i="1" s="1"/>
  <c r="J1248" i="1"/>
  <c r="H1248" i="1"/>
  <c r="G1248" i="1"/>
  <c r="I1248" i="1" s="1"/>
  <c r="K1248" i="1" s="1"/>
  <c r="F1248" i="1"/>
  <c r="E1248" i="1"/>
  <c r="D1248" i="1"/>
  <c r="C1248" i="1"/>
  <c r="B1248" i="1"/>
  <c r="A1248" i="1"/>
  <c r="M1247" i="1"/>
  <c r="L1247" i="1"/>
  <c r="J1247" i="1"/>
  <c r="H1247" i="1"/>
  <c r="G1247" i="1"/>
  <c r="I1247" i="1" s="1"/>
  <c r="K1247" i="1" s="1"/>
  <c r="C1247" i="1"/>
  <c r="B1247" i="1"/>
  <c r="A1247" i="1"/>
  <c r="L1246" i="1"/>
  <c r="M1246" i="1" s="1"/>
  <c r="J1246" i="1"/>
  <c r="I1246" i="1"/>
  <c r="K1246" i="1" s="1"/>
  <c r="H1246" i="1"/>
  <c r="G1246" i="1"/>
  <c r="F1246" i="1"/>
  <c r="D1246" i="1"/>
  <c r="C1246" i="1"/>
  <c r="E1246" i="1" s="1"/>
  <c r="B1246" i="1"/>
  <c r="A1246" i="1"/>
  <c r="M1245" i="1"/>
  <c r="L1245" i="1"/>
  <c r="J1245" i="1"/>
  <c r="I1245" i="1"/>
  <c r="K1245" i="1" s="1"/>
  <c r="H1245" i="1"/>
  <c r="G1245" i="1"/>
  <c r="C1245" i="1"/>
  <c r="B1245" i="1"/>
  <c r="A1245" i="1"/>
  <c r="L1244" i="1"/>
  <c r="M1244" i="1" s="1"/>
  <c r="J1244" i="1"/>
  <c r="K1244" i="1" s="1"/>
  <c r="I1244" i="1"/>
  <c r="H1244" i="1"/>
  <c r="G1244" i="1"/>
  <c r="F1244" i="1"/>
  <c r="E1244" i="1"/>
  <c r="D1244" i="1"/>
  <c r="C1244" i="1"/>
  <c r="B1244" i="1"/>
  <c r="A1244" i="1"/>
  <c r="L1243" i="1"/>
  <c r="M1243" i="1" s="1"/>
  <c r="J1243" i="1"/>
  <c r="H1243" i="1"/>
  <c r="G1243" i="1"/>
  <c r="I1243" i="1" s="1"/>
  <c r="K1243" i="1" s="1"/>
  <c r="E1243" i="1"/>
  <c r="C1243" i="1"/>
  <c r="B1243" i="1"/>
  <c r="A1243" i="1"/>
  <c r="L1242" i="1"/>
  <c r="M1242" i="1" s="1"/>
  <c r="J1242" i="1"/>
  <c r="H1242" i="1"/>
  <c r="G1242" i="1"/>
  <c r="I1242" i="1" s="1"/>
  <c r="F1242" i="1"/>
  <c r="D1242" i="1"/>
  <c r="C1242" i="1"/>
  <c r="E1242" i="1" s="1"/>
  <c r="B1242" i="1"/>
  <c r="A1242" i="1"/>
  <c r="M1241" i="1"/>
  <c r="L1241" i="1"/>
  <c r="J1241" i="1"/>
  <c r="I1241" i="1"/>
  <c r="K1241" i="1" s="1"/>
  <c r="H1241" i="1"/>
  <c r="G1241" i="1"/>
  <c r="E1241" i="1"/>
  <c r="C1241" i="1"/>
  <c r="F1241" i="1" s="1"/>
  <c r="B1241" i="1"/>
  <c r="A1241" i="1"/>
  <c r="L1240" i="1"/>
  <c r="M1240" i="1" s="1"/>
  <c r="J1240" i="1"/>
  <c r="I1240" i="1"/>
  <c r="H1240" i="1"/>
  <c r="G1240" i="1"/>
  <c r="F1240" i="1"/>
  <c r="C1240" i="1"/>
  <c r="B1240" i="1"/>
  <c r="A1240" i="1"/>
  <c r="M1239" i="1"/>
  <c r="L1239" i="1"/>
  <c r="K1239" i="1"/>
  <c r="J1239" i="1"/>
  <c r="I1239" i="1"/>
  <c r="H1239" i="1"/>
  <c r="G1239" i="1"/>
  <c r="C1239" i="1"/>
  <c r="B1239" i="1"/>
  <c r="A1239" i="1"/>
  <c r="L1238" i="1"/>
  <c r="M1238" i="1" s="1"/>
  <c r="J1238" i="1"/>
  <c r="H1238" i="1"/>
  <c r="G1238" i="1"/>
  <c r="I1238" i="1" s="1"/>
  <c r="K1238" i="1" s="1"/>
  <c r="F1238" i="1"/>
  <c r="E1238" i="1"/>
  <c r="D1238" i="1"/>
  <c r="C1238" i="1"/>
  <c r="B1238" i="1"/>
  <c r="A1238" i="1"/>
  <c r="M1237" i="1"/>
  <c r="L1237" i="1"/>
  <c r="J1237" i="1"/>
  <c r="I1237" i="1"/>
  <c r="K1237" i="1" s="1"/>
  <c r="H1237" i="1"/>
  <c r="G1237" i="1"/>
  <c r="F1237" i="1"/>
  <c r="C1237" i="1"/>
  <c r="D1237" i="1" s="1"/>
  <c r="B1237" i="1"/>
  <c r="A1237" i="1"/>
  <c r="L1236" i="1"/>
  <c r="M1236" i="1" s="1"/>
  <c r="J1236" i="1"/>
  <c r="H1236" i="1"/>
  <c r="G1236" i="1"/>
  <c r="I1236" i="1" s="1"/>
  <c r="F1236" i="1"/>
  <c r="E1236" i="1"/>
  <c r="D1236" i="1"/>
  <c r="C1236" i="1"/>
  <c r="B1236" i="1"/>
  <c r="A1236" i="1"/>
  <c r="M1235" i="1"/>
  <c r="L1235" i="1"/>
  <c r="K1235" i="1"/>
  <c r="J1235" i="1"/>
  <c r="H1235" i="1"/>
  <c r="G1235" i="1"/>
  <c r="I1235" i="1" s="1"/>
  <c r="C1235" i="1"/>
  <c r="B1235" i="1"/>
  <c r="A1235" i="1"/>
  <c r="L1234" i="1"/>
  <c r="M1234" i="1" s="1"/>
  <c r="J1234" i="1"/>
  <c r="I1234" i="1"/>
  <c r="K1234" i="1" s="1"/>
  <c r="H1234" i="1"/>
  <c r="G1234" i="1"/>
  <c r="F1234" i="1"/>
  <c r="D1234" i="1"/>
  <c r="C1234" i="1"/>
  <c r="E1234" i="1" s="1"/>
  <c r="B1234" i="1"/>
  <c r="A1234" i="1"/>
  <c r="M1233" i="1"/>
  <c r="L1233" i="1"/>
  <c r="J1233" i="1"/>
  <c r="H1233" i="1"/>
  <c r="G1233" i="1"/>
  <c r="I1233" i="1" s="1"/>
  <c r="K1233" i="1" s="1"/>
  <c r="C1233" i="1"/>
  <c r="B1233" i="1"/>
  <c r="A1233" i="1"/>
  <c r="L1232" i="1"/>
  <c r="M1232" i="1" s="1"/>
  <c r="K1232" i="1"/>
  <c r="J1232" i="1"/>
  <c r="I1232" i="1"/>
  <c r="H1232" i="1"/>
  <c r="G1232" i="1"/>
  <c r="F1232" i="1"/>
  <c r="E1232" i="1"/>
  <c r="D1232" i="1"/>
  <c r="C1232" i="1"/>
  <c r="B1232" i="1"/>
  <c r="A1232" i="1"/>
  <c r="L1231" i="1"/>
  <c r="M1231" i="1" s="1"/>
  <c r="K1231" i="1"/>
  <c r="J1231" i="1"/>
  <c r="I1231" i="1"/>
  <c r="H1231" i="1"/>
  <c r="G1231" i="1"/>
  <c r="C1231" i="1"/>
  <c r="B1231" i="1"/>
  <c r="A1231" i="1"/>
  <c r="L1230" i="1"/>
  <c r="M1230" i="1" s="1"/>
  <c r="J1230" i="1"/>
  <c r="H1230" i="1"/>
  <c r="G1230" i="1"/>
  <c r="I1230" i="1" s="1"/>
  <c r="F1230" i="1"/>
  <c r="D1230" i="1"/>
  <c r="C1230" i="1"/>
  <c r="E1230" i="1" s="1"/>
  <c r="B1230" i="1"/>
  <c r="A1230" i="1"/>
  <c r="M1229" i="1"/>
  <c r="L1229" i="1"/>
  <c r="J1229" i="1"/>
  <c r="I1229" i="1"/>
  <c r="K1229" i="1" s="1"/>
  <c r="H1229" i="1"/>
  <c r="G1229" i="1"/>
  <c r="E1229" i="1"/>
  <c r="C1229" i="1"/>
  <c r="F1229" i="1" s="1"/>
  <c r="B1229" i="1"/>
  <c r="A1229" i="1"/>
  <c r="L1228" i="1"/>
  <c r="M1228" i="1" s="1"/>
  <c r="J1228" i="1"/>
  <c r="I1228" i="1"/>
  <c r="K1228" i="1" s="1"/>
  <c r="H1228" i="1"/>
  <c r="G1228" i="1"/>
  <c r="C1228" i="1"/>
  <c r="B1228" i="1"/>
  <c r="A1228" i="1"/>
  <c r="M1227" i="1"/>
  <c r="L1227" i="1"/>
  <c r="J1227" i="1"/>
  <c r="K1227" i="1" s="1"/>
  <c r="I1227" i="1"/>
  <c r="H1227" i="1"/>
  <c r="G1227" i="1"/>
  <c r="C1227" i="1"/>
  <c r="B1227" i="1"/>
  <c r="A1227" i="1"/>
  <c r="L1226" i="1"/>
  <c r="M1226" i="1" s="1"/>
  <c r="J1226" i="1"/>
  <c r="H1226" i="1"/>
  <c r="G1226" i="1"/>
  <c r="I1226" i="1" s="1"/>
  <c r="K1226" i="1" s="1"/>
  <c r="F1226" i="1"/>
  <c r="E1226" i="1"/>
  <c r="D1226" i="1"/>
  <c r="C1226" i="1"/>
  <c r="B1226" i="1"/>
  <c r="A1226" i="1"/>
  <c r="L1225" i="1"/>
  <c r="M1225" i="1" s="1"/>
  <c r="J1225" i="1"/>
  <c r="I1225" i="1"/>
  <c r="K1225" i="1" s="1"/>
  <c r="H1225" i="1"/>
  <c r="G1225" i="1"/>
  <c r="F1225" i="1"/>
  <c r="C1225" i="1"/>
  <c r="D1225" i="1" s="1"/>
  <c r="B1225" i="1"/>
  <c r="A1225" i="1"/>
  <c r="L1224" i="1"/>
  <c r="M1224" i="1" s="1"/>
  <c r="J1224" i="1"/>
  <c r="H1224" i="1"/>
  <c r="G1224" i="1"/>
  <c r="I1224" i="1" s="1"/>
  <c r="K1224" i="1" s="1"/>
  <c r="F1224" i="1"/>
  <c r="E1224" i="1"/>
  <c r="D1224" i="1"/>
  <c r="C1224" i="1"/>
  <c r="B1224" i="1"/>
  <c r="A1224" i="1"/>
  <c r="M1223" i="1"/>
  <c r="L1223" i="1"/>
  <c r="J1223" i="1"/>
  <c r="H1223" i="1"/>
  <c r="G1223" i="1"/>
  <c r="I1223" i="1" s="1"/>
  <c r="K1223" i="1" s="1"/>
  <c r="E1223" i="1"/>
  <c r="C1223" i="1"/>
  <c r="B1223" i="1"/>
  <c r="A1223" i="1"/>
  <c r="L1222" i="1"/>
  <c r="M1222" i="1" s="1"/>
  <c r="J1222" i="1"/>
  <c r="I1222" i="1"/>
  <c r="K1222" i="1" s="1"/>
  <c r="H1222" i="1"/>
  <c r="G1222" i="1"/>
  <c r="C1222" i="1"/>
  <c r="E1222" i="1" s="1"/>
  <c r="B1222" i="1"/>
  <c r="A1222" i="1"/>
  <c r="M1221" i="1"/>
  <c r="L1221" i="1"/>
  <c r="J1221" i="1"/>
  <c r="I1221" i="1"/>
  <c r="K1221" i="1" s="1"/>
  <c r="H1221" i="1"/>
  <c r="G1221" i="1"/>
  <c r="E1221" i="1"/>
  <c r="C1221" i="1"/>
  <c r="F1221" i="1" s="1"/>
  <c r="B1221" i="1"/>
  <c r="A1221" i="1"/>
  <c r="L1220" i="1"/>
  <c r="M1220" i="1" s="1"/>
  <c r="K1220" i="1"/>
  <c r="J1220" i="1"/>
  <c r="I1220" i="1"/>
  <c r="H1220" i="1"/>
  <c r="G1220" i="1"/>
  <c r="F1220" i="1"/>
  <c r="E1220" i="1"/>
  <c r="D1220" i="1"/>
  <c r="C1220" i="1"/>
  <c r="B1220" i="1"/>
  <c r="A1220" i="1"/>
  <c r="L1219" i="1"/>
  <c r="M1219" i="1" s="1"/>
  <c r="J1219" i="1"/>
  <c r="H1219" i="1"/>
  <c r="G1219" i="1"/>
  <c r="I1219" i="1" s="1"/>
  <c r="K1219" i="1" s="1"/>
  <c r="F1219" i="1"/>
  <c r="E1219" i="1"/>
  <c r="C1219" i="1"/>
  <c r="D1219" i="1" s="1"/>
  <c r="B1219" i="1"/>
  <c r="A1219" i="1"/>
  <c r="M1218" i="1"/>
  <c r="L1218" i="1"/>
  <c r="J1218" i="1"/>
  <c r="H1218" i="1"/>
  <c r="G1218" i="1"/>
  <c r="I1218" i="1" s="1"/>
  <c r="F1218" i="1"/>
  <c r="D1218" i="1"/>
  <c r="C1218" i="1"/>
  <c r="E1218" i="1" s="1"/>
  <c r="B1218" i="1"/>
  <c r="A1218" i="1"/>
  <c r="M1217" i="1"/>
  <c r="L1217" i="1"/>
  <c r="K1217" i="1"/>
  <c r="J1217" i="1"/>
  <c r="I1217" i="1"/>
  <c r="H1217" i="1"/>
  <c r="G1217" i="1"/>
  <c r="C1217" i="1"/>
  <c r="B1217" i="1"/>
  <c r="A1217" i="1"/>
  <c r="L1216" i="1"/>
  <c r="M1216" i="1" s="1"/>
  <c r="J1216" i="1"/>
  <c r="I1216" i="1"/>
  <c r="K1216" i="1" s="1"/>
  <c r="H1216" i="1"/>
  <c r="G1216" i="1"/>
  <c r="F1216" i="1"/>
  <c r="C1216" i="1"/>
  <c r="E1216" i="1" s="1"/>
  <c r="B1216" i="1"/>
  <c r="A1216" i="1"/>
  <c r="M1215" i="1"/>
  <c r="L1215" i="1"/>
  <c r="J1215" i="1"/>
  <c r="I1215" i="1"/>
  <c r="K1215" i="1" s="1"/>
  <c r="H1215" i="1"/>
  <c r="G1215" i="1"/>
  <c r="E1215" i="1"/>
  <c r="C1215" i="1"/>
  <c r="F1215" i="1" s="1"/>
  <c r="B1215" i="1"/>
  <c r="A1215" i="1"/>
  <c r="L1214" i="1"/>
  <c r="M1214" i="1" s="1"/>
  <c r="J1214" i="1"/>
  <c r="H1214" i="1"/>
  <c r="G1214" i="1"/>
  <c r="I1214" i="1" s="1"/>
  <c r="K1214" i="1" s="1"/>
  <c r="F1214" i="1"/>
  <c r="E1214" i="1"/>
  <c r="D1214" i="1"/>
  <c r="C1214" i="1"/>
  <c r="B1214" i="1"/>
  <c r="A1214" i="1"/>
  <c r="M1213" i="1"/>
  <c r="L1213" i="1"/>
  <c r="J1213" i="1"/>
  <c r="H1213" i="1"/>
  <c r="G1213" i="1"/>
  <c r="I1213" i="1" s="1"/>
  <c r="K1213" i="1" s="1"/>
  <c r="F1213" i="1"/>
  <c r="E1213" i="1"/>
  <c r="C1213" i="1"/>
  <c r="D1213" i="1" s="1"/>
  <c r="B1213" i="1"/>
  <c r="A1213" i="1"/>
  <c r="M1212" i="1"/>
  <c r="L1212" i="1"/>
  <c r="J1212" i="1"/>
  <c r="H1212" i="1"/>
  <c r="G1212" i="1"/>
  <c r="I1212" i="1" s="1"/>
  <c r="F1212" i="1"/>
  <c r="E1212" i="1"/>
  <c r="D1212" i="1"/>
  <c r="C1212" i="1"/>
  <c r="B1212" i="1"/>
  <c r="A1212" i="1"/>
  <c r="M1211" i="1"/>
  <c r="L1211" i="1"/>
  <c r="J1211" i="1"/>
  <c r="H1211" i="1"/>
  <c r="G1211" i="1"/>
  <c r="I1211" i="1" s="1"/>
  <c r="K1211" i="1" s="1"/>
  <c r="E1211" i="1"/>
  <c r="C1211" i="1"/>
  <c r="B1211" i="1"/>
  <c r="A1211" i="1"/>
  <c r="L1210" i="1"/>
  <c r="M1210" i="1" s="1"/>
  <c r="J1210" i="1"/>
  <c r="I1210" i="1"/>
  <c r="K1210" i="1" s="1"/>
  <c r="H1210" i="1"/>
  <c r="G1210" i="1"/>
  <c r="C1210" i="1"/>
  <c r="E1210" i="1" s="1"/>
  <c r="B1210" i="1"/>
  <c r="A1210" i="1"/>
  <c r="M1209" i="1"/>
  <c r="L1209" i="1"/>
  <c r="J1209" i="1"/>
  <c r="I1209" i="1"/>
  <c r="K1209" i="1" s="1"/>
  <c r="H1209" i="1"/>
  <c r="G1209" i="1"/>
  <c r="C1209" i="1"/>
  <c r="F1209" i="1" s="1"/>
  <c r="B1209" i="1"/>
  <c r="A1209" i="1"/>
  <c r="L1208" i="1"/>
  <c r="M1208" i="1" s="1"/>
  <c r="J1208" i="1"/>
  <c r="K1208" i="1" s="1"/>
  <c r="I1208" i="1"/>
  <c r="H1208" i="1"/>
  <c r="G1208" i="1"/>
  <c r="F1208" i="1"/>
  <c r="E1208" i="1"/>
  <c r="D1208" i="1"/>
  <c r="C1208" i="1"/>
  <c r="B1208" i="1"/>
  <c r="A1208" i="1"/>
  <c r="M1207" i="1"/>
  <c r="L1207" i="1"/>
  <c r="J1207" i="1"/>
  <c r="I1207" i="1"/>
  <c r="K1207" i="1" s="1"/>
  <c r="H1207" i="1"/>
  <c r="G1207" i="1"/>
  <c r="C1207" i="1"/>
  <c r="D1207" i="1" s="1"/>
  <c r="B1207" i="1"/>
  <c r="A1207" i="1"/>
  <c r="M1206" i="1"/>
  <c r="L1206" i="1"/>
  <c r="J1206" i="1"/>
  <c r="H1206" i="1"/>
  <c r="G1206" i="1"/>
  <c r="I1206" i="1" s="1"/>
  <c r="K1206" i="1" s="1"/>
  <c r="F1206" i="1"/>
  <c r="D1206" i="1"/>
  <c r="C1206" i="1"/>
  <c r="E1206" i="1" s="1"/>
  <c r="B1206" i="1"/>
  <c r="A1206" i="1"/>
  <c r="M1205" i="1"/>
  <c r="L1205" i="1"/>
  <c r="J1205" i="1"/>
  <c r="H1205" i="1"/>
  <c r="G1205" i="1"/>
  <c r="I1205" i="1" s="1"/>
  <c r="K1205" i="1" s="1"/>
  <c r="C1205" i="1"/>
  <c r="B1205" i="1"/>
  <c r="A1205" i="1"/>
  <c r="L1204" i="1"/>
  <c r="M1204" i="1" s="1"/>
  <c r="J1204" i="1"/>
  <c r="I1204" i="1"/>
  <c r="H1204" i="1"/>
  <c r="G1204" i="1"/>
  <c r="C1204" i="1"/>
  <c r="E1204" i="1" s="1"/>
  <c r="B1204" i="1"/>
  <c r="A1204" i="1"/>
  <c r="M1203" i="1"/>
  <c r="L1203" i="1"/>
  <c r="J1203" i="1"/>
  <c r="K1203" i="1" s="1"/>
  <c r="I1203" i="1"/>
  <c r="H1203" i="1"/>
  <c r="G1203" i="1"/>
  <c r="C1203" i="1"/>
  <c r="F1203" i="1" s="1"/>
  <c r="B1203" i="1"/>
  <c r="A1203" i="1"/>
  <c r="L1202" i="1"/>
  <c r="M1202" i="1" s="1"/>
  <c r="J1202" i="1"/>
  <c r="H1202" i="1"/>
  <c r="G1202" i="1"/>
  <c r="I1202" i="1" s="1"/>
  <c r="K1202" i="1" s="1"/>
  <c r="F1202" i="1"/>
  <c r="E1202" i="1"/>
  <c r="D1202" i="1"/>
  <c r="C1202" i="1"/>
  <c r="B1202" i="1"/>
  <c r="A1202" i="1"/>
  <c r="M1201" i="1"/>
  <c r="L1201" i="1"/>
  <c r="J1201" i="1"/>
  <c r="I1201" i="1"/>
  <c r="K1201" i="1" s="1"/>
  <c r="H1201" i="1"/>
  <c r="G1201" i="1"/>
  <c r="C1201" i="1"/>
  <c r="D1201" i="1" s="1"/>
  <c r="B1201" i="1"/>
  <c r="A1201" i="1"/>
  <c r="M1200" i="1"/>
  <c r="L1200" i="1"/>
  <c r="J1200" i="1"/>
  <c r="H1200" i="1"/>
  <c r="G1200" i="1"/>
  <c r="I1200" i="1" s="1"/>
  <c r="K1200" i="1" s="1"/>
  <c r="F1200" i="1"/>
  <c r="E1200" i="1"/>
  <c r="D1200" i="1"/>
  <c r="C1200" i="1"/>
  <c r="B1200" i="1"/>
  <c r="A1200" i="1"/>
  <c r="M1199" i="1"/>
  <c r="L1199" i="1"/>
  <c r="J1199" i="1"/>
  <c r="I1199" i="1"/>
  <c r="K1199" i="1" s="1"/>
  <c r="H1199" i="1"/>
  <c r="G1199" i="1"/>
  <c r="E1199" i="1"/>
  <c r="C1199" i="1"/>
  <c r="B1199" i="1"/>
  <c r="A1199" i="1"/>
  <c r="L1198" i="1"/>
  <c r="M1198" i="1" s="1"/>
  <c r="J1198" i="1"/>
  <c r="I1198" i="1"/>
  <c r="K1198" i="1" s="1"/>
  <c r="H1198" i="1"/>
  <c r="G1198" i="1"/>
  <c r="F1198" i="1"/>
  <c r="D1198" i="1"/>
  <c r="C1198" i="1"/>
  <c r="E1198" i="1" s="1"/>
  <c r="B1198" i="1"/>
  <c r="A1198" i="1"/>
  <c r="M1197" i="1"/>
  <c r="L1197" i="1"/>
  <c r="K1197" i="1"/>
  <c r="J1197" i="1"/>
  <c r="I1197" i="1"/>
  <c r="H1197" i="1"/>
  <c r="G1197" i="1"/>
  <c r="E1197" i="1"/>
  <c r="D1197" i="1"/>
  <c r="C1197" i="1"/>
  <c r="F1197" i="1" s="1"/>
  <c r="B1197" i="1"/>
  <c r="A1197" i="1"/>
  <c r="L1196" i="1"/>
  <c r="M1196" i="1" s="1"/>
  <c r="J1196" i="1"/>
  <c r="K1196" i="1" s="1"/>
  <c r="I1196" i="1"/>
  <c r="H1196" i="1"/>
  <c r="G1196" i="1"/>
  <c r="F1196" i="1"/>
  <c r="E1196" i="1"/>
  <c r="D1196" i="1"/>
  <c r="C1196" i="1"/>
  <c r="B1196" i="1"/>
  <c r="A1196" i="1"/>
  <c r="L1195" i="1"/>
  <c r="M1195" i="1" s="1"/>
  <c r="K1195" i="1"/>
  <c r="J1195" i="1"/>
  <c r="I1195" i="1"/>
  <c r="H1195" i="1"/>
  <c r="G1195" i="1"/>
  <c r="F1195" i="1"/>
  <c r="E1195" i="1"/>
  <c r="C1195" i="1"/>
  <c r="D1195" i="1" s="1"/>
  <c r="B1195" i="1"/>
  <c r="A1195" i="1"/>
  <c r="L1194" i="1"/>
  <c r="M1194" i="1" s="1"/>
  <c r="J1194" i="1"/>
  <c r="H1194" i="1"/>
  <c r="G1194" i="1"/>
  <c r="I1194" i="1" s="1"/>
  <c r="F1194" i="1"/>
  <c r="D1194" i="1"/>
  <c r="C1194" i="1"/>
  <c r="E1194" i="1" s="1"/>
  <c r="B1194" i="1"/>
  <c r="A1194" i="1"/>
  <c r="M1193" i="1"/>
  <c r="L1193" i="1"/>
  <c r="J1193" i="1"/>
  <c r="I1193" i="1"/>
  <c r="K1193" i="1" s="1"/>
  <c r="H1193" i="1"/>
  <c r="G1193" i="1"/>
  <c r="C1193" i="1"/>
  <c r="B1193" i="1"/>
  <c r="A1193" i="1"/>
  <c r="L1192" i="1"/>
  <c r="M1192" i="1" s="1"/>
  <c r="J1192" i="1"/>
  <c r="I1192" i="1"/>
  <c r="H1192" i="1"/>
  <c r="G1192" i="1"/>
  <c r="F1192" i="1"/>
  <c r="C1192" i="1"/>
  <c r="E1192" i="1" s="1"/>
  <c r="B1192" i="1"/>
  <c r="A1192" i="1"/>
  <c r="M1191" i="1"/>
  <c r="L1191" i="1"/>
  <c r="J1191" i="1"/>
  <c r="H1191" i="1"/>
  <c r="G1191" i="1"/>
  <c r="I1191" i="1" s="1"/>
  <c r="K1191" i="1" s="1"/>
  <c r="E1191" i="1"/>
  <c r="C1191" i="1"/>
  <c r="F1191" i="1" s="1"/>
  <c r="B1191" i="1"/>
  <c r="A1191" i="1"/>
  <c r="L1190" i="1"/>
  <c r="M1190" i="1" s="1"/>
  <c r="K1190" i="1"/>
  <c r="J1190" i="1"/>
  <c r="H1190" i="1"/>
  <c r="G1190" i="1"/>
  <c r="I1190" i="1" s="1"/>
  <c r="F1190" i="1"/>
  <c r="E1190" i="1"/>
  <c r="D1190" i="1"/>
  <c r="C1190" i="1"/>
  <c r="B1190" i="1"/>
  <c r="A1190" i="1"/>
  <c r="L1189" i="1"/>
  <c r="M1189" i="1" s="1"/>
  <c r="K1189" i="1"/>
  <c r="J1189" i="1"/>
  <c r="I1189" i="1"/>
  <c r="H1189" i="1"/>
  <c r="G1189" i="1"/>
  <c r="F1189" i="1"/>
  <c r="E1189" i="1"/>
  <c r="C1189" i="1"/>
  <c r="D1189" i="1" s="1"/>
  <c r="B1189" i="1"/>
  <c r="A1189" i="1"/>
  <c r="L1188" i="1"/>
  <c r="M1188" i="1" s="1"/>
  <c r="J1188" i="1"/>
  <c r="H1188" i="1"/>
  <c r="G1188" i="1"/>
  <c r="I1188" i="1" s="1"/>
  <c r="F1188" i="1"/>
  <c r="E1188" i="1"/>
  <c r="D1188" i="1"/>
  <c r="C1188" i="1"/>
  <c r="B1188" i="1"/>
  <c r="A1188" i="1"/>
  <c r="M1187" i="1"/>
  <c r="L1187" i="1"/>
  <c r="K1187" i="1"/>
  <c r="J1187" i="1"/>
  <c r="I1187" i="1"/>
  <c r="H1187" i="1"/>
  <c r="G1187" i="1"/>
  <c r="C1187" i="1"/>
  <c r="B1187" i="1"/>
  <c r="A1187" i="1"/>
  <c r="L1186" i="1"/>
  <c r="M1186" i="1" s="1"/>
  <c r="J1186" i="1"/>
  <c r="I1186" i="1"/>
  <c r="K1186" i="1" s="1"/>
  <c r="H1186" i="1"/>
  <c r="G1186" i="1"/>
  <c r="F1186" i="1"/>
  <c r="D1186" i="1"/>
  <c r="C1186" i="1"/>
  <c r="E1186" i="1" s="1"/>
  <c r="B1186" i="1"/>
  <c r="A1186" i="1"/>
  <c r="M1185" i="1"/>
  <c r="L1185" i="1"/>
  <c r="J1185" i="1"/>
  <c r="H1185" i="1"/>
  <c r="G1185" i="1"/>
  <c r="I1185" i="1" s="1"/>
  <c r="K1185" i="1" s="1"/>
  <c r="E1185" i="1"/>
  <c r="D1185" i="1"/>
  <c r="C1185" i="1"/>
  <c r="F1185" i="1" s="1"/>
  <c r="B1185" i="1"/>
  <c r="A1185" i="1"/>
  <c r="L1184" i="1"/>
  <c r="M1184" i="1" s="1"/>
  <c r="J1184" i="1"/>
  <c r="K1184" i="1" s="1"/>
  <c r="I1184" i="1"/>
  <c r="H1184" i="1"/>
  <c r="G1184" i="1"/>
  <c r="F1184" i="1"/>
  <c r="E1184" i="1"/>
  <c r="D1184" i="1"/>
  <c r="C1184" i="1"/>
  <c r="B1184" i="1"/>
  <c r="A1184" i="1"/>
  <c r="M1183" i="1"/>
  <c r="L1183" i="1"/>
  <c r="J1183" i="1"/>
  <c r="H1183" i="1"/>
  <c r="G1183" i="1"/>
  <c r="I1183" i="1" s="1"/>
  <c r="K1183" i="1" s="1"/>
  <c r="F1183" i="1"/>
  <c r="E1183" i="1"/>
  <c r="C1183" i="1"/>
  <c r="D1183" i="1" s="1"/>
  <c r="B1183" i="1"/>
  <c r="A1183" i="1"/>
  <c r="M1182" i="1"/>
  <c r="L1182" i="1"/>
  <c r="J1182" i="1"/>
  <c r="H1182" i="1"/>
  <c r="G1182" i="1"/>
  <c r="I1182" i="1" s="1"/>
  <c r="F1182" i="1"/>
  <c r="D1182" i="1"/>
  <c r="C1182" i="1"/>
  <c r="E1182" i="1" s="1"/>
  <c r="B1182" i="1"/>
  <c r="A1182" i="1"/>
  <c r="M1181" i="1"/>
  <c r="L1181" i="1"/>
  <c r="K1181" i="1"/>
  <c r="J1181" i="1"/>
  <c r="I1181" i="1"/>
  <c r="H1181" i="1"/>
  <c r="G1181" i="1"/>
  <c r="C1181" i="1"/>
  <c r="B1181" i="1"/>
  <c r="A1181" i="1"/>
  <c r="L1180" i="1"/>
  <c r="M1180" i="1" s="1"/>
  <c r="J1180" i="1"/>
  <c r="I1180" i="1"/>
  <c r="K1180" i="1" s="1"/>
  <c r="H1180" i="1"/>
  <c r="G1180" i="1"/>
  <c r="F1180" i="1"/>
  <c r="C1180" i="1"/>
  <c r="E1180" i="1" s="1"/>
  <c r="B1180" i="1"/>
  <c r="A1180" i="1"/>
  <c r="M1179" i="1"/>
  <c r="L1179" i="1"/>
  <c r="J1179" i="1"/>
  <c r="I1179" i="1"/>
  <c r="K1179" i="1" s="1"/>
  <c r="H1179" i="1"/>
  <c r="G1179" i="1"/>
  <c r="E1179" i="1"/>
  <c r="C1179" i="1"/>
  <c r="F1179" i="1" s="1"/>
  <c r="B1179" i="1"/>
  <c r="A1179" i="1"/>
  <c r="L1178" i="1"/>
  <c r="M1178" i="1" s="1"/>
  <c r="K1178" i="1"/>
  <c r="J1178" i="1"/>
  <c r="I1178" i="1"/>
  <c r="H1178" i="1"/>
  <c r="G1178" i="1"/>
  <c r="F1178" i="1"/>
  <c r="E1178" i="1"/>
  <c r="D1178" i="1"/>
  <c r="C1178" i="1"/>
  <c r="B1178" i="1"/>
  <c r="A1178" i="1"/>
  <c r="L1177" i="1"/>
  <c r="M1177" i="1" s="1"/>
  <c r="J1177" i="1"/>
  <c r="I1177" i="1"/>
  <c r="K1177" i="1" s="1"/>
  <c r="H1177" i="1"/>
  <c r="G1177" i="1"/>
  <c r="F1177" i="1"/>
  <c r="C1177" i="1"/>
  <c r="D1177" i="1" s="1"/>
  <c r="B1177" i="1"/>
  <c r="A1177" i="1"/>
  <c r="L1176" i="1"/>
  <c r="M1176" i="1" s="1"/>
  <c r="J1176" i="1"/>
  <c r="H1176" i="1"/>
  <c r="G1176" i="1"/>
  <c r="I1176" i="1" s="1"/>
  <c r="K1176" i="1" s="1"/>
  <c r="F1176" i="1"/>
  <c r="E1176" i="1"/>
  <c r="D1176" i="1"/>
  <c r="C1176" i="1"/>
  <c r="B1176" i="1"/>
  <c r="A1176" i="1"/>
  <c r="M1175" i="1"/>
  <c r="L1175" i="1"/>
  <c r="J1175" i="1"/>
  <c r="H1175" i="1"/>
  <c r="G1175" i="1"/>
  <c r="I1175" i="1" s="1"/>
  <c r="K1175" i="1" s="1"/>
  <c r="C1175" i="1"/>
  <c r="B1175" i="1"/>
  <c r="A1175" i="1"/>
  <c r="L1174" i="1"/>
  <c r="M1174" i="1" s="1"/>
  <c r="J1174" i="1"/>
  <c r="I1174" i="1"/>
  <c r="H1174" i="1"/>
  <c r="G1174" i="1"/>
  <c r="C1174" i="1"/>
  <c r="E1174" i="1" s="1"/>
  <c r="B1174" i="1"/>
  <c r="A1174" i="1"/>
  <c r="M1173" i="1"/>
  <c r="L1173" i="1"/>
  <c r="J1173" i="1"/>
  <c r="K1173" i="1" s="1"/>
  <c r="I1173" i="1"/>
  <c r="H1173" i="1"/>
  <c r="G1173" i="1"/>
  <c r="C1173" i="1"/>
  <c r="F1173" i="1" s="1"/>
  <c r="B1173" i="1"/>
  <c r="A1173" i="1"/>
  <c r="L1172" i="1"/>
  <c r="M1172" i="1" s="1"/>
  <c r="J1172" i="1"/>
  <c r="K1172" i="1" s="1"/>
  <c r="I1172" i="1"/>
  <c r="H1172" i="1"/>
  <c r="G1172" i="1"/>
  <c r="F1172" i="1"/>
  <c r="E1172" i="1"/>
  <c r="D1172" i="1"/>
  <c r="C1172" i="1"/>
  <c r="B1172" i="1"/>
  <c r="A1172" i="1"/>
  <c r="L1171" i="1"/>
  <c r="M1171" i="1" s="1"/>
  <c r="K1171" i="1"/>
  <c r="J1171" i="1"/>
  <c r="I1171" i="1"/>
  <c r="H1171" i="1"/>
  <c r="G1171" i="1"/>
  <c r="C1171" i="1"/>
  <c r="D1171" i="1" s="1"/>
  <c r="B1171" i="1"/>
  <c r="A1171" i="1"/>
  <c r="L1170" i="1"/>
  <c r="M1170" i="1" s="1"/>
  <c r="J1170" i="1"/>
  <c r="H1170" i="1"/>
  <c r="G1170" i="1"/>
  <c r="I1170" i="1" s="1"/>
  <c r="F1170" i="1"/>
  <c r="E1170" i="1"/>
  <c r="D1170" i="1"/>
  <c r="C1170" i="1"/>
  <c r="B1170" i="1"/>
  <c r="A1170" i="1"/>
  <c r="M1169" i="1"/>
  <c r="L1169" i="1"/>
  <c r="J1169" i="1"/>
  <c r="I1169" i="1"/>
  <c r="K1169" i="1" s="1"/>
  <c r="H1169" i="1"/>
  <c r="G1169" i="1"/>
  <c r="C1169" i="1"/>
  <c r="E1169" i="1" s="1"/>
  <c r="B1169" i="1"/>
  <c r="A1169" i="1"/>
  <c r="L1168" i="1"/>
  <c r="M1168" i="1" s="1"/>
  <c r="J1168" i="1"/>
  <c r="I1168" i="1"/>
  <c r="K1168" i="1" s="1"/>
  <c r="H1168" i="1"/>
  <c r="G1168" i="1"/>
  <c r="F1168" i="1"/>
  <c r="D1168" i="1"/>
  <c r="C1168" i="1"/>
  <c r="E1168" i="1" s="1"/>
  <c r="B1168" i="1"/>
  <c r="A1168" i="1"/>
  <c r="M1167" i="1"/>
  <c r="L1167" i="1"/>
  <c r="J1167" i="1"/>
  <c r="H1167" i="1"/>
  <c r="G1167" i="1"/>
  <c r="I1167" i="1" s="1"/>
  <c r="K1167" i="1" s="1"/>
  <c r="E1167" i="1"/>
  <c r="D1167" i="1"/>
  <c r="C1167" i="1"/>
  <c r="F1167" i="1" s="1"/>
  <c r="B1167" i="1"/>
  <c r="A1167" i="1"/>
  <c r="L1166" i="1"/>
  <c r="M1166" i="1" s="1"/>
  <c r="J1166" i="1"/>
  <c r="K1166" i="1" s="1"/>
  <c r="I1166" i="1"/>
  <c r="H1166" i="1"/>
  <c r="G1166" i="1"/>
  <c r="F1166" i="1"/>
  <c r="E1166" i="1"/>
  <c r="D1166" i="1"/>
  <c r="C1166" i="1"/>
  <c r="B1166" i="1"/>
  <c r="A1166" i="1"/>
  <c r="M1165" i="1"/>
  <c r="L1165" i="1"/>
  <c r="J1165" i="1"/>
  <c r="H1165" i="1"/>
  <c r="G1165" i="1"/>
  <c r="I1165" i="1" s="1"/>
  <c r="K1165" i="1" s="1"/>
  <c r="F1165" i="1"/>
  <c r="E1165" i="1"/>
  <c r="C1165" i="1"/>
  <c r="D1165" i="1" s="1"/>
  <c r="B1165" i="1"/>
  <c r="A1165" i="1"/>
  <c r="L1164" i="1"/>
  <c r="M1164" i="1" s="1"/>
  <c r="J1164" i="1"/>
  <c r="H1164" i="1"/>
  <c r="G1164" i="1"/>
  <c r="I1164" i="1" s="1"/>
  <c r="K1164" i="1" s="1"/>
  <c r="F1164" i="1"/>
  <c r="E1164" i="1"/>
  <c r="D1164" i="1"/>
  <c r="C1164" i="1"/>
  <c r="B1164" i="1"/>
  <c r="A1164" i="1"/>
  <c r="M1163" i="1"/>
  <c r="L1163" i="1"/>
  <c r="J1163" i="1"/>
  <c r="H1163" i="1"/>
  <c r="G1163" i="1"/>
  <c r="I1163" i="1" s="1"/>
  <c r="K1163" i="1" s="1"/>
  <c r="F1163" i="1"/>
  <c r="E1163" i="1"/>
  <c r="C1163" i="1"/>
  <c r="D1163" i="1" s="1"/>
  <c r="B1163" i="1"/>
  <c r="A1163" i="1"/>
  <c r="L1162" i="1"/>
  <c r="M1162" i="1" s="1"/>
  <c r="J1162" i="1"/>
  <c r="I1162" i="1"/>
  <c r="K1162" i="1" s="1"/>
  <c r="H1162" i="1"/>
  <c r="G1162" i="1"/>
  <c r="F1162" i="1"/>
  <c r="D1162" i="1"/>
  <c r="C1162" i="1"/>
  <c r="E1162" i="1" s="1"/>
  <c r="B1162" i="1"/>
  <c r="A1162" i="1"/>
  <c r="M1161" i="1"/>
  <c r="L1161" i="1"/>
  <c r="K1161" i="1"/>
  <c r="J1161" i="1"/>
  <c r="I1161" i="1"/>
  <c r="H1161" i="1"/>
  <c r="G1161" i="1"/>
  <c r="E1161" i="1"/>
  <c r="D1161" i="1"/>
  <c r="C1161" i="1"/>
  <c r="F1161" i="1" s="1"/>
  <c r="B1161" i="1"/>
  <c r="A1161" i="1"/>
  <c r="L1160" i="1"/>
  <c r="M1160" i="1" s="1"/>
  <c r="J1160" i="1"/>
  <c r="K1160" i="1" s="1"/>
  <c r="I1160" i="1"/>
  <c r="H1160" i="1"/>
  <c r="G1160" i="1"/>
  <c r="E1160" i="1"/>
  <c r="D1160" i="1"/>
  <c r="C1160" i="1"/>
  <c r="F1160" i="1" s="1"/>
  <c r="B1160" i="1"/>
  <c r="A1160" i="1"/>
  <c r="L1159" i="1"/>
  <c r="M1159" i="1" s="1"/>
  <c r="K1159" i="1"/>
  <c r="J1159" i="1"/>
  <c r="I1159" i="1"/>
  <c r="H1159" i="1"/>
  <c r="G1159" i="1"/>
  <c r="F1159" i="1"/>
  <c r="E1159" i="1"/>
  <c r="C1159" i="1"/>
  <c r="D1159" i="1" s="1"/>
  <c r="B1159" i="1"/>
  <c r="A1159" i="1"/>
  <c r="L1158" i="1"/>
  <c r="M1158" i="1" s="1"/>
  <c r="J1158" i="1"/>
  <c r="K1158" i="1" s="1"/>
  <c r="H1158" i="1"/>
  <c r="G1158" i="1"/>
  <c r="I1158" i="1" s="1"/>
  <c r="F1158" i="1"/>
  <c r="E1158" i="1"/>
  <c r="D1158" i="1"/>
  <c r="C1158" i="1"/>
  <c r="B1158" i="1"/>
  <c r="A1158" i="1"/>
  <c r="L1157" i="1"/>
  <c r="M1157" i="1" s="1"/>
  <c r="J1157" i="1"/>
  <c r="H1157" i="1"/>
  <c r="G1157" i="1"/>
  <c r="I1157" i="1" s="1"/>
  <c r="K1157" i="1" s="1"/>
  <c r="F1157" i="1"/>
  <c r="C1157" i="1"/>
  <c r="D1157" i="1" s="1"/>
  <c r="B1157" i="1"/>
  <c r="A1157" i="1"/>
  <c r="L1156" i="1"/>
  <c r="M1156" i="1" s="1"/>
  <c r="J1156" i="1"/>
  <c r="I1156" i="1"/>
  <c r="K1156" i="1" s="1"/>
  <c r="H1156" i="1"/>
  <c r="G1156" i="1"/>
  <c r="F1156" i="1"/>
  <c r="D1156" i="1"/>
  <c r="C1156" i="1"/>
  <c r="E1156" i="1" s="1"/>
  <c r="B1156" i="1"/>
  <c r="A1156" i="1"/>
  <c r="M1155" i="1"/>
  <c r="L1155" i="1"/>
  <c r="K1155" i="1"/>
  <c r="J1155" i="1"/>
  <c r="I1155" i="1"/>
  <c r="H1155" i="1"/>
  <c r="G1155" i="1"/>
  <c r="E1155" i="1"/>
  <c r="D1155" i="1"/>
  <c r="C1155" i="1"/>
  <c r="F1155" i="1" s="1"/>
  <c r="B1155" i="1"/>
  <c r="A1155" i="1"/>
  <c r="L1154" i="1"/>
  <c r="M1154" i="1" s="1"/>
  <c r="J1154" i="1"/>
  <c r="K1154" i="1" s="1"/>
  <c r="I1154" i="1"/>
  <c r="H1154" i="1"/>
  <c r="G1154" i="1"/>
  <c r="E1154" i="1"/>
  <c r="D1154" i="1"/>
  <c r="C1154" i="1"/>
  <c r="F1154" i="1" s="1"/>
  <c r="B1154" i="1"/>
  <c r="A1154" i="1"/>
  <c r="L1153" i="1"/>
  <c r="M1153" i="1" s="1"/>
  <c r="K1153" i="1"/>
  <c r="J1153" i="1"/>
  <c r="I1153" i="1"/>
  <c r="H1153" i="1"/>
  <c r="G1153" i="1"/>
  <c r="F1153" i="1"/>
  <c r="E1153" i="1"/>
  <c r="D1153" i="1"/>
  <c r="C1153" i="1"/>
  <c r="B1153" i="1"/>
  <c r="A1153" i="1"/>
  <c r="L1152" i="1"/>
  <c r="M1152" i="1" s="1"/>
  <c r="J1152" i="1"/>
  <c r="K1152" i="1" s="1"/>
  <c r="H1152" i="1"/>
  <c r="G1152" i="1"/>
  <c r="I1152" i="1" s="1"/>
  <c r="F1152" i="1"/>
  <c r="E1152" i="1"/>
  <c r="D1152" i="1"/>
  <c r="C1152" i="1"/>
  <c r="B1152" i="1"/>
  <c r="A1152" i="1"/>
  <c r="L1151" i="1"/>
  <c r="M1151" i="1" s="1"/>
  <c r="J1151" i="1"/>
  <c r="H1151" i="1"/>
  <c r="G1151" i="1"/>
  <c r="I1151" i="1" s="1"/>
  <c r="K1151" i="1" s="1"/>
  <c r="F1151" i="1"/>
  <c r="E1151" i="1"/>
  <c r="C1151" i="1"/>
  <c r="D1151" i="1" s="1"/>
  <c r="B1151" i="1"/>
  <c r="A1151" i="1"/>
  <c r="L1150" i="1"/>
  <c r="M1150" i="1" s="1"/>
  <c r="J1150" i="1"/>
  <c r="I1150" i="1"/>
  <c r="K1150" i="1" s="1"/>
  <c r="H1150" i="1"/>
  <c r="G1150" i="1"/>
  <c r="F1150" i="1"/>
  <c r="D1150" i="1"/>
  <c r="C1150" i="1"/>
  <c r="E1150" i="1" s="1"/>
  <c r="B1150" i="1"/>
  <c r="A1150" i="1"/>
  <c r="M1149" i="1"/>
  <c r="L1149" i="1"/>
  <c r="K1149" i="1"/>
  <c r="J1149" i="1"/>
  <c r="I1149" i="1"/>
  <c r="H1149" i="1"/>
  <c r="G1149" i="1"/>
  <c r="E1149" i="1"/>
  <c r="D1149" i="1"/>
  <c r="C1149" i="1"/>
  <c r="F1149" i="1" s="1"/>
  <c r="B1149" i="1"/>
  <c r="A1149" i="1"/>
  <c r="L1148" i="1"/>
  <c r="M1148" i="1" s="1"/>
  <c r="J1148" i="1"/>
  <c r="K1148" i="1" s="1"/>
  <c r="I1148" i="1"/>
  <c r="H1148" i="1"/>
  <c r="G1148" i="1"/>
  <c r="E1148" i="1"/>
  <c r="D1148" i="1"/>
  <c r="C1148" i="1"/>
  <c r="F1148" i="1" s="1"/>
  <c r="B1148" i="1"/>
  <c r="A1148" i="1"/>
  <c r="L1147" i="1"/>
  <c r="M1147" i="1" s="1"/>
  <c r="K1147" i="1"/>
  <c r="J1147" i="1"/>
  <c r="I1147" i="1"/>
  <c r="H1147" i="1"/>
  <c r="G1147" i="1"/>
  <c r="F1147" i="1"/>
  <c r="E1147" i="1"/>
  <c r="D1147" i="1"/>
  <c r="C1147" i="1"/>
  <c r="B1147" i="1"/>
  <c r="A1147" i="1"/>
  <c r="L1146" i="1"/>
  <c r="M1146" i="1" s="1"/>
  <c r="J1146" i="1"/>
  <c r="K1146" i="1" s="1"/>
  <c r="H1146" i="1"/>
  <c r="G1146" i="1"/>
  <c r="I1146" i="1" s="1"/>
  <c r="F1146" i="1"/>
  <c r="E1146" i="1"/>
  <c r="D1146" i="1"/>
  <c r="C1146" i="1"/>
  <c r="B1146" i="1"/>
  <c r="A1146" i="1"/>
  <c r="L1145" i="1"/>
  <c r="M1145" i="1" s="1"/>
  <c r="J1145" i="1"/>
  <c r="H1145" i="1"/>
  <c r="G1145" i="1"/>
  <c r="I1145" i="1" s="1"/>
  <c r="K1145" i="1" s="1"/>
  <c r="F1145" i="1"/>
  <c r="E1145" i="1"/>
  <c r="C1145" i="1"/>
  <c r="D1145" i="1" s="1"/>
  <c r="B1145" i="1"/>
  <c r="A1145" i="1"/>
  <c r="L1144" i="1"/>
  <c r="M1144" i="1" s="1"/>
  <c r="J1144" i="1"/>
  <c r="I1144" i="1"/>
  <c r="K1144" i="1" s="1"/>
  <c r="H1144" i="1"/>
  <c r="G1144" i="1"/>
  <c r="F1144" i="1"/>
  <c r="E1144" i="1"/>
  <c r="D1144" i="1"/>
  <c r="C1144" i="1"/>
  <c r="B1144" i="1"/>
  <c r="A1144" i="1"/>
  <c r="M1143" i="1"/>
  <c r="L1143" i="1"/>
  <c r="J1143" i="1"/>
  <c r="H1143" i="1"/>
  <c r="G1143" i="1"/>
  <c r="I1143" i="1" s="1"/>
  <c r="K1143" i="1" s="1"/>
  <c r="F1143" i="1"/>
  <c r="E1143" i="1"/>
  <c r="D1143" i="1"/>
  <c r="C1143" i="1"/>
  <c r="B1143" i="1"/>
  <c r="A1143" i="1"/>
  <c r="L1142" i="1"/>
  <c r="M1142" i="1" s="1"/>
  <c r="J1142" i="1"/>
  <c r="H1142" i="1"/>
  <c r="G1142" i="1"/>
  <c r="I1142" i="1" s="1"/>
  <c r="K1142" i="1" s="1"/>
  <c r="F1142" i="1"/>
  <c r="E1142" i="1"/>
  <c r="D1142" i="1"/>
  <c r="C1142" i="1"/>
  <c r="B1142" i="1"/>
  <c r="A1142" i="1"/>
  <c r="M1141" i="1"/>
  <c r="L1141" i="1"/>
  <c r="J1141" i="1"/>
  <c r="H1141" i="1"/>
  <c r="G1141" i="1"/>
  <c r="I1141" i="1" s="1"/>
  <c r="K1141" i="1" s="1"/>
  <c r="F1141" i="1"/>
  <c r="E1141" i="1"/>
  <c r="C1141" i="1"/>
  <c r="D1141" i="1" s="1"/>
  <c r="B1141" i="1"/>
  <c r="A1141" i="1"/>
  <c r="L1140" i="1"/>
  <c r="M1140" i="1" s="1"/>
  <c r="J1140" i="1"/>
  <c r="I1140" i="1"/>
  <c r="K1140" i="1" s="1"/>
  <c r="H1140" i="1"/>
  <c r="G1140" i="1"/>
  <c r="F1140" i="1"/>
  <c r="C1140" i="1"/>
  <c r="D1140" i="1" s="1"/>
  <c r="B1140" i="1"/>
  <c r="A1140" i="1"/>
  <c r="M1139" i="1"/>
  <c r="L1139" i="1"/>
  <c r="J1139" i="1"/>
  <c r="I1139" i="1"/>
  <c r="K1139" i="1" s="1"/>
  <c r="H1139" i="1"/>
  <c r="G1139" i="1"/>
  <c r="C1139" i="1"/>
  <c r="E1139" i="1" s="1"/>
  <c r="B1139" i="1"/>
  <c r="A1139" i="1"/>
  <c r="L1138" i="1"/>
  <c r="M1138" i="1" s="1"/>
  <c r="J1138" i="1"/>
  <c r="K1138" i="1" s="1"/>
  <c r="I1138" i="1"/>
  <c r="H1138" i="1"/>
  <c r="G1138" i="1"/>
  <c r="E1138" i="1"/>
  <c r="D1138" i="1"/>
  <c r="C1138" i="1"/>
  <c r="F1138" i="1" s="1"/>
  <c r="B1138" i="1"/>
  <c r="A1138" i="1"/>
  <c r="L1137" i="1"/>
  <c r="M1137" i="1" s="1"/>
  <c r="K1137" i="1"/>
  <c r="J1137" i="1"/>
  <c r="I1137" i="1"/>
  <c r="H1137" i="1"/>
  <c r="G1137" i="1"/>
  <c r="E1137" i="1"/>
  <c r="C1137" i="1"/>
  <c r="F1137" i="1" s="1"/>
  <c r="B1137" i="1"/>
  <c r="A1137" i="1"/>
  <c r="L1136" i="1"/>
  <c r="M1136" i="1" s="1"/>
  <c r="J1136" i="1"/>
  <c r="H1136" i="1"/>
  <c r="G1136" i="1"/>
  <c r="I1136" i="1" s="1"/>
  <c r="K1136" i="1" s="1"/>
  <c r="F1136" i="1"/>
  <c r="E1136" i="1"/>
  <c r="D1136" i="1"/>
  <c r="C1136" i="1"/>
  <c r="B1136" i="1"/>
  <c r="A1136" i="1"/>
  <c r="M1135" i="1"/>
  <c r="L1135" i="1"/>
  <c r="J1135" i="1"/>
  <c r="H1135" i="1"/>
  <c r="G1135" i="1"/>
  <c r="I1135" i="1" s="1"/>
  <c r="K1135" i="1" s="1"/>
  <c r="F1135" i="1"/>
  <c r="E1135" i="1"/>
  <c r="C1135" i="1"/>
  <c r="D1135" i="1" s="1"/>
  <c r="B1135" i="1"/>
  <c r="A1135" i="1"/>
  <c r="M1134" i="1"/>
  <c r="L1134" i="1"/>
  <c r="J1134" i="1"/>
  <c r="I1134" i="1"/>
  <c r="K1134" i="1" s="1"/>
  <c r="H1134" i="1"/>
  <c r="G1134" i="1"/>
  <c r="C1134" i="1"/>
  <c r="F1134" i="1" s="1"/>
  <c r="B1134" i="1"/>
  <c r="A1134" i="1"/>
  <c r="M1133" i="1"/>
  <c r="L1133" i="1"/>
  <c r="J1133" i="1"/>
  <c r="I1133" i="1"/>
  <c r="K1133" i="1" s="1"/>
  <c r="H1133" i="1"/>
  <c r="G1133" i="1"/>
  <c r="C1133" i="1"/>
  <c r="B1133" i="1"/>
  <c r="A1133" i="1"/>
  <c r="L1132" i="1"/>
  <c r="M1132" i="1" s="1"/>
  <c r="J1132" i="1"/>
  <c r="K1132" i="1" s="1"/>
  <c r="I1132" i="1"/>
  <c r="H1132" i="1"/>
  <c r="G1132" i="1"/>
  <c r="D1132" i="1"/>
  <c r="C1132" i="1"/>
  <c r="F1132" i="1" s="1"/>
  <c r="B1132" i="1"/>
  <c r="A1132" i="1"/>
  <c r="L1131" i="1"/>
  <c r="M1131" i="1" s="1"/>
  <c r="K1131" i="1"/>
  <c r="J1131" i="1"/>
  <c r="I1131" i="1"/>
  <c r="H1131" i="1"/>
  <c r="G1131" i="1"/>
  <c r="F1131" i="1"/>
  <c r="E1131" i="1"/>
  <c r="D1131" i="1"/>
  <c r="C1131" i="1"/>
  <c r="B1131" i="1"/>
  <c r="A1131" i="1"/>
  <c r="L1130" i="1"/>
  <c r="M1130" i="1" s="1"/>
  <c r="J1130" i="1"/>
  <c r="H1130" i="1"/>
  <c r="G1130" i="1"/>
  <c r="I1130" i="1" s="1"/>
  <c r="K1130" i="1" s="1"/>
  <c r="F1130" i="1"/>
  <c r="E1130" i="1"/>
  <c r="D1130" i="1"/>
  <c r="C1130" i="1"/>
  <c r="B1130" i="1"/>
  <c r="A1130" i="1"/>
  <c r="M1129" i="1"/>
  <c r="L1129" i="1"/>
  <c r="J1129" i="1"/>
  <c r="H1129" i="1"/>
  <c r="G1129" i="1"/>
  <c r="I1129" i="1" s="1"/>
  <c r="K1129" i="1" s="1"/>
  <c r="F1129" i="1"/>
  <c r="E1129" i="1"/>
  <c r="C1129" i="1"/>
  <c r="D1129" i="1" s="1"/>
  <c r="B1129" i="1"/>
  <c r="A1129" i="1"/>
  <c r="L1128" i="1"/>
  <c r="M1128" i="1" s="1"/>
  <c r="J1128" i="1"/>
  <c r="H1128" i="1"/>
  <c r="G1128" i="1"/>
  <c r="I1128" i="1" s="1"/>
  <c r="K1128" i="1" s="1"/>
  <c r="F1128" i="1"/>
  <c r="C1128" i="1"/>
  <c r="D1128" i="1" s="1"/>
  <c r="B1128" i="1"/>
  <c r="A1128" i="1"/>
  <c r="M1127" i="1"/>
  <c r="L1127" i="1"/>
  <c r="J1127" i="1"/>
  <c r="I1127" i="1"/>
  <c r="K1127" i="1" s="1"/>
  <c r="H1127" i="1"/>
  <c r="G1127" i="1"/>
  <c r="C1127" i="1"/>
  <c r="E1127" i="1" s="1"/>
  <c r="B1127" i="1"/>
  <c r="A1127" i="1"/>
  <c r="L1126" i="1"/>
  <c r="M1126" i="1" s="1"/>
  <c r="J1126" i="1"/>
  <c r="I1126" i="1"/>
  <c r="K1126" i="1" s="1"/>
  <c r="H1126" i="1"/>
  <c r="G1126" i="1"/>
  <c r="E1126" i="1"/>
  <c r="D1126" i="1"/>
  <c r="C1126" i="1"/>
  <c r="F1126" i="1" s="1"/>
  <c r="B1126" i="1"/>
  <c r="A1126" i="1"/>
  <c r="L1125" i="1"/>
  <c r="M1125" i="1" s="1"/>
  <c r="K1125" i="1"/>
  <c r="J1125" i="1"/>
  <c r="I1125" i="1"/>
  <c r="H1125" i="1"/>
  <c r="G1125" i="1"/>
  <c r="E1125" i="1"/>
  <c r="C1125" i="1"/>
  <c r="F1125" i="1" s="1"/>
  <c r="B1125" i="1"/>
  <c r="A1125" i="1"/>
  <c r="L1124" i="1"/>
  <c r="M1124" i="1" s="1"/>
  <c r="J1124" i="1"/>
  <c r="H1124" i="1"/>
  <c r="G1124" i="1"/>
  <c r="I1124" i="1" s="1"/>
  <c r="K1124" i="1" s="1"/>
  <c r="F1124" i="1"/>
  <c r="E1124" i="1"/>
  <c r="D1124" i="1"/>
  <c r="C1124" i="1"/>
  <c r="B1124" i="1"/>
  <c r="A1124" i="1"/>
  <c r="M1123" i="1"/>
  <c r="L1123" i="1"/>
  <c r="J1123" i="1"/>
  <c r="H1123" i="1"/>
  <c r="G1123" i="1"/>
  <c r="I1123" i="1" s="1"/>
  <c r="K1123" i="1" s="1"/>
  <c r="F1123" i="1"/>
  <c r="E1123" i="1"/>
  <c r="C1123" i="1"/>
  <c r="D1123" i="1" s="1"/>
  <c r="B1123" i="1"/>
  <c r="A1123" i="1"/>
  <c r="M1122" i="1"/>
  <c r="L1122" i="1"/>
  <c r="J1122" i="1"/>
  <c r="I1122" i="1"/>
  <c r="K1122" i="1" s="1"/>
  <c r="H1122" i="1"/>
  <c r="G1122" i="1"/>
  <c r="C1122" i="1"/>
  <c r="F1122" i="1" s="1"/>
  <c r="B1122" i="1"/>
  <c r="A1122" i="1"/>
  <c r="M1121" i="1"/>
  <c r="L1121" i="1"/>
  <c r="J1121" i="1"/>
  <c r="I1121" i="1"/>
  <c r="K1121" i="1" s="1"/>
  <c r="H1121" i="1"/>
  <c r="G1121" i="1"/>
  <c r="C1121" i="1"/>
  <c r="B1121" i="1"/>
  <c r="A1121" i="1"/>
  <c r="L1120" i="1"/>
  <c r="M1120" i="1" s="1"/>
  <c r="J1120" i="1"/>
  <c r="K1120" i="1" s="1"/>
  <c r="I1120" i="1"/>
  <c r="H1120" i="1"/>
  <c r="G1120" i="1"/>
  <c r="D1120" i="1"/>
  <c r="C1120" i="1"/>
  <c r="F1120" i="1" s="1"/>
  <c r="B1120" i="1"/>
  <c r="A1120" i="1"/>
  <c r="L1119" i="1"/>
  <c r="M1119" i="1" s="1"/>
  <c r="K1119" i="1"/>
  <c r="J1119" i="1"/>
  <c r="I1119" i="1"/>
  <c r="H1119" i="1"/>
  <c r="G1119" i="1"/>
  <c r="F1119" i="1"/>
  <c r="E1119" i="1"/>
  <c r="D1119" i="1"/>
  <c r="C1119" i="1"/>
  <c r="B1119" i="1"/>
  <c r="A1119" i="1"/>
  <c r="L1118" i="1"/>
  <c r="M1118" i="1" s="1"/>
  <c r="J1118" i="1"/>
  <c r="H1118" i="1"/>
  <c r="G1118" i="1"/>
  <c r="I1118" i="1" s="1"/>
  <c r="K1118" i="1" s="1"/>
  <c r="F1118" i="1"/>
  <c r="E1118" i="1"/>
  <c r="D1118" i="1"/>
  <c r="C1118" i="1"/>
  <c r="B1118" i="1"/>
  <c r="A1118" i="1"/>
  <c r="M1117" i="1"/>
  <c r="L1117" i="1"/>
  <c r="J1117" i="1"/>
  <c r="H1117" i="1"/>
  <c r="G1117" i="1"/>
  <c r="I1117" i="1" s="1"/>
  <c r="K1117" i="1" s="1"/>
  <c r="F1117" i="1"/>
  <c r="E1117" i="1"/>
  <c r="C1117" i="1"/>
  <c r="D1117" i="1" s="1"/>
  <c r="B1117" i="1"/>
  <c r="A1117" i="1"/>
  <c r="L1116" i="1"/>
  <c r="M1116" i="1" s="1"/>
  <c r="J1116" i="1"/>
  <c r="H1116" i="1"/>
  <c r="G1116" i="1"/>
  <c r="I1116" i="1" s="1"/>
  <c r="K1116" i="1" s="1"/>
  <c r="F1116" i="1"/>
  <c r="C1116" i="1"/>
  <c r="D1116" i="1" s="1"/>
  <c r="B1116" i="1"/>
  <c r="A1116" i="1"/>
  <c r="M1115" i="1"/>
  <c r="L1115" i="1"/>
  <c r="J1115" i="1"/>
  <c r="I1115" i="1"/>
  <c r="K1115" i="1" s="1"/>
  <c r="H1115" i="1"/>
  <c r="G1115" i="1"/>
  <c r="C1115" i="1"/>
  <c r="E1115" i="1" s="1"/>
  <c r="B1115" i="1"/>
  <c r="A1115" i="1"/>
  <c r="L1114" i="1"/>
  <c r="M1114" i="1" s="1"/>
  <c r="J1114" i="1"/>
  <c r="I1114" i="1"/>
  <c r="K1114" i="1" s="1"/>
  <c r="H1114" i="1"/>
  <c r="G1114" i="1"/>
  <c r="E1114" i="1"/>
  <c r="D1114" i="1"/>
  <c r="C1114" i="1"/>
  <c r="F1114" i="1" s="1"/>
  <c r="B1114" i="1"/>
  <c r="A1114" i="1"/>
  <c r="L1113" i="1"/>
  <c r="M1113" i="1" s="1"/>
  <c r="J1113" i="1"/>
  <c r="K1113" i="1" s="1"/>
  <c r="I1113" i="1"/>
  <c r="H1113" i="1"/>
  <c r="G1113" i="1"/>
  <c r="E1113" i="1"/>
  <c r="C1113" i="1"/>
  <c r="F1113" i="1" s="1"/>
  <c r="B1113" i="1"/>
  <c r="A1113" i="1"/>
  <c r="L1112" i="1"/>
  <c r="M1112" i="1" s="1"/>
  <c r="J1112" i="1"/>
  <c r="H1112" i="1"/>
  <c r="G1112" i="1"/>
  <c r="I1112" i="1" s="1"/>
  <c r="K1112" i="1" s="1"/>
  <c r="F1112" i="1"/>
  <c r="E1112" i="1"/>
  <c r="D1112" i="1"/>
  <c r="C1112" i="1"/>
  <c r="B1112" i="1"/>
  <c r="A1112" i="1"/>
  <c r="L1111" i="1"/>
  <c r="M1111" i="1" s="1"/>
  <c r="J1111" i="1"/>
  <c r="H1111" i="1"/>
  <c r="G1111" i="1"/>
  <c r="I1111" i="1" s="1"/>
  <c r="K1111" i="1" s="1"/>
  <c r="F1111" i="1"/>
  <c r="E1111" i="1"/>
  <c r="C1111" i="1"/>
  <c r="D1111" i="1" s="1"/>
  <c r="B1111" i="1"/>
  <c r="A1111" i="1"/>
  <c r="M1110" i="1"/>
  <c r="L1110" i="1"/>
  <c r="J1110" i="1"/>
  <c r="I1110" i="1"/>
  <c r="K1110" i="1" s="1"/>
  <c r="H1110" i="1"/>
  <c r="G1110" i="1"/>
  <c r="C1110" i="1"/>
  <c r="F1110" i="1" s="1"/>
  <c r="B1110" i="1"/>
  <c r="A1110" i="1"/>
  <c r="M1109" i="1"/>
  <c r="L1109" i="1"/>
  <c r="J1109" i="1"/>
  <c r="I1109" i="1"/>
  <c r="K1109" i="1" s="1"/>
  <c r="H1109" i="1"/>
  <c r="G1109" i="1"/>
  <c r="C1109" i="1"/>
  <c r="B1109" i="1"/>
  <c r="A1109" i="1"/>
  <c r="L1108" i="1"/>
  <c r="M1108" i="1" s="1"/>
  <c r="J1108" i="1"/>
  <c r="I1108" i="1"/>
  <c r="K1108" i="1" s="1"/>
  <c r="H1108" i="1"/>
  <c r="G1108" i="1"/>
  <c r="C1108" i="1"/>
  <c r="B1108" i="1"/>
  <c r="A1108" i="1"/>
  <c r="L1107" i="1"/>
  <c r="M1107" i="1" s="1"/>
  <c r="K1107" i="1"/>
  <c r="J1107" i="1"/>
  <c r="I1107" i="1"/>
  <c r="H1107" i="1"/>
  <c r="G1107" i="1"/>
  <c r="F1107" i="1"/>
  <c r="E1107" i="1"/>
  <c r="D1107" i="1"/>
  <c r="C1107" i="1"/>
  <c r="B1107" i="1"/>
  <c r="A1107" i="1"/>
  <c r="L1106" i="1"/>
  <c r="M1106" i="1" s="1"/>
  <c r="J1106" i="1"/>
  <c r="H1106" i="1"/>
  <c r="G1106" i="1"/>
  <c r="I1106" i="1" s="1"/>
  <c r="K1106" i="1" s="1"/>
  <c r="F1106" i="1"/>
  <c r="E1106" i="1"/>
  <c r="D1106" i="1"/>
  <c r="C1106" i="1"/>
  <c r="B1106" i="1"/>
  <c r="A1106" i="1"/>
  <c r="M1105" i="1"/>
  <c r="L1105" i="1"/>
  <c r="J1105" i="1"/>
  <c r="H1105" i="1"/>
  <c r="G1105" i="1"/>
  <c r="I1105" i="1" s="1"/>
  <c r="K1105" i="1" s="1"/>
  <c r="F1105" i="1"/>
  <c r="E1105" i="1"/>
  <c r="C1105" i="1"/>
  <c r="D1105" i="1" s="1"/>
  <c r="B1105" i="1"/>
  <c r="A1105" i="1"/>
  <c r="L1104" i="1"/>
  <c r="M1104" i="1" s="1"/>
  <c r="J1104" i="1"/>
  <c r="H1104" i="1"/>
  <c r="G1104" i="1"/>
  <c r="I1104" i="1" s="1"/>
  <c r="K1104" i="1" s="1"/>
  <c r="F1104" i="1"/>
  <c r="C1104" i="1"/>
  <c r="D1104" i="1" s="1"/>
  <c r="B1104" i="1"/>
  <c r="A1104" i="1"/>
  <c r="M1103" i="1"/>
  <c r="L1103" i="1"/>
  <c r="J1103" i="1"/>
  <c r="I1103" i="1"/>
  <c r="K1103" i="1" s="1"/>
  <c r="H1103" i="1"/>
  <c r="G1103" i="1"/>
  <c r="C1103" i="1"/>
  <c r="E1103" i="1" s="1"/>
  <c r="B1103" i="1"/>
  <c r="A1103" i="1"/>
  <c r="L1102" i="1"/>
  <c r="M1102" i="1" s="1"/>
  <c r="J1102" i="1"/>
  <c r="I1102" i="1"/>
  <c r="K1102" i="1" s="1"/>
  <c r="H1102" i="1"/>
  <c r="G1102" i="1"/>
  <c r="D1102" i="1"/>
  <c r="C1102" i="1"/>
  <c r="F1102" i="1" s="1"/>
  <c r="B1102" i="1"/>
  <c r="A1102" i="1"/>
  <c r="L1101" i="1"/>
  <c r="M1101" i="1" s="1"/>
  <c r="J1101" i="1"/>
  <c r="K1101" i="1" s="1"/>
  <c r="I1101" i="1"/>
  <c r="H1101" i="1"/>
  <c r="G1101" i="1"/>
  <c r="E1101" i="1"/>
  <c r="C1101" i="1"/>
  <c r="F1101" i="1" s="1"/>
  <c r="B1101" i="1"/>
  <c r="A1101" i="1"/>
  <c r="L1100" i="1"/>
  <c r="M1100" i="1" s="1"/>
  <c r="J1100" i="1"/>
  <c r="H1100" i="1"/>
  <c r="G1100" i="1"/>
  <c r="I1100" i="1" s="1"/>
  <c r="K1100" i="1" s="1"/>
  <c r="F1100" i="1"/>
  <c r="E1100" i="1"/>
  <c r="D1100" i="1"/>
  <c r="C1100" i="1"/>
  <c r="B1100" i="1"/>
  <c r="A1100" i="1"/>
  <c r="L1099" i="1"/>
  <c r="M1099" i="1" s="1"/>
  <c r="J1099" i="1"/>
  <c r="H1099" i="1"/>
  <c r="G1099" i="1"/>
  <c r="I1099" i="1" s="1"/>
  <c r="K1099" i="1" s="1"/>
  <c r="F1099" i="1"/>
  <c r="E1099" i="1"/>
  <c r="C1099" i="1"/>
  <c r="D1099" i="1" s="1"/>
  <c r="B1099" i="1"/>
  <c r="A1099" i="1"/>
  <c r="M1098" i="1"/>
  <c r="L1098" i="1"/>
  <c r="J1098" i="1"/>
  <c r="H1098" i="1"/>
  <c r="G1098" i="1"/>
  <c r="I1098" i="1" s="1"/>
  <c r="K1098" i="1" s="1"/>
  <c r="C1098" i="1"/>
  <c r="B1098" i="1"/>
  <c r="A1098" i="1"/>
  <c r="M1097" i="1"/>
  <c r="L1097" i="1"/>
  <c r="J1097" i="1"/>
  <c r="I1097" i="1"/>
  <c r="K1097" i="1" s="1"/>
  <c r="H1097" i="1"/>
  <c r="G1097" i="1"/>
  <c r="C1097" i="1"/>
  <c r="B1097" i="1"/>
  <c r="A1097" i="1"/>
  <c r="L1096" i="1"/>
  <c r="M1096" i="1" s="1"/>
  <c r="J1096" i="1"/>
  <c r="I1096" i="1"/>
  <c r="H1096" i="1"/>
  <c r="G1096" i="1"/>
  <c r="C1096" i="1"/>
  <c r="F1096" i="1" s="1"/>
  <c r="B1096" i="1"/>
  <c r="A1096" i="1"/>
  <c r="L1095" i="1"/>
  <c r="M1095" i="1" s="1"/>
  <c r="K1095" i="1"/>
  <c r="J1095" i="1"/>
  <c r="I1095" i="1"/>
  <c r="H1095" i="1"/>
  <c r="G1095" i="1"/>
  <c r="F1095" i="1"/>
  <c r="E1095" i="1"/>
  <c r="D1095" i="1"/>
  <c r="C1095" i="1"/>
  <c r="B1095" i="1"/>
  <c r="A1095" i="1"/>
  <c r="L1094" i="1"/>
  <c r="M1094" i="1" s="1"/>
  <c r="J1094" i="1"/>
  <c r="H1094" i="1"/>
  <c r="G1094" i="1"/>
  <c r="I1094" i="1" s="1"/>
  <c r="K1094" i="1" s="1"/>
  <c r="F1094" i="1"/>
  <c r="E1094" i="1"/>
  <c r="D1094" i="1"/>
  <c r="C1094" i="1"/>
  <c r="B1094" i="1"/>
  <c r="A1094" i="1"/>
  <c r="M1093" i="1"/>
  <c r="L1093" i="1"/>
  <c r="J1093" i="1"/>
  <c r="H1093" i="1"/>
  <c r="G1093" i="1"/>
  <c r="I1093" i="1" s="1"/>
  <c r="K1093" i="1" s="1"/>
  <c r="F1093" i="1"/>
  <c r="E1093" i="1"/>
  <c r="C1093" i="1"/>
  <c r="D1093" i="1" s="1"/>
  <c r="B1093" i="1"/>
  <c r="A1093" i="1"/>
  <c r="L1092" i="1"/>
  <c r="M1092" i="1" s="1"/>
  <c r="J1092" i="1"/>
  <c r="H1092" i="1"/>
  <c r="G1092" i="1"/>
  <c r="I1092" i="1" s="1"/>
  <c r="K1092" i="1" s="1"/>
  <c r="F1092" i="1"/>
  <c r="C1092" i="1"/>
  <c r="D1092" i="1" s="1"/>
  <c r="B1092" i="1"/>
  <c r="A1092" i="1"/>
  <c r="M1091" i="1"/>
  <c r="L1091" i="1"/>
  <c r="J1091" i="1"/>
  <c r="I1091" i="1"/>
  <c r="H1091" i="1"/>
  <c r="G1091" i="1"/>
  <c r="C1091" i="1"/>
  <c r="B1091" i="1"/>
  <c r="A1091" i="1"/>
  <c r="L1090" i="1"/>
  <c r="M1090" i="1" s="1"/>
  <c r="K1090" i="1"/>
  <c r="J1090" i="1"/>
  <c r="I1090" i="1"/>
  <c r="H1090" i="1"/>
  <c r="G1090" i="1"/>
  <c r="D1090" i="1"/>
  <c r="C1090" i="1"/>
  <c r="F1090" i="1" s="1"/>
  <c r="B1090" i="1"/>
  <c r="A1090" i="1"/>
  <c r="L1089" i="1"/>
  <c r="M1089" i="1" s="1"/>
  <c r="K1089" i="1"/>
  <c r="J1089" i="1"/>
  <c r="I1089" i="1"/>
  <c r="H1089" i="1"/>
  <c r="G1089" i="1"/>
  <c r="E1089" i="1"/>
  <c r="C1089" i="1"/>
  <c r="F1089" i="1" s="1"/>
  <c r="B1089" i="1"/>
  <c r="A1089" i="1"/>
  <c r="L1088" i="1"/>
  <c r="M1088" i="1" s="1"/>
  <c r="J1088" i="1"/>
  <c r="H1088" i="1"/>
  <c r="G1088" i="1"/>
  <c r="I1088" i="1" s="1"/>
  <c r="K1088" i="1" s="1"/>
  <c r="F1088" i="1"/>
  <c r="E1088" i="1"/>
  <c r="D1088" i="1"/>
  <c r="C1088" i="1"/>
  <c r="B1088" i="1"/>
  <c r="A1088" i="1"/>
  <c r="L1087" i="1"/>
  <c r="M1087" i="1" s="1"/>
  <c r="J1087" i="1"/>
  <c r="H1087" i="1"/>
  <c r="G1087" i="1"/>
  <c r="I1087" i="1" s="1"/>
  <c r="K1087" i="1" s="1"/>
  <c r="F1087" i="1"/>
  <c r="E1087" i="1"/>
  <c r="C1087" i="1"/>
  <c r="D1087" i="1" s="1"/>
  <c r="B1087" i="1"/>
  <c r="A1087" i="1"/>
  <c r="M1086" i="1"/>
  <c r="L1086" i="1"/>
  <c r="J1086" i="1"/>
  <c r="H1086" i="1"/>
  <c r="G1086" i="1"/>
  <c r="I1086" i="1" s="1"/>
  <c r="K1086" i="1" s="1"/>
  <c r="C1086" i="1"/>
  <c r="B1086" i="1"/>
  <c r="A1086" i="1"/>
  <c r="M1085" i="1"/>
  <c r="L1085" i="1"/>
  <c r="J1085" i="1"/>
  <c r="I1085" i="1"/>
  <c r="K1085" i="1" s="1"/>
  <c r="H1085" i="1"/>
  <c r="G1085" i="1"/>
  <c r="C1085" i="1"/>
  <c r="B1085" i="1"/>
  <c r="A1085" i="1"/>
  <c r="L1084" i="1"/>
  <c r="M1084" i="1" s="1"/>
  <c r="J1084" i="1"/>
  <c r="I1084" i="1"/>
  <c r="H1084" i="1"/>
  <c r="G1084" i="1"/>
  <c r="C1084" i="1"/>
  <c r="F1084" i="1" s="1"/>
  <c r="B1084" i="1"/>
  <c r="A1084" i="1"/>
  <c r="L1083" i="1"/>
  <c r="M1083" i="1" s="1"/>
  <c r="J1083" i="1"/>
  <c r="I1083" i="1"/>
  <c r="K1083" i="1" s="1"/>
  <c r="H1083" i="1"/>
  <c r="G1083" i="1"/>
  <c r="C1083" i="1"/>
  <c r="F1083" i="1" s="1"/>
  <c r="B1083" i="1"/>
  <c r="A1083" i="1"/>
  <c r="L1082" i="1"/>
  <c r="M1082" i="1" s="1"/>
  <c r="J1082" i="1"/>
  <c r="H1082" i="1"/>
  <c r="G1082" i="1"/>
  <c r="I1082" i="1" s="1"/>
  <c r="K1082" i="1" s="1"/>
  <c r="F1082" i="1"/>
  <c r="E1082" i="1"/>
  <c r="D1082" i="1"/>
  <c r="C1082" i="1"/>
  <c r="B1082" i="1"/>
  <c r="A1082" i="1"/>
  <c r="M1081" i="1"/>
  <c r="L1081" i="1"/>
  <c r="J1081" i="1"/>
  <c r="H1081" i="1"/>
  <c r="G1081" i="1"/>
  <c r="I1081" i="1" s="1"/>
  <c r="K1081" i="1" s="1"/>
  <c r="F1081" i="1"/>
  <c r="E1081" i="1"/>
  <c r="C1081" i="1"/>
  <c r="D1081" i="1" s="1"/>
  <c r="B1081" i="1"/>
  <c r="A1081" i="1"/>
  <c r="L1080" i="1"/>
  <c r="M1080" i="1" s="1"/>
  <c r="J1080" i="1"/>
  <c r="H1080" i="1"/>
  <c r="G1080" i="1"/>
  <c r="I1080" i="1" s="1"/>
  <c r="K1080" i="1" s="1"/>
  <c r="F1080" i="1"/>
  <c r="C1080" i="1"/>
  <c r="D1080" i="1" s="1"/>
  <c r="B1080" i="1"/>
  <c r="A1080" i="1"/>
  <c r="M1079" i="1"/>
  <c r="L1079" i="1"/>
  <c r="J1079" i="1"/>
  <c r="I1079" i="1"/>
  <c r="K1079" i="1" s="1"/>
  <c r="H1079" i="1"/>
  <c r="G1079" i="1"/>
  <c r="C1079" i="1"/>
  <c r="B1079" i="1"/>
  <c r="A1079" i="1"/>
  <c r="L1078" i="1"/>
  <c r="M1078" i="1" s="1"/>
  <c r="J1078" i="1"/>
  <c r="I1078" i="1"/>
  <c r="K1078" i="1" s="1"/>
  <c r="H1078" i="1"/>
  <c r="G1078" i="1"/>
  <c r="D1078" i="1"/>
  <c r="C1078" i="1"/>
  <c r="F1078" i="1" s="1"/>
  <c r="B1078" i="1"/>
  <c r="A1078" i="1"/>
  <c r="L1077" i="1"/>
  <c r="M1077" i="1" s="1"/>
  <c r="J1077" i="1"/>
  <c r="K1077" i="1" s="1"/>
  <c r="I1077" i="1"/>
  <c r="H1077" i="1"/>
  <c r="G1077" i="1"/>
  <c r="E1077" i="1"/>
  <c r="C1077" i="1"/>
  <c r="B1077" i="1"/>
  <c r="A1077" i="1"/>
  <c r="L1076" i="1"/>
  <c r="M1076" i="1" s="1"/>
  <c r="K1076" i="1"/>
  <c r="J1076" i="1"/>
  <c r="H1076" i="1"/>
  <c r="G1076" i="1"/>
  <c r="I1076" i="1" s="1"/>
  <c r="F1076" i="1"/>
  <c r="E1076" i="1"/>
  <c r="D1076" i="1"/>
  <c r="C1076" i="1"/>
  <c r="B1076" i="1"/>
  <c r="A1076" i="1"/>
  <c r="L1075" i="1"/>
  <c r="M1075" i="1" s="1"/>
  <c r="K1075" i="1"/>
  <c r="J1075" i="1"/>
  <c r="H1075" i="1"/>
  <c r="G1075" i="1"/>
  <c r="I1075" i="1" s="1"/>
  <c r="F1075" i="1"/>
  <c r="E1075" i="1"/>
  <c r="C1075" i="1"/>
  <c r="D1075" i="1" s="1"/>
  <c r="B1075" i="1"/>
  <c r="A1075" i="1"/>
  <c r="L1074" i="1"/>
  <c r="M1074" i="1" s="1"/>
  <c r="J1074" i="1"/>
  <c r="H1074" i="1"/>
  <c r="G1074" i="1"/>
  <c r="I1074" i="1" s="1"/>
  <c r="K1074" i="1" s="1"/>
  <c r="F1074" i="1"/>
  <c r="C1074" i="1"/>
  <c r="B1074" i="1"/>
  <c r="A1074" i="1"/>
  <c r="M1073" i="1"/>
  <c r="L1073" i="1"/>
  <c r="J1073" i="1"/>
  <c r="H1073" i="1"/>
  <c r="G1073" i="1"/>
  <c r="I1073" i="1" s="1"/>
  <c r="K1073" i="1" s="1"/>
  <c r="D1073" i="1"/>
  <c r="C1073" i="1"/>
  <c r="B1073" i="1"/>
  <c r="A1073" i="1"/>
  <c r="L1072" i="1"/>
  <c r="M1072" i="1" s="1"/>
  <c r="J1072" i="1"/>
  <c r="I1072" i="1"/>
  <c r="H1072" i="1"/>
  <c r="G1072" i="1"/>
  <c r="C1072" i="1"/>
  <c r="F1072" i="1" s="1"/>
  <c r="B1072" i="1"/>
  <c r="A1072" i="1"/>
  <c r="L1071" i="1"/>
  <c r="M1071" i="1" s="1"/>
  <c r="J1071" i="1"/>
  <c r="I1071" i="1"/>
  <c r="K1071" i="1" s="1"/>
  <c r="H1071" i="1"/>
  <c r="G1071" i="1"/>
  <c r="F1071" i="1"/>
  <c r="C1071" i="1"/>
  <c r="E1071" i="1" s="1"/>
  <c r="B1071" i="1"/>
  <c r="A1071" i="1"/>
  <c r="L1070" i="1"/>
  <c r="M1070" i="1" s="1"/>
  <c r="J1070" i="1"/>
  <c r="H1070" i="1"/>
  <c r="G1070" i="1"/>
  <c r="I1070" i="1" s="1"/>
  <c r="K1070" i="1" s="1"/>
  <c r="F1070" i="1"/>
  <c r="E1070" i="1"/>
  <c r="D1070" i="1"/>
  <c r="C1070" i="1"/>
  <c r="B1070" i="1"/>
  <c r="A1070" i="1"/>
  <c r="M1069" i="1"/>
  <c r="L1069" i="1"/>
  <c r="K1069" i="1"/>
  <c r="J1069" i="1"/>
  <c r="H1069" i="1"/>
  <c r="G1069" i="1"/>
  <c r="I1069" i="1" s="1"/>
  <c r="F1069" i="1"/>
  <c r="E1069" i="1"/>
  <c r="C1069" i="1"/>
  <c r="D1069" i="1" s="1"/>
  <c r="B1069" i="1"/>
  <c r="A1069" i="1"/>
  <c r="L1068" i="1"/>
  <c r="M1068" i="1" s="1"/>
  <c r="J1068" i="1"/>
  <c r="I1068" i="1"/>
  <c r="K1068" i="1" s="1"/>
  <c r="H1068" i="1"/>
  <c r="G1068" i="1"/>
  <c r="F1068" i="1"/>
  <c r="C1068" i="1"/>
  <c r="D1068" i="1" s="1"/>
  <c r="B1068" i="1"/>
  <c r="A1068" i="1"/>
  <c r="M1067" i="1"/>
  <c r="L1067" i="1"/>
  <c r="J1067" i="1"/>
  <c r="I1067" i="1"/>
  <c r="K1067" i="1" s="1"/>
  <c r="H1067" i="1"/>
  <c r="G1067" i="1"/>
  <c r="C1067" i="1"/>
  <c r="B1067" i="1"/>
  <c r="A1067" i="1"/>
  <c r="L1066" i="1"/>
  <c r="M1066" i="1" s="1"/>
  <c r="J1066" i="1"/>
  <c r="I1066" i="1"/>
  <c r="K1066" i="1" s="1"/>
  <c r="H1066" i="1"/>
  <c r="G1066" i="1"/>
  <c r="D1066" i="1"/>
  <c r="C1066" i="1"/>
  <c r="F1066" i="1" s="1"/>
  <c r="B1066" i="1"/>
  <c r="A1066" i="1"/>
  <c r="L1065" i="1"/>
  <c r="M1065" i="1" s="1"/>
  <c r="J1065" i="1"/>
  <c r="I1065" i="1"/>
  <c r="K1065" i="1" s="1"/>
  <c r="H1065" i="1"/>
  <c r="G1065" i="1"/>
  <c r="C1065" i="1"/>
  <c r="B1065" i="1"/>
  <c r="A1065" i="1"/>
  <c r="L1064" i="1"/>
  <c r="M1064" i="1" s="1"/>
  <c r="J1064" i="1"/>
  <c r="H1064" i="1"/>
  <c r="G1064" i="1"/>
  <c r="I1064" i="1" s="1"/>
  <c r="K1064" i="1" s="1"/>
  <c r="F1064" i="1"/>
  <c r="E1064" i="1"/>
  <c r="D1064" i="1"/>
  <c r="C1064" i="1"/>
  <c r="B1064" i="1"/>
  <c r="A1064" i="1"/>
  <c r="L1063" i="1"/>
  <c r="M1063" i="1" s="1"/>
  <c r="J1063" i="1"/>
  <c r="H1063" i="1"/>
  <c r="G1063" i="1"/>
  <c r="I1063" i="1" s="1"/>
  <c r="K1063" i="1" s="1"/>
  <c r="F1063" i="1"/>
  <c r="E1063" i="1"/>
  <c r="C1063" i="1"/>
  <c r="D1063" i="1" s="1"/>
  <c r="B1063" i="1"/>
  <c r="A1063" i="1"/>
  <c r="M1062" i="1"/>
  <c r="L1062" i="1"/>
  <c r="J1062" i="1"/>
  <c r="H1062" i="1"/>
  <c r="G1062" i="1"/>
  <c r="I1062" i="1" s="1"/>
  <c r="K1062" i="1" s="1"/>
  <c r="F1062" i="1"/>
  <c r="C1062" i="1"/>
  <c r="B1062" i="1"/>
  <c r="A1062" i="1"/>
  <c r="M1061" i="1"/>
  <c r="L1061" i="1"/>
  <c r="J1061" i="1"/>
  <c r="H1061" i="1"/>
  <c r="G1061" i="1"/>
  <c r="I1061" i="1" s="1"/>
  <c r="K1061" i="1" s="1"/>
  <c r="C1061" i="1"/>
  <c r="D1061" i="1" s="1"/>
  <c r="B1061" i="1"/>
  <c r="A1061" i="1"/>
  <c r="L1060" i="1"/>
  <c r="M1060" i="1" s="1"/>
  <c r="J1060" i="1"/>
  <c r="I1060" i="1"/>
  <c r="H1060" i="1"/>
  <c r="G1060" i="1"/>
  <c r="C1060" i="1"/>
  <c r="F1060" i="1" s="1"/>
  <c r="B1060" i="1"/>
  <c r="A1060" i="1"/>
  <c r="L1059" i="1"/>
  <c r="M1059" i="1" s="1"/>
  <c r="J1059" i="1"/>
  <c r="I1059" i="1"/>
  <c r="K1059" i="1" s="1"/>
  <c r="H1059" i="1"/>
  <c r="G1059" i="1"/>
  <c r="C1059" i="1"/>
  <c r="F1059" i="1" s="1"/>
  <c r="B1059" i="1"/>
  <c r="A1059" i="1"/>
  <c r="L1058" i="1"/>
  <c r="M1058" i="1" s="1"/>
  <c r="J1058" i="1"/>
  <c r="H1058" i="1"/>
  <c r="G1058" i="1"/>
  <c r="I1058" i="1" s="1"/>
  <c r="K1058" i="1" s="1"/>
  <c r="F1058" i="1"/>
  <c r="E1058" i="1"/>
  <c r="D1058" i="1"/>
  <c r="C1058" i="1"/>
  <c r="B1058" i="1"/>
  <c r="A1058" i="1"/>
  <c r="M1057" i="1"/>
  <c r="L1057" i="1"/>
  <c r="J1057" i="1"/>
  <c r="H1057" i="1"/>
  <c r="G1057" i="1"/>
  <c r="I1057" i="1" s="1"/>
  <c r="K1057" i="1" s="1"/>
  <c r="F1057" i="1"/>
  <c r="E1057" i="1"/>
  <c r="C1057" i="1"/>
  <c r="D1057" i="1" s="1"/>
  <c r="B1057" i="1"/>
  <c r="A1057" i="1"/>
  <c r="L1056" i="1"/>
  <c r="M1056" i="1" s="1"/>
  <c r="J1056" i="1"/>
  <c r="H1056" i="1"/>
  <c r="G1056" i="1"/>
  <c r="I1056" i="1" s="1"/>
  <c r="K1056" i="1" s="1"/>
  <c r="F1056" i="1"/>
  <c r="C1056" i="1"/>
  <c r="D1056" i="1" s="1"/>
  <c r="B1056" i="1"/>
  <c r="A1056" i="1"/>
  <c r="M1055" i="1"/>
  <c r="L1055" i="1"/>
  <c r="J1055" i="1"/>
  <c r="I1055" i="1"/>
  <c r="K1055" i="1" s="1"/>
  <c r="H1055" i="1"/>
  <c r="G1055" i="1"/>
  <c r="C1055" i="1"/>
  <c r="B1055" i="1"/>
  <c r="A1055" i="1"/>
  <c r="L1054" i="1"/>
  <c r="M1054" i="1" s="1"/>
  <c r="J1054" i="1"/>
  <c r="I1054" i="1"/>
  <c r="K1054" i="1" s="1"/>
  <c r="H1054" i="1"/>
  <c r="G1054" i="1"/>
  <c r="D1054" i="1"/>
  <c r="C1054" i="1"/>
  <c r="B1054" i="1"/>
  <c r="A1054" i="1"/>
  <c r="L1053" i="1"/>
  <c r="M1053" i="1" s="1"/>
  <c r="J1053" i="1"/>
  <c r="K1053" i="1" s="1"/>
  <c r="I1053" i="1"/>
  <c r="H1053" i="1"/>
  <c r="G1053" i="1"/>
  <c r="C1053" i="1"/>
  <c r="F1053" i="1" s="1"/>
  <c r="B1053" i="1"/>
  <c r="A1053" i="1"/>
  <c r="M1052" i="1"/>
  <c r="L1052" i="1"/>
  <c r="J1052" i="1"/>
  <c r="K1052" i="1" s="1"/>
  <c r="H1052" i="1"/>
  <c r="G1052" i="1"/>
  <c r="I1052" i="1" s="1"/>
  <c r="F1052" i="1"/>
  <c r="E1052" i="1"/>
  <c r="D1052" i="1"/>
  <c r="C1052" i="1"/>
  <c r="B1052" i="1"/>
  <c r="A1052" i="1"/>
  <c r="M1051" i="1"/>
  <c r="L1051" i="1"/>
  <c r="K1051" i="1"/>
  <c r="J1051" i="1"/>
  <c r="H1051" i="1"/>
  <c r="G1051" i="1"/>
  <c r="I1051" i="1" s="1"/>
  <c r="F1051" i="1"/>
  <c r="E1051" i="1"/>
  <c r="C1051" i="1"/>
  <c r="D1051" i="1" s="1"/>
  <c r="B1051" i="1"/>
  <c r="A1051" i="1"/>
  <c r="L1050" i="1"/>
  <c r="M1050" i="1" s="1"/>
  <c r="J1050" i="1"/>
  <c r="H1050" i="1"/>
  <c r="G1050" i="1"/>
  <c r="I1050" i="1" s="1"/>
  <c r="K1050" i="1" s="1"/>
  <c r="C1050" i="1"/>
  <c r="B1050" i="1"/>
  <c r="A1050" i="1"/>
  <c r="M1049" i="1"/>
  <c r="L1049" i="1"/>
  <c r="J1049" i="1"/>
  <c r="H1049" i="1"/>
  <c r="G1049" i="1"/>
  <c r="I1049" i="1" s="1"/>
  <c r="K1049" i="1" s="1"/>
  <c r="C1049" i="1"/>
  <c r="B1049" i="1"/>
  <c r="A1049" i="1"/>
  <c r="L1048" i="1"/>
  <c r="M1048" i="1" s="1"/>
  <c r="J1048" i="1"/>
  <c r="I1048" i="1"/>
  <c r="H1048" i="1"/>
  <c r="G1048" i="1"/>
  <c r="D1048" i="1"/>
  <c r="C1048" i="1"/>
  <c r="F1048" i="1" s="1"/>
  <c r="B1048" i="1"/>
  <c r="A1048" i="1"/>
  <c r="L1047" i="1"/>
  <c r="M1047" i="1" s="1"/>
  <c r="J1047" i="1"/>
  <c r="I1047" i="1"/>
  <c r="K1047" i="1" s="1"/>
  <c r="H1047" i="1"/>
  <c r="G1047" i="1"/>
  <c r="D1047" i="1"/>
  <c r="C1047" i="1"/>
  <c r="E1047" i="1" s="1"/>
  <c r="B1047" i="1"/>
  <c r="A1047" i="1"/>
  <c r="L1046" i="1"/>
  <c r="M1046" i="1" s="1"/>
  <c r="J1046" i="1"/>
  <c r="H1046" i="1"/>
  <c r="G1046" i="1"/>
  <c r="I1046" i="1" s="1"/>
  <c r="K1046" i="1" s="1"/>
  <c r="F1046" i="1"/>
  <c r="E1046" i="1"/>
  <c r="D1046" i="1"/>
  <c r="C1046" i="1"/>
  <c r="B1046" i="1"/>
  <c r="A1046" i="1"/>
  <c r="M1045" i="1"/>
  <c r="L1045" i="1"/>
  <c r="J1045" i="1"/>
  <c r="H1045" i="1"/>
  <c r="G1045" i="1"/>
  <c r="I1045" i="1" s="1"/>
  <c r="K1045" i="1" s="1"/>
  <c r="F1045" i="1"/>
  <c r="E1045" i="1"/>
  <c r="C1045" i="1"/>
  <c r="D1045" i="1" s="1"/>
  <c r="B1045" i="1"/>
  <c r="A1045" i="1"/>
  <c r="L1044" i="1"/>
  <c r="M1044" i="1" s="1"/>
  <c r="J1044" i="1"/>
  <c r="H1044" i="1"/>
  <c r="G1044" i="1"/>
  <c r="I1044" i="1" s="1"/>
  <c r="K1044" i="1" s="1"/>
  <c r="F1044" i="1"/>
  <c r="C1044" i="1"/>
  <c r="D1044" i="1" s="1"/>
  <c r="B1044" i="1"/>
  <c r="A1044" i="1"/>
  <c r="M1043" i="1"/>
  <c r="L1043" i="1"/>
  <c r="J1043" i="1"/>
  <c r="I1043" i="1"/>
  <c r="K1043" i="1" s="1"/>
  <c r="H1043" i="1"/>
  <c r="G1043" i="1"/>
  <c r="C1043" i="1"/>
  <c r="B1043" i="1"/>
  <c r="A1043" i="1"/>
  <c r="L1042" i="1"/>
  <c r="M1042" i="1" s="1"/>
  <c r="J1042" i="1"/>
  <c r="I1042" i="1"/>
  <c r="K1042" i="1" s="1"/>
  <c r="H1042" i="1"/>
  <c r="G1042" i="1"/>
  <c r="D1042" i="1"/>
  <c r="C1042" i="1"/>
  <c r="B1042" i="1"/>
  <c r="A1042" i="1"/>
  <c r="L1041" i="1"/>
  <c r="M1041" i="1" s="1"/>
  <c r="J1041" i="1"/>
  <c r="K1041" i="1" s="1"/>
  <c r="I1041" i="1"/>
  <c r="H1041" i="1"/>
  <c r="G1041" i="1"/>
  <c r="C1041" i="1"/>
  <c r="F1041" i="1" s="1"/>
  <c r="B1041" i="1"/>
  <c r="A1041" i="1"/>
  <c r="M1040" i="1"/>
  <c r="L1040" i="1"/>
  <c r="J1040" i="1"/>
  <c r="K1040" i="1" s="1"/>
  <c r="H1040" i="1"/>
  <c r="G1040" i="1"/>
  <c r="I1040" i="1" s="1"/>
  <c r="F1040" i="1"/>
  <c r="E1040" i="1"/>
  <c r="D1040" i="1"/>
  <c r="C1040" i="1"/>
  <c r="B1040" i="1"/>
  <c r="A1040" i="1"/>
  <c r="M1039" i="1"/>
  <c r="L1039" i="1"/>
  <c r="K1039" i="1"/>
  <c r="J1039" i="1"/>
  <c r="H1039" i="1"/>
  <c r="G1039" i="1"/>
  <c r="I1039" i="1" s="1"/>
  <c r="F1039" i="1"/>
  <c r="E1039" i="1"/>
  <c r="C1039" i="1"/>
  <c r="D1039" i="1" s="1"/>
  <c r="B1039" i="1"/>
  <c r="A1039" i="1"/>
  <c r="L1038" i="1"/>
  <c r="M1038" i="1" s="1"/>
  <c r="J1038" i="1"/>
  <c r="H1038" i="1"/>
  <c r="G1038" i="1"/>
  <c r="I1038" i="1" s="1"/>
  <c r="K1038" i="1" s="1"/>
  <c r="C1038" i="1"/>
  <c r="F1038" i="1" s="1"/>
  <c r="B1038" i="1"/>
  <c r="A1038" i="1"/>
  <c r="M1037" i="1"/>
  <c r="L1037" i="1"/>
  <c r="J1037" i="1"/>
  <c r="H1037" i="1"/>
  <c r="G1037" i="1"/>
  <c r="I1037" i="1" s="1"/>
  <c r="K1037" i="1" s="1"/>
  <c r="C1037" i="1"/>
  <c r="B1037" i="1"/>
  <c r="A1037" i="1"/>
  <c r="L1036" i="1"/>
  <c r="M1036" i="1" s="1"/>
  <c r="J1036" i="1"/>
  <c r="I1036" i="1"/>
  <c r="H1036" i="1"/>
  <c r="G1036" i="1"/>
  <c r="D1036" i="1"/>
  <c r="C1036" i="1"/>
  <c r="F1036" i="1" s="1"/>
  <c r="B1036" i="1"/>
  <c r="A1036" i="1"/>
  <c r="L1035" i="1"/>
  <c r="M1035" i="1" s="1"/>
  <c r="J1035" i="1"/>
  <c r="I1035" i="1"/>
  <c r="K1035" i="1" s="1"/>
  <c r="H1035" i="1"/>
  <c r="G1035" i="1"/>
  <c r="D1035" i="1"/>
  <c r="C1035" i="1"/>
  <c r="F1035" i="1" s="1"/>
  <c r="B1035" i="1"/>
  <c r="A1035" i="1"/>
  <c r="L1034" i="1"/>
  <c r="M1034" i="1" s="1"/>
  <c r="J1034" i="1"/>
  <c r="H1034" i="1"/>
  <c r="G1034" i="1"/>
  <c r="I1034" i="1" s="1"/>
  <c r="K1034" i="1" s="1"/>
  <c r="F1034" i="1"/>
  <c r="E1034" i="1"/>
  <c r="D1034" i="1"/>
  <c r="C1034" i="1"/>
  <c r="B1034" i="1"/>
  <c r="A1034" i="1"/>
  <c r="M1033" i="1"/>
  <c r="L1033" i="1"/>
  <c r="J1033" i="1"/>
  <c r="H1033" i="1"/>
  <c r="G1033" i="1"/>
  <c r="I1033" i="1" s="1"/>
  <c r="K1033" i="1" s="1"/>
  <c r="F1033" i="1"/>
  <c r="E1033" i="1"/>
  <c r="C1033" i="1"/>
  <c r="D1033" i="1" s="1"/>
  <c r="B1033" i="1"/>
  <c r="A1033" i="1"/>
  <c r="L1032" i="1"/>
  <c r="M1032" i="1" s="1"/>
  <c r="J1032" i="1"/>
  <c r="H1032" i="1"/>
  <c r="G1032" i="1"/>
  <c r="I1032" i="1" s="1"/>
  <c r="K1032" i="1" s="1"/>
  <c r="F1032" i="1"/>
  <c r="C1032" i="1"/>
  <c r="D1032" i="1" s="1"/>
  <c r="B1032" i="1"/>
  <c r="A1032" i="1"/>
  <c r="M1031" i="1"/>
  <c r="L1031" i="1"/>
  <c r="J1031" i="1"/>
  <c r="I1031" i="1"/>
  <c r="K1031" i="1" s="1"/>
  <c r="H1031" i="1"/>
  <c r="G1031" i="1"/>
  <c r="C1031" i="1"/>
  <c r="B1031" i="1"/>
  <c r="A1031" i="1"/>
  <c r="L1030" i="1"/>
  <c r="M1030" i="1" s="1"/>
  <c r="J1030" i="1"/>
  <c r="I1030" i="1"/>
  <c r="K1030" i="1" s="1"/>
  <c r="H1030" i="1"/>
  <c r="G1030" i="1"/>
  <c r="D1030" i="1"/>
  <c r="C1030" i="1"/>
  <c r="B1030" i="1"/>
  <c r="A1030" i="1"/>
  <c r="L1029" i="1"/>
  <c r="M1029" i="1" s="1"/>
  <c r="J1029" i="1"/>
  <c r="K1029" i="1" s="1"/>
  <c r="I1029" i="1"/>
  <c r="H1029" i="1"/>
  <c r="G1029" i="1"/>
  <c r="C1029" i="1"/>
  <c r="F1029" i="1" s="1"/>
  <c r="B1029" i="1"/>
  <c r="A1029" i="1"/>
  <c r="M1028" i="1"/>
  <c r="L1028" i="1"/>
  <c r="J1028" i="1"/>
  <c r="K1028" i="1" s="1"/>
  <c r="H1028" i="1"/>
  <c r="G1028" i="1"/>
  <c r="I1028" i="1" s="1"/>
  <c r="F1028" i="1"/>
  <c r="E1028" i="1"/>
  <c r="D1028" i="1"/>
  <c r="C1028" i="1"/>
  <c r="B1028" i="1"/>
  <c r="A1028" i="1"/>
  <c r="M1027" i="1"/>
  <c r="L1027" i="1"/>
  <c r="K1027" i="1"/>
  <c r="J1027" i="1"/>
  <c r="H1027" i="1"/>
  <c r="G1027" i="1"/>
  <c r="I1027" i="1" s="1"/>
  <c r="F1027" i="1"/>
  <c r="E1027" i="1"/>
  <c r="C1027" i="1"/>
  <c r="D1027" i="1" s="1"/>
  <c r="B1027" i="1"/>
  <c r="A1027" i="1"/>
  <c r="L1026" i="1"/>
  <c r="M1026" i="1" s="1"/>
  <c r="J1026" i="1"/>
  <c r="H1026" i="1"/>
  <c r="G1026" i="1"/>
  <c r="I1026" i="1" s="1"/>
  <c r="K1026" i="1" s="1"/>
  <c r="C1026" i="1"/>
  <c r="B1026" i="1"/>
  <c r="A1026" i="1"/>
  <c r="M1025" i="1"/>
  <c r="L1025" i="1"/>
  <c r="J1025" i="1"/>
  <c r="H1025" i="1"/>
  <c r="G1025" i="1"/>
  <c r="I1025" i="1" s="1"/>
  <c r="K1025" i="1" s="1"/>
  <c r="C1025" i="1"/>
  <c r="B1025" i="1"/>
  <c r="A1025" i="1"/>
  <c r="L1024" i="1"/>
  <c r="M1024" i="1" s="1"/>
  <c r="J1024" i="1"/>
  <c r="I1024" i="1"/>
  <c r="H1024" i="1"/>
  <c r="G1024" i="1"/>
  <c r="D1024" i="1"/>
  <c r="C1024" i="1"/>
  <c r="F1024" i="1" s="1"/>
  <c r="B1024" i="1"/>
  <c r="A1024" i="1"/>
  <c r="L1023" i="1"/>
  <c r="M1023" i="1" s="1"/>
  <c r="J1023" i="1"/>
  <c r="I1023" i="1"/>
  <c r="K1023" i="1" s="1"/>
  <c r="H1023" i="1"/>
  <c r="G1023" i="1"/>
  <c r="D1023" i="1"/>
  <c r="C1023" i="1"/>
  <c r="E1023" i="1" s="1"/>
  <c r="B1023" i="1"/>
  <c r="A1023" i="1"/>
  <c r="L1022" i="1"/>
  <c r="M1022" i="1" s="1"/>
  <c r="J1022" i="1"/>
  <c r="H1022" i="1"/>
  <c r="G1022" i="1"/>
  <c r="I1022" i="1" s="1"/>
  <c r="K1022" i="1" s="1"/>
  <c r="F1022" i="1"/>
  <c r="E1022" i="1"/>
  <c r="D1022" i="1"/>
  <c r="C1022" i="1"/>
  <c r="B1022" i="1"/>
  <c r="A1022" i="1"/>
  <c r="M1021" i="1"/>
  <c r="L1021" i="1"/>
  <c r="J1021" i="1"/>
  <c r="H1021" i="1"/>
  <c r="G1021" i="1"/>
  <c r="I1021" i="1" s="1"/>
  <c r="K1021" i="1" s="1"/>
  <c r="F1021" i="1"/>
  <c r="E1021" i="1"/>
  <c r="C1021" i="1"/>
  <c r="D1021" i="1" s="1"/>
  <c r="B1021" i="1"/>
  <c r="A1021" i="1"/>
  <c r="L1020" i="1"/>
  <c r="M1020" i="1" s="1"/>
  <c r="J1020" i="1"/>
  <c r="H1020" i="1"/>
  <c r="G1020" i="1"/>
  <c r="I1020" i="1" s="1"/>
  <c r="K1020" i="1" s="1"/>
  <c r="F1020" i="1"/>
  <c r="C1020" i="1"/>
  <c r="D1020" i="1" s="1"/>
  <c r="B1020" i="1"/>
  <c r="A1020" i="1"/>
  <c r="M1019" i="1"/>
  <c r="L1019" i="1"/>
  <c r="J1019" i="1"/>
  <c r="I1019" i="1"/>
  <c r="K1019" i="1" s="1"/>
  <c r="H1019" i="1"/>
  <c r="G1019" i="1"/>
  <c r="C1019" i="1"/>
  <c r="B1019" i="1"/>
  <c r="A1019" i="1"/>
  <c r="L1018" i="1"/>
  <c r="M1018" i="1" s="1"/>
  <c r="J1018" i="1"/>
  <c r="I1018" i="1"/>
  <c r="K1018" i="1" s="1"/>
  <c r="H1018" i="1"/>
  <c r="G1018" i="1"/>
  <c r="D1018" i="1"/>
  <c r="C1018" i="1"/>
  <c r="B1018" i="1"/>
  <c r="A1018" i="1"/>
  <c r="L1017" i="1"/>
  <c r="M1017" i="1" s="1"/>
  <c r="J1017" i="1"/>
  <c r="K1017" i="1" s="1"/>
  <c r="I1017" i="1"/>
  <c r="H1017" i="1"/>
  <c r="G1017" i="1"/>
  <c r="C1017" i="1"/>
  <c r="F1017" i="1" s="1"/>
  <c r="B1017" i="1"/>
  <c r="A1017" i="1"/>
  <c r="M1016" i="1"/>
  <c r="L1016" i="1"/>
  <c r="J1016" i="1"/>
  <c r="K1016" i="1" s="1"/>
  <c r="H1016" i="1"/>
  <c r="G1016" i="1"/>
  <c r="I1016" i="1" s="1"/>
  <c r="F1016" i="1"/>
  <c r="E1016" i="1"/>
  <c r="D1016" i="1"/>
  <c r="C1016" i="1"/>
  <c r="B1016" i="1"/>
  <c r="A1016" i="1"/>
  <c r="M1015" i="1"/>
  <c r="L1015" i="1"/>
  <c r="K1015" i="1"/>
  <c r="J1015" i="1"/>
  <c r="H1015" i="1"/>
  <c r="G1015" i="1"/>
  <c r="I1015" i="1" s="1"/>
  <c r="F1015" i="1"/>
  <c r="E1015" i="1"/>
  <c r="C1015" i="1"/>
  <c r="D1015" i="1" s="1"/>
  <c r="B1015" i="1"/>
  <c r="A1015" i="1"/>
  <c r="L1014" i="1"/>
  <c r="M1014" i="1" s="1"/>
  <c r="J1014" i="1"/>
  <c r="H1014" i="1"/>
  <c r="G1014" i="1"/>
  <c r="I1014" i="1" s="1"/>
  <c r="K1014" i="1" s="1"/>
  <c r="C1014" i="1"/>
  <c r="F1014" i="1" s="1"/>
  <c r="B1014" i="1"/>
  <c r="A1014" i="1"/>
  <c r="M1013" i="1"/>
  <c r="L1013" i="1"/>
  <c r="J1013" i="1"/>
  <c r="H1013" i="1"/>
  <c r="G1013" i="1"/>
  <c r="I1013" i="1" s="1"/>
  <c r="K1013" i="1" s="1"/>
  <c r="C1013" i="1"/>
  <c r="B1013" i="1"/>
  <c r="A1013" i="1"/>
  <c r="L1012" i="1"/>
  <c r="M1012" i="1" s="1"/>
  <c r="J1012" i="1"/>
  <c r="I1012" i="1"/>
  <c r="H1012" i="1"/>
  <c r="G1012" i="1"/>
  <c r="D1012" i="1"/>
  <c r="C1012" i="1"/>
  <c r="F1012" i="1" s="1"/>
  <c r="B1012" i="1"/>
  <c r="A1012" i="1"/>
  <c r="L1011" i="1"/>
  <c r="M1011" i="1" s="1"/>
  <c r="J1011" i="1"/>
  <c r="I1011" i="1"/>
  <c r="K1011" i="1" s="1"/>
  <c r="H1011" i="1"/>
  <c r="G1011" i="1"/>
  <c r="D1011" i="1"/>
  <c r="C1011" i="1"/>
  <c r="F1011" i="1" s="1"/>
  <c r="B1011" i="1"/>
  <c r="A1011" i="1"/>
  <c r="L1010" i="1"/>
  <c r="M1010" i="1" s="1"/>
  <c r="J1010" i="1"/>
  <c r="H1010" i="1"/>
  <c r="G1010" i="1"/>
  <c r="I1010" i="1" s="1"/>
  <c r="K1010" i="1" s="1"/>
  <c r="F1010" i="1"/>
  <c r="E1010" i="1"/>
  <c r="D1010" i="1"/>
  <c r="C1010" i="1"/>
  <c r="B1010" i="1"/>
  <c r="A1010" i="1"/>
  <c r="L1009" i="1"/>
  <c r="M1009" i="1" s="1"/>
  <c r="J1009" i="1"/>
  <c r="H1009" i="1"/>
  <c r="G1009" i="1"/>
  <c r="I1009" i="1" s="1"/>
  <c r="K1009" i="1" s="1"/>
  <c r="F1009" i="1"/>
  <c r="E1009" i="1"/>
  <c r="C1009" i="1"/>
  <c r="D1009" i="1" s="1"/>
  <c r="B1009" i="1"/>
  <c r="A1009" i="1"/>
  <c r="M1008" i="1"/>
  <c r="L1008" i="1"/>
  <c r="J1008" i="1"/>
  <c r="I1008" i="1"/>
  <c r="K1008" i="1" s="1"/>
  <c r="H1008" i="1"/>
  <c r="G1008" i="1"/>
  <c r="F1008" i="1"/>
  <c r="C1008" i="1"/>
  <c r="B1008" i="1"/>
  <c r="A1008" i="1"/>
  <c r="M1007" i="1"/>
  <c r="L1007" i="1"/>
  <c r="J1007" i="1"/>
  <c r="H1007" i="1"/>
  <c r="G1007" i="1"/>
  <c r="I1007" i="1" s="1"/>
  <c r="K1007" i="1" s="1"/>
  <c r="D1007" i="1"/>
  <c r="C1007" i="1"/>
  <c r="B1007" i="1"/>
  <c r="A1007" i="1"/>
  <c r="L1006" i="1"/>
  <c r="M1006" i="1" s="1"/>
  <c r="K1006" i="1"/>
  <c r="J1006" i="1"/>
  <c r="I1006" i="1"/>
  <c r="H1006" i="1"/>
  <c r="G1006" i="1"/>
  <c r="D1006" i="1"/>
  <c r="C1006" i="1"/>
  <c r="F1006" i="1" s="1"/>
  <c r="B1006" i="1"/>
  <c r="A1006" i="1"/>
  <c r="L1005" i="1"/>
  <c r="M1005" i="1" s="1"/>
  <c r="J1005" i="1"/>
  <c r="I1005" i="1"/>
  <c r="K1005" i="1" s="1"/>
  <c r="H1005" i="1"/>
  <c r="G1005" i="1"/>
  <c r="D1005" i="1"/>
  <c r="C1005" i="1"/>
  <c r="E1005" i="1" s="1"/>
  <c r="B1005" i="1"/>
  <c r="A1005" i="1"/>
  <c r="L1004" i="1"/>
  <c r="M1004" i="1" s="1"/>
  <c r="J1004" i="1"/>
  <c r="H1004" i="1"/>
  <c r="G1004" i="1"/>
  <c r="I1004" i="1" s="1"/>
  <c r="K1004" i="1" s="1"/>
  <c r="F1004" i="1"/>
  <c r="E1004" i="1"/>
  <c r="D1004" i="1"/>
  <c r="C1004" i="1"/>
  <c r="B1004" i="1"/>
  <c r="A1004" i="1"/>
  <c r="L1003" i="1"/>
  <c r="M1003" i="1" s="1"/>
  <c r="J1003" i="1"/>
  <c r="H1003" i="1"/>
  <c r="G1003" i="1"/>
  <c r="I1003" i="1" s="1"/>
  <c r="K1003" i="1" s="1"/>
  <c r="F1003" i="1"/>
  <c r="E1003" i="1"/>
  <c r="C1003" i="1"/>
  <c r="D1003" i="1" s="1"/>
  <c r="B1003" i="1"/>
  <c r="A1003" i="1"/>
  <c r="M1002" i="1"/>
  <c r="L1002" i="1"/>
  <c r="J1002" i="1"/>
  <c r="I1002" i="1"/>
  <c r="K1002" i="1" s="1"/>
  <c r="H1002" i="1"/>
  <c r="G1002" i="1"/>
  <c r="F1002" i="1"/>
  <c r="C1002" i="1"/>
  <c r="B1002" i="1"/>
  <c r="A1002" i="1"/>
  <c r="M1001" i="1"/>
  <c r="L1001" i="1"/>
  <c r="J1001" i="1"/>
  <c r="H1001" i="1"/>
  <c r="G1001" i="1"/>
  <c r="I1001" i="1" s="1"/>
  <c r="K1001" i="1" s="1"/>
  <c r="D1001" i="1"/>
  <c r="C1001" i="1"/>
  <c r="B1001" i="1"/>
  <c r="A1001" i="1"/>
  <c r="L1000" i="1"/>
  <c r="M1000" i="1" s="1"/>
  <c r="K1000" i="1"/>
  <c r="J1000" i="1"/>
  <c r="I1000" i="1"/>
  <c r="H1000" i="1"/>
  <c r="G1000" i="1"/>
  <c r="D1000" i="1"/>
  <c r="C1000" i="1"/>
  <c r="F1000" i="1" s="1"/>
  <c r="B1000" i="1"/>
  <c r="A1000" i="1"/>
  <c r="L999" i="1"/>
  <c r="M999" i="1" s="1"/>
  <c r="J999" i="1"/>
  <c r="I999" i="1"/>
  <c r="K999" i="1" s="1"/>
  <c r="H999" i="1"/>
  <c r="G999" i="1"/>
  <c r="D999" i="1"/>
  <c r="C999" i="1"/>
  <c r="F999" i="1" s="1"/>
  <c r="B999" i="1"/>
  <c r="A999" i="1"/>
  <c r="L998" i="1"/>
  <c r="M998" i="1" s="1"/>
  <c r="J998" i="1"/>
  <c r="H998" i="1"/>
  <c r="G998" i="1"/>
  <c r="I998" i="1" s="1"/>
  <c r="K998" i="1" s="1"/>
  <c r="F998" i="1"/>
  <c r="E998" i="1"/>
  <c r="D998" i="1"/>
  <c r="C998" i="1"/>
  <c r="B998" i="1"/>
  <c r="A998" i="1"/>
  <c r="L997" i="1"/>
  <c r="M997" i="1" s="1"/>
  <c r="J997" i="1"/>
  <c r="H997" i="1"/>
  <c r="G997" i="1"/>
  <c r="I997" i="1" s="1"/>
  <c r="K997" i="1" s="1"/>
  <c r="F997" i="1"/>
  <c r="E997" i="1"/>
  <c r="C997" i="1"/>
  <c r="D997" i="1" s="1"/>
  <c r="B997" i="1"/>
  <c r="A997" i="1"/>
  <c r="M996" i="1"/>
  <c r="L996" i="1"/>
  <c r="J996" i="1"/>
  <c r="I996" i="1"/>
  <c r="K996" i="1" s="1"/>
  <c r="H996" i="1"/>
  <c r="G996" i="1"/>
  <c r="F996" i="1"/>
  <c r="C996" i="1"/>
  <c r="B996" i="1"/>
  <c r="A996" i="1"/>
  <c r="M995" i="1"/>
  <c r="L995" i="1"/>
  <c r="J995" i="1"/>
  <c r="H995" i="1"/>
  <c r="G995" i="1"/>
  <c r="I995" i="1" s="1"/>
  <c r="K995" i="1" s="1"/>
  <c r="D995" i="1"/>
  <c r="C995" i="1"/>
  <c r="B995" i="1"/>
  <c r="A995" i="1"/>
  <c r="L994" i="1"/>
  <c r="M994" i="1" s="1"/>
  <c r="K994" i="1"/>
  <c r="J994" i="1"/>
  <c r="I994" i="1"/>
  <c r="H994" i="1"/>
  <c r="G994" i="1"/>
  <c r="D994" i="1"/>
  <c r="C994" i="1"/>
  <c r="F994" i="1" s="1"/>
  <c r="B994" i="1"/>
  <c r="A994" i="1"/>
  <c r="L993" i="1"/>
  <c r="M993" i="1" s="1"/>
  <c r="J993" i="1"/>
  <c r="I993" i="1"/>
  <c r="K993" i="1" s="1"/>
  <c r="H993" i="1"/>
  <c r="G993" i="1"/>
  <c r="D993" i="1"/>
  <c r="C993" i="1"/>
  <c r="E993" i="1" s="1"/>
  <c r="B993" i="1"/>
  <c r="A993" i="1"/>
  <c r="L992" i="1"/>
  <c r="M992" i="1" s="1"/>
  <c r="J992" i="1"/>
  <c r="H992" i="1"/>
  <c r="G992" i="1"/>
  <c r="I992" i="1" s="1"/>
  <c r="K992" i="1" s="1"/>
  <c r="F992" i="1"/>
  <c r="E992" i="1"/>
  <c r="D992" i="1"/>
  <c r="C992" i="1"/>
  <c r="B992" i="1"/>
  <c r="A992" i="1"/>
  <c r="L991" i="1"/>
  <c r="M991" i="1" s="1"/>
  <c r="J991" i="1"/>
  <c r="H991" i="1"/>
  <c r="G991" i="1"/>
  <c r="I991" i="1" s="1"/>
  <c r="K991" i="1" s="1"/>
  <c r="F991" i="1"/>
  <c r="E991" i="1"/>
  <c r="C991" i="1"/>
  <c r="D991" i="1" s="1"/>
  <c r="B991" i="1"/>
  <c r="A991" i="1"/>
  <c r="M990" i="1"/>
  <c r="L990" i="1"/>
  <c r="J990" i="1"/>
  <c r="I990" i="1"/>
  <c r="K990" i="1" s="1"/>
  <c r="H990" i="1"/>
  <c r="G990" i="1"/>
  <c r="F990" i="1"/>
  <c r="C990" i="1"/>
  <c r="B990" i="1"/>
  <c r="A990" i="1"/>
  <c r="M989" i="1"/>
  <c r="L989" i="1"/>
  <c r="J989" i="1"/>
  <c r="H989" i="1"/>
  <c r="G989" i="1"/>
  <c r="I989" i="1" s="1"/>
  <c r="K989" i="1" s="1"/>
  <c r="D989" i="1"/>
  <c r="C989" i="1"/>
  <c r="B989" i="1"/>
  <c r="A989" i="1"/>
  <c r="L988" i="1"/>
  <c r="M988" i="1" s="1"/>
  <c r="K988" i="1"/>
  <c r="J988" i="1"/>
  <c r="I988" i="1"/>
  <c r="H988" i="1"/>
  <c r="G988" i="1"/>
  <c r="D988" i="1"/>
  <c r="C988" i="1"/>
  <c r="F988" i="1" s="1"/>
  <c r="B988" i="1"/>
  <c r="A988" i="1"/>
  <c r="L987" i="1"/>
  <c r="M987" i="1" s="1"/>
  <c r="J987" i="1"/>
  <c r="I987" i="1"/>
  <c r="K987" i="1" s="1"/>
  <c r="H987" i="1"/>
  <c r="G987" i="1"/>
  <c r="D987" i="1"/>
  <c r="C987" i="1"/>
  <c r="F987" i="1" s="1"/>
  <c r="B987" i="1"/>
  <c r="A987" i="1"/>
  <c r="L986" i="1"/>
  <c r="M986" i="1" s="1"/>
  <c r="K986" i="1"/>
  <c r="J986" i="1"/>
  <c r="H986" i="1"/>
  <c r="G986" i="1"/>
  <c r="I986" i="1" s="1"/>
  <c r="F986" i="1"/>
  <c r="E986" i="1"/>
  <c r="D986" i="1"/>
  <c r="C986" i="1"/>
  <c r="B986" i="1"/>
  <c r="A986" i="1"/>
  <c r="L985" i="1"/>
  <c r="M985" i="1" s="1"/>
  <c r="K985" i="1"/>
  <c r="J985" i="1"/>
  <c r="H985" i="1"/>
  <c r="G985" i="1"/>
  <c r="I985" i="1" s="1"/>
  <c r="F985" i="1"/>
  <c r="E985" i="1"/>
  <c r="C985" i="1"/>
  <c r="D985" i="1" s="1"/>
  <c r="B985" i="1"/>
  <c r="A985" i="1"/>
  <c r="M984" i="1"/>
  <c r="L984" i="1"/>
  <c r="J984" i="1"/>
  <c r="I984" i="1"/>
  <c r="K984" i="1" s="1"/>
  <c r="H984" i="1"/>
  <c r="G984" i="1"/>
  <c r="F984" i="1"/>
  <c r="C984" i="1"/>
  <c r="B984" i="1"/>
  <c r="A984" i="1"/>
  <c r="M983" i="1"/>
  <c r="L983" i="1"/>
  <c r="J983" i="1"/>
  <c r="H983" i="1"/>
  <c r="G983" i="1"/>
  <c r="I983" i="1" s="1"/>
  <c r="K983" i="1" s="1"/>
  <c r="D983" i="1"/>
  <c r="C983" i="1"/>
  <c r="B983" i="1"/>
  <c r="A983" i="1"/>
  <c r="L982" i="1"/>
  <c r="M982" i="1" s="1"/>
  <c r="K982" i="1"/>
  <c r="J982" i="1"/>
  <c r="I982" i="1"/>
  <c r="H982" i="1"/>
  <c r="G982" i="1"/>
  <c r="D982" i="1"/>
  <c r="C982" i="1"/>
  <c r="F982" i="1" s="1"/>
  <c r="B982" i="1"/>
  <c r="A982" i="1"/>
  <c r="L981" i="1"/>
  <c r="M981" i="1" s="1"/>
  <c r="J981" i="1"/>
  <c r="I981" i="1"/>
  <c r="K981" i="1" s="1"/>
  <c r="H981" i="1"/>
  <c r="G981" i="1"/>
  <c r="D981" i="1"/>
  <c r="C981" i="1"/>
  <c r="E981" i="1" s="1"/>
  <c r="B981" i="1"/>
  <c r="A981" i="1"/>
  <c r="L980" i="1"/>
  <c r="M980" i="1" s="1"/>
  <c r="J980" i="1"/>
  <c r="H980" i="1"/>
  <c r="G980" i="1"/>
  <c r="I980" i="1" s="1"/>
  <c r="K980" i="1" s="1"/>
  <c r="F980" i="1"/>
  <c r="E980" i="1"/>
  <c r="D980" i="1"/>
  <c r="C980" i="1"/>
  <c r="B980" i="1"/>
  <c r="A980" i="1"/>
  <c r="L979" i="1"/>
  <c r="M979" i="1" s="1"/>
  <c r="J979" i="1"/>
  <c r="H979" i="1"/>
  <c r="G979" i="1"/>
  <c r="I979" i="1" s="1"/>
  <c r="K979" i="1" s="1"/>
  <c r="F979" i="1"/>
  <c r="E979" i="1"/>
  <c r="C979" i="1"/>
  <c r="D979" i="1" s="1"/>
  <c r="B979" i="1"/>
  <c r="A979" i="1"/>
  <c r="M978" i="1"/>
  <c r="L978" i="1"/>
  <c r="J978" i="1"/>
  <c r="I978" i="1"/>
  <c r="K978" i="1" s="1"/>
  <c r="H978" i="1"/>
  <c r="G978" i="1"/>
  <c r="F978" i="1"/>
  <c r="C978" i="1"/>
  <c r="B978" i="1"/>
  <c r="A978" i="1"/>
  <c r="M977" i="1"/>
  <c r="L977" i="1"/>
  <c r="J977" i="1"/>
  <c r="H977" i="1"/>
  <c r="G977" i="1"/>
  <c r="I977" i="1" s="1"/>
  <c r="K977" i="1" s="1"/>
  <c r="D977" i="1"/>
  <c r="C977" i="1"/>
  <c r="B977" i="1"/>
  <c r="A977" i="1"/>
  <c r="L976" i="1"/>
  <c r="M976" i="1" s="1"/>
  <c r="K976" i="1"/>
  <c r="J976" i="1"/>
  <c r="I976" i="1"/>
  <c r="H976" i="1"/>
  <c r="G976" i="1"/>
  <c r="D976" i="1"/>
  <c r="C976" i="1"/>
  <c r="F976" i="1" s="1"/>
  <c r="B976" i="1"/>
  <c r="A976" i="1"/>
  <c r="L975" i="1"/>
  <c r="M975" i="1" s="1"/>
  <c r="J975" i="1"/>
  <c r="I975" i="1"/>
  <c r="K975" i="1" s="1"/>
  <c r="H975" i="1"/>
  <c r="G975" i="1"/>
  <c r="D975" i="1"/>
  <c r="C975" i="1"/>
  <c r="F975" i="1" s="1"/>
  <c r="B975" i="1"/>
  <c r="A975" i="1"/>
  <c r="L974" i="1"/>
  <c r="M974" i="1" s="1"/>
  <c r="K974" i="1"/>
  <c r="J974" i="1"/>
  <c r="H974" i="1"/>
  <c r="G974" i="1"/>
  <c r="I974" i="1" s="1"/>
  <c r="F974" i="1"/>
  <c r="E974" i="1"/>
  <c r="D974" i="1"/>
  <c r="C974" i="1"/>
  <c r="B974" i="1"/>
  <c r="A974" i="1"/>
  <c r="L973" i="1"/>
  <c r="M973" i="1" s="1"/>
  <c r="K973" i="1"/>
  <c r="J973" i="1"/>
  <c r="H973" i="1"/>
  <c r="G973" i="1"/>
  <c r="I973" i="1" s="1"/>
  <c r="F973" i="1"/>
  <c r="E973" i="1"/>
  <c r="C973" i="1"/>
  <c r="D973" i="1" s="1"/>
  <c r="B973" i="1"/>
  <c r="A973" i="1"/>
  <c r="M972" i="1"/>
  <c r="L972" i="1"/>
  <c r="J972" i="1"/>
  <c r="I972" i="1"/>
  <c r="K972" i="1" s="1"/>
  <c r="H972" i="1"/>
  <c r="G972" i="1"/>
  <c r="F972" i="1"/>
  <c r="C972" i="1"/>
  <c r="B972" i="1"/>
  <c r="A972" i="1"/>
  <c r="M971" i="1"/>
  <c r="L971" i="1"/>
  <c r="J971" i="1"/>
  <c r="H971" i="1"/>
  <c r="G971" i="1"/>
  <c r="I971" i="1" s="1"/>
  <c r="K971" i="1" s="1"/>
  <c r="D971" i="1"/>
  <c r="C971" i="1"/>
  <c r="B971" i="1"/>
  <c r="A971" i="1"/>
  <c r="L970" i="1"/>
  <c r="M970" i="1" s="1"/>
  <c r="K970" i="1"/>
  <c r="J970" i="1"/>
  <c r="I970" i="1"/>
  <c r="H970" i="1"/>
  <c r="G970" i="1"/>
  <c r="D970" i="1"/>
  <c r="C970" i="1"/>
  <c r="F970" i="1" s="1"/>
  <c r="B970" i="1"/>
  <c r="A970" i="1"/>
  <c r="L969" i="1"/>
  <c r="M969" i="1" s="1"/>
  <c r="J969" i="1"/>
  <c r="I969" i="1"/>
  <c r="K969" i="1" s="1"/>
  <c r="H969" i="1"/>
  <c r="G969" i="1"/>
  <c r="D969" i="1"/>
  <c r="C969" i="1"/>
  <c r="E969" i="1" s="1"/>
  <c r="B969" i="1"/>
  <c r="A969" i="1"/>
  <c r="L968" i="1"/>
  <c r="M968" i="1" s="1"/>
  <c r="K968" i="1"/>
  <c r="J968" i="1"/>
  <c r="H968" i="1"/>
  <c r="G968" i="1"/>
  <c r="I968" i="1" s="1"/>
  <c r="F968" i="1"/>
  <c r="E968" i="1"/>
  <c r="D968" i="1"/>
  <c r="C968" i="1"/>
  <c r="B968" i="1"/>
  <c r="A968" i="1"/>
  <c r="L967" i="1"/>
  <c r="M967" i="1" s="1"/>
  <c r="K967" i="1"/>
  <c r="J967" i="1"/>
  <c r="H967" i="1"/>
  <c r="G967" i="1"/>
  <c r="I967" i="1" s="1"/>
  <c r="F967" i="1"/>
  <c r="E967" i="1"/>
  <c r="C967" i="1"/>
  <c r="D967" i="1" s="1"/>
  <c r="B967" i="1"/>
  <c r="A967" i="1"/>
  <c r="M966" i="1"/>
  <c r="L966" i="1"/>
  <c r="J966" i="1"/>
  <c r="I966" i="1"/>
  <c r="K966" i="1" s="1"/>
  <c r="H966" i="1"/>
  <c r="G966" i="1"/>
  <c r="F966" i="1"/>
  <c r="C966" i="1"/>
  <c r="B966" i="1"/>
  <c r="A966" i="1"/>
  <c r="M965" i="1"/>
  <c r="L965" i="1"/>
  <c r="J965" i="1"/>
  <c r="H965" i="1"/>
  <c r="G965" i="1"/>
  <c r="I965" i="1" s="1"/>
  <c r="K965" i="1" s="1"/>
  <c r="D965" i="1"/>
  <c r="C965" i="1"/>
  <c r="B965" i="1"/>
  <c r="A965" i="1"/>
  <c r="L964" i="1"/>
  <c r="M964" i="1" s="1"/>
  <c r="K964" i="1"/>
  <c r="J964" i="1"/>
  <c r="I964" i="1"/>
  <c r="H964" i="1"/>
  <c r="G964" i="1"/>
  <c r="D964" i="1"/>
  <c r="C964" i="1"/>
  <c r="F964" i="1" s="1"/>
  <c r="B964" i="1"/>
  <c r="A964" i="1"/>
  <c r="L963" i="1"/>
  <c r="M963" i="1" s="1"/>
  <c r="J963" i="1"/>
  <c r="I963" i="1"/>
  <c r="K963" i="1" s="1"/>
  <c r="H963" i="1"/>
  <c r="G963" i="1"/>
  <c r="D963" i="1"/>
  <c r="C963" i="1"/>
  <c r="F963" i="1" s="1"/>
  <c r="B963" i="1"/>
  <c r="A963" i="1"/>
  <c r="L962" i="1"/>
  <c r="M962" i="1" s="1"/>
  <c r="K962" i="1"/>
  <c r="J962" i="1"/>
  <c r="H962" i="1"/>
  <c r="G962" i="1"/>
  <c r="I962" i="1" s="1"/>
  <c r="F962" i="1"/>
  <c r="E962" i="1"/>
  <c r="D962" i="1"/>
  <c r="C962" i="1"/>
  <c r="B962" i="1"/>
  <c r="A962" i="1"/>
  <c r="L961" i="1"/>
  <c r="M961" i="1" s="1"/>
  <c r="K961" i="1"/>
  <c r="J961" i="1"/>
  <c r="H961" i="1"/>
  <c r="G961" i="1"/>
  <c r="I961" i="1" s="1"/>
  <c r="F961" i="1"/>
  <c r="E961" i="1"/>
  <c r="C961" i="1"/>
  <c r="D961" i="1" s="1"/>
  <c r="B961" i="1"/>
  <c r="A961" i="1"/>
  <c r="M960" i="1"/>
  <c r="L960" i="1"/>
  <c r="J960" i="1"/>
  <c r="I960" i="1"/>
  <c r="K960" i="1" s="1"/>
  <c r="H960" i="1"/>
  <c r="G960" i="1"/>
  <c r="F960" i="1"/>
  <c r="C960" i="1"/>
  <c r="B960" i="1"/>
  <c r="A960" i="1"/>
  <c r="M959" i="1"/>
  <c r="L959" i="1"/>
  <c r="J959" i="1"/>
  <c r="H959" i="1"/>
  <c r="G959" i="1"/>
  <c r="I959" i="1" s="1"/>
  <c r="K959" i="1" s="1"/>
  <c r="D959" i="1"/>
  <c r="C959" i="1"/>
  <c r="B959" i="1"/>
  <c r="A959" i="1"/>
  <c r="L958" i="1"/>
  <c r="M958" i="1" s="1"/>
  <c r="K958" i="1"/>
  <c r="J958" i="1"/>
  <c r="I958" i="1"/>
  <c r="H958" i="1"/>
  <c r="G958" i="1"/>
  <c r="D958" i="1"/>
  <c r="C958" i="1"/>
  <c r="F958" i="1" s="1"/>
  <c r="B958" i="1"/>
  <c r="A958" i="1"/>
  <c r="L957" i="1"/>
  <c r="M957" i="1" s="1"/>
  <c r="K957" i="1"/>
  <c r="J957" i="1"/>
  <c r="I957" i="1"/>
  <c r="H957" i="1"/>
  <c r="G957" i="1"/>
  <c r="E957" i="1"/>
  <c r="D957" i="1"/>
  <c r="C957" i="1"/>
  <c r="F957" i="1" s="1"/>
  <c r="B957" i="1"/>
  <c r="A957" i="1"/>
  <c r="L956" i="1"/>
  <c r="M956" i="1" s="1"/>
  <c r="K956" i="1"/>
  <c r="J956" i="1"/>
  <c r="H956" i="1"/>
  <c r="G956" i="1"/>
  <c r="I956" i="1" s="1"/>
  <c r="F956" i="1"/>
  <c r="E956" i="1"/>
  <c r="D956" i="1"/>
  <c r="C956" i="1"/>
  <c r="B956" i="1"/>
  <c r="A956" i="1"/>
  <c r="L955" i="1"/>
  <c r="M955" i="1" s="1"/>
  <c r="K955" i="1"/>
  <c r="J955" i="1"/>
  <c r="H955" i="1"/>
  <c r="G955" i="1"/>
  <c r="I955" i="1" s="1"/>
  <c r="E955" i="1"/>
  <c r="C955" i="1"/>
  <c r="D955" i="1" s="1"/>
  <c r="B955" i="1"/>
  <c r="A955" i="1"/>
  <c r="L954" i="1"/>
  <c r="M954" i="1" s="1"/>
  <c r="J954" i="1"/>
  <c r="H954" i="1"/>
  <c r="G954" i="1"/>
  <c r="I954" i="1" s="1"/>
  <c r="K954" i="1" s="1"/>
  <c r="C954" i="1"/>
  <c r="E954" i="1" s="1"/>
  <c r="B954" i="1"/>
  <c r="A954" i="1"/>
  <c r="M953" i="1"/>
  <c r="L953" i="1"/>
  <c r="J953" i="1"/>
  <c r="I953" i="1"/>
  <c r="K953" i="1" s="1"/>
  <c r="H953" i="1"/>
  <c r="G953" i="1"/>
  <c r="E953" i="1"/>
  <c r="C953" i="1"/>
  <c r="F953" i="1" s="1"/>
  <c r="B953" i="1"/>
  <c r="A953" i="1"/>
  <c r="L952" i="1"/>
  <c r="M952" i="1" s="1"/>
  <c r="K952" i="1"/>
  <c r="J952" i="1"/>
  <c r="I952" i="1"/>
  <c r="H952" i="1"/>
  <c r="G952" i="1"/>
  <c r="F952" i="1"/>
  <c r="E952" i="1"/>
  <c r="C952" i="1"/>
  <c r="D952" i="1" s="1"/>
  <c r="B952" i="1"/>
  <c r="A952" i="1"/>
  <c r="L951" i="1"/>
  <c r="M951" i="1" s="1"/>
  <c r="J951" i="1"/>
  <c r="H951" i="1"/>
  <c r="G951" i="1"/>
  <c r="I951" i="1" s="1"/>
  <c r="K951" i="1" s="1"/>
  <c r="F951" i="1"/>
  <c r="E951" i="1"/>
  <c r="C951" i="1"/>
  <c r="D951" i="1" s="1"/>
  <c r="B951" i="1"/>
  <c r="A951" i="1"/>
  <c r="L950" i="1"/>
  <c r="M950" i="1" s="1"/>
  <c r="J950" i="1"/>
  <c r="H950" i="1"/>
  <c r="G950" i="1"/>
  <c r="I950" i="1" s="1"/>
  <c r="K950" i="1" s="1"/>
  <c r="F950" i="1"/>
  <c r="E950" i="1"/>
  <c r="D950" i="1"/>
  <c r="C950" i="1"/>
  <c r="B950" i="1"/>
  <c r="A950" i="1"/>
  <c r="L949" i="1"/>
  <c r="M949" i="1" s="1"/>
  <c r="J949" i="1"/>
  <c r="I949" i="1"/>
  <c r="K949" i="1" s="1"/>
  <c r="H949" i="1"/>
  <c r="G949" i="1"/>
  <c r="F949" i="1"/>
  <c r="E949" i="1"/>
  <c r="C949" i="1"/>
  <c r="D949" i="1" s="1"/>
  <c r="B949" i="1"/>
  <c r="A949" i="1"/>
  <c r="L948" i="1"/>
  <c r="M948" i="1" s="1"/>
  <c r="J948" i="1"/>
  <c r="H948" i="1"/>
  <c r="G948" i="1"/>
  <c r="I948" i="1" s="1"/>
  <c r="K948" i="1" s="1"/>
  <c r="C948" i="1"/>
  <c r="B948" i="1"/>
  <c r="A948" i="1"/>
  <c r="M947" i="1"/>
  <c r="L947" i="1"/>
  <c r="J947" i="1"/>
  <c r="H947" i="1"/>
  <c r="G947" i="1"/>
  <c r="I947" i="1" s="1"/>
  <c r="K947" i="1" s="1"/>
  <c r="D947" i="1"/>
  <c r="C947" i="1"/>
  <c r="B947" i="1"/>
  <c r="A947" i="1"/>
  <c r="L946" i="1"/>
  <c r="M946" i="1" s="1"/>
  <c r="K946" i="1"/>
  <c r="J946" i="1"/>
  <c r="I946" i="1"/>
  <c r="H946" i="1"/>
  <c r="G946" i="1"/>
  <c r="D946" i="1"/>
  <c r="C946" i="1"/>
  <c r="F946" i="1" s="1"/>
  <c r="B946" i="1"/>
  <c r="A946" i="1"/>
  <c r="L945" i="1"/>
  <c r="M945" i="1" s="1"/>
  <c r="K945" i="1"/>
  <c r="J945" i="1"/>
  <c r="I945" i="1"/>
  <c r="H945" i="1"/>
  <c r="G945" i="1"/>
  <c r="E945" i="1"/>
  <c r="D945" i="1"/>
  <c r="C945" i="1"/>
  <c r="F945" i="1" s="1"/>
  <c r="B945" i="1"/>
  <c r="A945" i="1"/>
  <c r="L944" i="1"/>
  <c r="M944" i="1" s="1"/>
  <c r="K944" i="1"/>
  <c r="J944" i="1"/>
  <c r="H944" i="1"/>
  <c r="G944" i="1"/>
  <c r="I944" i="1" s="1"/>
  <c r="F944" i="1"/>
  <c r="E944" i="1"/>
  <c r="D944" i="1"/>
  <c r="C944" i="1"/>
  <c r="B944" i="1"/>
  <c r="A944" i="1"/>
  <c r="L943" i="1"/>
  <c r="M943" i="1" s="1"/>
  <c r="K943" i="1"/>
  <c r="J943" i="1"/>
  <c r="H943" i="1"/>
  <c r="G943" i="1"/>
  <c r="I943" i="1" s="1"/>
  <c r="E943" i="1"/>
  <c r="C943" i="1"/>
  <c r="D943" i="1" s="1"/>
  <c r="B943" i="1"/>
  <c r="A943" i="1"/>
  <c r="L942" i="1"/>
  <c r="M942" i="1" s="1"/>
  <c r="J942" i="1"/>
  <c r="H942" i="1"/>
  <c r="G942" i="1"/>
  <c r="I942" i="1" s="1"/>
  <c r="K942" i="1" s="1"/>
  <c r="C942" i="1"/>
  <c r="E942" i="1" s="1"/>
  <c r="B942" i="1"/>
  <c r="A942" i="1"/>
  <c r="M941" i="1"/>
  <c r="L941" i="1"/>
  <c r="J941" i="1"/>
  <c r="I941" i="1"/>
  <c r="K941" i="1" s="1"/>
  <c r="H941" i="1"/>
  <c r="G941" i="1"/>
  <c r="E941" i="1"/>
  <c r="C941" i="1"/>
  <c r="F941" i="1" s="1"/>
  <c r="B941" i="1"/>
  <c r="A941" i="1"/>
  <c r="L940" i="1"/>
  <c r="M940" i="1" s="1"/>
  <c r="K940" i="1"/>
  <c r="J940" i="1"/>
  <c r="I940" i="1"/>
  <c r="H940" i="1"/>
  <c r="G940" i="1"/>
  <c r="F940" i="1"/>
  <c r="E940" i="1"/>
  <c r="C940" i="1"/>
  <c r="D940" i="1" s="1"/>
  <c r="B940" i="1"/>
  <c r="A940" i="1"/>
  <c r="L939" i="1"/>
  <c r="M939" i="1" s="1"/>
  <c r="J939" i="1"/>
  <c r="H939" i="1"/>
  <c r="G939" i="1"/>
  <c r="I939" i="1" s="1"/>
  <c r="K939" i="1" s="1"/>
  <c r="F939" i="1"/>
  <c r="E939" i="1"/>
  <c r="C939" i="1"/>
  <c r="D939" i="1" s="1"/>
  <c r="B939" i="1"/>
  <c r="A939" i="1"/>
  <c r="L938" i="1"/>
  <c r="M938" i="1" s="1"/>
  <c r="J938" i="1"/>
  <c r="H938" i="1"/>
  <c r="G938" i="1"/>
  <c r="I938" i="1" s="1"/>
  <c r="K938" i="1" s="1"/>
  <c r="F938" i="1"/>
  <c r="E938" i="1"/>
  <c r="D938" i="1"/>
  <c r="C938" i="1"/>
  <c r="B938" i="1"/>
  <c r="A938" i="1"/>
  <c r="L937" i="1"/>
  <c r="M937" i="1" s="1"/>
  <c r="J937" i="1"/>
  <c r="I937" i="1"/>
  <c r="K937" i="1" s="1"/>
  <c r="H937" i="1"/>
  <c r="G937" i="1"/>
  <c r="F937" i="1"/>
  <c r="E937" i="1"/>
  <c r="C937" i="1"/>
  <c r="D937" i="1" s="1"/>
  <c r="B937" i="1"/>
  <c r="A937" i="1"/>
  <c r="L936" i="1"/>
  <c r="M936" i="1" s="1"/>
  <c r="J936" i="1"/>
  <c r="H936" i="1"/>
  <c r="G936" i="1"/>
  <c r="I936" i="1" s="1"/>
  <c r="K936" i="1" s="1"/>
  <c r="C936" i="1"/>
  <c r="B936" i="1"/>
  <c r="A936" i="1"/>
  <c r="M935" i="1"/>
  <c r="L935" i="1"/>
  <c r="J935" i="1"/>
  <c r="H935" i="1"/>
  <c r="G935" i="1"/>
  <c r="I935" i="1" s="1"/>
  <c r="K935" i="1" s="1"/>
  <c r="D935" i="1"/>
  <c r="C935" i="1"/>
  <c r="B935" i="1"/>
  <c r="A935" i="1"/>
  <c r="L934" i="1"/>
  <c r="M934" i="1" s="1"/>
  <c r="K934" i="1"/>
  <c r="J934" i="1"/>
  <c r="I934" i="1"/>
  <c r="H934" i="1"/>
  <c r="G934" i="1"/>
  <c r="D934" i="1"/>
  <c r="C934" i="1"/>
  <c r="F934" i="1" s="1"/>
  <c r="B934" i="1"/>
  <c r="A934" i="1"/>
  <c r="L933" i="1"/>
  <c r="M933" i="1" s="1"/>
  <c r="K933" i="1"/>
  <c r="J933" i="1"/>
  <c r="I933" i="1"/>
  <c r="H933" i="1"/>
  <c r="G933" i="1"/>
  <c r="E933" i="1"/>
  <c r="D933" i="1"/>
  <c r="C933" i="1"/>
  <c r="F933" i="1" s="1"/>
  <c r="B933" i="1"/>
  <c r="A933" i="1"/>
  <c r="L932" i="1"/>
  <c r="M932" i="1" s="1"/>
  <c r="K932" i="1"/>
  <c r="J932" i="1"/>
  <c r="H932" i="1"/>
  <c r="G932" i="1"/>
  <c r="I932" i="1" s="1"/>
  <c r="F932" i="1"/>
  <c r="E932" i="1"/>
  <c r="D932" i="1"/>
  <c r="C932" i="1"/>
  <c r="B932" i="1"/>
  <c r="A932" i="1"/>
  <c r="L931" i="1"/>
  <c r="M931" i="1" s="1"/>
  <c r="K931" i="1"/>
  <c r="J931" i="1"/>
  <c r="H931" i="1"/>
  <c r="G931" i="1"/>
  <c r="I931" i="1" s="1"/>
  <c r="E931" i="1"/>
  <c r="C931" i="1"/>
  <c r="D931" i="1" s="1"/>
  <c r="B931" i="1"/>
  <c r="A931" i="1"/>
  <c r="L930" i="1"/>
  <c r="M930" i="1" s="1"/>
  <c r="J930" i="1"/>
  <c r="H930" i="1"/>
  <c r="G930" i="1"/>
  <c r="I930" i="1" s="1"/>
  <c r="K930" i="1" s="1"/>
  <c r="C930" i="1"/>
  <c r="E930" i="1" s="1"/>
  <c r="B930" i="1"/>
  <c r="A930" i="1"/>
  <c r="M929" i="1"/>
  <c r="L929" i="1"/>
  <c r="J929" i="1"/>
  <c r="I929" i="1"/>
  <c r="K929" i="1" s="1"/>
  <c r="H929" i="1"/>
  <c r="G929" i="1"/>
  <c r="E929" i="1"/>
  <c r="C929" i="1"/>
  <c r="F929" i="1" s="1"/>
  <c r="B929" i="1"/>
  <c r="A929" i="1"/>
  <c r="L928" i="1"/>
  <c r="M928" i="1" s="1"/>
  <c r="K928" i="1"/>
  <c r="J928" i="1"/>
  <c r="I928" i="1"/>
  <c r="H928" i="1"/>
  <c r="G928" i="1"/>
  <c r="F928" i="1"/>
  <c r="E928" i="1"/>
  <c r="C928" i="1"/>
  <c r="D928" i="1" s="1"/>
  <c r="B928" i="1"/>
  <c r="A928" i="1"/>
  <c r="L927" i="1"/>
  <c r="M927" i="1" s="1"/>
  <c r="J927" i="1"/>
  <c r="H927" i="1"/>
  <c r="G927" i="1"/>
  <c r="I927" i="1" s="1"/>
  <c r="K927" i="1" s="1"/>
  <c r="F927" i="1"/>
  <c r="E927" i="1"/>
  <c r="C927" i="1"/>
  <c r="D927" i="1" s="1"/>
  <c r="B927" i="1"/>
  <c r="A927" i="1"/>
  <c r="L926" i="1"/>
  <c r="M926" i="1" s="1"/>
  <c r="J926" i="1"/>
  <c r="H926" i="1"/>
  <c r="G926" i="1"/>
  <c r="I926" i="1" s="1"/>
  <c r="K926" i="1" s="1"/>
  <c r="F926" i="1"/>
  <c r="E926" i="1"/>
  <c r="D926" i="1"/>
  <c r="C926" i="1"/>
  <c r="B926" i="1"/>
  <c r="A926" i="1"/>
  <c r="L925" i="1"/>
  <c r="M925" i="1" s="1"/>
  <c r="J925" i="1"/>
  <c r="I925" i="1"/>
  <c r="K925" i="1" s="1"/>
  <c r="H925" i="1"/>
  <c r="G925" i="1"/>
  <c r="F925" i="1"/>
  <c r="E925" i="1"/>
  <c r="C925" i="1"/>
  <c r="D925" i="1" s="1"/>
  <c r="B925" i="1"/>
  <c r="A925" i="1"/>
  <c r="L924" i="1"/>
  <c r="M924" i="1" s="1"/>
  <c r="J924" i="1"/>
  <c r="H924" i="1"/>
  <c r="G924" i="1"/>
  <c r="I924" i="1" s="1"/>
  <c r="K924" i="1" s="1"/>
  <c r="C924" i="1"/>
  <c r="B924" i="1"/>
  <c r="A924" i="1"/>
  <c r="M923" i="1"/>
  <c r="L923" i="1"/>
  <c r="J923" i="1"/>
  <c r="H923" i="1"/>
  <c r="G923" i="1"/>
  <c r="I923" i="1" s="1"/>
  <c r="K923" i="1" s="1"/>
  <c r="D923" i="1"/>
  <c r="C923" i="1"/>
  <c r="B923" i="1"/>
  <c r="A923" i="1"/>
  <c r="L922" i="1"/>
  <c r="M922" i="1" s="1"/>
  <c r="K922" i="1"/>
  <c r="J922" i="1"/>
  <c r="I922" i="1"/>
  <c r="H922" i="1"/>
  <c r="G922" i="1"/>
  <c r="D922" i="1"/>
  <c r="C922" i="1"/>
  <c r="F922" i="1" s="1"/>
  <c r="B922" i="1"/>
  <c r="A922" i="1"/>
  <c r="L921" i="1"/>
  <c r="M921" i="1" s="1"/>
  <c r="K921" i="1"/>
  <c r="J921" i="1"/>
  <c r="I921" i="1"/>
  <c r="H921" i="1"/>
  <c r="G921" i="1"/>
  <c r="E921" i="1"/>
  <c r="D921" i="1"/>
  <c r="C921" i="1"/>
  <c r="F921" i="1" s="1"/>
  <c r="B921" i="1"/>
  <c r="A921" i="1"/>
  <c r="L920" i="1"/>
  <c r="M920" i="1" s="1"/>
  <c r="K920" i="1"/>
  <c r="J920" i="1"/>
  <c r="H920" i="1"/>
  <c r="G920" i="1"/>
  <c r="I920" i="1" s="1"/>
  <c r="F920" i="1"/>
  <c r="E920" i="1"/>
  <c r="D920" i="1"/>
  <c r="C920" i="1"/>
  <c r="B920" i="1"/>
  <c r="A920" i="1"/>
  <c r="L919" i="1"/>
  <c r="M919" i="1" s="1"/>
  <c r="K919" i="1"/>
  <c r="J919" i="1"/>
  <c r="H919" i="1"/>
  <c r="G919" i="1"/>
  <c r="I919" i="1" s="1"/>
  <c r="E919" i="1"/>
  <c r="C919" i="1"/>
  <c r="D919" i="1" s="1"/>
  <c r="B919" i="1"/>
  <c r="A919" i="1"/>
  <c r="L918" i="1"/>
  <c r="M918" i="1" s="1"/>
  <c r="J918" i="1"/>
  <c r="H918" i="1"/>
  <c r="G918" i="1"/>
  <c r="I918" i="1" s="1"/>
  <c r="K918" i="1" s="1"/>
  <c r="C918" i="1"/>
  <c r="E918" i="1" s="1"/>
  <c r="B918" i="1"/>
  <c r="A918" i="1"/>
  <c r="M917" i="1"/>
  <c r="L917" i="1"/>
  <c r="J917" i="1"/>
  <c r="I917" i="1"/>
  <c r="K917" i="1" s="1"/>
  <c r="H917" i="1"/>
  <c r="G917" i="1"/>
  <c r="E917" i="1"/>
  <c r="C917" i="1"/>
  <c r="F917" i="1" s="1"/>
  <c r="B917" i="1"/>
  <c r="A917" i="1"/>
  <c r="L916" i="1"/>
  <c r="M916" i="1" s="1"/>
  <c r="K916" i="1"/>
  <c r="J916" i="1"/>
  <c r="I916" i="1"/>
  <c r="H916" i="1"/>
  <c r="G916" i="1"/>
  <c r="F916" i="1"/>
  <c r="E916" i="1"/>
  <c r="C916" i="1"/>
  <c r="D916" i="1" s="1"/>
  <c r="B916" i="1"/>
  <c r="A916" i="1"/>
  <c r="L915" i="1"/>
  <c r="M915" i="1" s="1"/>
  <c r="J915" i="1"/>
  <c r="H915" i="1"/>
  <c r="G915" i="1"/>
  <c r="I915" i="1" s="1"/>
  <c r="K915" i="1" s="1"/>
  <c r="F915" i="1"/>
  <c r="E915" i="1"/>
  <c r="C915" i="1"/>
  <c r="D915" i="1" s="1"/>
  <c r="B915" i="1"/>
  <c r="A915" i="1"/>
  <c r="L914" i="1"/>
  <c r="M914" i="1" s="1"/>
  <c r="J914" i="1"/>
  <c r="H914" i="1"/>
  <c r="G914" i="1"/>
  <c r="I914" i="1" s="1"/>
  <c r="K914" i="1" s="1"/>
  <c r="F914" i="1"/>
  <c r="E914" i="1"/>
  <c r="D914" i="1"/>
  <c r="C914" i="1"/>
  <c r="B914" i="1"/>
  <c r="A914" i="1"/>
  <c r="L913" i="1"/>
  <c r="M913" i="1" s="1"/>
  <c r="J913" i="1"/>
  <c r="I913" i="1"/>
  <c r="K913" i="1" s="1"/>
  <c r="H913" i="1"/>
  <c r="G913" i="1"/>
  <c r="F913" i="1"/>
  <c r="E913" i="1"/>
  <c r="C913" i="1"/>
  <c r="D913" i="1" s="1"/>
  <c r="B913" i="1"/>
  <c r="A913" i="1"/>
  <c r="L912" i="1"/>
  <c r="M912" i="1" s="1"/>
  <c r="J912" i="1"/>
  <c r="H912" i="1"/>
  <c r="G912" i="1"/>
  <c r="I912" i="1" s="1"/>
  <c r="K912" i="1" s="1"/>
  <c r="C912" i="1"/>
  <c r="B912" i="1"/>
  <c r="A912" i="1"/>
  <c r="M911" i="1"/>
  <c r="L911" i="1"/>
  <c r="J911" i="1"/>
  <c r="H911" i="1"/>
  <c r="G911" i="1"/>
  <c r="I911" i="1" s="1"/>
  <c r="K911" i="1" s="1"/>
  <c r="D911" i="1"/>
  <c r="C911" i="1"/>
  <c r="B911" i="1"/>
  <c r="A911" i="1"/>
  <c r="L910" i="1"/>
  <c r="M910" i="1" s="1"/>
  <c r="K910" i="1"/>
  <c r="J910" i="1"/>
  <c r="I910" i="1"/>
  <c r="H910" i="1"/>
  <c r="G910" i="1"/>
  <c r="D910" i="1"/>
  <c r="C910" i="1"/>
  <c r="F910" i="1" s="1"/>
  <c r="B910" i="1"/>
  <c r="A910" i="1"/>
  <c r="L909" i="1"/>
  <c r="M909" i="1" s="1"/>
  <c r="K909" i="1"/>
  <c r="J909" i="1"/>
  <c r="I909" i="1"/>
  <c r="H909" i="1"/>
  <c r="G909" i="1"/>
  <c r="E909" i="1"/>
  <c r="D909" i="1"/>
  <c r="C909" i="1"/>
  <c r="F909" i="1" s="1"/>
  <c r="B909" i="1"/>
  <c r="A909" i="1"/>
  <c r="L908" i="1"/>
  <c r="M908" i="1" s="1"/>
  <c r="K908" i="1"/>
  <c r="J908" i="1"/>
  <c r="H908" i="1"/>
  <c r="G908" i="1"/>
  <c r="I908" i="1" s="1"/>
  <c r="F908" i="1"/>
  <c r="E908" i="1"/>
  <c r="D908" i="1"/>
  <c r="C908" i="1"/>
  <c r="B908" i="1"/>
  <c r="A908" i="1"/>
  <c r="L907" i="1"/>
  <c r="M907" i="1" s="1"/>
  <c r="K907" i="1"/>
  <c r="J907" i="1"/>
  <c r="H907" i="1"/>
  <c r="G907" i="1"/>
  <c r="I907" i="1" s="1"/>
  <c r="E907" i="1"/>
  <c r="C907" i="1"/>
  <c r="D907" i="1" s="1"/>
  <c r="B907" i="1"/>
  <c r="A907" i="1"/>
  <c r="L906" i="1"/>
  <c r="M906" i="1" s="1"/>
  <c r="J906" i="1"/>
  <c r="H906" i="1"/>
  <c r="G906" i="1"/>
  <c r="I906" i="1" s="1"/>
  <c r="K906" i="1" s="1"/>
  <c r="C906" i="1"/>
  <c r="E906" i="1" s="1"/>
  <c r="B906" i="1"/>
  <c r="A906" i="1"/>
  <c r="M905" i="1"/>
  <c r="L905" i="1"/>
  <c r="J905" i="1"/>
  <c r="I905" i="1"/>
  <c r="K905" i="1" s="1"/>
  <c r="H905" i="1"/>
  <c r="G905" i="1"/>
  <c r="E905" i="1"/>
  <c r="C905" i="1"/>
  <c r="F905" i="1" s="1"/>
  <c r="B905" i="1"/>
  <c r="A905" i="1"/>
  <c r="L904" i="1"/>
  <c r="M904" i="1" s="1"/>
  <c r="K904" i="1"/>
  <c r="J904" i="1"/>
  <c r="I904" i="1"/>
  <c r="H904" i="1"/>
  <c r="G904" i="1"/>
  <c r="F904" i="1"/>
  <c r="E904" i="1"/>
  <c r="C904" i="1"/>
  <c r="D904" i="1" s="1"/>
  <c r="B904" i="1"/>
  <c r="A904" i="1"/>
  <c r="L903" i="1"/>
  <c r="M903" i="1" s="1"/>
  <c r="J903" i="1"/>
  <c r="H903" i="1"/>
  <c r="G903" i="1"/>
  <c r="I903" i="1" s="1"/>
  <c r="K903" i="1" s="1"/>
  <c r="F903" i="1"/>
  <c r="E903" i="1"/>
  <c r="C903" i="1"/>
  <c r="D903" i="1" s="1"/>
  <c r="B903" i="1"/>
  <c r="A903" i="1"/>
  <c r="L902" i="1"/>
  <c r="M902" i="1" s="1"/>
  <c r="J902" i="1"/>
  <c r="H902" i="1"/>
  <c r="G902" i="1"/>
  <c r="I902" i="1" s="1"/>
  <c r="K902" i="1" s="1"/>
  <c r="F902" i="1"/>
  <c r="E902" i="1"/>
  <c r="D902" i="1"/>
  <c r="C902" i="1"/>
  <c r="B902" i="1"/>
  <c r="A902" i="1"/>
  <c r="L901" i="1"/>
  <c r="M901" i="1" s="1"/>
  <c r="J901" i="1"/>
  <c r="I901" i="1"/>
  <c r="K901" i="1" s="1"/>
  <c r="H901" i="1"/>
  <c r="G901" i="1"/>
  <c r="F901" i="1"/>
  <c r="E901" i="1"/>
  <c r="C901" i="1"/>
  <c r="D901" i="1" s="1"/>
  <c r="B901" i="1"/>
  <c r="A901" i="1"/>
  <c r="L900" i="1"/>
  <c r="M900" i="1" s="1"/>
  <c r="J900" i="1"/>
  <c r="H900" i="1"/>
  <c r="G900" i="1"/>
  <c r="I900" i="1" s="1"/>
  <c r="K900" i="1" s="1"/>
  <c r="C900" i="1"/>
  <c r="B900" i="1"/>
  <c r="A900" i="1"/>
  <c r="M899" i="1"/>
  <c r="L899" i="1"/>
  <c r="J899" i="1"/>
  <c r="H899" i="1"/>
  <c r="G899" i="1"/>
  <c r="I899" i="1" s="1"/>
  <c r="K899" i="1" s="1"/>
  <c r="D899" i="1"/>
  <c r="C899" i="1"/>
  <c r="B899" i="1"/>
  <c r="A899" i="1"/>
  <c r="L898" i="1"/>
  <c r="M898" i="1" s="1"/>
  <c r="K898" i="1"/>
  <c r="J898" i="1"/>
  <c r="I898" i="1"/>
  <c r="H898" i="1"/>
  <c r="G898" i="1"/>
  <c r="D898" i="1"/>
  <c r="C898" i="1"/>
  <c r="F898" i="1" s="1"/>
  <c r="B898" i="1"/>
  <c r="A898" i="1"/>
  <c r="L897" i="1"/>
  <c r="M897" i="1" s="1"/>
  <c r="K897" i="1"/>
  <c r="J897" i="1"/>
  <c r="I897" i="1"/>
  <c r="H897" i="1"/>
  <c r="G897" i="1"/>
  <c r="E897" i="1"/>
  <c r="D897" i="1"/>
  <c r="C897" i="1"/>
  <c r="F897" i="1" s="1"/>
  <c r="B897" i="1"/>
  <c r="A897" i="1"/>
  <c r="L896" i="1"/>
  <c r="M896" i="1" s="1"/>
  <c r="K896" i="1"/>
  <c r="J896" i="1"/>
  <c r="H896" i="1"/>
  <c r="G896" i="1"/>
  <c r="I896" i="1" s="1"/>
  <c r="F896" i="1"/>
  <c r="E896" i="1"/>
  <c r="D896" i="1"/>
  <c r="C896" i="1"/>
  <c r="B896" i="1"/>
  <c r="A896" i="1"/>
  <c r="L895" i="1"/>
  <c r="M895" i="1" s="1"/>
  <c r="J895" i="1"/>
  <c r="I895" i="1"/>
  <c r="K895" i="1" s="1"/>
  <c r="H895" i="1"/>
  <c r="G895" i="1"/>
  <c r="F895" i="1"/>
  <c r="E895" i="1"/>
  <c r="C895" i="1"/>
  <c r="D895" i="1" s="1"/>
  <c r="B895" i="1"/>
  <c r="A895" i="1"/>
  <c r="L894" i="1"/>
  <c r="M894" i="1" s="1"/>
  <c r="J894" i="1"/>
  <c r="I894" i="1"/>
  <c r="H894" i="1"/>
  <c r="G894" i="1"/>
  <c r="D894" i="1"/>
  <c r="C894" i="1"/>
  <c r="E894" i="1" s="1"/>
  <c r="B894" i="1"/>
  <c r="A894" i="1"/>
  <c r="M893" i="1"/>
  <c r="L893" i="1"/>
  <c r="K893" i="1"/>
  <c r="J893" i="1"/>
  <c r="I893" i="1"/>
  <c r="H893" i="1"/>
  <c r="G893" i="1"/>
  <c r="D893" i="1"/>
  <c r="C893" i="1"/>
  <c r="F893" i="1" s="1"/>
  <c r="B893" i="1"/>
  <c r="A893" i="1"/>
  <c r="L892" i="1"/>
  <c r="M892" i="1" s="1"/>
  <c r="J892" i="1"/>
  <c r="I892" i="1"/>
  <c r="K892" i="1" s="1"/>
  <c r="H892" i="1"/>
  <c r="G892" i="1"/>
  <c r="D892" i="1"/>
  <c r="C892" i="1"/>
  <c r="F892" i="1" s="1"/>
  <c r="B892" i="1"/>
  <c r="A892" i="1"/>
  <c r="L891" i="1"/>
  <c r="M891" i="1" s="1"/>
  <c r="K891" i="1"/>
  <c r="J891" i="1"/>
  <c r="I891" i="1"/>
  <c r="H891" i="1"/>
  <c r="G891" i="1"/>
  <c r="E891" i="1"/>
  <c r="D891" i="1"/>
  <c r="C891" i="1"/>
  <c r="F891" i="1" s="1"/>
  <c r="B891" i="1"/>
  <c r="A891" i="1"/>
  <c r="L890" i="1"/>
  <c r="M890" i="1" s="1"/>
  <c r="K890" i="1"/>
  <c r="J890" i="1"/>
  <c r="H890" i="1"/>
  <c r="G890" i="1"/>
  <c r="I890" i="1" s="1"/>
  <c r="F890" i="1"/>
  <c r="E890" i="1"/>
  <c r="D890" i="1"/>
  <c r="C890" i="1"/>
  <c r="B890" i="1"/>
  <c r="A890" i="1"/>
  <c r="L889" i="1"/>
  <c r="M889" i="1" s="1"/>
  <c r="J889" i="1"/>
  <c r="I889" i="1"/>
  <c r="K889" i="1" s="1"/>
  <c r="H889" i="1"/>
  <c r="G889" i="1"/>
  <c r="F889" i="1"/>
  <c r="E889" i="1"/>
  <c r="C889" i="1"/>
  <c r="D889" i="1" s="1"/>
  <c r="B889" i="1"/>
  <c r="A889" i="1"/>
  <c r="L888" i="1"/>
  <c r="M888" i="1" s="1"/>
  <c r="J888" i="1"/>
  <c r="I888" i="1"/>
  <c r="H888" i="1"/>
  <c r="G888" i="1"/>
  <c r="D888" i="1"/>
  <c r="C888" i="1"/>
  <c r="E888" i="1" s="1"/>
  <c r="B888" i="1"/>
  <c r="A888" i="1"/>
  <c r="M887" i="1"/>
  <c r="L887" i="1"/>
  <c r="K887" i="1"/>
  <c r="J887" i="1"/>
  <c r="I887" i="1"/>
  <c r="H887" i="1"/>
  <c r="G887" i="1"/>
  <c r="D887" i="1"/>
  <c r="C887" i="1"/>
  <c r="F887" i="1" s="1"/>
  <c r="B887" i="1"/>
  <c r="A887" i="1"/>
  <c r="L886" i="1"/>
  <c r="M886" i="1" s="1"/>
  <c r="J886" i="1"/>
  <c r="I886" i="1"/>
  <c r="K886" i="1" s="1"/>
  <c r="H886" i="1"/>
  <c r="G886" i="1"/>
  <c r="D886" i="1"/>
  <c r="C886" i="1"/>
  <c r="F886" i="1" s="1"/>
  <c r="B886" i="1"/>
  <c r="A886" i="1"/>
  <c r="L885" i="1"/>
  <c r="M885" i="1" s="1"/>
  <c r="K885" i="1"/>
  <c r="J885" i="1"/>
  <c r="I885" i="1"/>
  <c r="H885" i="1"/>
  <c r="G885" i="1"/>
  <c r="E885" i="1"/>
  <c r="D885" i="1"/>
  <c r="C885" i="1"/>
  <c r="F885" i="1" s="1"/>
  <c r="B885" i="1"/>
  <c r="A885" i="1"/>
  <c r="L884" i="1"/>
  <c r="M884" i="1" s="1"/>
  <c r="K884" i="1"/>
  <c r="J884" i="1"/>
  <c r="H884" i="1"/>
  <c r="G884" i="1"/>
  <c r="I884" i="1" s="1"/>
  <c r="F884" i="1"/>
  <c r="E884" i="1"/>
  <c r="D884" i="1"/>
  <c r="C884" i="1"/>
  <c r="B884" i="1"/>
  <c r="A884" i="1"/>
  <c r="L883" i="1"/>
  <c r="M883" i="1" s="1"/>
  <c r="J883" i="1"/>
  <c r="I883" i="1"/>
  <c r="K883" i="1" s="1"/>
  <c r="H883" i="1"/>
  <c r="G883" i="1"/>
  <c r="F883" i="1"/>
  <c r="E883" i="1"/>
  <c r="C883" i="1"/>
  <c r="D883" i="1" s="1"/>
  <c r="B883" i="1"/>
  <c r="A883" i="1"/>
  <c r="L882" i="1"/>
  <c r="M882" i="1" s="1"/>
  <c r="J882" i="1"/>
  <c r="I882" i="1"/>
  <c r="H882" i="1"/>
  <c r="G882" i="1"/>
  <c r="D882" i="1"/>
  <c r="C882" i="1"/>
  <c r="E882" i="1" s="1"/>
  <c r="B882" i="1"/>
  <c r="A882" i="1"/>
  <c r="M881" i="1"/>
  <c r="L881" i="1"/>
  <c r="K881" i="1"/>
  <c r="J881" i="1"/>
  <c r="I881" i="1"/>
  <c r="H881" i="1"/>
  <c r="G881" i="1"/>
  <c r="D881" i="1"/>
  <c r="C881" i="1"/>
  <c r="F881" i="1" s="1"/>
  <c r="B881" i="1"/>
  <c r="A881" i="1"/>
  <c r="L880" i="1"/>
  <c r="M880" i="1" s="1"/>
  <c r="J880" i="1"/>
  <c r="I880" i="1"/>
  <c r="K880" i="1" s="1"/>
  <c r="H880" i="1"/>
  <c r="G880" i="1"/>
  <c r="D880" i="1"/>
  <c r="C880" i="1"/>
  <c r="F880" i="1" s="1"/>
  <c r="B880" i="1"/>
  <c r="A880" i="1"/>
  <c r="L879" i="1"/>
  <c r="M879" i="1" s="1"/>
  <c r="K879" i="1"/>
  <c r="J879" i="1"/>
  <c r="I879" i="1"/>
  <c r="H879" i="1"/>
  <c r="G879" i="1"/>
  <c r="E879" i="1"/>
  <c r="D879" i="1"/>
  <c r="C879" i="1"/>
  <c r="F879" i="1" s="1"/>
  <c r="B879" i="1"/>
  <c r="A879" i="1"/>
  <c r="L878" i="1"/>
  <c r="M878" i="1" s="1"/>
  <c r="K878" i="1"/>
  <c r="J878" i="1"/>
  <c r="H878" i="1"/>
  <c r="G878" i="1"/>
  <c r="I878" i="1" s="1"/>
  <c r="F878" i="1"/>
  <c r="E878" i="1"/>
  <c r="D878" i="1"/>
  <c r="C878" i="1"/>
  <c r="B878" i="1"/>
  <c r="A878" i="1"/>
  <c r="L877" i="1"/>
  <c r="M877" i="1" s="1"/>
  <c r="J877" i="1"/>
  <c r="I877" i="1"/>
  <c r="K877" i="1" s="1"/>
  <c r="H877" i="1"/>
  <c r="G877" i="1"/>
  <c r="F877" i="1"/>
  <c r="E877" i="1"/>
  <c r="C877" i="1"/>
  <c r="D877" i="1" s="1"/>
  <c r="B877" i="1"/>
  <c r="A877" i="1"/>
  <c r="L876" i="1"/>
  <c r="M876" i="1" s="1"/>
  <c r="J876" i="1"/>
  <c r="I876" i="1"/>
  <c r="H876" i="1"/>
  <c r="G876" i="1"/>
  <c r="D876" i="1"/>
  <c r="C876" i="1"/>
  <c r="B876" i="1"/>
  <c r="A876" i="1"/>
  <c r="M875" i="1"/>
  <c r="L875" i="1"/>
  <c r="K875" i="1"/>
  <c r="J875" i="1"/>
  <c r="I875" i="1"/>
  <c r="H875" i="1"/>
  <c r="G875" i="1"/>
  <c r="C875" i="1"/>
  <c r="B875" i="1"/>
  <c r="A875" i="1"/>
  <c r="L874" i="1"/>
  <c r="M874" i="1" s="1"/>
  <c r="J874" i="1"/>
  <c r="I874" i="1"/>
  <c r="K874" i="1" s="1"/>
  <c r="H874" i="1"/>
  <c r="G874" i="1"/>
  <c r="C874" i="1"/>
  <c r="B874" i="1"/>
  <c r="A874" i="1"/>
  <c r="L873" i="1"/>
  <c r="M873" i="1" s="1"/>
  <c r="K873" i="1"/>
  <c r="J873" i="1"/>
  <c r="I873" i="1"/>
  <c r="H873" i="1"/>
  <c r="G873" i="1"/>
  <c r="E873" i="1"/>
  <c r="D873" i="1"/>
  <c r="C873" i="1"/>
  <c r="F873" i="1" s="1"/>
  <c r="B873" i="1"/>
  <c r="A873" i="1"/>
  <c r="L872" i="1"/>
  <c r="M872" i="1" s="1"/>
  <c r="K872" i="1"/>
  <c r="J872" i="1"/>
  <c r="H872" i="1"/>
  <c r="G872" i="1"/>
  <c r="I872" i="1" s="1"/>
  <c r="F872" i="1"/>
  <c r="E872" i="1"/>
  <c r="D872" i="1"/>
  <c r="C872" i="1"/>
  <c r="B872" i="1"/>
  <c r="A872" i="1"/>
  <c r="L871" i="1"/>
  <c r="M871" i="1" s="1"/>
  <c r="J871" i="1"/>
  <c r="I871" i="1"/>
  <c r="K871" i="1" s="1"/>
  <c r="H871" i="1"/>
  <c r="G871" i="1"/>
  <c r="F871" i="1"/>
  <c r="E871" i="1"/>
  <c r="C871" i="1"/>
  <c r="D871" i="1" s="1"/>
  <c r="B871" i="1"/>
  <c r="A871" i="1"/>
  <c r="L870" i="1"/>
  <c r="M870" i="1" s="1"/>
  <c r="J870" i="1"/>
  <c r="I870" i="1"/>
  <c r="H870" i="1"/>
  <c r="G870" i="1"/>
  <c r="C870" i="1"/>
  <c r="D870" i="1" s="1"/>
  <c r="B870" i="1"/>
  <c r="A870" i="1"/>
  <c r="M869" i="1"/>
  <c r="L869" i="1"/>
  <c r="K869" i="1"/>
  <c r="J869" i="1"/>
  <c r="I869" i="1"/>
  <c r="H869" i="1"/>
  <c r="G869" i="1"/>
  <c r="D869" i="1"/>
  <c r="C869" i="1"/>
  <c r="B869" i="1"/>
  <c r="A869" i="1"/>
  <c r="L868" i="1"/>
  <c r="M868" i="1" s="1"/>
  <c r="J868" i="1"/>
  <c r="I868" i="1"/>
  <c r="K868" i="1" s="1"/>
  <c r="H868" i="1"/>
  <c r="G868" i="1"/>
  <c r="C868" i="1"/>
  <c r="B868" i="1"/>
  <c r="A868" i="1"/>
  <c r="L867" i="1"/>
  <c r="M867" i="1" s="1"/>
  <c r="K867" i="1"/>
  <c r="J867" i="1"/>
  <c r="I867" i="1"/>
  <c r="H867" i="1"/>
  <c r="G867" i="1"/>
  <c r="E867" i="1"/>
  <c r="D867" i="1"/>
  <c r="C867" i="1"/>
  <c r="F867" i="1" s="1"/>
  <c r="B867" i="1"/>
  <c r="A867" i="1"/>
  <c r="L866" i="1"/>
  <c r="M866" i="1" s="1"/>
  <c r="K866" i="1"/>
  <c r="J866" i="1"/>
  <c r="H866" i="1"/>
  <c r="G866" i="1"/>
  <c r="I866" i="1" s="1"/>
  <c r="F866" i="1"/>
  <c r="E866" i="1"/>
  <c r="D866" i="1"/>
  <c r="C866" i="1"/>
  <c r="B866" i="1"/>
  <c r="A866" i="1"/>
  <c r="L865" i="1"/>
  <c r="M865" i="1" s="1"/>
  <c r="J865" i="1"/>
  <c r="I865" i="1"/>
  <c r="K865" i="1" s="1"/>
  <c r="H865" i="1"/>
  <c r="G865" i="1"/>
  <c r="F865" i="1"/>
  <c r="E865" i="1"/>
  <c r="C865" i="1"/>
  <c r="D865" i="1" s="1"/>
  <c r="B865" i="1"/>
  <c r="A865" i="1"/>
  <c r="L864" i="1"/>
  <c r="M864" i="1" s="1"/>
  <c r="J864" i="1"/>
  <c r="I864" i="1"/>
  <c r="H864" i="1"/>
  <c r="G864" i="1"/>
  <c r="C864" i="1"/>
  <c r="B864" i="1"/>
  <c r="A864" i="1"/>
  <c r="M863" i="1"/>
  <c r="L863" i="1"/>
  <c r="K863" i="1"/>
  <c r="J863" i="1"/>
  <c r="I863" i="1"/>
  <c r="H863" i="1"/>
  <c r="G863" i="1"/>
  <c r="C863" i="1"/>
  <c r="D863" i="1" s="1"/>
  <c r="B863" i="1"/>
  <c r="A863" i="1"/>
  <c r="L862" i="1"/>
  <c r="M862" i="1" s="1"/>
  <c r="J862" i="1"/>
  <c r="I862" i="1"/>
  <c r="H862" i="1"/>
  <c r="G862" i="1"/>
  <c r="D862" i="1"/>
  <c r="C862" i="1"/>
  <c r="B862" i="1"/>
  <c r="A862" i="1"/>
  <c r="L861" i="1"/>
  <c r="M861" i="1" s="1"/>
  <c r="K861" i="1"/>
  <c r="J861" i="1"/>
  <c r="I861" i="1"/>
  <c r="H861" i="1"/>
  <c r="G861" i="1"/>
  <c r="E861" i="1"/>
  <c r="D861" i="1"/>
  <c r="C861" i="1"/>
  <c r="F861" i="1" s="1"/>
  <c r="B861" i="1"/>
  <c r="A861" i="1"/>
  <c r="L860" i="1"/>
  <c r="M860" i="1" s="1"/>
  <c r="K860" i="1"/>
  <c r="J860" i="1"/>
  <c r="H860" i="1"/>
  <c r="G860" i="1"/>
  <c r="I860" i="1" s="1"/>
  <c r="F860" i="1"/>
  <c r="E860" i="1"/>
  <c r="D860" i="1"/>
  <c r="C860" i="1"/>
  <c r="B860" i="1"/>
  <c r="A860" i="1"/>
  <c r="L859" i="1"/>
  <c r="M859" i="1" s="1"/>
  <c r="J859" i="1"/>
  <c r="I859" i="1"/>
  <c r="K859" i="1" s="1"/>
  <c r="H859" i="1"/>
  <c r="G859" i="1"/>
  <c r="F859" i="1"/>
  <c r="E859" i="1"/>
  <c r="C859" i="1"/>
  <c r="D859" i="1" s="1"/>
  <c r="B859" i="1"/>
  <c r="A859" i="1"/>
  <c r="L858" i="1"/>
  <c r="M858" i="1" s="1"/>
  <c r="J858" i="1"/>
  <c r="I858" i="1"/>
  <c r="H858" i="1"/>
  <c r="G858" i="1"/>
  <c r="D858" i="1"/>
  <c r="C858" i="1"/>
  <c r="B858" i="1"/>
  <c r="A858" i="1"/>
  <c r="M857" i="1"/>
  <c r="L857" i="1"/>
  <c r="K857" i="1"/>
  <c r="J857" i="1"/>
  <c r="I857" i="1"/>
  <c r="H857" i="1"/>
  <c r="G857" i="1"/>
  <c r="C857" i="1"/>
  <c r="B857" i="1"/>
  <c r="A857" i="1"/>
  <c r="L856" i="1"/>
  <c r="M856" i="1" s="1"/>
  <c r="J856" i="1"/>
  <c r="I856" i="1"/>
  <c r="K856" i="1" s="1"/>
  <c r="H856" i="1"/>
  <c r="G856" i="1"/>
  <c r="C856" i="1"/>
  <c r="B856" i="1"/>
  <c r="A856" i="1"/>
  <c r="L855" i="1"/>
  <c r="M855" i="1" s="1"/>
  <c r="K855" i="1"/>
  <c r="J855" i="1"/>
  <c r="I855" i="1"/>
  <c r="H855" i="1"/>
  <c r="G855" i="1"/>
  <c r="E855" i="1"/>
  <c r="D855" i="1"/>
  <c r="C855" i="1"/>
  <c r="F855" i="1" s="1"/>
  <c r="B855" i="1"/>
  <c r="A855" i="1"/>
  <c r="L854" i="1"/>
  <c r="M854" i="1" s="1"/>
  <c r="K854" i="1"/>
  <c r="J854" i="1"/>
  <c r="H854" i="1"/>
  <c r="G854" i="1"/>
  <c r="I854" i="1" s="1"/>
  <c r="F854" i="1"/>
  <c r="E854" i="1"/>
  <c r="D854" i="1"/>
  <c r="C854" i="1"/>
  <c r="B854" i="1"/>
  <c r="A854" i="1"/>
  <c r="L853" i="1"/>
  <c r="M853" i="1" s="1"/>
  <c r="J853" i="1"/>
  <c r="I853" i="1"/>
  <c r="K853" i="1" s="1"/>
  <c r="H853" i="1"/>
  <c r="G853" i="1"/>
  <c r="F853" i="1"/>
  <c r="E853" i="1"/>
  <c r="C853" i="1"/>
  <c r="D853" i="1" s="1"/>
  <c r="B853" i="1"/>
  <c r="A853" i="1"/>
  <c r="L852" i="1"/>
  <c r="M852" i="1" s="1"/>
  <c r="J852" i="1"/>
  <c r="I852" i="1"/>
  <c r="H852" i="1"/>
  <c r="G852" i="1"/>
  <c r="D852" i="1"/>
  <c r="C852" i="1"/>
  <c r="B852" i="1"/>
  <c r="A852" i="1"/>
  <c r="M851" i="1"/>
  <c r="L851" i="1"/>
  <c r="K851" i="1"/>
  <c r="J851" i="1"/>
  <c r="I851" i="1"/>
  <c r="H851" i="1"/>
  <c r="G851" i="1"/>
  <c r="D851" i="1"/>
  <c r="C851" i="1"/>
  <c r="B851" i="1"/>
  <c r="A851" i="1"/>
  <c r="L850" i="1"/>
  <c r="M850" i="1" s="1"/>
  <c r="J850" i="1"/>
  <c r="I850" i="1"/>
  <c r="K850" i="1" s="1"/>
  <c r="H850" i="1"/>
  <c r="G850" i="1"/>
  <c r="D850" i="1"/>
  <c r="C850" i="1"/>
  <c r="B850" i="1"/>
  <c r="A850" i="1"/>
  <c r="L849" i="1"/>
  <c r="M849" i="1" s="1"/>
  <c r="K849" i="1"/>
  <c r="J849" i="1"/>
  <c r="I849" i="1"/>
  <c r="H849" i="1"/>
  <c r="G849" i="1"/>
  <c r="E849" i="1"/>
  <c r="D849" i="1"/>
  <c r="C849" i="1"/>
  <c r="F849" i="1" s="1"/>
  <c r="B849" i="1"/>
  <c r="A849" i="1"/>
  <c r="L848" i="1"/>
  <c r="M848" i="1" s="1"/>
  <c r="K848" i="1"/>
  <c r="J848" i="1"/>
  <c r="H848" i="1"/>
  <c r="G848" i="1"/>
  <c r="I848" i="1" s="1"/>
  <c r="F848" i="1"/>
  <c r="E848" i="1"/>
  <c r="D848" i="1"/>
  <c r="C848" i="1"/>
  <c r="B848" i="1"/>
  <c r="A848" i="1"/>
  <c r="L847" i="1"/>
  <c r="M847" i="1" s="1"/>
  <c r="K847" i="1"/>
  <c r="J847" i="1"/>
  <c r="I847" i="1"/>
  <c r="H847" i="1"/>
  <c r="G847" i="1"/>
  <c r="F847" i="1"/>
  <c r="E847" i="1"/>
  <c r="C847" i="1"/>
  <c r="D847" i="1" s="1"/>
  <c r="B847" i="1"/>
  <c r="A847" i="1"/>
  <c r="L846" i="1"/>
  <c r="M846" i="1" s="1"/>
  <c r="J846" i="1"/>
  <c r="I846" i="1"/>
  <c r="H846" i="1"/>
  <c r="G846" i="1"/>
  <c r="D846" i="1"/>
  <c r="C846" i="1"/>
  <c r="B846" i="1"/>
  <c r="A846" i="1"/>
  <c r="M845" i="1"/>
  <c r="L845" i="1"/>
  <c r="K845" i="1"/>
  <c r="J845" i="1"/>
  <c r="I845" i="1"/>
  <c r="H845" i="1"/>
  <c r="G845" i="1"/>
  <c r="C845" i="1"/>
  <c r="B845" i="1"/>
  <c r="A845" i="1"/>
  <c r="L844" i="1"/>
  <c r="M844" i="1" s="1"/>
  <c r="J844" i="1"/>
  <c r="I844" i="1"/>
  <c r="H844" i="1"/>
  <c r="G844" i="1"/>
  <c r="C844" i="1"/>
  <c r="B844" i="1"/>
  <c r="A844" i="1"/>
  <c r="L843" i="1"/>
  <c r="M843" i="1" s="1"/>
  <c r="K843" i="1"/>
  <c r="J843" i="1"/>
  <c r="I843" i="1"/>
  <c r="H843" i="1"/>
  <c r="G843" i="1"/>
  <c r="E843" i="1"/>
  <c r="D843" i="1"/>
  <c r="C843" i="1"/>
  <c r="F843" i="1" s="1"/>
  <c r="B843" i="1"/>
  <c r="A843" i="1"/>
  <c r="L842" i="1"/>
  <c r="M842" i="1" s="1"/>
  <c r="K842" i="1"/>
  <c r="J842" i="1"/>
  <c r="H842" i="1"/>
  <c r="G842" i="1"/>
  <c r="I842" i="1" s="1"/>
  <c r="F842" i="1"/>
  <c r="E842" i="1"/>
  <c r="D842" i="1"/>
  <c r="C842" i="1"/>
  <c r="B842" i="1"/>
  <c r="A842" i="1"/>
  <c r="L841" i="1"/>
  <c r="M841" i="1" s="1"/>
  <c r="K841" i="1"/>
  <c r="J841" i="1"/>
  <c r="I841" i="1"/>
  <c r="H841" i="1"/>
  <c r="G841" i="1"/>
  <c r="F841" i="1"/>
  <c r="E841" i="1"/>
  <c r="C841" i="1"/>
  <c r="D841" i="1" s="1"/>
  <c r="B841" i="1"/>
  <c r="A841" i="1"/>
  <c r="L840" i="1"/>
  <c r="M840" i="1" s="1"/>
  <c r="J840" i="1"/>
  <c r="I840" i="1"/>
  <c r="H840" i="1"/>
  <c r="G840" i="1"/>
  <c r="C840" i="1"/>
  <c r="B840" i="1"/>
  <c r="A840" i="1"/>
  <c r="M839" i="1"/>
  <c r="L839" i="1"/>
  <c r="K839" i="1"/>
  <c r="J839" i="1"/>
  <c r="I839" i="1"/>
  <c r="H839" i="1"/>
  <c r="G839" i="1"/>
  <c r="C839" i="1"/>
  <c r="B839" i="1"/>
  <c r="A839" i="1"/>
  <c r="L838" i="1"/>
  <c r="M838" i="1" s="1"/>
  <c r="J838" i="1"/>
  <c r="I838" i="1"/>
  <c r="H838" i="1"/>
  <c r="G838" i="1"/>
  <c r="D838" i="1"/>
  <c r="C838" i="1"/>
  <c r="B838" i="1"/>
  <c r="A838" i="1"/>
  <c r="L837" i="1"/>
  <c r="M837" i="1" s="1"/>
  <c r="K837" i="1"/>
  <c r="J837" i="1"/>
  <c r="I837" i="1"/>
  <c r="H837" i="1"/>
  <c r="G837" i="1"/>
  <c r="E837" i="1"/>
  <c r="D837" i="1"/>
  <c r="C837" i="1"/>
  <c r="F837" i="1" s="1"/>
  <c r="B837" i="1"/>
  <c r="A837" i="1"/>
  <c r="L836" i="1"/>
  <c r="M836" i="1" s="1"/>
  <c r="K836" i="1"/>
  <c r="J836" i="1"/>
  <c r="H836" i="1"/>
  <c r="G836" i="1"/>
  <c r="I836" i="1" s="1"/>
  <c r="F836" i="1"/>
  <c r="E836" i="1"/>
  <c r="D836" i="1"/>
  <c r="C836" i="1"/>
  <c r="B836" i="1"/>
  <c r="A836" i="1"/>
  <c r="L835" i="1"/>
  <c r="M835" i="1" s="1"/>
  <c r="K835" i="1"/>
  <c r="J835" i="1"/>
  <c r="I835" i="1"/>
  <c r="H835" i="1"/>
  <c r="G835" i="1"/>
  <c r="F835" i="1"/>
  <c r="E835" i="1"/>
  <c r="C835" i="1"/>
  <c r="D835" i="1" s="1"/>
  <c r="B835" i="1"/>
  <c r="A835" i="1"/>
  <c r="L834" i="1"/>
  <c r="M834" i="1" s="1"/>
  <c r="J834" i="1"/>
  <c r="I834" i="1"/>
  <c r="H834" i="1"/>
  <c r="G834" i="1"/>
  <c r="D834" i="1"/>
  <c r="C834" i="1"/>
  <c r="B834" i="1"/>
  <c r="A834" i="1"/>
  <c r="M833" i="1"/>
  <c r="L833" i="1"/>
  <c r="K833" i="1"/>
  <c r="J833" i="1"/>
  <c r="I833" i="1"/>
  <c r="H833" i="1"/>
  <c r="G833" i="1"/>
  <c r="C833" i="1"/>
  <c r="B833" i="1"/>
  <c r="A833" i="1"/>
  <c r="L832" i="1"/>
  <c r="M832" i="1" s="1"/>
  <c r="J832" i="1"/>
  <c r="I832" i="1"/>
  <c r="K832" i="1" s="1"/>
  <c r="H832" i="1"/>
  <c r="G832" i="1"/>
  <c r="D832" i="1"/>
  <c r="C832" i="1"/>
  <c r="B832" i="1"/>
  <c r="A832" i="1"/>
  <c r="L831" i="1"/>
  <c r="M831" i="1" s="1"/>
  <c r="K831" i="1"/>
  <c r="J831" i="1"/>
  <c r="I831" i="1"/>
  <c r="H831" i="1"/>
  <c r="G831" i="1"/>
  <c r="E831" i="1"/>
  <c r="D831" i="1"/>
  <c r="C831" i="1"/>
  <c r="F831" i="1" s="1"/>
  <c r="B831" i="1"/>
  <c r="A831" i="1"/>
  <c r="L830" i="1"/>
  <c r="M830" i="1" s="1"/>
  <c r="K830" i="1"/>
  <c r="J830" i="1"/>
  <c r="H830" i="1"/>
  <c r="G830" i="1"/>
  <c r="I830" i="1" s="1"/>
  <c r="F830" i="1"/>
  <c r="E830" i="1"/>
  <c r="D830" i="1"/>
  <c r="C830" i="1"/>
  <c r="B830" i="1"/>
  <c r="A830" i="1"/>
  <c r="L829" i="1"/>
  <c r="M829" i="1" s="1"/>
  <c r="K829" i="1"/>
  <c r="J829" i="1"/>
  <c r="I829" i="1"/>
  <c r="H829" i="1"/>
  <c r="G829" i="1"/>
  <c r="F829" i="1"/>
  <c r="E829" i="1"/>
  <c r="C829" i="1"/>
  <c r="D829" i="1" s="1"/>
  <c r="B829" i="1"/>
  <c r="A829" i="1"/>
  <c r="L828" i="1"/>
  <c r="M828" i="1" s="1"/>
  <c r="J828" i="1"/>
  <c r="I828" i="1"/>
  <c r="H828" i="1"/>
  <c r="G828" i="1"/>
  <c r="D828" i="1"/>
  <c r="C828" i="1"/>
  <c r="B828" i="1"/>
  <c r="A828" i="1"/>
  <c r="M827" i="1"/>
  <c r="L827" i="1"/>
  <c r="K827" i="1"/>
  <c r="J827" i="1"/>
  <c r="I827" i="1"/>
  <c r="H827" i="1"/>
  <c r="G827" i="1"/>
  <c r="C827" i="1"/>
  <c r="B827" i="1"/>
  <c r="A827" i="1"/>
  <c r="L826" i="1"/>
  <c r="M826" i="1" s="1"/>
  <c r="J826" i="1"/>
  <c r="I826" i="1"/>
  <c r="H826" i="1"/>
  <c r="G826" i="1"/>
  <c r="C826" i="1"/>
  <c r="B826" i="1"/>
  <c r="A826" i="1"/>
  <c r="L825" i="1"/>
  <c r="M825" i="1" s="1"/>
  <c r="K825" i="1"/>
  <c r="J825" i="1"/>
  <c r="I825" i="1"/>
  <c r="H825" i="1"/>
  <c r="G825" i="1"/>
  <c r="E825" i="1"/>
  <c r="C825" i="1"/>
  <c r="F825" i="1" s="1"/>
  <c r="B825" i="1"/>
  <c r="A825" i="1"/>
  <c r="L824" i="1"/>
  <c r="M824" i="1" s="1"/>
  <c r="K824" i="1"/>
  <c r="J824" i="1"/>
  <c r="H824" i="1"/>
  <c r="G824" i="1"/>
  <c r="I824" i="1" s="1"/>
  <c r="F824" i="1"/>
  <c r="E824" i="1"/>
  <c r="D824" i="1"/>
  <c r="C824" i="1"/>
  <c r="B824" i="1"/>
  <c r="A824" i="1"/>
  <c r="L823" i="1"/>
  <c r="M823" i="1" s="1"/>
  <c r="K823" i="1"/>
  <c r="J823" i="1"/>
  <c r="I823" i="1"/>
  <c r="H823" i="1"/>
  <c r="G823" i="1"/>
  <c r="C823" i="1"/>
  <c r="D823" i="1" s="1"/>
  <c r="B823" i="1"/>
  <c r="A823" i="1"/>
  <c r="L822" i="1"/>
  <c r="M822" i="1" s="1"/>
  <c r="J822" i="1"/>
  <c r="I822" i="1"/>
  <c r="H822" i="1"/>
  <c r="G822" i="1"/>
  <c r="C822" i="1"/>
  <c r="B822" i="1"/>
  <c r="A822" i="1"/>
  <c r="M821" i="1"/>
  <c r="L821" i="1"/>
  <c r="K821" i="1"/>
  <c r="J821" i="1"/>
  <c r="I821" i="1"/>
  <c r="H821" i="1"/>
  <c r="G821" i="1"/>
  <c r="C821" i="1"/>
  <c r="D821" i="1" s="1"/>
  <c r="B821" i="1"/>
  <c r="A821" i="1"/>
  <c r="L820" i="1"/>
  <c r="M820" i="1" s="1"/>
  <c r="J820" i="1"/>
  <c r="I820" i="1"/>
  <c r="H820" i="1"/>
  <c r="G820" i="1"/>
  <c r="D820" i="1"/>
  <c r="C820" i="1"/>
  <c r="B820" i="1"/>
  <c r="A820" i="1"/>
  <c r="L819" i="1"/>
  <c r="M819" i="1" s="1"/>
  <c r="K819" i="1"/>
  <c r="J819" i="1"/>
  <c r="I819" i="1"/>
  <c r="H819" i="1"/>
  <c r="G819" i="1"/>
  <c r="C819" i="1"/>
  <c r="F819" i="1" s="1"/>
  <c r="B819" i="1"/>
  <c r="A819" i="1"/>
  <c r="L818" i="1"/>
  <c r="M818" i="1" s="1"/>
  <c r="K818" i="1"/>
  <c r="J818" i="1"/>
  <c r="H818" i="1"/>
  <c r="G818" i="1"/>
  <c r="I818" i="1" s="1"/>
  <c r="F818" i="1"/>
  <c r="E818" i="1"/>
  <c r="D818" i="1"/>
  <c r="C818" i="1"/>
  <c r="B818" i="1"/>
  <c r="A818" i="1"/>
  <c r="L817" i="1"/>
  <c r="M817" i="1" s="1"/>
  <c r="K817" i="1"/>
  <c r="J817" i="1"/>
  <c r="I817" i="1"/>
  <c r="H817" i="1"/>
  <c r="G817" i="1"/>
  <c r="F817" i="1"/>
  <c r="C817" i="1"/>
  <c r="D817" i="1" s="1"/>
  <c r="B817" i="1"/>
  <c r="A817" i="1"/>
  <c r="L816" i="1"/>
  <c r="M816" i="1" s="1"/>
  <c r="J816" i="1"/>
  <c r="I816" i="1"/>
  <c r="H816" i="1"/>
  <c r="G816" i="1"/>
  <c r="D816" i="1"/>
  <c r="C816" i="1"/>
  <c r="B816" i="1"/>
  <c r="A816" i="1"/>
  <c r="M815" i="1"/>
  <c r="L815" i="1"/>
  <c r="K815" i="1"/>
  <c r="J815" i="1"/>
  <c r="I815" i="1"/>
  <c r="H815" i="1"/>
  <c r="G815" i="1"/>
  <c r="C815" i="1"/>
  <c r="B815" i="1"/>
  <c r="A815" i="1"/>
  <c r="L814" i="1"/>
  <c r="M814" i="1" s="1"/>
  <c r="J814" i="1"/>
  <c r="I814" i="1"/>
  <c r="K814" i="1" s="1"/>
  <c r="H814" i="1"/>
  <c r="G814" i="1"/>
  <c r="D814" i="1"/>
  <c r="C814" i="1"/>
  <c r="B814" i="1"/>
  <c r="A814" i="1"/>
  <c r="L813" i="1"/>
  <c r="M813" i="1" s="1"/>
  <c r="J813" i="1"/>
  <c r="K813" i="1" s="1"/>
  <c r="I813" i="1"/>
  <c r="H813" i="1"/>
  <c r="G813" i="1"/>
  <c r="E813" i="1"/>
  <c r="C813" i="1"/>
  <c r="F813" i="1" s="1"/>
  <c r="B813" i="1"/>
  <c r="A813" i="1"/>
  <c r="L812" i="1"/>
  <c r="M812" i="1" s="1"/>
  <c r="K812" i="1"/>
  <c r="J812" i="1"/>
  <c r="H812" i="1"/>
  <c r="G812" i="1"/>
  <c r="I812" i="1" s="1"/>
  <c r="F812" i="1"/>
  <c r="E812" i="1"/>
  <c r="D812" i="1"/>
  <c r="C812" i="1"/>
  <c r="B812" i="1"/>
  <c r="A812" i="1"/>
  <c r="L811" i="1"/>
  <c r="M811" i="1" s="1"/>
  <c r="K811" i="1"/>
  <c r="J811" i="1"/>
  <c r="I811" i="1"/>
  <c r="H811" i="1"/>
  <c r="G811" i="1"/>
  <c r="C811" i="1"/>
  <c r="D811" i="1" s="1"/>
  <c r="B811" i="1"/>
  <c r="A811" i="1"/>
  <c r="L810" i="1"/>
  <c r="M810" i="1" s="1"/>
  <c r="J810" i="1"/>
  <c r="I810" i="1"/>
  <c r="H810" i="1"/>
  <c r="G810" i="1"/>
  <c r="D810" i="1"/>
  <c r="C810" i="1"/>
  <c r="B810" i="1"/>
  <c r="A810" i="1"/>
  <c r="M809" i="1"/>
  <c r="L809" i="1"/>
  <c r="K809" i="1"/>
  <c r="J809" i="1"/>
  <c r="I809" i="1"/>
  <c r="H809" i="1"/>
  <c r="G809" i="1"/>
  <c r="C809" i="1"/>
  <c r="B809" i="1"/>
  <c r="A809" i="1"/>
  <c r="L808" i="1"/>
  <c r="M808" i="1" s="1"/>
  <c r="J808" i="1"/>
  <c r="I808" i="1"/>
  <c r="H808" i="1"/>
  <c r="G808" i="1"/>
  <c r="C808" i="1"/>
  <c r="B808" i="1"/>
  <c r="A808" i="1"/>
  <c r="L807" i="1"/>
  <c r="M807" i="1" s="1"/>
  <c r="J807" i="1"/>
  <c r="K807" i="1" s="1"/>
  <c r="I807" i="1"/>
  <c r="H807" i="1"/>
  <c r="G807" i="1"/>
  <c r="E807" i="1"/>
  <c r="C807" i="1"/>
  <c r="F807" i="1" s="1"/>
  <c r="B807" i="1"/>
  <c r="A807" i="1"/>
  <c r="L806" i="1"/>
  <c r="M806" i="1" s="1"/>
  <c r="K806" i="1"/>
  <c r="J806" i="1"/>
  <c r="H806" i="1"/>
  <c r="G806" i="1"/>
  <c r="I806" i="1" s="1"/>
  <c r="F806" i="1"/>
  <c r="E806" i="1"/>
  <c r="D806" i="1"/>
  <c r="C806" i="1"/>
  <c r="B806" i="1"/>
  <c r="A806" i="1"/>
  <c r="L805" i="1"/>
  <c r="M805" i="1" s="1"/>
  <c r="K805" i="1"/>
  <c r="J805" i="1"/>
  <c r="I805" i="1"/>
  <c r="H805" i="1"/>
  <c r="G805" i="1"/>
  <c r="F805" i="1"/>
  <c r="C805" i="1"/>
  <c r="D805" i="1" s="1"/>
  <c r="B805" i="1"/>
  <c r="A805" i="1"/>
  <c r="L804" i="1"/>
  <c r="M804" i="1" s="1"/>
  <c r="J804" i="1"/>
  <c r="I804" i="1"/>
  <c r="H804" i="1"/>
  <c r="G804" i="1"/>
  <c r="C804" i="1"/>
  <c r="B804" i="1"/>
  <c r="A804" i="1"/>
  <c r="M803" i="1"/>
  <c r="L803" i="1"/>
  <c r="J803" i="1"/>
  <c r="K803" i="1" s="1"/>
  <c r="I803" i="1"/>
  <c r="H803" i="1"/>
  <c r="G803" i="1"/>
  <c r="C803" i="1"/>
  <c r="B803" i="1"/>
  <c r="A803" i="1"/>
  <c r="L802" i="1"/>
  <c r="M802" i="1" s="1"/>
  <c r="J802" i="1"/>
  <c r="I802" i="1"/>
  <c r="H802" i="1"/>
  <c r="G802" i="1"/>
  <c r="D802" i="1"/>
  <c r="C802" i="1"/>
  <c r="B802" i="1"/>
  <c r="A802" i="1"/>
  <c r="L801" i="1"/>
  <c r="M801" i="1" s="1"/>
  <c r="J801" i="1"/>
  <c r="K801" i="1" s="1"/>
  <c r="I801" i="1"/>
  <c r="H801" i="1"/>
  <c r="G801" i="1"/>
  <c r="C801" i="1"/>
  <c r="F801" i="1" s="1"/>
  <c r="B801" i="1"/>
  <c r="A801" i="1"/>
  <c r="L800" i="1"/>
  <c r="M800" i="1" s="1"/>
  <c r="K800" i="1"/>
  <c r="J800" i="1"/>
  <c r="H800" i="1"/>
  <c r="G800" i="1"/>
  <c r="I800" i="1" s="1"/>
  <c r="F800" i="1"/>
  <c r="E800" i="1"/>
  <c r="D800" i="1"/>
  <c r="C800" i="1"/>
  <c r="B800" i="1"/>
  <c r="A800" i="1"/>
  <c r="L799" i="1"/>
  <c r="M799" i="1" s="1"/>
  <c r="K799" i="1"/>
  <c r="J799" i="1"/>
  <c r="I799" i="1"/>
  <c r="H799" i="1"/>
  <c r="G799" i="1"/>
  <c r="F799" i="1"/>
  <c r="C799" i="1"/>
  <c r="D799" i="1" s="1"/>
  <c r="B799" i="1"/>
  <c r="A799" i="1"/>
  <c r="L798" i="1"/>
  <c r="M798" i="1" s="1"/>
  <c r="J798" i="1"/>
  <c r="I798" i="1"/>
  <c r="H798" i="1"/>
  <c r="G798" i="1"/>
  <c r="D798" i="1"/>
  <c r="C798" i="1"/>
  <c r="B798" i="1"/>
  <c r="A798" i="1"/>
  <c r="M797" i="1"/>
  <c r="L797" i="1"/>
  <c r="K797" i="1"/>
  <c r="J797" i="1"/>
  <c r="I797" i="1"/>
  <c r="H797" i="1"/>
  <c r="G797" i="1"/>
  <c r="C797" i="1"/>
  <c r="B797" i="1"/>
  <c r="A797" i="1"/>
  <c r="L796" i="1"/>
  <c r="M796" i="1" s="1"/>
  <c r="J796" i="1"/>
  <c r="I796" i="1"/>
  <c r="K796" i="1" s="1"/>
  <c r="H796" i="1"/>
  <c r="G796" i="1"/>
  <c r="D796" i="1"/>
  <c r="C796" i="1"/>
  <c r="B796" i="1"/>
  <c r="A796" i="1"/>
  <c r="L795" i="1"/>
  <c r="M795" i="1" s="1"/>
  <c r="J795" i="1"/>
  <c r="K795" i="1" s="1"/>
  <c r="I795" i="1"/>
  <c r="H795" i="1"/>
  <c r="G795" i="1"/>
  <c r="C795" i="1"/>
  <c r="F795" i="1" s="1"/>
  <c r="B795" i="1"/>
  <c r="A795" i="1"/>
  <c r="L794" i="1"/>
  <c r="M794" i="1" s="1"/>
  <c r="K794" i="1"/>
  <c r="J794" i="1"/>
  <c r="H794" i="1"/>
  <c r="G794" i="1"/>
  <c r="I794" i="1" s="1"/>
  <c r="F794" i="1"/>
  <c r="E794" i="1"/>
  <c r="D794" i="1"/>
  <c r="C794" i="1"/>
  <c r="B794" i="1"/>
  <c r="A794" i="1"/>
  <c r="L793" i="1"/>
  <c r="M793" i="1" s="1"/>
  <c r="K793" i="1"/>
  <c r="J793" i="1"/>
  <c r="I793" i="1"/>
  <c r="H793" i="1"/>
  <c r="G793" i="1"/>
  <c r="C793" i="1"/>
  <c r="D793" i="1" s="1"/>
  <c r="B793" i="1"/>
  <c r="A793" i="1"/>
  <c r="L792" i="1"/>
  <c r="M792" i="1" s="1"/>
  <c r="J792" i="1"/>
  <c r="I792" i="1"/>
  <c r="H792" i="1"/>
  <c r="G792" i="1"/>
  <c r="D792" i="1"/>
  <c r="C792" i="1"/>
  <c r="B792" i="1"/>
  <c r="A792" i="1"/>
  <c r="M791" i="1"/>
  <c r="L791" i="1"/>
  <c r="K791" i="1"/>
  <c r="J791" i="1"/>
  <c r="I791" i="1"/>
  <c r="H791" i="1"/>
  <c r="G791" i="1"/>
  <c r="C791" i="1"/>
  <c r="B791" i="1"/>
  <c r="A791" i="1"/>
  <c r="L790" i="1"/>
  <c r="M790" i="1" s="1"/>
  <c r="J790" i="1"/>
  <c r="I790" i="1"/>
  <c r="H790" i="1"/>
  <c r="G790" i="1"/>
  <c r="C790" i="1"/>
  <c r="B790" i="1"/>
  <c r="A790" i="1"/>
  <c r="L789" i="1"/>
  <c r="M789" i="1" s="1"/>
  <c r="J789" i="1"/>
  <c r="K789" i="1" s="1"/>
  <c r="I789" i="1"/>
  <c r="H789" i="1"/>
  <c r="G789" i="1"/>
  <c r="E789" i="1"/>
  <c r="C789" i="1"/>
  <c r="F789" i="1" s="1"/>
  <c r="B789" i="1"/>
  <c r="A789" i="1"/>
  <c r="L788" i="1"/>
  <c r="M788" i="1" s="1"/>
  <c r="K788" i="1"/>
  <c r="J788" i="1"/>
  <c r="H788" i="1"/>
  <c r="G788" i="1"/>
  <c r="I788" i="1" s="1"/>
  <c r="F788" i="1"/>
  <c r="E788" i="1"/>
  <c r="D788" i="1"/>
  <c r="C788" i="1"/>
  <c r="B788" i="1"/>
  <c r="A788" i="1"/>
  <c r="L787" i="1"/>
  <c r="M787" i="1" s="1"/>
  <c r="K787" i="1"/>
  <c r="J787" i="1"/>
  <c r="I787" i="1"/>
  <c r="H787" i="1"/>
  <c r="G787" i="1"/>
  <c r="C787" i="1"/>
  <c r="D787" i="1" s="1"/>
  <c r="B787" i="1"/>
  <c r="A787" i="1"/>
  <c r="L786" i="1"/>
  <c r="M786" i="1" s="1"/>
  <c r="J786" i="1"/>
  <c r="I786" i="1"/>
  <c r="H786" i="1"/>
  <c r="G786" i="1"/>
  <c r="C786" i="1"/>
  <c r="B786" i="1"/>
  <c r="A786" i="1"/>
  <c r="M785" i="1"/>
  <c r="L785" i="1"/>
  <c r="J785" i="1"/>
  <c r="K785" i="1" s="1"/>
  <c r="I785" i="1"/>
  <c r="H785" i="1"/>
  <c r="G785" i="1"/>
  <c r="C785" i="1"/>
  <c r="D785" i="1" s="1"/>
  <c r="B785" i="1"/>
  <c r="A785" i="1"/>
  <c r="L784" i="1"/>
  <c r="M784" i="1" s="1"/>
  <c r="J784" i="1"/>
  <c r="I784" i="1"/>
  <c r="H784" i="1"/>
  <c r="G784" i="1"/>
  <c r="D784" i="1"/>
  <c r="C784" i="1"/>
  <c r="B784" i="1"/>
  <c r="A784" i="1"/>
  <c r="L783" i="1"/>
  <c r="M783" i="1" s="1"/>
  <c r="J783" i="1"/>
  <c r="K783" i="1" s="1"/>
  <c r="I783" i="1"/>
  <c r="H783" i="1"/>
  <c r="G783" i="1"/>
  <c r="C783" i="1"/>
  <c r="F783" i="1" s="1"/>
  <c r="B783" i="1"/>
  <c r="A783" i="1"/>
  <c r="L782" i="1"/>
  <c r="M782" i="1" s="1"/>
  <c r="K782" i="1"/>
  <c r="J782" i="1"/>
  <c r="H782" i="1"/>
  <c r="G782" i="1"/>
  <c r="I782" i="1" s="1"/>
  <c r="F782" i="1"/>
  <c r="E782" i="1"/>
  <c r="D782" i="1"/>
  <c r="C782" i="1"/>
  <c r="B782" i="1"/>
  <c r="A782" i="1"/>
  <c r="L781" i="1"/>
  <c r="M781" i="1" s="1"/>
  <c r="J781" i="1"/>
  <c r="I781" i="1"/>
  <c r="K781" i="1" s="1"/>
  <c r="H781" i="1"/>
  <c r="G781" i="1"/>
  <c r="F781" i="1"/>
  <c r="C781" i="1"/>
  <c r="D781" i="1" s="1"/>
  <c r="B781" i="1"/>
  <c r="A781" i="1"/>
  <c r="L780" i="1"/>
  <c r="M780" i="1" s="1"/>
  <c r="J780" i="1"/>
  <c r="I780" i="1"/>
  <c r="H780" i="1"/>
  <c r="G780" i="1"/>
  <c r="D780" i="1"/>
  <c r="C780" i="1"/>
  <c r="B780" i="1"/>
  <c r="A780" i="1"/>
  <c r="M779" i="1"/>
  <c r="L779" i="1"/>
  <c r="K779" i="1"/>
  <c r="J779" i="1"/>
  <c r="I779" i="1"/>
  <c r="H779" i="1"/>
  <c r="G779" i="1"/>
  <c r="C779" i="1"/>
  <c r="B779" i="1"/>
  <c r="A779" i="1"/>
  <c r="L778" i="1"/>
  <c r="M778" i="1" s="1"/>
  <c r="J778" i="1"/>
  <c r="I778" i="1"/>
  <c r="K778" i="1" s="1"/>
  <c r="H778" i="1"/>
  <c r="G778" i="1"/>
  <c r="D778" i="1"/>
  <c r="C778" i="1"/>
  <c r="B778" i="1"/>
  <c r="A778" i="1"/>
  <c r="L777" i="1"/>
  <c r="M777" i="1" s="1"/>
  <c r="J777" i="1"/>
  <c r="K777" i="1" s="1"/>
  <c r="I777" i="1"/>
  <c r="H777" i="1"/>
  <c r="G777" i="1"/>
  <c r="E777" i="1"/>
  <c r="C777" i="1"/>
  <c r="F777" i="1" s="1"/>
  <c r="B777" i="1"/>
  <c r="A777" i="1"/>
  <c r="L776" i="1"/>
  <c r="M776" i="1" s="1"/>
  <c r="K776" i="1"/>
  <c r="J776" i="1"/>
  <c r="H776" i="1"/>
  <c r="G776" i="1"/>
  <c r="I776" i="1" s="1"/>
  <c r="F776" i="1"/>
  <c r="E776" i="1"/>
  <c r="D776" i="1"/>
  <c r="C776" i="1"/>
  <c r="B776" i="1"/>
  <c r="A776" i="1"/>
  <c r="L775" i="1"/>
  <c r="M775" i="1" s="1"/>
  <c r="K775" i="1"/>
  <c r="J775" i="1"/>
  <c r="I775" i="1"/>
  <c r="H775" i="1"/>
  <c r="G775" i="1"/>
  <c r="C775" i="1"/>
  <c r="D775" i="1" s="1"/>
  <c r="B775" i="1"/>
  <c r="A775" i="1"/>
  <c r="L774" i="1"/>
  <c r="M774" i="1" s="1"/>
  <c r="J774" i="1"/>
  <c r="I774" i="1"/>
  <c r="H774" i="1"/>
  <c r="G774" i="1"/>
  <c r="D774" i="1"/>
  <c r="C774" i="1"/>
  <c r="B774" i="1"/>
  <c r="A774" i="1"/>
  <c r="M773" i="1"/>
  <c r="L773" i="1"/>
  <c r="K773" i="1"/>
  <c r="J773" i="1"/>
  <c r="I773" i="1"/>
  <c r="H773" i="1"/>
  <c r="G773" i="1"/>
  <c r="C773" i="1"/>
  <c r="B773" i="1"/>
  <c r="A773" i="1"/>
  <c r="L772" i="1"/>
  <c r="M772" i="1" s="1"/>
  <c r="J772" i="1"/>
  <c r="I772" i="1"/>
  <c r="H772" i="1"/>
  <c r="G772" i="1"/>
  <c r="C772" i="1"/>
  <c r="B772" i="1"/>
  <c r="A772" i="1"/>
  <c r="L771" i="1"/>
  <c r="M771" i="1" s="1"/>
  <c r="J771" i="1"/>
  <c r="K771" i="1" s="1"/>
  <c r="I771" i="1"/>
  <c r="H771" i="1"/>
  <c r="G771" i="1"/>
  <c r="E771" i="1"/>
  <c r="C771" i="1"/>
  <c r="F771" i="1" s="1"/>
  <c r="B771" i="1"/>
  <c r="A771" i="1"/>
  <c r="L770" i="1"/>
  <c r="M770" i="1" s="1"/>
  <c r="K770" i="1"/>
  <c r="J770" i="1"/>
  <c r="H770" i="1"/>
  <c r="G770" i="1"/>
  <c r="I770" i="1" s="1"/>
  <c r="F770" i="1"/>
  <c r="E770" i="1"/>
  <c r="D770" i="1"/>
  <c r="C770" i="1"/>
  <c r="B770" i="1"/>
  <c r="A770" i="1"/>
  <c r="L769" i="1"/>
  <c r="M769" i="1" s="1"/>
  <c r="K769" i="1"/>
  <c r="J769" i="1"/>
  <c r="I769" i="1"/>
  <c r="H769" i="1"/>
  <c r="G769" i="1"/>
  <c r="F769" i="1"/>
  <c r="C769" i="1"/>
  <c r="D769" i="1" s="1"/>
  <c r="B769" i="1"/>
  <c r="A769" i="1"/>
  <c r="L768" i="1"/>
  <c r="M768" i="1" s="1"/>
  <c r="J768" i="1"/>
  <c r="I768" i="1"/>
  <c r="H768" i="1"/>
  <c r="G768" i="1"/>
  <c r="C768" i="1"/>
  <c r="B768" i="1"/>
  <c r="A768" i="1"/>
  <c r="M767" i="1"/>
  <c r="L767" i="1"/>
  <c r="J767" i="1"/>
  <c r="K767" i="1" s="1"/>
  <c r="I767" i="1"/>
  <c r="H767" i="1"/>
  <c r="G767" i="1"/>
  <c r="C767" i="1"/>
  <c r="B767" i="1"/>
  <c r="A767" i="1"/>
  <c r="L766" i="1"/>
  <c r="M766" i="1" s="1"/>
  <c r="J766" i="1"/>
  <c r="I766" i="1"/>
  <c r="H766" i="1"/>
  <c r="G766" i="1"/>
  <c r="D766" i="1"/>
  <c r="C766" i="1"/>
  <c r="B766" i="1"/>
  <c r="A766" i="1"/>
  <c r="L765" i="1"/>
  <c r="M765" i="1" s="1"/>
  <c r="J765" i="1"/>
  <c r="K765" i="1" s="1"/>
  <c r="I765" i="1"/>
  <c r="H765" i="1"/>
  <c r="G765" i="1"/>
  <c r="C765" i="1"/>
  <c r="F765" i="1" s="1"/>
  <c r="B765" i="1"/>
  <c r="A765" i="1"/>
  <c r="L764" i="1"/>
  <c r="M764" i="1" s="1"/>
  <c r="K764" i="1"/>
  <c r="J764" i="1"/>
  <c r="H764" i="1"/>
  <c r="G764" i="1"/>
  <c r="I764" i="1" s="1"/>
  <c r="F764" i="1"/>
  <c r="E764" i="1"/>
  <c r="D764" i="1"/>
  <c r="C764" i="1"/>
  <c r="B764" i="1"/>
  <c r="A764" i="1"/>
  <c r="L763" i="1"/>
  <c r="M763" i="1" s="1"/>
  <c r="J763" i="1"/>
  <c r="I763" i="1"/>
  <c r="K763" i="1" s="1"/>
  <c r="H763" i="1"/>
  <c r="G763" i="1"/>
  <c r="F763" i="1"/>
  <c r="C763" i="1"/>
  <c r="D763" i="1" s="1"/>
  <c r="B763" i="1"/>
  <c r="A763" i="1"/>
  <c r="L762" i="1"/>
  <c r="M762" i="1" s="1"/>
  <c r="J762" i="1"/>
  <c r="I762" i="1"/>
  <c r="H762" i="1"/>
  <c r="G762" i="1"/>
  <c r="D762" i="1"/>
  <c r="C762" i="1"/>
  <c r="B762" i="1"/>
  <c r="A762" i="1"/>
  <c r="M761" i="1"/>
  <c r="L761" i="1"/>
  <c r="K761" i="1"/>
  <c r="J761" i="1"/>
  <c r="I761" i="1"/>
  <c r="H761" i="1"/>
  <c r="G761" i="1"/>
  <c r="C761" i="1"/>
  <c r="B761" i="1"/>
  <c r="A761" i="1"/>
  <c r="L760" i="1"/>
  <c r="M760" i="1" s="1"/>
  <c r="J760" i="1"/>
  <c r="I760" i="1"/>
  <c r="K760" i="1" s="1"/>
  <c r="H760" i="1"/>
  <c r="G760" i="1"/>
  <c r="D760" i="1"/>
  <c r="C760" i="1"/>
  <c r="B760" i="1"/>
  <c r="A760" i="1"/>
  <c r="L759" i="1"/>
  <c r="M759" i="1" s="1"/>
  <c r="J759" i="1"/>
  <c r="K759" i="1" s="1"/>
  <c r="I759" i="1"/>
  <c r="H759" i="1"/>
  <c r="G759" i="1"/>
  <c r="C759" i="1"/>
  <c r="F759" i="1" s="1"/>
  <c r="B759" i="1"/>
  <c r="A759" i="1"/>
  <c r="L758" i="1"/>
  <c r="M758" i="1" s="1"/>
  <c r="K758" i="1"/>
  <c r="J758" i="1"/>
  <c r="H758" i="1"/>
  <c r="G758" i="1"/>
  <c r="I758" i="1" s="1"/>
  <c r="F758" i="1"/>
  <c r="E758" i="1"/>
  <c r="D758" i="1"/>
  <c r="C758" i="1"/>
  <c r="B758" i="1"/>
  <c r="A758" i="1"/>
  <c r="L757" i="1"/>
  <c r="M757" i="1" s="1"/>
  <c r="K757" i="1"/>
  <c r="J757" i="1"/>
  <c r="I757" i="1"/>
  <c r="H757" i="1"/>
  <c r="G757" i="1"/>
  <c r="C757" i="1"/>
  <c r="D757" i="1" s="1"/>
  <c r="B757" i="1"/>
  <c r="A757" i="1"/>
  <c r="L756" i="1"/>
  <c r="M756" i="1" s="1"/>
  <c r="J756" i="1"/>
  <c r="I756" i="1"/>
  <c r="H756" i="1"/>
  <c r="G756" i="1"/>
  <c r="D756" i="1"/>
  <c r="C756" i="1"/>
  <c r="B756" i="1"/>
  <c r="A756" i="1"/>
  <c r="M755" i="1"/>
  <c r="L755" i="1"/>
  <c r="K755" i="1"/>
  <c r="J755" i="1"/>
  <c r="I755" i="1"/>
  <c r="H755" i="1"/>
  <c r="G755" i="1"/>
  <c r="C755" i="1"/>
  <c r="B755" i="1"/>
  <c r="A755" i="1"/>
  <c r="L754" i="1"/>
  <c r="M754" i="1" s="1"/>
  <c r="J754" i="1"/>
  <c r="I754" i="1"/>
  <c r="H754" i="1"/>
  <c r="G754" i="1"/>
  <c r="C754" i="1"/>
  <c r="B754" i="1"/>
  <c r="A754" i="1"/>
  <c r="L753" i="1"/>
  <c r="M753" i="1" s="1"/>
  <c r="J753" i="1"/>
  <c r="I753" i="1"/>
  <c r="K753" i="1" s="1"/>
  <c r="H753" i="1"/>
  <c r="G753" i="1"/>
  <c r="E753" i="1"/>
  <c r="C753" i="1"/>
  <c r="F753" i="1" s="1"/>
  <c r="B753" i="1"/>
  <c r="A753" i="1"/>
  <c r="L752" i="1"/>
  <c r="M752" i="1" s="1"/>
  <c r="K752" i="1"/>
  <c r="J752" i="1"/>
  <c r="H752" i="1"/>
  <c r="G752" i="1"/>
  <c r="I752" i="1" s="1"/>
  <c r="F752" i="1"/>
  <c r="E752" i="1"/>
  <c r="D752" i="1"/>
  <c r="C752" i="1"/>
  <c r="B752" i="1"/>
  <c r="A752" i="1"/>
  <c r="L751" i="1"/>
  <c r="M751" i="1" s="1"/>
  <c r="K751" i="1"/>
  <c r="J751" i="1"/>
  <c r="I751" i="1"/>
  <c r="H751" i="1"/>
  <c r="G751" i="1"/>
  <c r="C751" i="1"/>
  <c r="D751" i="1" s="1"/>
  <c r="B751" i="1"/>
  <c r="A751" i="1"/>
  <c r="L750" i="1"/>
  <c r="M750" i="1" s="1"/>
  <c r="J750" i="1"/>
  <c r="I750" i="1"/>
  <c r="H750" i="1"/>
  <c r="G750" i="1"/>
  <c r="C750" i="1"/>
  <c r="B750" i="1"/>
  <c r="A750" i="1"/>
  <c r="M749" i="1"/>
  <c r="L749" i="1"/>
  <c r="J749" i="1"/>
  <c r="I749" i="1"/>
  <c r="K749" i="1" s="1"/>
  <c r="H749" i="1"/>
  <c r="G749" i="1"/>
  <c r="C749" i="1"/>
  <c r="D749" i="1" s="1"/>
  <c r="B749" i="1"/>
  <c r="A749" i="1"/>
  <c r="L748" i="1"/>
  <c r="M748" i="1" s="1"/>
  <c r="J748" i="1"/>
  <c r="I748" i="1"/>
  <c r="H748" i="1"/>
  <c r="G748" i="1"/>
  <c r="D748" i="1"/>
  <c r="C748" i="1"/>
  <c r="B748" i="1"/>
  <c r="A748" i="1"/>
  <c r="L747" i="1"/>
  <c r="M747" i="1" s="1"/>
  <c r="J747" i="1"/>
  <c r="K747" i="1" s="1"/>
  <c r="I747" i="1"/>
  <c r="H747" i="1"/>
  <c r="G747" i="1"/>
  <c r="C747" i="1"/>
  <c r="F747" i="1" s="1"/>
  <c r="B747" i="1"/>
  <c r="A747" i="1"/>
  <c r="L746" i="1"/>
  <c r="M746" i="1" s="1"/>
  <c r="J746" i="1"/>
  <c r="K746" i="1" s="1"/>
  <c r="H746" i="1"/>
  <c r="G746" i="1"/>
  <c r="I746" i="1" s="1"/>
  <c r="F746" i="1"/>
  <c r="E746" i="1"/>
  <c r="D746" i="1"/>
  <c r="C746" i="1"/>
  <c r="B746" i="1"/>
  <c r="A746" i="1"/>
  <c r="L745" i="1"/>
  <c r="M745" i="1" s="1"/>
  <c r="J745" i="1"/>
  <c r="I745" i="1"/>
  <c r="K745" i="1" s="1"/>
  <c r="H745" i="1"/>
  <c r="G745" i="1"/>
  <c r="F745" i="1"/>
  <c r="C745" i="1"/>
  <c r="D745" i="1" s="1"/>
  <c r="B745" i="1"/>
  <c r="A745" i="1"/>
  <c r="L744" i="1"/>
  <c r="M744" i="1" s="1"/>
  <c r="J744" i="1"/>
  <c r="I744" i="1"/>
  <c r="H744" i="1"/>
  <c r="G744" i="1"/>
  <c r="D744" i="1"/>
  <c r="C744" i="1"/>
  <c r="B744" i="1"/>
  <c r="A744" i="1"/>
  <c r="M743" i="1"/>
  <c r="L743" i="1"/>
  <c r="K743" i="1"/>
  <c r="J743" i="1"/>
  <c r="I743" i="1"/>
  <c r="H743" i="1"/>
  <c r="G743" i="1"/>
  <c r="C743" i="1"/>
  <c r="B743" i="1"/>
  <c r="A743" i="1"/>
  <c r="L742" i="1"/>
  <c r="M742" i="1" s="1"/>
  <c r="J742" i="1"/>
  <c r="I742" i="1"/>
  <c r="K742" i="1" s="1"/>
  <c r="H742" i="1"/>
  <c r="G742" i="1"/>
  <c r="D742" i="1"/>
  <c r="C742" i="1"/>
  <c r="B742" i="1"/>
  <c r="A742" i="1"/>
  <c r="L741" i="1"/>
  <c r="M741" i="1" s="1"/>
  <c r="J741" i="1"/>
  <c r="K741" i="1" s="1"/>
  <c r="I741" i="1"/>
  <c r="H741" i="1"/>
  <c r="G741" i="1"/>
  <c r="E741" i="1"/>
  <c r="C741" i="1"/>
  <c r="F741" i="1" s="1"/>
  <c r="B741" i="1"/>
  <c r="A741" i="1"/>
  <c r="L740" i="1"/>
  <c r="M740" i="1" s="1"/>
  <c r="K740" i="1"/>
  <c r="J740" i="1"/>
  <c r="H740" i="1"/>
  <c r="G740" i="1"/>
  <c r="I740" i="1" s="1"/>
  <c r="F740" i="1"/>
  <c r="E740" i="1"/>
  <c r="D740" i="1"/>
  <c r="C740" i="1"/>
  <c r="B740" i="1"/>
  <c r="A740" i="1"/>
  <c r="L739" i="1"/>
  <c r="M739" i="1" s="1"/>
  <c r="K739" i="1"/>
  <c r="J739" i="1"/>
  <c r="I739" i="1"/>
  <c r="H739" i="1"/>
  <c r="G739" i="1"/>
  <c r="C739" i="1"/>
  <c r="D739" i="1" s="1"/>
  <c r="B739" i="1"/>
  <c r="A739" i="1"/>
  <c r="L738" i="1"/>
  <c r="M738" i="1" s="1"/>
  <c r="J738" i="1"/>
  <c r="I738" i="1"/>
  <c r="K738" i="1" s="1"/>
  <c r="H738" i="1"/>
  <c r="G738" i="1"/>
  <c r="D738" i="1"/>
  <c r="C738" i="1"/>
  <c r="B738" i="1"/>
  <c r="A738" i="1"/>
  <c r="M737" i="1"/>
  <c r="L737" i="1"/>
  <c r="K737" i="1"/>
  <c r="J737" i="1"/>
  <c r="I737" i="1"/>
  <c r="H737" i="1"/>
  <c r="G737" i="1"/>
  <c r="C737" i="1"/>
  <c r="B737" i="1"/>
  <c r="A737" i="1"/>
  <c r="L736" i="1"/>
  <c r="M736" i="1" s="1"/>
  <c r="J736" i="1"/>
  <c r="I736" i="1"/>
  <c r="H736" i="1"/>
  <c r="G736" i="1"/>
  <c r="C736" i="1"/>
  <c r="B736" i="1"/>
  <c r="A736" i="1"/>
  <c r="L735" i="1"/>
  <c r="M735" i="1" s="1"/>
  <c r="J735" i="1"/>
  <c r="I735" i="1"/>
  <c r="K735" i="1" s="1"/>
  <c r="H735" i="1"/>
  <c r="G735" i="1"/>
  <c r="E735" i="1"/>
  <c r="C735" i="1"/>
  <c r="F735" i="1" s="1"/>
  <c r="B735" i="1"/>
  <c r="A735" i="1"/>
  <c r="L734" i="1"/>
  <c r="M734" i="1" s="1"/>
  <c r="K734" i="1"/>
  <c r="J734" i="1"/>
  <c r="H734" i="1"/>
  <c r="G734" i="1"/>
  <c r="I734" i="1" s="1"/>
  <c r="F734" i="1"/>
  <c r="E734" i="1"/>
  <c r="D734" i="1"/>
  <c r="C734" i="1"/>
  <c r="B734" i="1"/>
  <c r="A734" i="1"/>
  <c r="L733" i="1"/>
  <c r="M733" i="1" s="1"/>
  <c r="K733" i="1"/>
  <c r="J733" i="1"/>
  <c r="I733" i="1"/>
  <c r="H733" i="1"/>
  <c r="G733" i="1"/>
  <c r="F733" i="1"/>
  <c r="C733" i="1"/>
  <c r="D733" i="1" s="1"/>
  <c r="B733" i="1"/>
  <c r="A733" i="1"/>
  <c r="L732" i="1"/>
  <c r="M732" i="1" s="1"/>
  <c r="J732" i="1"/>
  <c r="I732" i="1"/>
  <c r="H732" i="1"/>
  <c r="G732" i="1"/>
  <c r="C732" i="1"/>
  <c r="B732" i="1"/>
  <c r="A732" i="1"/>
  <c r="M731" i="1"/>
  <c r="L731" i="1"/>
  <c r="J731" i="1"/>
  <c r="I731" i="1"/>
  <c r="K731" i="1" s="1"/>
  <c r="H731" i="1"/>
  <c r="G731" i="1"/>
  <c r="C731" i="1"/>
  <c r="B731" i="1"/>
  <c r="A731" i="1"/>
  <c r="L730" i="1"/>
  <c r="M730" i="1" s="1"/>
  <c r="J730" i="1"/>
  <c r="I730" i="1"/>
  <c r="H730" i="1"/>
  <c r="G730" i="1"/>
  <c r="D730" i="1"/>
  <c r="C730" i="1"/>
  <c r="B730" i="1"/>
  <c r="A730" i="1"/>
  <c r="L729" i="1"/>
  <c r="M729" i="1" s="1"/>
  <c r="J729" i="1"/>
  <c r="K729" i="1" s="1"/>
  <c r="I729" i="1"/>
  <c r="H729" i="1"/>
  <c r="G729" i="1"/>
  <c r="C729" i="1"/>
  <c r="F729" i="1" s="1"/>
  <c r="B729" i="1"/>
  <c r="A729" i="1"/>
  <c r="L728" i="1"/>
  <c r="M728" i="1" s="1"/>
  <c r="J728" i="1"/>
  <c r="K728" i="1" s="1"/>
  <c r="H728" i="1"/>
  <c r="G728" i="1"/>
  <c r="I728" i="1" s="1"/>
  <c r="F728" i="1"/>
  <c r="E728" i="1"/>
  <c r="D728" i="1"/>
  <c r="C728" i="1"/>
  <c r="B728" i="1"/>
  <c r="A728" i="1"/>
  <c r="L727" i="1"/>
  <c r="M727" i="1" s="1"/>
  <c r="J727" i="1"/>
  <c r="I727" i="1"/>
  <c r="K727" i="1" s="1"/>
  <c r="H727" i="1"/>
  <c r="G727" i="1"/>
  <c r="F727" i="1"/>
  <c r="C727" i="1"/>
  <c r="D727" i="1" s="1"/>
  <c r="B727" i="1"/>
  <c r="A727" i="1"/>
  <c r="L726" i="1"/>
  <c r="M726" i="1" s="1"/>
  <c r="J726" i="1"/>
  <c r="I726" i="1"/>
  <c r="H726" i="1"/>
  <c r="G726" i="1"/>
  <c r="F726" i="1"/>
  <c r="C726" i="1"/>
  <c r="E726" i="1" s="1"/>
  <c r="B726" i="1"/>
  <c r="A726" i="1"/>
  <c r="M725" i="1"/>
  <c r="L725" i="1"/>
  <c r="J725" i="1"/>
  <c r="K725" i="1" s="1"/>
  <c r="I725" i="1"/>
  <c r="H725" i="1"/>
  <c r="G725" i="1"/>
  <c r="E725" i="1"/>
  <c r="C725" i="1"/>
  <c r="F725" i="1" s="1"/>
  <c r="B725" i="1"/>
  <c r="A725" i="1"/>
  <c r="L724" i="1"/>
  <c r="M724" i="1" s="1"/>
  <c r="J724" i="1"/>
  <c r="I724" i="1"/>
  <c r="H724" i="1"/>
  <c r="G724" i="1"/>
  <c r="C724" i="1"/>
  <c r="F724" i="1" s="1"/>
  <c r="B724" i="1"/>
  <c r="A724" i="1"/>
  <c r="L723" i="1"/>
  <c r="M723" i="1" s="1"/>
  <c r="J723" i="1"/>
  <c r="I723" i="1"/>
  <c r="K723" i="1" s="1"/>
  <c r="H723" i="1"/>
  <c r="G723" i="1"/>
  <c r="C723" i="1"/>
  <c r="F723" i="1" s="1"/>
  <c r="B723" i="1"/>
  <c r="A723" i="1"/>
  <c r="L722" i="1"/>
  <c r="M722" i="1" s="1"/>
  <c r="J722" i="1"/>
  <c r="K722" i="1" s="1"/>
  <c r="H722" i="1"/>
  <c r="G722" i="1"/>
  <c r="I722" i="1" s="1"/>
  <c r="F722" i="1"/>
  <c r="E722" i="1"/>
  <c r="D722" i="1"/>
  <c r="C722" i="1"/>
  <c r="B722" i="1"/>
  <c r="A722" i="1"/>
  <c r="L721" i="1"/>
  <c r="M721" i="1" s="1"/>
  <c r="J721" i="1"/>
  <c r="I721" i="1"/>
  <c r="K721" i="1" s="1"/>
  <c r="H721" i="1"/>
  <c r="G721" i="1"/>
  <c r="F721" i="1"/>
  <c r="C721" i="1"/>
  <c r="D721" i="1" s="1"/>
  <c r="B721" i="1"/>
  <c r="A721" i="1"/>
  <c r="L720" i="1"/>
  <c r="M720" i="1" s="1"/>
  <c r="J720" i="1"/>
  <c r="I720" i="1"/>
  <c r="H720" i="1"/>
  <c r="G720" i="1"/>
  <c r="C720" i="1"/>
  <c r="E720" i="1" s="1"/>
  <c r="B720" i="1"/>
  <c r="A720" i="1"/>
  <c r="M719" i="1"/>
  <c r="L719" i="1"/>
  <c r="J719" i="1"/>
  <c r="K719" i="1" s="1"/>
  <c r="I719" i="1"/>
  <c r="H719" i="1"/>
  <c r="G719" i="1"/>
  <c r="C719" i="1"/>
  <c r="F719" i="1" s="1"/>
  <c r="B719" i="1"/>
  <c r="A719" i="1"/>
  <c r="L718" i="1"/>
  <c r="M718" i="1" s="1"/>
  <c r="J718" i="1"/>
  <c r="I718" i="1"/>
  <c r="H718" i="1"/>
  <c r="G718" i="1"/>
  <c r="C718" i="1"/>
  <c r="F718" i="1" s="1"/>
  <c r="B718" i="1"/>
  <c r="A718" i="1"/>
  <c r="L717" i="1"/>
  <c r="M717" i="1" s="1"/>
  <c r="J717" i="1"/>
  <c r="I717" i="1"/>
  <c r="K717" i="1" s="1"/>
  <c r="H717" i="1"/>
  <c r="G717" i="1"/>
  <c r="C717" i="1"/>
  <c r="E717" i="1" s="1"/>
  <c r="B717" i="1"/>
  <c r="A717" i="1"/>
  <c r="L716" i="1"/>
  <c r="M716" i="1" s="1"/>
  <c r="J716" i="1"/>
  <c r="K716" i="1" s="1"/>
  <c r="H716" i="1"/>
  <c r="G716" i="1"/>
  <c r="I716" i="1" s="1"/>
  <c r="F716" i="1"/>
  <c r="C716" i="1"/>
  <c r="D716" i="1" s="1"/>
  <c r="B716" i="1"/>
  <c r="A716" i="1"/>
  <c r="L715" i="1"/>
  <c r="M715" i="1" s="1"/>
  <c r="J715" i="1"/>
  <c r="I715" i="1"/>
  <c r="K715" i="1" s="1"/>
  <c r="H715" i="1"/>
  <c r="G715" i="1"/>
  <c r="F715" i="1"/>
  <c r="C715" i="1"/>
  <c r="D715" i="1" s="1"/>
  <c r="B715" i="1"/>
  <c r="A715" i="1"/>
  <c r="M714" i="1"/>
  <c r="L714" i="1"/>
  <c r="J714" i="1"/>
  <c r="H714" i="1"/>
  <c r="G714" i="1"/>
  <c r="I714" i="1" s="1"/>
  <c r="K714" i="1" s="1"/>
  <c r="F714" i="1"/>
  <c r="E714" i="1"/>
  <c r="D714" i="1"/>
  <c r="C714" i="1"/>
  <c r="B714" i="1"/>
  <c r="A714" i="1"/>
  <c r="M713" i="1"/>
  <c r="L713" i="1"/>
  <c r="J713" i="1"/>
  <c r="H713" i="1"/>
  <c r="G713" i="1"/>
  <c r="I713" i="1" s="1"/>
  <c r="K713" i="1" s="1"/>
  <c r="F713" i="1"/>
  <c r="E713" i="1"/>
  <c r="C713" i="1"/>
  <c r="D713" i="1" s="1"/>
  <c r="B713" i="1"/>
  <c r="A713" i="1"/>
  <c r="M712" i="1"/>
  <c r="L712" i="1"/>
  <c r="J712" i="1"/>
  <c r="I712" i="1"/>
  <c r="K712" i="1" s="1"/>
  <c r="H712" i="1"/>
  <c r="G712" i="1"/>
  <c r="F712" i="1"/>
  <c r="C712" i="1"/>
  <c r="B712" i="1"/>
  <c r="A712" i="1"/>
  <c r="M711" i="1"/>
  <c r="L711" i="1"/>
  <c r="J711" i="1"/>
  <c r="H711" i="1"/>
  <c r="G711" i="1"/>
  <c r="I711" i="1" s="1"/>
  <c r="K711" i="1" s="1"/>
  <c r="C711" i="1"/>
  <c r="B711" i="1"/>
  <c r="A711" i="1"/>
  <c r="L710" i="1"/>
  <c r="M710" i="1" s="1"/>
  <c r="J710" i="1"/>
  <c r="I710" i="1"/>
  <c r="K710" i="1" s="1"/>
  <c r="H710" i="1"/>
  <c r="G710" i="1"/>
  <c r="E710" i="1"/>
  <c r="D710" i="1"/>
  <c r="C710" i="1"/>
  <c r="F710" i="1" s="1"/>
  <c r="B710" i="1"/>
  <c r="A710" i="1"/>
  <c r="L709" i="1"/>
  <c r="M709" i="1" s="1"/>
  <c r="J709" i="1"/>
  <c r="I709" i="1"/>
  <c r="K709" i="1" s="1"/>
  <c r="H709" i="1"/>
  <c r="G709" i="1"/>
  <c r="C709" i="1"/>
  <c r="F709" i="1" s="1"/>
  <c r="B709" i="1"/>
  <c r="A709" i="1"/>
  <c r="L708" i="1"/>
  <c r="M708" i="1" s="1"/>
  <c r="J708" i="1"/>
  <c r="K708" i="1" s="1"/>
  <c r="H708" i="1"/>
  <c r="G708" i="1"/>
  <c r="I708" i="1" s="1"/>
  <c r="F708" i="1"/>
  <c r="E708" i="1"/>
  <c r="D708" i="1"/>
  <c r="C708" i="1"/>
  <c r="B708" i="1"/>
  <c r="A708" i="1"/>
  <c r="L707" i="1"/>
  <c r="M707" i="1" s="1"/>
  <c r="K707" i="1"/>
  <c r="J707" i="1"/>
  <c r="H707" i="1"/>
  <c r="G707" i="1"/>
  <c r="I707" i="1" s="1"/>
  <c r="F707" i="1"/>
  <c r="E707" i="1"/>
  <c r="C707" i="1"/>
  <c r="D707" i="1" s="1"/>
  <c r="B707" i="1"/>
  <c r="A707" i="1"/>
  <c r="L706" i="1"/>
  <c r="M706" i="1" s="1"/>
  <c r="J706" i="1"/>
  <c r="I706" i="1"/>
  <c r="K706" i="1" s="1"/>
  <c r="H706" i="1"/>
  <c r="G706" i="1"/>
  <c r="C706" i="1"/>
  <c r="E706" i="1" s="1"/>
  <c r="B706" i="1"/>
  <c r="A706" i="1"/>
  <c r="M705" i="1"/>
  <c r="L705" i="1"/>
  <c r="J705" i="1"/>
  <c r="H705" i="1"/>
  <c r="G705" i="1"/>
  <c r="I705" i="1" s="1"/>
  <c r="K705" i="1" s="1"/>
  <c r="C705" i="1"/>
  <c r="F705" i="1" s="1"/>
  <c r="B705" i="1"/>
  <c r="A705" i="1"/>
  <c r="L704" i="1"/>
  <c r="M704" i="1" s="1"/>
  <c r="J704" i="1"/>
  <c r="I704" i="1"/>
  <c r="K704" i="1" s="1"/>
  <c r="H704" i="1"/>
  <c r="G704" i="1"/>
  <c r="F704" i="1"/>
  <c r="C704" i="1"/>
  <c r="E704" i="1" s="1"/>
  <c r="B704" i="1"/>
  <c r="A704" i="1"/>
  <c r="L703" i="1"/>
  <c r="M703" i="1" s="1"/>
  <c r="J703" i="1"/>
  <c r="I703" i="1"/>
  <c r="K703" i="1" s="1"/>
  <c r="H703" i="1"/>
  <c r="G703" i="1"/>
  <c r="F703" i="1"/>
  <c r="C703" i="1"/>
  <c r="E703" i="1" s="1"/>
  <c r="B703" i="1"/>
  <c r="A703" i="1"/>
  <c r="M702" i="1"/>
  <c r="L702" i="1"/>
  <c r="J702" i="1"/>
  <c r="H702" i="1"/>
  <c r="G702" i="1"/>
  <c r="I702" i="1" s="1"/>
  <c r="K702" i="1" s="1"/>
  <c r="F702" i="1"/>
  <c r="E702" i="1"/>
  <c r="D702" i="1"/>
  <c r="C702" i="1"/>
  <c r="B702" i="1"/>
  <c r="A702" i="1"/>
  <c r="M701" i="1"/>
  <c r="L701" i="1"/>
  <c r="J701" i="1"/>
  <c r="H701" i="1"/>
  <c r="G701" i="1"/>
  <c r="I701" i="1" s="1"/>
  <c r="K701" i="1" s="1"/>
  <c r="F701" i="1"/>
  <c r="E701" i="1"/>
  <c r="C701" i="1"/>
  <c r="D701" i="1" s="1"/>
  <c r="B701" i="1"/>
  <c r="A701" i="1"/>
  <c r="M700" i="1"/>
  <c r="L700" i="1"/>
  <c r="J700" i="1"/>
  <c r="I700" i="1"/>
  <c r="K700" i="1" s="1"/>
  <c r="H700" i="1"/>
  <c r="G700" i="1"/>
  <c r="F700" i="1"/>
  <c r="C700" i="1"/>
  <c r="B700" i="1"/>
  <c r="A700" i="1"/>
  <c r="M699" i="1"/>
  <c r="L699" i="1"/>
  <c r="J699" i="1"/>
  <c r="H699" i="1"/>
  <c r="G699" i="1"/>
  <c r="I699" i="1" s="1"/>
  <c r="K699" i="1" s="1"/>
  <c r="C699" i="1"/>
  <c r="B699" i="1"/>
  <c r="A699" i="1"/>
  <c r="L698" i="1"/>
  <c r="M698" i="1" s="1"/>
  <c r="K698" i="1"/>
  <c r="J698" i="1"/>
  <c r="I698" i="1"/>
  <c r="H698" i="1"/>
  <c r="G698" i="1"/>
  <c r="E698" i="1"/>
  <c r="D698" i="1"/>
  <c r="C698" i="1"/>
  <c r="F698" i="1" s="1"/>
  <c r="B698" i="1"/>
  <c r="A698" i="1"/>
  <c r="L697" i="1"/>
  <c r="M697" i="1" s="1"/>
  <c r="K697" i="1"/>
  <c r="J697" i="1"/>
  <c r="I697" i="1"/>
  <c r="H697" i="1"/>
  <c r="G697" i="1"/>
  <c r="C697" i="1"/>
  <c r="F697" i="1" s="1"/>
  <c r="B697" i="1"/>
  <c r="A697" i="1"/>
  <c r="L696" i="1"/>
  <c r="M696" i="1" s="1"/>
  <c r="J696" i="1"/>
  <c r="K696" i="1" s="1"/>
  <c r="H696" i="1"/>
  <c r="G696" i="1"/>
  <c r="I696" i="1" s="1"/>
  <c r="F696" i="1"/>
  <c r="E696" i="1"/>
  <c r="D696" i="1"/>
  <c r="C696" i="1"/>
  <c r="B696" i="1"/>
  <c r="A696" i="1"/>
  <c r="L695" i="1"/>
  <c r="M695" i="1" s="1"/>
  <c r="K695" i="1"/>
  <c r="J695" i="1"/>
  <c r="H695" i="1"/>
  <c r="G695" i="1"/>
  <c r="I695" i="1" s="1"/>
  <c r="F695" i="1"/>
  <c r="E695" i="1"/>
  <c r="C695" i="1"/>
  <c r="D695" i="1" s="1"/>
  <c r="B695" i="1"/>
  <c r="A695" i="1"/>
  <c r="L694" i="1"/>
  <c r="M694" i="1" s="1"/>
  <c r="J694" i="1"/>
  <c r="I694" i="1"/>
  <c r="K694" i="1" s="1"/>
  <c r="H694" i="1"/>
  <c r="G694" i="1"/>
  <c r="C694" i="1"/>
  <c r="E694" i="1" s="1"/>
  <c r="B694" i="1"/>
  <c r="A694" i="1"/>
  <c r="M693" i="1"/>
  <c r="L693" i="1"/>
  <c r="J693" i="1"/>
  <c r="I693" i="1"/>
  <c r="K693" i="1" s="1"/>
  <c r="H693" i="1"/>
  <c r="G693" i="1"/>
  <c r="C693" i="1"/>
  <c r="F693" i="1" s="1"/>
  <c r="B693" i="1"/>
  <c r="A693" i="1"/>
  <c r="L692" i="1"/>
  <c r="M692" i="1" s="1"/>
  <c r="J692" i="1"/>
  <c r="I692" i="1"/>
  <c r="K692" i="1" s="1"/>
  <c r="H692" i="1"/>
  <c r="G692" i="1"/>
  <c r="F692" i="1"/>
  <c r="C692" i="1"/>
  <c r="D692" i="1" s="1"/>
  <c r="B692" i="1"/>
  <c r="A692" i="1"/>
  <c r="L691" i="1"/>
  <c r="M691" i="1" s="1"/>
  <c r="J691" i="1"/>
  <c r="I691" i="1"/>
  <c r="K691" i="1" s="1"/>
  <c r="H691" i="1"/>
  <c r="G691" i="1"/>
  <c r="F691" i="1"/>
  <c r="C691" i="1"/>
  <c r="D691" i="1" s="1"/>
  <c r="B691" i="1"/>
  <c r="A691" i="1"/>
  <c r="M690" i="1"/>
  <c r="L690" i="1"/>
  <c r="J690" i="1"/>
  <c r="H690" i="1"/>
  <c r="G690" i="1"/>
  <c r="I690" i="1" s="1"/>
  <c r="K690" i="1" s="1"/>
  <c r="F690" i="1"/>
  <c r="E690" i="1"/>
  <c r="D690" i="1"/>
  <c r="C690" i="1"/>
  <c r="B690" i="1"/>
  <c r="A690" i="1"/>
  <c r="M689" i="1"/>
  <c r="L689" i="1"/>
  <c r="J689" i="1"/>
  <c r="H689" i="1"/>
  <c r="G689" i="1"/>
  <c r="I689" i="1" s="1"/>
  <c r="K689" i="1" s="1"/>
  <c r="F689" i="1"/>
  <c r="E689" i="1"/>
  <c r="C689" i="1"/>
  <c r="D689" i="1" s="1"/>
  <c r="B689" i="1"/>
  <c r="A689" i="1"/>
  <c r="M688" i="1"/>
  <c r="L688" i="1"/>
  <c r="J688" i="1"/>
  <c r="I688" i="1"/>
  <c r="K688" i="1" s="1"/>
  <c r="H688" i="1"/>
  <c r="G688" i="1"/>
  <c r="F688" i="1"/>
  <c r="C688" i="1"/>
  <c r="B688" i="1"/>
  <c r="A688" i="1"/>
  <c r="M687" i="1"/>
  <c r="L687" i="1"/>
  <c r="J687" i="1"/>
  <c r="H687" i="1"/>
  <c r="G687" i="1"/>
  <c r="I687" i="1" s="1"/>
  <c r="K687" i="1" s="1"/>
  <c r="C687" i="1"/>
  <c r="B687" i="1"/>
  <c r="A687" i="1"/>
  <c r="L686" i="1"/>
  <c r="M686" i="1" s="1"/>
  <c r="J686" i="1"/>
  <c r="I686" i="1"/>
  <c r="K686" i="1" s="1"/>
  <c r="H686" i="1"/>
  <c r="G686" i="1"/>
  <c r="E686" i="1"/>
  <c r="D686" i="1"/>
  <c r="C686" i="1"/>
  <c r="F686" i="1" s="1"/>
  <c r="B686" i="1"/>
  <c r="A686" i="1"/>
  <c r="L685" i="1"/>
  <c r="M685" i="1" s="1"/>
  <c r="J685" i="1"/>
  <c r="I685" i="1"/>
  <c r="K685" i="1" s="1"/>
  <c r="H685" i="1"/>
  <c r="G685" i="1"/>
  <c r="C685" i="1"/>
  <c r="F685" i="1" s="1"/>
  <c r="B685" i="1"/>
  <c r="A685" i="1"/>
  <c r="L684" i="1"/>
  <c r="M684" i="1" s="1"/>
  <c r="J684" i="1"/>
  <c r="K684" i="1" s="1"/>
  <c r="H684" i="1"/>
  <c r="G684" i="1"/>
  <c r="I684" i="1" s="1"/>
  <c r="F684" i="1"/>
  <c r="E684" i="1"/>
  <c r="D684" i="1"/>
  <c r="C684" i="1"/>
  <c r="B684" i="1"/>
  <c r="A684" i="1"/>
  <c r="L683" i="1"/>
  <c r="M683" i="1" s="1"/>
  <c r="K683" i="1"/>
  <c r="J683" i="1"/>
  <c r="H683" i="1"/>
  <c r="G683" i="1"/>
  <c r="I683" i="1" s="1"/>
  <c r="F683" i="1"/>
  <c r="E683" i="1"/>
  <c r="C683" i="1"/>
  <c r="D683" i="1" s="1"/>
  <c r="B683" i="1"/>
  <c r="A683" i="1"/>
  <c r="L682" i="1"/>
  <c r="M682" i="1" s="1"/>
  <c r="J682" i="1"/>
  <c r="I682" i="1"/>
  <c r="K682" i="1" s="1"/>
  <c r="H682" i="1"/>
  <c r="G682" i="1"/>
  <c r="C682" i="1"/>
  <c r="E682" i="1" s="1"/>
  <c r="B682" i="1"/>
  <c r="A682" i="1"/>
  <c r="M681" i="1"/>
  <c r="L681" i="1"/>
  <c r="J681" i="1"/>
  <c r="H681" i="1"/>
  <c r="G681" i="1"/>
  <c r="I681" i="1" s="1"/>
  <c r="K681" i="1" s="1"/>
  <c r="C681" i="1"/>
  <c r="F681" i="1" s="1"/>
  <c r="B681" i="1"/>
  <c r="A681" i="1"/>
  <c r="L680" i="1"/>
  <c r="M680" i="1" s="1"/>
  <c r="J680" i="1"/>
  <c r="I680" i="1"/>
  <c r="K680" i="1" s="1"/>
  <c r="H680" i="1"/>
  <c r="G680" i="1"/>
  <c r="F680" i="1"/>
  <c r="C680" i="1"/>
  <c r="E680" i="1" s="1"/>
  <c r="B680" i="1"/>
  <c r="A680" i="1"/>
  <c r="M679" i="1"/>
  <c r="L679" i="1"/>
  <c r="J679" i="1"/>
  <c r="H679" i="1"/>
  <c r="G679" i="1"/>
  <c r="I679" i="1" s="1"/>
  <c r="K679" i="1" s="1"/>
  <c r="C679" i="1"/>
  <c r="F679" i="1" s="1"/>
  <c r="B679" i="1"/>
  <c r="A679" i="1"/>
  <c r="L678" i="1"/>
  <c r="M678" i="1" s="1"/>
  <c r="J678" i="1"/>
  <c r="H678" i="1"/>
  <c r="G678" i="1"/>
  <c r="I678" i="1" s="1"/>
  <c r="K678" i="1" s="1"/>
  <c r="F678" i="1"/>
  <c r="E678" i="1"/>
  <c r="D678" i="1"/>
  <c r="C678" i="1"/>
  <c r="B678" i="1"/>
  <c r="A678" i="1"/>
  <c r="L677" i="1"/>
  <c r="M677" i="1" s="1"/>
  <c r="K677" i="1"/>
  <c r="J677" i="1"/>
  <c r="I677" i="1"/>
  <c r="H677" i="1"/>
  <c r="G677" i="1"/>
  <c r="C677" i="1"/>
  <c r="D677" i="1" s="1"/>
  <c r="B677" i="1"/>
  <c r="A677" i="1"/>
  <c r="L676" i="1"/>
  <c r="M676" i="1" s="1"/>
  <c r="J676" i="1"/>
  <c r="H676" i="1"/>
  <c r="G676" i="1"/>
  <c r="I676" i="1" s="1"/>
  <c r="K676" i="1" s="1"/>
  <c r="C676" i="1"/>
  <c r="E676" i="1" s="1"/>
  <c r="B676" i="1"/>
  <c r="A676" i="1"/>
  <c r="M675" i="1"/>
  <c r="L675" i="1"/>
  <c r="J675" i="1"/>
  <c r="H675" i="1"/>
  <c r="G675" i="1"/>
  <c r="I675" i="1" s="1"/>
  <c r="K675" i="1" s="1"/>
  <c r="C675" i="1"/>
  <c r="F675" i="1" s="1"/>
  <c r="B675" i="1"/>
  <c r="A675" i="1"/>
  <c r="L674" i="1"/>
  <c r="M674" i="1" s="1"/>
  <c r="J674" i="1"/>
  <c r="I674" i="1"/>
  <c r="K674" i="1" s="1"/>
  <c r="H674" i="1"/>
  <c r="G674" i="1"/>
  <c r="F674" i="1"/>
  <c r="C674" i="1"/>
  <c r="E674" i="1" s="1"/>
  <c r="B674" i="1"/>
  <c r="A674" i="1"/>
  <c r="M673" i="1"/>
  <c r="L673" i="1"/>
  <c r="J673" i="1"/>
  <c r="H673" i="1"/>
  <c r="G673" i="1"/>
  <c r="I673" i="1" s="1"/>
  <c r="K673" i="1" s="1"/>
  <c r="C673" i="1"/>
  <c r="F673" i="1" s="1"/>
  <c r="B673" i="1"/>
  <c r="A673" i="1"/>
  <c r="L672" i="1"/>
  <c r="M672" i="1" s="1"/>
  <c r="J672" i="1"/>
  <c r="H672" i="1"/>
  <c r="G672" i="1"/>
  <c r="I672" i="1" s="1"/>
  <c r="K672" i="1" s="1"/>
  <c r="F672" i="1"/>
  <c r="E672" i="1"/>
  <c r="D672" i="1"/>
  <c r="C672" i="1"/>
  <c r="B672" i="1"/>
  <c r="A672" i="1"/>
  <c r="L671" i="1"/>
  <c r="M671" i="1" s="1"/>
  <c r="K671" i="1"/>
  <c r="J671" i="1"/>
  <c r="I671" i="1"/>
  <c r="H671" i="1"/>
  <c r="G671" i="1"/>
  <c r="C671" i="1"/>
  <c r="D671" i="1" s="1"/>
  <c r="B671" i="1"/>
  <c r="A671" i="1"/>
  <c r="L670" i="1"/>
  <c r="M670" i="1" s="1"/>
  <c r="J670" i="1"/>
  <c r="H670" i="1"/>
  <c r="G670" i="1"/>
  <c r="I670" i="1" s="1"/>
  <c r="K670" i="1" s="1"/>
  <c r="C670" i="1"/>
  <c r="E670" i="1" s="1"/>
  <c r="B670" i="1"/>
  <c r="A670" i="1"/>
  <c r="M669" i="1"/>
  <c r="L669" i="1"/>
  <c r="J669" i="1"/>
  <c r="H669" i="1"/>
  <c r="G669" i="1"/>
  <c r="I669" i="1" s="1"/>
  <c r="K669" i="1" s="1"/>
  <c r="C669" i="1"/>
  <c r="F669" i="1" s="1"/>
  <c r="B669" i="1"/>
  <c r="A669" i="1"/>
  <c r="L668" i="1"/>
  <c r="M668" i="1" s="1"/>
  <c r="J668" i="1"/>
  <c r="I668" i="1"/>
  <c r="K668" i="1" s="1"/>
  <c r="H668" i="1"/>
  <c r="G668" i="1"/>
  <c r="F668" i="1"/>
  <c r="C668" i="1"/>
  <c r="E668" i="1" s="1"/>
  <c r="B668" i="1"/>
  <c r="A668" i="1"/>
  <c r="M667" i="1"/>
  <c r="L667" i="1"/>
  <c r="J667" i="1"/>
  <c r="H667" i="1"/>
  <c r="G667" i="1"/>
  <c r="I667" i="1" s="1"/>
  <c r="K667" i="1" s="1"/>
  <c r="C667" i="1"/>
  <c r="F667" i="1" s="1"/>
  <c r="B667" i="1"/>
  <c r="A667" i="1"/>
  <c r="L666" i="1"/>
  <c r="M666" i="1" s="1"/>
  <c r="J666" i="1"/>
  <c r="H666" i="1"/>
  <c r="G666" i="1"/>
  <c r="I666" i="1" s="1"/>
  <c r="K666" i="1" s="1"/>
  <c r="F666" i="1"/>
  <c r="E666" i="1"/>
  <c r="D666" i="1"/>
  <c r="C666" i="1"/>
  <c r="B666" i="1"/>
  <c r="A666" i="1"/>
  <c r="L665" i="1"/>
  <c r="M665" i="1" s="1"/>
  <c r="K665" i="1"/>
  <c r="J665" i="1"/>
  <c r="I665" i="1"/>
  <c r="H665" i="1"/>
  <c r="G665" i="1"/>
  <c r="C665" i="1"/>
  <c r="D665" i="1" s="1"/>
  <c r="B665" i="1"/>
  <c r="A665" i="1"/>
  <c r="L664" i="1"/>
  <c r="M664" i="1" s="1"/>
  <c r="J664" i="1"/>
  <c r="H664" i="1"/>
  <c r="G664" i="1"/>
  <c r="I664" i="1" s="1"/>
  <c r="K664" i="1" s="1"/>
  <c r="C664" i="1"/>
  <c r="E664" i="1" s="1"/>
  <c r="B664" i="1"/>
  <c r="A664" i="1"/>
  <c r="M663" i="1"/>
  <c r="L663" i="1"/>
  <c r="J663" i="1"/>
  <c r="H663" i="1"/>
  <c r="G663" i="1"/>
  <c r="I663" i="1" s="1"/>
  <c r="K663" i="1" s="1"/>
  <c r="C663" i="1"/>
  <c r="F663" i="1" s="1"/>
  <c r="B663" i="1"/>
  <c r="A663" i="1"/>
  <c r="L662" i="1"/>
  <c r="M662" i="1" s="1"/>
  <c r="J662" i="1"/>
  <c r="I662" i="1"/>
  <c r="K662" i="1" s="1"/>
  <c r="H662" i="1"/>
  <c r="G662" i="1"/>
  <c r="F662" i="1"/>
  <c r="C662" i="1"/>
  <c r="E662" i="1" s="1"/>
  <c r="B662" i="1"/>
  <c r="A662" i="1"/>
  <c r="M661" i="1"/>
  <c r="L661" i="1"/>
  <c r="J661" i="1"/>
  <c r="H661" i="1"/>
  <c r="G661" i="1"/>
  <c r="I661" i="1" s="1"/>
  <c r="K661" i="1" s="1"/>
  <c r="C661" i="1"/>
  <c r="F661" i="1" s="1"/>
  <c r="B661" i="1"/>
  <c r="A661" i="1"/>
  <c r="L660" i="1"/>
  <c r="M660" i="1" s="1"/>
  <c r="J660" i="1"/>
  <c r="H660" i="1"/>
  <c r="G660" i="1"/>
  <c r="I660" i="1" s="1"/>
  <c r="K660" i="1" s="1"/>
  <c r="F660" i="1"/>
  <c r="E660" i="1"/>
  <c r="D660" i="1"/>
  <c r="C660" i="1"/>
  <c r="B660" i="1"/>
  <c r="A660" i="1"/>
  <c r="L659" i="1"/>
  <c r="M659" i="1" s="1"/>
  <c r="K659" i="1"/>
  <c r="J659" i="1"/>
  <c r="I659" i="1"/>
  <c r="H659" i="1"/>
  <c r="G659" i="1"/>
  <c r="C659" i="1"/>
  <c r="D659" i="1" s="1"/>
  <c r="B659" i="1"/>
  <c r="A659" i="1"/>
  <c r="L658" i="1"/>
  <c r="M658" i="1" s="1"/>
  <c r="J658" i="1"/>
  <c r="H658" i="1"/>
  <c r="G658" i="1"/>
  <c r="I658" i="1" s="1"/>
  <c r="K658" i="1" s="1"/>
  <c r="C658" i="1"/>
  <c r="E658" i="1" s="1"/>
  <c r="B658" i="1"/>
  <c r="A658" i="1"/>
  <c r="M657" i="1"/>
  <c r="L657" i="1"/>
  <c r="J657" i="1"/>
  <c r="H657" i="1"/>
  <c r="G657" i="1"/>
  <c r="I657" i="1" s="1"/>
  <c r="K657" i="1" s="1"/>
  <c r="C657" i="1"/>
  <c r="F657" i="1" s="1"/>
  <c r="B657" i="1"/>
  <c r="A657" i="1"/>
  <c r="L656" i="1"/>
  <c r="M656" i="1" s="1"/>
  <c r="J656" i="1"/>
  <c r="I656" i="1"/>
  <c r="K656" i="1" s="1"/>
  <c r="H656" i="1"/>
  <c r="G656" i="1"/>
  <c r="F656" i="1"/>
  <c r="C656" i="1"/>
  <c r="E656" i="1" s="1"/>
  <c r="B656" i="1"/>
  <c r="A656" i="1"/>
  <c r="M655" i="1"/>
  <c r="L655" i="1"/>
  <c r="J655" i="1"/>
  <c r="H655" i="1"/>
  <c r="G655" i="1"/>
  <c r="I655" i="1" s="1"/>
  <c r="K655" i="1" s="1"/>
  <c r="C655" i="1"/>
  <c r="F655" i="1" s="1"/>
  <c r="B655" i="1"/>
  <c r="A655" i="1"/>
  <c r="L654" i="1"/>
  <c r="M654" i="1" s="1"/>
  <c r="J654" i="1"/>
  <c r="H654" i="1"/>
  <c r="G654" i="1"/>
  <c r="I654" i="1" s="1"/>
  <c r="K654" i="1" s="1"/>
  <c r="F654" i="1"/>
  <c r="E654" i="1"/>
  <c r="D654" i="1"/>
  <c r="C654" i="1"/>
  <c r="B654" i="1"/>
  <c r="A654" i="1"/>
  <c r="L653" i="1"/>
  <c r="M653" i="1" s="1"/>
  <c r="K653" i="1"/>
  <c r="J653" i="1"/>
  <c r="I653" i="1"/>
  <c r="H653" i="1"/>
  <c r="G653" i="1"/>
  <c r="C653" i="1"/>
  <c r="D653" i="1" s="1"/>
  <c r="B653" i="1"/>
  <c r="A653" i="1"/>
  <c r="L652" i="1"/>
  <c r="M652" i="1" s="1"/>
  <c r="J652" i="1"/>
  <c r="H652" i="1"/>
  <c r="G652" i="1"/>
  <c r="I652" i="1" s="1"/>
  <c r="K652" i="1" s="1"/>
  <c r="C652" i="1"/>
  <c r="E652" i="1" s="1"/>
  <c r="B652" i="1"/>
  <c r="A652" i="1"/>
  <c r="M651" i="1"/>
  <c r="L651" i="1"/>
  <c r="J651" i="1"/>
  <c r="H651" i="1"/>
  <c r="G651" i="1"/>
  <c r="I651" i="1" s="1"/>
  <c r="K651" i="1" s="1"/>
  <c r="C651" i="1"/>
  <c r="F651" i="1" s="1"/>
  <c r="B651" i="1"/>
  <c r="A651" i="1"/>
  <c r="L650" i="1"/>
  <c r="M650" i="1" s="1"/>
  <c r="J650" i="1"/>
  <c r="I650" i="1"/>
  <c r="K650" i="1" s="1"/>
  <c r="H650" i="1"/>
  <c r="G650" i="1"/>
  <c r="F650" i="1"/>
  <c r="C650" i="1"/>
  <c r="E650" i="1" s="1"/>
  <c r="B650" i="1"/>
  <c r="A650" i="1"/>
  <c r="M649" i="1"/>
  <c r="L649" i="1"/>
  <c r="J649" i="1"/>
  <c r="H649" i="1"/>
  <c r="G649" i="1"/>
  <c r="I649" i="1" s="1"/>
  <c r="K649" i="1" s="1"/>
  <c r="C649" i="1"/>
  <c r="F649" i="1" s="1"/>
  <c r="B649" i="1"/>
  <c r="A649" i="1"/>
  <c r="L648" i="1"/>
  <c r="M648" i="1" s="1"/>
  <c r="J648" i="1"/>
  <c r="H648" i="1"/>
  <c r="G648" i="1"/>
  <c r="I648" i="1" s="1"/>
  <c r="K648" i="1" s="1"/>
  <c r="F648" i="1"/>
  <c r="E648" i="1"/>
  <c r="D648" i="1"/>
  <c r="C648" i="1"/>
  <c r="B648" i="1"/>
  <c r="A648" i="1"/>
  <c r="L647" i="1"/>
  <c r="M647" i="1" s="1"/>
  <c r="K647" i="1"/>
  <c r="J647" i="1"/>
  <c r="I647" i="1"/>
  <c r="H647" i="1"/>
  <c r="G647" i="1"/>
  <c r="C647" i="1"/>
  <c r="D647" i="1" s="1"/>
  <c r="B647" i="1"/>
  <c r="A647" i="1"/>
  <c r="L646" i="1"/>
  <c r="M646" i="1" s="1"/>
  <c r="J646" i="1"/>
  <c r="H646" i="1"/>
  <c r="G646" i="1"/>
  <c r="I646" i="1" s="1"/>
  <c r="K646" i="1" s="1"/>
  <c r="C646" i="1"/>
  <c r="E646" i="1" s="1"/>
  <c r="B646" i="1"/>
  <c r="A646" i="1"/>
  <c r="M645" i="1"/>
  <c r="L645" i="1"/>
  <c r="J645" i="1"/>
  <c r="H645" i="1"/>
  <c r="G645" i="1"/>
  <c r="I645" i="1" s="1"/>
  <c r="K645" i="1" s="1"/>
  <c r="C645" i="1"/>
  <c r="F645" i="1" s="1"/>
  <c r="B645" i="1"/>
  <c r="A645" i="1"/>
  <c r="L644" i="1"/>
  <c r="M644" i="1" s="1"/>
  <c r="J644" i="1"/>
  <c r="I644" i="1"/>
  <c r="K644" i="1" s="1"/>
  <c r="H644" i="1"/>
  <c r="G644" i="1"/>
  <c r="F644" i="1"/>
  <c r="C644" i="1"/>
  <c r="E644" i="1" s="1"/>
  <c r="B644" i="1"/>
  <c r="A644" i="1"/>
  <c r="M643" i="1"/>
  <c r="L643" i="1"/>
  <c r="J643" i="1"/>
  <c r="H643" i="1"/>
  <c r="G643" i="1"/>
  <c r="I643" i="1" s="1"/>
  <c r="K643" i="1" s="1"/>
  <c r="C643" i="1"/>
  <c r="F643" i="1" s="1"/>
  <c r="B643" i="1"/>
  <c r="A643" i="1"/>
  <c r="L642" i="1"/>
  <c r="M642" i="1" s="1"/>
  <c r="J642" i="1"/>
  <c r="H642" i="1"/>
  <c r="G642" i="1"/>
  <c r="I642" i="1" s="1"/>
  <c r="K642" i="1" s="1"/>
  <c r="F642" i="1"/>
  <c r="E642" i="1"/>
  <c r="D642" i="1"/>
  <c r="C642" i="1"/>
  <c r="B642" i="1"/>
  <c r="A642" i="1"/>
  <c r="L641" i="1"/>
  <c r="M641" i="1" s="1"/>
  <c r="K641" i="1"/>
  <c r="J641" i="1"/>
  <c r="I641" i="1"/>
  <c r="H641" i="1"/>
  <c r="G641" i="1"/>
  <c r="C641" i="1"/>
  <c r="D641" i="1" s="1"/>
  <c r="B641" i="1"/>
  <c r="A641" i="1"/>
  <c r="L640" i="1"/>
  <c r="M640" i="1" s="1"/>
  <c r="J640" i="1"/>
  <c r="H640" i="1"/>
  <c r="G640" i="1"/>
  <c r="I640" i="1" s="1"/>
  <c r="K640" i="1" s="1"/>
  <c r="C640" i="1"/>
  <c r="E640" i="1" s="1"/>
  <c r="B640" i="1"/>
  <c r="A640" i="1"/>
  <c r="M639" i="1"/>
  <c r="L639" i="1"/>
  <c r="J639" i="1"/>
  <c r="H639" i="1"/>
  <c r="G639" i="1"/>
  <c r="I639" i="1" s="1"/>
  <c r="K639" i="1" s="1"/>
  <c r="C639" i="1"/>
  <c r="F639" i="1" s="1"/>
  <c r="B639" i="1"/>
  <c r="A639" i="1"/>
  <c r="L638" i="1"/>
  <c r="M638" i="1" s="1"/>
  <c r="J638" i="1"/>
  <c r="I638" i="1"/>
  <c r="K638" i="1" s="1"/>
  <c r="H638" i="1"/>
  <c r="G638" i="1"/>
  <c r="F638" i="1"/>
  <c r="C638" i="1"/>
  <c r="E638" i="1" s="1"/>
  <c r="B638" i="1"/>
  <c r="A638" i="1"/>
  <c r="M637" i="1"/>
  <c r="L637" i="1"/>
  <c r="J637" i="1"/>
  <c r="H637" i="1"/>
  <c r="G637" i="1"/>
  <c r="I637" i="1" s="1"/>
  <c r="K637" i="1" s="1"/>
  <c r="C637" i="1"/>
  <c r="F637" i="1" s="1"/>
  <c r="B637" i="1"/>
  <c r="A637" i="1"/>
  <c r="L636" i="1"/>
  <c r="M636" i="1" s="1"/>
  <c r="J636" i="1"/>
  <c r="H636" i="1"/>
  <c r="G636" i="1"/>
  <c r="I636" i="1" s="1"/>
  <c r="K636" i="1" s="1"/>
  <c r="F636" i="1"/>
  <c r="E636" i="1"/>
  <c r="D636" i="1"/>
  <c r="C636" i="1"/>
  <c r="B636" i="1"/>
  <c r="A636" i="1"/>
  <c r="L635" i="1"/>
  <c r="M635" i="1" s="1"/>
  <c r="K635" i="1"/>
  <c r="J635" i="1"/>
  <c r="I635" i="1"/>
  <c r="H635" i="1"/>
  <c r="G635" i="1"/>
  <c r="C635" i="1"/>
  <c r="D635" i="1" s="1"/>
  <c r="B635" i="1"/>
  <c r="A635" i="1"/>
  <c r="L634" i="1"/>
  <c r="M634" i="1" s="1"/>
  <c r="J634" i="1"/>
  <c r="H634" i="1"/>
  <c r="G634" i="1"/>
  <c r="I634" i="1" s="1"/>
  <c r="K634" i="1" s="1"/>
  <c r="C634" i="1"/>
  <c r="E634" i="1" s="1"/>
  <c r="B634" i="1"/>
  <c r="A634" i="1"/>
  <c r="M633" i="1"/>
  <c r="L633" i="1"/>
  <c r="J633" i="1"/>
  <c r="H633" i="1"/>
  <c r="G633" i="1"/>
  <c r="I633" i="1" s="1"/>
  <c r="K633" i="1" s="1"/>
  <c r="C633" i="1"/>
  <c r="F633" i="1" s="1"/>
  <c r="B633" i="1"/>
  <c r="A633" i="1"/>
  <c r="L632" i="1"/>
  <c r="M632" i="1" s="1"/>
  <c r="J632" i="1"/>
  <c r="I632" i="1"/>
  <c r="K632" i="1" s="1"/>
  <c r="H632" i="1"/>
  <c r="G632" i="1"/>
  <c r="F632" i="1"/>
  <c r="C632" i="1"/>
  <c r="E632" i="1" s="1"/>
  <c r="B632" i="1"/>
  <c r="A632" i="1"/>
  <c r="M631" i="1"/>
  <c r="L631" i="1"/>
  <c r="J631" i="1"/>
  <c r="H631" i="1"/>
  <c r="G631" i="1"/>
  <c r="I631" i="1" s="1"/>
  <c r="K631" i="1" s="1"/>
  <c r="C631" i="1"/>
  <c r="F631" i="1" s="1"/>
  <c r="B631" i="1"/>
  <c r="A631" i="1"/>
  <c r="L630" i="1"/>
  <c r="M630" i="1" s="1"/>
  <c r="J630" i="1"/>
  <c r="H630" i="1"/>
  <c r="G630" i="1"/>
  <c r="I630" i="1" s="1"/>
  <c r="K630" i="1" s="1"/>
  <c r="F630" i="1"/>
  <c r="E630" i="1"/>
  <c r="D630" i="1"/>
  <c r="C630" i="1"/>
  <c r="B630" i="1"/>
  <c r="A630" i="1"/>
  <c r="L629" i="1"/>
  <c r="M629" i="1" s="1"/>
  <c r="K629" i="1"/>
  <c r="J629" i="1"/>
  <c r="I629" i="1"/>
  <c r="H629" i="1"/>
  <c r="G629" i="1"/>
  <c r="C629" i="1"/>
  <c r="D629" i="1" s="1"/>
  <c r="B629" i="1"/>
  <c r="A629" i="1"/>
  <c r="L628" i="1"/>
  <c r="M628" i="1" s="1"/>
  <c r="J628" i="1"/>
  <c r="H628" i="1"/>
  <c r="G628" i="1"/>
  <c r="I628" i="1" s="1"/>
  <c r="K628" i="1" s="1"/>
  <c r="C628" i="1"/>
  <c r="E628" i="1" s="1"/>
  <c r="B628" i="1"/>
  <c r="A628" i="1"/>
  <c r="M627" i="1"/>
  <c r="L627" i="1"/>
  <c r="J627" i="1"/>
  <c r="H627" i="1"/>
  <c r="G627" i="1"/>
  <c r="I627" i="1" s="1"/>
  <c r="K627" i="1" s="1"/>
  <c r="C627" i="1"/>
  <c r="F627" i="1" s="1"/>
  <c r="B627" i="1"/>
  <c r="A627" i="1"/>
  <c r="L626" i="1"/>
  <c r="M626" i="1" s="1"/>
  <c r="J626" i="1"/>
  <c r="I626" i="1"/>
  <c r="K626" i="1" s="1"/>
  <c r="H626" i="1"/>
  <c r="G626" i="1"/>
  <c r="F626" i="1"/>
  <c r="C626" i="1"/>
  <c r="E626" i="1" s="1"/>
  <c r="B626" i="1"/>
  <c r="A626" i="1"/>
  <c r="M625" i="1"/>
  <c r="L625" i="1"/>
  <c r="J625" i="1"/>
  <c r="H625" i="1"/>
  <c r="G625" i="1"/>
  <c r="I625" i="1" s="1"/>
  <c r="K625" i="1" s="1"/>
  <c r="C625" i="1"/>
  <c r="F625" i="1" s="1"/>
  <c r="B625" i="1"/>
  <c r="A625" i="1"/>
  <c r="L624" i="1"/>
  <c r="M624" i="1" s="1"/>
  <c r="J624" i="1"/>
  <c r="H624" i="1"/>
  <c r="G624" i="1"/>
  <c r="I624" i="1" s="1"/>
  <c r="K624" i="1" s="1"/>
  <c r="F624" i="1"/>
  <c r="E624" i="1"/>
  <c r="D624" i="1"/>
  <c r="C624" i="1"/>
  <c r="B624" i="1"/>
  <c r="A624" i="1"/>
  <c r="L623" i="1"/>
  <c r="M623" i="1" s="1"/>
  <c r="K623" i="1"/>
  <c r="J623" i="1"/>
  <c r="I623" i="1"/>
  <c r="H623" i="1"/>
  <c r="G623" i="1"/>
  <c r="C623" i="1"/>
  <c r="D623" i="1" s="1"/>
  <c r="B623" i="1"/>
  <c r="A623" i="1"/>
  <c r="L622" i="1"/>
  <c r="M622" i="1" s="1"/>
  <c r="J622" i="1"/>
  <c r="H622" i="1"/>
  <c r="G622" i="1"/>
  <c r="I622" i="1" s="1"/>
  <c r="K622" i="1" s="1"/>
  <c r="C622" i="1"/>
  <c r="E622" i="1" s="1"/>
  <c r="B622" i="1"/>
  <c r="A622" i="1"/>
  <c r="M621" i="1"/>
  <c r="L621" i="1"/>
  <c r="J621" i="1"/>
  <c r="H621" i="1"/>
  <c r="G621" i="1"/>
  <c r="I621" i="1" s="1"/>
  <c r="K621" i="1" s="1"/>
  <c r="C621" i="1"/>
  <c r="F621" i="1" s="1"/>
  <c r="B621" i="1"/>
  <c r="A621" i="1"/>
  <c r="L620" i="1"/>
  <c r="M620" i="1" s="1"/>
  <c r="J620" i="1"/>
  <c r="I620" i="1"/>
  <c r="K620" i="1" s="1"/>
  <c r="H620" i="1"/>
  <c r="G620" i="1"/>
  <c r="F620" i="1"/>
  <c r="C620" i="1"/>
  <c r="E620" i="1" s="1"/>
  <c r="B620" i="1"/>
  <c r="A620" i="1"/>
  <c r="M619" i="1"/>
  <c r="L619" i="1"/>
  <c r="J619" i="1"/>
  <c r="H619" i="1"/>
  <c r="G619" i="1"/>
  <c r="I619" i="1" s="1"/>
  <c r="K619" i="1" s="1"/>
  <c r="C619" i="1"/>
  <c r="F619" i="1" s="1"/>
  <c r="B619" i="1"/>
  <c r="A619" i="1"/>
  <c r="L618" i="1"/>
  <c r="M618" i="1" s="1"/>
  <c r="J618" i="1"/>
  <c r="H618" i="1"/>
  <c r="G618" i="1"/>
  <c r="I618" i="1" s="1"/>
  <c r="K618" i="1" s="1"/>
  <c r="F618" i="1"/>
  <c r="E618" i="1"/>
  <c r="D618" i="1"/>
  <c r="C618" i="1"/>
  <c r="B618" i="1"/>
  <c r="A618" i="1"/>
  <c r="L617" i="1"/>
  <c r="M617" i="1" s="1"/>
  <c r="K617" i="1"/>
  <c r="J617" i="1"/>
  <c r="I617" i="1"/>
  <c r="H617" i="1"/>
  <c r="G617" i="1"/>
  <c r="E617" i="1"/>
  <c r="C617" i="1"/>
  <c r="D617" i="1" s="1"/>
  <c r="B617" i="1"/>
  <c r="A617" i="1"/>
  <c r="L616" i="1"/>
  <c r="M616" i="1" s="1"/>
  <c r="J616" i="1"/>
  <c r="H616" i="1"/>
  <c r="G616" i="1"/>
  <c r="I616" i="1" s="1"/>
  <c r="K616" i="1" s="1"/>
  <c r="C616" i="1"/>
  <c r="E616" i="1" s="1"/>
  <c r="B616" i="1"/>
  <c r="A616" i="1"/>
  <c r="M615" i="1"/>
  <c r="L615" i="1"/>
  <c r="J615" i="1"/>
  <c r="H615" i="1"/>
  <c r="G615" i="1"/>
  <c r="I615" i="1" s="1"/>
  <c r="K615" i="1" s="1"/>
  <c r="C615" i="1"/>
  <c r="F615" i="1" s="1"/>
  <c r="B615" i="1"/>
  <c r="A615" i="1"/>
  <c r="L614" i="1"/>
  <c r="M614" i="1" s="1"/>
  <c r="J614" i="1"/>
  <c r="I614" i="1"/>
  <c r="K614" i="1" s="1"/>
  <c r="H614" i="1"/>
  <c r="G614" i="1"/>
  <c r="F614" i="1"/>
  <c r="C614" i="1"/>
  <c r="E614" i="1" s="1"/>
  <c r="B614" i="1"/>
  <c r="A614" i="1"/>
  <c r="M613" i="1"/>
  <c r="L613" i="1"/>
  <c r="J613" i="1"/>
  <c r="H613" i="1"/>
  <c r="G613" i="1"/>
  <c r="I613" i="1" s="1"/>
  <c r="K613" i="1" s="1"/>
  <c r="C613" i="1"/>
  <c r="F613" i="1" s="1"/>
  <c r="B613" i="1"/>
  <c r="A613" i="1"/>
  <c r="L612" i="1"/>
  <c r="M612" i="1" s="1"/>
  <c r="J612" i="1"/>
  <c r="H612" i="1"/>
  <c r="G612" i="1"/>
  <c r="I612" i="1" s="1"/>
  <c r="K612" i="1" s="1"/>
  <c r="F612" i="1"/>
  <c r="E612" i="1"/>
  <c r="D612" i="1"/>
  <c r="C612" i="1"/>
  <c r="B612" i="1"/>
  <c r="A612" i="1"/>
  <c r="L611" i="1"/>
  <c r="M611" i="1" s="1"/>
  <c r="K611" i="1"/>
  <c r="J611" i="1"/>
  <c r="I611" i="1"/>
  <c r="H611" i="1"/>
  <c r="G611" i="1"/>
  <c r="E611" i="1"/>
  <c r="C611" i="1"/>
  <c r="D611" i="1" s="1"/>
  <c r="B611" i="1"/>
  <c r="A611" i="1"/>
  <c r="L610" i="1"/>
  <c r="M610" i="1" s="1"/>
  <c r="J610" i="1"/>
  <c r="H610" i="1"/>
  <c r="G610" i="1"/>
  <c r="I610" i="1" s="1"/>
  <c r="K610" i="1" s="1"/>
  <c r="C610" i="1"/>
  <c r="E610" i="1" s="1"/>
  <c r="B610" i="1"/>
  <c r="A610" i="1"/>
  <c r="M609" i="1"/>
  <c r="L609" i="1"/>
  <c r="J609" i="1"/>
  <c r="H609" i="1"/>
  <c r="G609" i="1"/>
  <c r="I609" i="1" s="1"/>
  <c r="K609" i="1" s="1"/>
  <c r="C609" i="1"/>
  <c r="F609" i="1" s="1"/>
  <c r="B609" i="1"/>
  <c r="A609" i="1"/>
  <c r="L608" i="1"/>
  <c r="M608" i="1" s="1"/>
  <c r="J608" i="1"/>
  <c r="I608" i="1"/>
  <c r="K608" i="1" s="1"/>
  <c r="H608" i="1"/>
  <c r="G608" i="1"/>
  <c r="F608" i="1"/>
  <c r="C608" i="1"/>
  <c r="E608" i="1" s="1"/>
  <c r="B608" i="1"/>
  <c r="A608" i="1"/>
  <c r="M607" i="1"/>
  <c r="L607" i="1"/>
  <c r="J607" i="1"/>
  <c r="H607" i="1"/>
  <c r="G607" i="1"/>
  <c r="I607" i="1" s="1"/>
  <c r="K607" i="1" s="1"/>
  <c r="D607" i="1"/>
  <c r="C607" i="1"/>
  <c r="F607" i="1" s="1"/>
  <c r="B607" i="1"/>
  <c r="A607" i="1"/>
  <c r="L606" i="1"/>
  <c r="M606" i="1" s="1"/>
  <c r="J606" i="1"/>
  <c r="H606" i="1"/>
  <c r="G606" i="1"/>
  <c r="I606" i="1" s="1"/>
  <c r="K606" i="1" s="1"/>
  <c r="F606" i="1"/>
  <c r="E606" i="1"/>
  <c r="D606" i="1"/>
  <c r="C606" i="1"/>
  <c r="B606" i="1"/>
  <c r="A606" i="1"/>
  <c r="L605" i="1"/>
  <c r="M605" i="1" s="1"/>
  <c r="K605" i="1"/>
  <c r="J605" i="1"/>
  <c r="I605" i="1"/>
  <c r="H605" i="1"/>
  <c r="G605" i="1"/>
  <c r="E605" i="1"/>
  <c r="C605" i="1"/>
  <c r="D605" i="1" s="1"/>
  <c r="B605" i="1"/>
  <c r="A605" i="1"/>
  <c r="L604" i="1"/>
  <c r="M604" i="1" s="1"/>
  <c r="J604" i="1"/>
  <c r="H604" i="1"/>
  <c r="G604" i="1"/>
  <c r="I604" i="1" s="1"/>
  <c r="K604" i="1" s="1"/>
  <c r="C604" i="1"/>
  <c r="E604" i="1" s="1"/>
  <c r="B604" i="1"/>
  <c r="A604" i="1"/>
  <c r="M603" i="1"/>
  <c r="L603" i="1"/>
  <c r="J603" i="1"/>
  <c r="H603" i="1"/>
  <c r="G603" i="1"/>
  <c r="I603" i="1" s="1"/>
  <c r="K603" i="1" s="1"/>
  <c r="C603" i="1"/>
  <c r="F603" i="1" s="1"/>
  <c r="B603" i="1"/>
  <c r="A603" i="1"/>
  <c r="L602" i="1"/>
  <c r="M602" i="1" s="1"/>
  <c r="J602" i="1"/>
  <c r="I602" i="1"/>
  <c r="K602" i="1" s="1"/>
  <c r="H602" i="1"/>
  <c r="G602" i="1"/>
  <c r="F602" i="1"/>
  <c r="C602" i="1"/>
  <c r="E602" i="1" s="1"/>
  <c r="B602" i="1"/>
  <c r="A602" i="1"/>
  <c r="M601" i="1"/>
  <c r="L601" i="1"/>
  <c r="J601" i="1"/>
  <c r="H601" i="1"/>
  <c r="G601" i="1"/>
  <c r="I601" i="1" s="1"/>
  <c r="K601" i="1" s="1"/>
  <c r="D601" i="1"/>
  <c r="C601" i="1"/>
  <c r="F601" i="1" s="1"/>
  <c r="B601" i="1"/>
  <c r="A601" i="1"/>
  <c r="L600" i="1"/>
  <c r="M600" i="1" s="1"/>
  <c r="J600" i="1"/>
  <c r="H600" i="1"/>
  <c r="G600" i="1"/>
  <c r="I600" i="1" s="1"/>
  <c r="K600" i="1" s="1"/>
  <c r="F600" i="1"/>
  <c r="E600" i="1"/>
  <c r="D600" i="1"/>
  <c r="C600" i="1"/>
  <c r="B600" i="1"/>
  <c r="A600" i="1"/>
  <c r="L599" i="1"/>
  <c r="M599" i="1" s="1"/>
  <c r="K599" i="1"/>
  <c r="J599" i="1"/>
  <c r="I599" i="1"/>
  <c r="H599" i="1"/>
  <c r="G599" i="1"/>
  <c r="E599" i="1"/>
  <c r="C599" i="1"/>
  <c r="D599" i="1" s="1"/>
  <c r="B599" i="1"/>
  <c r="A599" i="1"/>
  <c r="L598" i="1"/>
  <c r="M598" i="1" s="1"/>
  <c r="J598" i="1"/>
  <c r="H598" i="1"/>
  <c r="G598" i="1"/>
  <c r="I598" i="1" s="1"/>
  <c r="K598" i="1" s="1"/>
  <c r="C598" i="1"/>
  <c r="E598" i="1" s="1"/>
  <c r="B598" i="1"/>
  <c r="A598" i="1"/>
  <c r="M597" i="1"/>
  <c r="L597" i="1"/>
  <c r="J597" i="1"/>
  <c r="H597" i="1"/>
  <c r="G597" i="1"/>
  <c r="I597" i="1" s="1"/>
  <c r="K597" i="1" s="1"/>
  <c r="C597" i="1"/>
  <c r="F597" i="1" s="1"/>
  <c r="B597" i="1"/>
  <c r="A597" i="1"/>
  <c r="L596" i="1"/>
  <c r="M596" i="1" s="1"/>
  <c r="J596" i="1"/>
  <c r="I596" i="1"/>
  <c r="K596" i="1" s="1"/>
  <c r="H596" i="1"/>
  <c r="G596" i="1"/>
  <c r="F596" i="1"/>
  <c r="C596" i="1"/>
  <c r="E596" i="1" s="1"/>
  <c r="B596" i="1"/>
  <c r="A596" i="1"/>
  <c r="M595" i="1"/>
  <c r="L595" i="1"/>
  <c r="J595" i="1"/>
  <c r="H595" i="1"/>
  <c r="G595" i="1"/>
  <c r="I595" i="1" s="1"/>
  <c r="K595" i="1" s="1"/>
  <c r="D595" i="1"/>
  <c r="C595" i="1"/>
  <c r="F595" i="1" s="1"/>
  <c r="B595" i="1"/>
  <c r="A595" i="1"/>
  <c r="L594" i="1"/>
  <c r="M594" i="1" s="1"/>
  <c r="J594" i="1"/>
  <c r="H594" i="1"/>
  <c r="G594" i="1"/>
  <c r="I594" i="1" s="1"/>
  <c r="K594" i="1" s="1"/>
  <c r="F594" i="1"/>
  <c r="E594" i="1"/>
  <c r="D594" i="1"/>
  <c r="C594" i="1"/>
  <c r="B594" i="1"/>
  <c r="A594" i="1"/>
  <c r="L593" i="1"/>
  <c r="M593" i="1" s="1"/>
  <c r="K593" i="1"/>
  <c r="J593" i="1"/>
  <c r="I593" i="1"/>
  <c r="H593" i="1"/>
  <c r="G593" i="1"/>
  <c r="E593" i="1"/>
  <c r="C593" i="1"/>
  <c r="D593" i="1" s="1"/>
  <c r="B593" i="1"/>
  <c r="A593" i="1"/>
  <c r="L592" i="1"/>
  <c r="M592" i="1" s="1"/>
  <c r="J592" i="1"/>
  <c r="H592" i="1"/>
  <c r="G592" i="1"/>
  <c r="I592" i="1" s="1"/>
  <c r="K592" i="1" s="1"/>
  <c r="C592" i="1"/>
  <c r="E592" i="1" s="1"/>
  <c r="B592" i="1"/>
  <c r="A592" i="1"/>
  <c r="M591" i="1"/>
  <c r="L591" i="1"/>
  <c r="J591" i="1"/>
  <c r="H591" i="1"/>
  <c r="G591" i="1"/>
  <c r="I591" i="1" s="1"/>
  <c r="K591" i="1" s="1"/>
  <c r="C591" i="1"/>
  <c r="F591" i="1" s="1"/>
  <c r="B591" i="1"/>
  <c r="A591" i="1"/>
  <c r="L590" i="1"/>
  <c r="M590" i="1" s="1"/>
  <c r="J590" i="1"/>
  <c r="I590" i="1"/>
  <c r="K590" i="1" s="1"/>
  <c r="H590" i="1"/>
  <c r="G590" i="1"/>
  <c r="F590" i="1"/>
  <c r="C590" i="1"/>
  <c r="E590" i="1" s="1"/>
  <c r="B590" i="1"/>
  <c r="A590" i="1"/>
  <c r="M589" i="1"/>
  <c r="L589" i="1"/>
  <c r="J589" i="1"/>
  <c r="H589" i="1"/>
  <c r="G589" i="1"/>
  <c r="I589" i="1" s="1"/>
  <c r="K589" i="1" s="1"/>
  <c r="D589" i="1"/>
  <c r="C589" i="1"/>
  <c r="F589" i="1" s="1"/>
  <c r="B589" i="1"/>
  <c r="A589" i="1"/>
  <c r="L588" i="1"/>
  <c r="M588" i="1" s="1"/>
  <c r="J588" i="1"/>
  <c r="H588" i="1"/>
  <c r="G588" i="1"/>
  <c r="I588" i="1" s="1"/>
  <c r="K588" i="1" s="1"/>
  <c r="F588" i="1"/>
  <c r="E588" i="1"/>
  <c r="D588" i="1"/>
  <c r="C588" i="1"/>
  <c r="B588" i="1"/>
  <c r="A588" i="1"/>
  <c r="L587" i="1"/>
  <c r="M587" i="1" s="1"/>
  <c r="K587" i="1"/>
  <c r="J587" i="1"/>
  <c r="I587" i="1"/>
  <c r="H587" i="1"/>
  <c r="G587" i="1"/>
  <c r="E587" i="1"/>
  <c r="C587" i="1"/>
  <c r="D587" i="1" s="1"/>
  <c r="B587" i="1"/>
  <c r="A587" i="1"/>
  <c r="L586" i="1"/>
  <c r="M586" i="1" s="1"/>
  <c r="J586" i="1"/>
  <c r="H586" i="1"/>
  <c r="G586" i="1"/>
  <c r="I586" i="1" s="1"/>
  <c r="K586" i="1" s="1"/>
  <c r="C586" i="1"/>
  <c r="E586" i="1" s="1"/>
  <c r="B586" i="1"/>
  <c r="A586" i="1"/>
  <c r="M585" i="1"/>
  <c r="L585" i="1"/>
  <c r="J585" i="1"/>
  <c r="H585" i="1"/>
  <c r="G585" i="1"/>
  <c r="I585" i="1" s="1"/>
  <c r="K585" i="1" s="1"/>
  <c r="C585" i="1"/>
  <c r="F585" i="1" s="1"/>
  <c r="B585" i="1"/>
  <c r="A585" i="1"/>
  <c r="L584" i="1"/>
  <c r="M584" i="1" s="1"/>
  <c r="J584" i="1"/>
  <c r="I584" i="1"/>
  <c r="K584" i="1" s="1"/>
  <c r="H584" i="1"/>
  <c r="G584" i="1"/>
  <c r="F584" i="1"/>
  <c r="C584" i="1"/>
  <c r="E584" i="1" s="1"/>
  <c r="B584" i="1"/>
  <c r="A584" i="1"/>
  <c r="M583" i="1"/>
  <c r="L583" i="1"/>
  <c r="J583" i="1"/>
  <c r="H583" i="1"/>
  <c r="G583" i="1"/>
  <c r="I583" i="1" s="1"/>
  <c r="K583" i="1" s="1"/>
  <c r="D583" i="1"/>
  <c r="C583" i="1"/>
  <c r="F583" i="1" s="1"/>
  <c r="B583" i="1"/>
  <c r="A583" i="1"/>
  <c r="L582" i="1"/>
  <c r="M582" i="1" s="1"/>
  <c r="J582" i="1"/>
  <c r="H582" i="1"/>
  <c r="G582" i="1"/>
  <c r="I582" i="1" s="1"/>
  <c r="K582" i="1" s="1"/>
  <c r="F582" i="1"/>
  <c r="E582" i="1"/>
  <c r="D582" i="1"/>
  <c r="C582" i="1"/>
  <c r="B582" i="1"/>
  <c r="A582" i="1"/>
  <c r="L581" i="1"/>
  <c r="M581" i="1" s="1"/>
  <c r="K581" i="1"/>
  <c r="J581" i="1"/>
  <c r="I581" i="1"/>
  <c r="H581" i="1"/>
  <c r="G581" i="1"/>
  <c r="E581" i="1"/>
  <c r="C581" i="1"/>
  <c r="D581" i="1" s="1"/>
  <c r="B581" i="1"/>
  <c r="A581" i="1"/>
  <c r="L580" i="1"/>
  <c r="M580" i="1" s="1"/>
  <c r="J580" i="1"/>
  <c r="H580" i="1"/>
  <c r="G580" i="1"/>
  <c r="I580" i="1" s="1"/>
  <c r="K580" i="1" s="1"/>
  <c r="C580" i="1"/>
  <c r="E580" i="1" s="1"/>
  <c r="B580" i="1"/>
  <c r="A580" i="1"/>
  <c r="M579" i="1"/>
  <c r="L579" i="1"/>
  <c r="J579" i="1"/>
  <c r="H579" i="1"/>
  <c r="G579" i="1"/>
  <c r="I579" i="1" s="1"/>
  <c r="K579" i="1" s="1"/>
  <c r="D579" i="1"/>
  <c r="C579" i="1"/>
  <c r="F579" i="1" s="1"/>
  <c r="B579" i="1"/>
  <c r="A579" i="1"/>
  <c r="L578" i="1"/>
  <c r="M578" i="1" s="1"/>
  <c r="K578" i="1"/>
  <c r="J578" i="1"/>
  <c r="I578" i="1"/>
  <c r="H578" i="1"/>
  <c r="G578" i="1"/>
  <c r="E578" i="1"/>
  <c r="D578" i="1"/>
  <c r="C578" i="1"/>
  <c r="F578" i="1" s="1"/>
  <c r="B578" i="1"/>
  <c r="A578" i="1"/>
  <c r="L577" i="1"/>
  <c r="M577" i="1" s="1"/>
  <c r="J577" i="1"/>
  <c r="I577" i="1"/>
  <c r="K577" i="1" s="1"/>
  <c r="H577" i="1"/>
  <c r="G577" i="1"/>
  <c r="F577" i="1"/>
  <c r="E577" i="1"/>
  <c r="C577" i="1"/>
  <c r="D577" i="1" s="1"/>
  <c r="B577" i="1"/>
  <c r="A577" i="1"/>
  <c r="M576" i="1"/>
  <c r="L576" i="1"/>
  <c r="J576" i="1"/>
  <c r="H576" i="1"/>
  <c r="G576" i="1"/>
  <c r="I576" i="1" s="1"/>
  <c r="K576" i="1" s="1"/>
  <c r="F576" i="1"/>
  <c r="E576" i="1"/>
  <c r="D576" i="1"/>
  <c r="C576" i="1"/>
  <c r="B576" i="1"/>
  <c r="A576" i="1"/>
  <c r="M575" i="1"/>
  <c r="L575" i="1"/>
  <c r="J575" i="1"/>
  <c r="H575" i="1"/>
  <c r="G575" i="1"/>
  <c r="I575" i="1" s="1"/>
  <c r="K575" i="1" s="1"/>
  <c r="F575" i="1"/>
  <c r="E575" i="1"/>
  <c r="C575" i="1"/>
  <c r="D575" i="1" s="1"/>
  <c r="B575" i="1"/>
  <c r="A575" i="1"/>
  <c r="L574" i="1"/>
  <c r="M574" i="1" s="1"/>
  <c r="J574" i="1"/>
  <c r="I574" i="1"/>
  <c r="K574" i="1" s="1"/>
  <c r="H574" i="1"/>
  <c r="G574" i="1"/>
  <c r="F574" i="1"/>
  <c r="C574" i="1"/>
  <c r="D574" i="1" s="1"/>
  <c r="B574" i="1"/>
  <c r="A574" i="1"/>
  <c r="M573" i="1"/>
  <c r="L573" i="1"/>
  <c r="J573" i="1"/>
  <c r="I573" i="1"/>
  <c r="K573" i="1" s="1"/>
  <c r="H573" i="1"/>
  <c r="G573" i="1"/>
  <c r="D573" i="1"/>
  <c r="C573" i="1"/>
  <c r="E573" i="1" s="1"/>
  <c r="B573" i="1"/>
  <c r="A573" i="1"/>
  <c r="L572" i="1"/>
  <c r="M572" i="1" s="1"/>
  <c r="K572" i="1"/>
  <c r="J572" i="1"/>
  <c r="I572" i="1"/>
  <c r="H572" i="1"/>
  <c r="G572" i="1"/>
  <c r="E572" i="1"/>
  <c r="D572" i="1"/>
  <c r="C572" i="1"/>
  <c r="F572" i="1" s="1"/>
  <c r="B572" i="1"/>
  <c r="A572" i="1"/>
  <c r="L571" i="1"/>
  <c r="M571" i="1" s="1"/>
  <c r="K571" i="1"/>
  <c r="J571" i="1"/>
  <c r="I571" i="1"/>
  <c r="H571" i="1"/>
  <c r="G571" i="1"/>
  <c r="C571" i="1"/>
  <c r="F571" i="1" s="1"/>
  <c r="B571" i="1"/>
  <c r="A571" i="1"/>
  <c r="M570" i="1"/>
  <c r="L570" i="1"/>
  <c r="J570" i="1"/>
  <c r="H570" i="1"/>
  <c r="G570" i="1"/>
  <c r="I570" i="1" s="1"/>
  <c r="K570" i="1" s="1"/>
  <c r="F570" i="1"/>
  <c r="E570" i="1"/>
  <c r="D570" i="1"/>
  <c r="C570" i="1"/>
  <c r="B570" i="1"/>
  <c r="A570" i="1"/>
  <c r="M569" i="1"/>
  <c r="L569" i="1"/>
  <c r="J569" i="1"/>
  <c r="H569" i="1"/>
  <c r="G569" i="1"/>
  <c r="I569" i="1" s="1"/>
  <c r="K569" i="1" s="1"/>
  <c r="F569" i="1"/>
  <c r="E569" i="1"/>
  <c r="C569" i="1"/>
  <c r="D569" i="1" s="1"/>
  <c r="B569" i="1"/>
  <c r="A569" i="1"/>
  <c r="L568" i="1"/>
  <c r="M568" i="1" s="1"/>
  <c r="J568" i="1"/>
  <c r="I568" i="1"/>
  <c r="K568" i="1" s="1"/>
  <c r="H568" i="1"/>
  <c r="G568" i="1"/>
  <c r="F568" i="1"/>
  <c r="C568" i="1"/>
  <c r="E568" i="1" s="1"/>
  <c r="B568" i="1"/>
  <c r="A568" i="1"/>
  <c r="M567" i="1"/>
  <c r="L567" i="1"/>
  <c r="J567" i="1"/>
  <c r="H567" i="1"/>
  <c r="G567" i="1"/>
  <c r="I567" i="1" s="1"/>
  <c r="K567" i="1" s="1"/>
  <c r="D567" i="1"/>
  <c r="C567" i="1"/>
  <c r="F567" i="1" s="1"/>
  <c r="B567" i="1"/>
  <c r="A567" i="1"/>
  <c r="L566" i="1"/>
  <c r="M566" i="1" s="1"/>
  <c r="K566" i="1"/>
  <c r="J566" i="1"/>
  <c r="I566" i="1"/>
  <c r="H566" i="1"/>
  <c r="G566" i="1"/>
  <c r="E566" i="1"/>
  <c r="D566" i="1"/>
  <c r="C566" i="1"/>
  <c r="F566" i="1" s="1"/>
  <c r="B566" i="1"/>
  <c r="A566" i="1"/>
  <c r="L565" i="1"/>
  <c r="M565" i="1" s="1"/>
  <c r="J565" i="1"/>
  <c r="I565" i="1"/>
  <c r="K565" i="1" s="1"/>
  <c r="H565" i="1"/>
  <c r="G565" i="1"/>
  <c r="F565" i="1"/>
  <c r="E565" i="1"/>
  <c r="C565" i="1"/>
  <c r="D565" i="1" s="1"/>
  <c r="B565" i="1"/>
  <c r="A565" i="1"/>
  <c r="M564" i="1"/>
  <c r="L564" i="1"/>
  <c r="J564" i="1"/>
  <c r="H564" i="1"/>
  <c r="G564" i="1"/>
  <c r="I564" i="1" s="1"/>
  <c r="K564" i="1" s="1"/>
  <c r="F564" i="1"/>
  <c r="E564" i="1"/>
  <c r="D564" i="1"/>
  <c r="C564" i="1"/>
  <c r="B564" i="1"/>
  <c r="A564" i="1"/>
  <c r="M563" i="1"/>
  <c r="L563" i="1"/>
  <c r="J563" i="1"/>
  <c r="H563" i="1"/>
  <c r="G563" i="1"/>
  <c r="I563" i="1" s="1"/>
  <c r="K563" i="1" s="1"/>
  <c r="F563" i="1"/>
  <c r="E563" i="1"/>
  <c r="C563" i="1"/>
  <c r="D563" i="1" s="1"/>
  <c r="B563" i="1"/>
  <c r="A563" i="1"/>
  <c r="L562" i="1"/>
  <c r="M562" i="1" s="1"/>
  <c r="J562" i="1"/>
  <c r="I562" i="1"/>
  <c r="K562" i="1" s="1"/>
  <c r="H562" i="1"/>
  <c r="G562" i="1"/>
  <c r="F562" i="1"/>
  <c r="C562" i="1"/>
  <c r="D562" i="1" s="1"/>
  <c r="B562" i="1"/>
  <c r="A562" i="1"/>
  <c r="M561" i="1"/>
  <c r="L561" i="1"/>
  <c r="J561" i="1"/>
  <c r="I561" i="1"/>
  <c r="K561" i="1" s="1"/>
  <c r="H561" i="1"/>
  <c r="G561" i="1"/>
  <c r="D561" i="1"/>
  <c r="C561" i="1"/>
  <c r="E561" i="1" s="1"/>
  <c r="B561" i="1"/>
  <c r="A561" i="1"/>
  <c r="L560" i="1"/>
  <c r="M560" i="1" s="1"/>
  <c r="K560" i="1"/>
  <c r="J560" i="1"/>
  <c r="I560" i="1"/>
  <c r="H560" i="1"/>
  <c r="G560" i="1"/>
  <c r="E560" i="1"/>
  <c r="D560" i="1"/>
  <c r="C560" i="1"/>
  <c r="F560" i="1" s="1"/>
  <c r="B560" i="1"/>
  <c r="A560" i="1"/>
  <c r="L559" i="1"/>
  <c r="M559" i="1" s="1"/>
  <c r="K559" i="1"/>
  <c r="J559" i="1"/>
  <c r="I559" i="1"/>
  <c r="H559" i="1"/>
  <c r="G559" i="1"/>
  <c r="C559" i="1"/>
  <c r="B559" i="1"/>
  <c r="A559" i="1"/>
  <c r="M558" i="1"/>
  <c r="L558" i="1"/>
  <c r="J558" i="1"/>
  <c r="H558" i="1"/>
  <c r="G558" i="1"/>
  <c r="I558" i="1" s="1"/>
  <c r="K558" i="1" s="1"/>
  <c r="F558" i="1"/>
  <c r="E558" i="1"/>
  <c r="D558" i="1"/>
  <c r="C558" i="1"/>
  <c r="B558" i="1"/>
  <c r="A558" i="1"/>
  <c r="M557" i="1"/>
  <c r="L557" i="1"/>
  <c r="J557" i="1"/>
  <c r="H557" i="1"/>
  <c r="G557" i="1"/>
  <c r="I557" i="1" s="1"/>
  <c r="K557" i="1" s="1"/>
  <c r="F557" i="1"/>
  <c r="E557" i="1"/>
  <c r="C557" i="1"/>
  <c r="D557" i="1" s="1"/>
  <c r="B557" i="1"/>
  <c r="A557" i="1"/>
  <c r="L556" i="1"/>
  <c r="M556" i="1" s="1"/>
  <c r="J556" i="1"/>
  <c r="I556" i="1"/>
  <c r="K556" i="1" s="1"/>
  <c r="H556" i="1"/>
  <c r="G556" i="1"/>
  <c r="F556" i="1"/>
  <c r="C556" i="1"/>
  <c r="E556" i="1" s="1"/>
  <c r="B556" i="1"/>
  <c r="A556" i="1"/>
  <c r="M555" i="1"/>
  <c r="L555" i="1"/>
  <c r="J555" i="1"/>
  <c r="H555" i="1"/>
  <c r="G555" i="1"/>
  <c r="I555" i="1" s="1"/>
  <c r="K555" i="1" s="1"/>
  <c r="D555" i="1"/>
  <c r="C555" i="1"/>
  <c r="F555" i="1" s="1"/>
  <c r="B555" i="1"/>
  <c r="A555" i="1"/>
  <c r="L554" i="1"/>
  <c r="M554" i="1" s="1"/>
  <c r="K554" i="1"/>
  <c r="J554" i="1"/>
  <c r="I554" i="1"/>
  <c r="H554" i="1"/>
  <c r="G554" i="1"/>
  <c r="E554" i="1"/>
  <c r="D554" i="1"/>
  <c r="C554" i="1"/>
  <c r="F554" i="1" s="1"/>
  <c r="B554" i="1"/>
  <c r="A554" i="1"/>
  <c r="L553" i="1"/>
  <c r="M553" i="1" s="1"/>
  <c r="J553" i="1"/>
  <c r="I553" i="1"/>
  <c r="K553" i="1" s="1"/>
  <c r="H553" i="1"/>
  <c r="G553" i="1"/>
  <c r="F553" i="1"/>
  <c r="E553" i="1"/>
  <c r="C553" i="1"/>
  <c r="D553" i="1" s="1"/>
  <c r="B553" i="1"/>
  <c r="A553" i="1"/>
  <c r="M552" i="1"/>
  <c r="L552" i="1"/>
  <c r="J552" i="1"/>
  <c r="H552" i="1"/>
  <c r="G552" i="1"/>
  <c r="I552" i="1" s="1"/>
  <c r="F552" i="1"/>
  <c r="E552" i="1"/>
  <c r="D552" i="1"/>
  <c r="C552" i="1"/>
  <c r="B552" i="1"/>
  <c r="A552" i="1"/>
  <c r="M551" i="1"/>
  <c r="L551" i="1"/>
  <c r="K551" i="1"/>
  <c r="J551" i="1"/>
  <c r="H551" i="1"/>
  <c r="G551" i="1"/>
  <c r="I551" i="1" s="1"/>
  <c r="F551" i="1"/>
  <c r="E551" i="1"/>
  <c r="C551" i="1"/>
  <c r="D551" i="1" s="1"/>
  <c r="B551" i="1"/>
  <c r="A551" i="1"/>
  <c r="L550" i="1"/>
  <c r="M550" i="1" s="1"/>
  <c r="J550" i="1"/>
  <c r="I550" i="1"/>
  <c r="K550" i="1" s="1"/>
  <c r="H550" i="1"/>
  <c r="G550" i="1"/>
  <c r="F550" i="1"/>
  <c r="C550" i="1"/>
  <c r="D550" i="1" s="1"/>
  <c r="B550" i="1"/>
  <c r="A550" i="1"/>
  <c r="M549" i="1"/>
  <c r="L549" i="1"/>
  <c r="J549" i="1"/>
  <c r="I549" i="1"/>
  <c r="K549" i="1" s="1"/>
  <c r="H549" i="1"/>
  <c r="G549" i="1"/>
  <c r="D549" i="1"/>
  <c r="C549" i="1"/>
  <c r="E549" i="1" s="1"/>
  <c r="B549" i="1"/>
  <c r="A549" i="1"/>
  <c r="L548" i="1"/>
  <c r="M548" i="1" s="1"/>
  <c r="K548" i="1"/>
  <c r="J548" i="1"/>
  <c r="I548" i="1"/>
  <c r="H548" i="1"/>
  <c r="G548" i="1"/>
  <c r="E548" i="1"/>
  <c r="D548" i="1"/>
  <c r="C548" i="1"/>
  <c r="F548" i="1" s="1"/>
  <c r="B548" i="1"/>
  <c r="A548" i="1"/>
  <c r="L547" i="1"/>
  <c r="M547" i="1" s="1"/>
  <c r="K547" i="1"/>
  <c r="J547" i="1"/>
  <c r="I547" i="1"/>
  <c r="H547" i="1"/>
  <c r="G547" i="1"/>
  <c r="C547" i="1"/>
  <c r="B547" i="1"/>
  <c r="A547" i="1"/>
  <c r="M546" i="1"/>
  <c r="L546" i="1"/>
  <c r="J546" i="1"/>
  <c r="H546" i="1"/>
  <c r="G546" i="1"/>
  <c r="I546" i="1" s="1"/>
  <c r="K546" i="1" s="1"/>
  <c r="F546" i="1"/>
  <c r="E546" i="1"/>
  <c r="D546" i="1"/>
  <c r="C546" i="1"/>
  <c r="B546" i="1"/>
  <c r="A546" i="1"/>
  <c r="M545" i="1"/>
  <c r="L545" i="1"/>
  <c r="J545" i="1"/>
  <c r="H545" i="1"/>
  <c r="G545" i="1"/>
  <c r="I545" i="1" s="1"/>
  <c r="K545" i="1" s="1"/>
  <c r="F545" i="1"/>
  <c r="E545" i="1"/>
  <c r="C545" i="1"/>
  <c r="D545" i="1" s="1"/>
  <c r="B545" i="1"/>
  <c r="A545" i="1"/>
  <c r="L544" i="1"/>
  <c r="M544" i="1" s="1"/>
  <c r="J544" i="1"/>
  <c r="I544" i="1"/>
  <c r="K544" i="1" s="1"/>
  <c r="H544" i="1"/>
  <c r="G544" i="1"/>
  <c r="C544" i="1"/>
  <c r="F544" i="1" s="1"/>
  <c r="B544" i="1"/>
  <c r="A544" i="1"/>
  <c r="M543" i="1"/>
  <c r="L543" i="1"/>
  <c r="J543" i="1"/>
  <c r="H543" i="1"/>
  <c r="G543" i="1"/>
  <c r="I543" i="1" s="1"/>
  <c r="K543" i="1" s="1"/>
  <c r="D543" i="1"/>
  <c r="C543" i="1"/>
  <c r="F543" i="1" s="1"/>
  <c r="B543" i="1"/>
  <c r="A543" i="1"/>
  <c r="L542" i="1"/>
  <c r="M542" i="1" s="1"/>
  <c r="K542" i="1"/>
  <c r="J542" i="1"/>
  <c r="I542" i="1"/>
  <c r="H542" i="1"/>
  <c r="G542" i="1"/>
  <c r="E542" i="1"/>
  <c r="D542" i="1"/>
  <c r="C542" i="1"/>
  <c r="F542" i="1" s="1"/>
  <c r="B542" i="1"/>
  <c r="A542" i="1"/>
  <c r="L541" i="1"/>
  <c r="M541" i="1" s="1"/>
  <c r="J541" i="1"/>
  <c r="I541" i="1"/>
  <c r="K541" i="1" s="1"/>
  <c r="H541" i="1"/>
  <c r="G541" i="1"/>
  <c r="F541" i="1"/>
  <c r="E541" i="1"/>
  <c r="C541" i="1"/>
  <c r="D541" i="1" s="1"/>
  <c r="B541" i="1"/>
  <c r="A541" i="1"/>
  <c r="M540" i="1"/>
  <c r="L540" i="1"/>
  <c r="J540" i="1"/>
  <c r="H540" i="1"/>
  <c r="G540" i="1"/>
  <c r="I540" i="1" s="1"/>
  <c r="K540" i="1" s="1"/>
  <c r="F540" i="1"/>
  <c r="E540" i="1"/>
  <c r="D540" i="1"/>
  <c r="C540" i="1"/>
  <c r="B540" i="1"/>
  <c r="A540" i="1"/>
  <c r="M539" i="1"/>
  <c r="L539" i="1"/>
  <c r="K539" i="1"/>
  <c r="J539" i="1"/>
  <c r="H539" i="1"/>
  <c r="G539" i="1"/>
  <c r="I539" i="1" s="1"/>
  <c r="F539" i="1"/>
  <c r="E539" i="1"/>
  <c r="C539" i="1"/>
  <c r="D539" i="1" s="1"/>
  <c r="B539" i="1"/>
  <c r="A539" i="1"/>
  <c r="L538" i="1"/>
  <c r="M538" i="1" s="1"/>
  <c r="J538" i="1"/>
  <c r="I538" i="1"/>
  <c r="K538" i="1" s="1"/>
  <c r="H538" i="1"/>
  <c r="G538" i="1"/>
  <c r="F538" i="1"/>
  <c r="C538" i="1"/>
  <c r="D538" i="1" s="1"/>
  <c r="B538" i="1"/>
  <c r="A538" i="1"/>
  <c r="M537" i="1"/>
  <c r="L537" i="1"/>
  <c r="J537" i="1"/>
  <c r="I537" i="1"/>
  <c r="H537" i="1"/>
  <c r="G537" i="1"/>
  <c r="D537" i="1"/>
  <c r="C537" i="1"/>
  <c r="E537" i="1" s="1"/>
  <c r="B537" i="1"/>
  <c r="A537" i="1"/>
  <c r="L536" i="1"/>
  <c r="M536" i="1" s="1"/>
  <c r="K536" i="1"/>
  <c r="J536" i="1"/>
  <c r="I536" i="1"/>
  <c r="H536" i="1"/>
  <c r="G536" i="1"/>
  <c r="E536" i="1"/>
  <c r="D536" i="1"/>
  <c r="C536" i="1"/>
  <c r="F536" i="1" s="1"/>
  <c r="B536" i="1"/>
  <c r="A536" i="1"/>
  <c r="L535" i="1"/>
  <c r="M535" i="1" s="1"/>
  <c r="K535" i="1"/>
  <c r="J535" i="1"/>
  <c r="I535" i="1"/>
  <c r="H535" i="1"/>
  <c r="G535" i="1"/>
  <c r="C535" i="1"/>
  <c r="B535" i="1"/>
  <c r="A535" i="1"/>
  <c r="M534" i="1"/>
  <c r="L534" i="1"/>
  <c r="J534" i="1"/>
  <c r="H534" i="1"/>
  <c r="G534" i="1"/>
  <c r="I534" i="1" s="1"/>
  <c r="K534" i="1" s="1"/>
  <c r="F534" i="1"/>
  <c r="E534" i="1"/>
  <c r="D534" i="1"/>
  <c r="C534" i="1"/>
  <c r="B534" i="1"/>
  <c r="A534" i="1"/>
  <c r="M533" i="1"/>
  <c r="L533" i="1"/>
  <c r="J533" i="1"/>
  <c r="H533" i="1"/>
  <c r="G533" i="1"/>
  <c r="I533" i="1" s="1"/>
  <c r="K533" i="1" s="1"/>
  <c r="F533" i="1"/>
  <c r="E533" i="1"/>
  <c r="C533" i="1"/>
  <c r="D533" i="1" s="1"/>
  <c r="B533" i="1"/>
  <c r="A533" i="1"/>
  <c r="L532" i="1"/>
  <c r="M532" i="1" s="1"/>
  <c r="J532" i="1"/>
  <c r="I532" i="1"/>
  <c r="K532" i="1" s="1"/>
  <c r="H532" i="1"/>
  <c r="G532" i="1"/>
  <c r="C532" i="1"/>
  <c r="B532" i="1"/>
  <c r="A532" i="1"/>
  <c r="M531" i="1"/>
  <c r="L531" i="1"/>
  <c r="J531" i="1"/>
  <c r="H531" i="1"/>
  <c r="G531" i="1"/>
  <c r="I531" i="1" s="1"/>
  <c r="K531" i="1" s="1"/>
  <c r="D531" i="1"/>
  <c r="C531" i="1"/>
  <c r="F531" i="1" s="1"/>
  <c r="B531" i="1"/>
  <c r="A531" i="1"/>
  <c r="L530" i="1"/>
  <c r="M530" i="1" s="1"/>
  <c r="J530" i="1"/>
  <c r="K530" i="1" s="1"/>
  <c r="I530" i="1"/>
  <c r="H530" i="1"/>
  <c r="G530" i="1"/>
  <c r="E530" i="1"/>
  <c r="D530" i="1"/>
  <c r="C530" i="1"/>
  <c r="F530" i="1" s="1"/>
  <c r="B530" i="1"/>
  <c r="A530" i="1"/>
  <c r="L529" i="1"/>
  <c r="M529" i="1" s="1"/>
  <c r="J529" i="1"/>
  <c r="I529" i="1"/>
  <c r="K529" i="1" s="1"/>
  <c r="H529" i="1"/>
  <c r="G529" i="1"/>
  <c r="F529" i="1"/>
  <c r="E529" i="1"/>
  <c r="C529" i="1"/>
  <c r="D529" i="1" s="1"/>
  <c r="B529" i="1"/>
  <c r="A529" i="1"/>
  <c r="L528" i="1"/>
  <c r="M528" i="1" s="1"/>
  <c r="J528" i="1"/>
  <c r="H528" i="1"/>
  <c r="G528" i="1"/>
  <c r="I528" i="1" s="1"/>
  <c r="F528" i="1"/>
  <c r="E528" i="1"/>
  <c r="D528" i="1"/>
  <c r="C528" i="1"/>
  <c r="B528" i="1"/>
  <c r="A528" i="1"/>
  <c r="M527" i="1"/>
  <c r="L527" i="1"/>
  <c r="K527" i="1"/>
  <c r="J527" i="1"/>
  <c r="H527" i="1"/>
  <c r="G527" i="1"/>
  <c r="I527" i="1" s="1"/>
  <c r="F527" i="1"/>
  <c r="E527" i="1"/>
  <c r="C527" i="1"/>
  <c r="D527" i="1" s="1"/>
  <c r="B527" i="1"/>
  <c r="A527" i="1"/>
  <c r="L526" i="1"/>
  <c r="M526" i="1" s="1"/>
  <c r="J526" i="1"/>
  <c r="I526" i="1"/>
  <c r="K526" i="1" s="1"/>
  <c r="H526" i="1"/>
  <c r="G526" i="1"/>
  <c r="F526" i="1"/>
  <c r="C526" i="1"/>
  <c r="D526" i="1" s="1"/>
  <c r="B526" i="1"/>
  <c r="A526" i="1"/>
  <c r="M525" i="1"/>
  <c r="L525" i="1"/>
  <c r="J525" i="1"/>
  <c r="I525" i="1"/>
  <c r="K525" i="1" s="1"/>
  <c r="H525" i="1"/>
  <c r="G525" i="1"/>
  <c r="C525" i="1"/>
  <c r="E525" i="1" s="1"/>
  <c r="B525" i="1"/>
  <c r="A525" i="1"/>
  <c r="L524" i="1"/>
  <c r="M524" i="1" s="1"/>
  <c r="K524" i="1"/>
  <c r="J524" i="1"/>
  <c r="I524" i="1"/>
  <c r="H524" i="1"/>
  <c r="G524" i="1"/>
  <c r="E524" i="1"/>
  <c r="D524" i="1"/>
  <c r="C524" i="1"/>
  <c r="F524" i="1" s="1"/>
  <c r="B524" i="1"/>
  <c r="A524" i="1"/>
  <c r="L523" i="1"/>
  <c r="M523" i="1" s="1"/>
  <c r="K523" i="1"/>
  <c r="J523" i="1"/>
  <c r="I523" i="1"/>
  <c r="H523" i="1"/>
  <c r="G523" i="1"/>
  <c r="C523" i="1"/>
  <c r="B523" i="1"/>
  <c r="A523" i="1"/>
  <c r="L522" i="1"/>
  <c r="M522" i="1" s="1"/>
  <c r="J522" i="1"/>
  <c r="H522" i="1"/>
  <c r="G522" i="1"/>
  <c r="I522" i="1" s="1"/>
  <c r="K522" i="1" s="1"/>
  <c r="F522" i="1"/>
  <c r="E522" i="1"/>
  <c r="D522" i="1"/>
  <c r="C522" i="1"/>
  <c r="B522" i="1"/>
  <c r="A522" i="1"/>
  <c r="M521" i="1"/>
  <c r="L521" i="1"/>
  <c r="J521" i="1"/>
  <c r="H521" i="1"/>
  <c r="G521" i="1"/>
  <c r="I521" i="1" s="1"/>
  <c r="K521" i="1" s="1"/>
  <c r="F521" i="1"/>
  <c r="E521" i="1"/>
  <c r="C521" i="1"/>
  <c r="D521" i="1" s="1"/>
  <c r="B521" i="1"/>
  <c r="A521" i="1"/>
  <c r="L520" i="1"/>
  <c r="M520" i="1" s="1"/>
  <c r="J520" i="1"/>
  <c r="I520" i="1"/>
  <c r="K520" i="1" s="1"/>
  <c r="H520" i="1"/>
  <c r="G520" i="1"/>
  <c r="F520" i="1"/>
  <c r="C520" i="1"/>
  <c r="B520" i="1"/>
  <c r="A520" i="1"/>
  <c r="M519" i="1"/>
  <c r="L519" i="1"/>
  <c r="J519" i="1"/>
  <c r="H519" i="1"/>
  <c r="G519" i="1"/>
  <c r="I519" i="1" s="1"/>
  <c r="K519" i="1" s="1"/>
  <c r="D519" i="1"/>
  <c r="C519" i="1"/>
  <c r="B519" i="1"/>
  <c r="A519" i="1"/>
  <c r="L518" i="1"/>
  <c r="M518" i="1" s="1"/>
  <c r="J518" i="1"/>
  <c r="K518" i="1" s="1"/>
  <c r="I518" i="1"/>
  <c r="H518" i="1"/>
  <c r="G518" i="1"/>
  <c r="E518" i="1"/>
  <c r="D518" i="1"/>
  <c r="C518" i="1"/>
  <c r="F518" i="1" s="1"/>
  <c r="B518" i="1"/>
  <c r="A518" i="1"/>
  <c r="L517" i="1"/>
  <c r="M517" i="1" s="1"/>
  <c r="J517" i="1"/>
  <c r="I517" i="1"/>
  <c r="K517" i="1" s="1"/>
  <c r="H517" i="1"/>
  <c r="G517" i="1"/>
  <c r="F517" i="1"/>
  <c r="E517" i="1"/>
  <c r="C517" i="1"/>
  <c r="D517" i="1" s="1"/>
  <c r="B517" i="1"/>
  <c r="A517" i="1"/>
  <c r="L516" i="1"/>
  <c r="M516" i="1" s="1"/>
  <c r="J516" i="1"/>
  <c r="H516" i="1"/>
  <c r="G516" i="1"/>
  <c r="I516" i="1" s="1"/>
  <c r="K516" i="1" s="1"/>
  <c r="F516" i="1"/>
  <c r="E516" i="1"/>
  <c r="D516" i="1"/>
  <c r="C516" i="1"/>
  <c r="B516" i="1"/>
  <c r="A516" i="1"/>
  <c r="M515" i="1"/>
  <c r="L515" i="1"/>
  <c r="J515" i="1"/>
  <c r="H515" i="1"/>
  <c r="G515" i="1"/>
  <c r="I515" i="1" s="1"/>
  <c r="K515" i="1" s="1"/>
  <c r="F515" i="1"/>
  <c r="E515" i="1"/>
  <c r="C515" i="1"/>
  <c r="D515" i="1" s="1"/>
  <c r="B515" i="1"/>
  <c r="A515" i="1"/>
  <c r="L514" i="1"/>
  <c r="M514" i="1" s="1"/>
  <c r="J514" i="1"/>
  <c r="I514" i="1"/>
  <c r="K514" i="1" s="1"/>
  <c r="H514" i="1"/>
  <c r="G514" i="1"/>
  <c r="F514" i="1"/>
  <c r="C514" i="1"/>
  <c r="D514" i="1" s="1"/>
  <c r="B514" i="1"/>
  <c r="A514" i="1"/>
  <c r="M513" i="1"/>
  <c r="L513" i="1"/>
  <c r="J513" i="1"/>
  <c r="I513" i="1"/>
  <c r="H513" i="1"/>
  <c r="G513" i="1"/>
  <c r="C513" i="1"/>
  <c r="B513" i="1"/>
  <c r="A513" i="1"/>
  <c r="L512" i="1"/>
  <c r="M512" i="1" s="1"/>
  <c r="J512" i="1"/>
  <c r="K512" i="1" s="1"/>
  <c r="I512" i="1"/>
  <c r="H512" i="1"/>
  <c r="G512" i="1"/>
  <c r="E512" i="1"/>
  <c r="D512" i="1"/>
  <c r="C512" i="1"/>
  <c r="F512" i="1" s="1"/>
  <c r="B512" i="1"/>
  <c r="A512" i="1"/>
  <c r="L511" i="1"/>
  <c r="M511" i="1" s="1"/>
  <c r="K511" i="1"/>
  <c r="J511" i="1"/>
  <c r="I511" i="1"/>
  <c r="H511" i="1"/>
  <c r="G511" i="1"/>
  <c r="E511" i="1"/>
  <c r="C511" i="1"/>
  <c r="B511" i="1"/>
  <c r="A511" i="1"/>
  <c r="M510" i="1"/>
  <c r="L510" i="1"/>
  <c r="J510" i="1"/>
  <c r="H510" i="1"/>
  <c r="G510" i="1"/>
  <c r="I510" i="1" s="1"/>
  <c r="K510" i="1" s="1"/>
  <c r="F510" i="1"/>
  <c r="E510" i="1"/>
  <c r="D510" i="1"/>
  <c r="C510" i="1"/>
  <c r="B510" i="1"/>
  <c r="A510" i="1"/>
  <c r="M509" i="1"/>
  <c r="L509" i="1"/>
  <c r="J509" i="1"/>
  <c r="H509" i="1"/>
  <c r="G509" i="1"/>
  <c r="I509" i="1" s="1"/>
  <c r="K509" i="1" s="1"/>
  <c r="F509" i="1"/>
  <c r="E509" i="1"/>
  <c r="C509" i="1"/>
  <c r="D509" i="1" s="1"/>
  <c r="B509" i="1"/>
  <c r="A509" i="1"/>
  <c r="L508" i="1"/>
  <c r="M508" i="1" s="1"/>
  <c r="J508" i="1"/>
  <c r="I508" i="1"/>
  <c r="K508" i="1" s="1"/>
  <c r="H508" i="1"/>
  <c r="G508" i="1"/>
  <c r="C508" i="1"/>
  <c r="B508" i="1"/>
  <c r="A508" i="1"/>
  <c r="M507" i="1"/>
  <c r="L507" i="1"/>
  <c r="J507" i="1"/>
  <c r="H507" i="1"/>
  <c r="G507" i="1"/>
  <c r="I507" i="1" s="1"/>
  <c r="K507" i="1" s="1"/>
  <c r="D507" i="1"/>
  <c r="C507" i="1"/>
  <c r="B507" i="1"/>
  <c r="A507" i="1"/>
  <c r="L506" i="1"/>
  <c r="M506" i="1" s="1"/>
  <c r="J506" i="1"/>
  <c r="K506" i="1" s="1"/>
  <c r="I506" i="1"/>
  <c r="H506" i="1"/>
  <c r="G506" i="1"/>
  <c r="E506" i="1"/>
  <c r="D506" i="1"/>
  <c r="C506" i="1"/>
  <c r="F506" i="1" s="1"/>
  <c r="B506" i="1"/>
  <c r="A506" i="1"/>
  <c r="L505" i="1"/>
  <c r="M505" i="1" s="1"/>
  <c r="K505" i="1"/>
  <c r="J505" i="1"/>
  <c r="I505" i="1"/>
  <c r="H505" i="1"/>
  <c r="G505" i="1"/>
  <c r="F505" i="1"/>
  <c r="E505" i="1"/>
  <c r="C505" i="1"/>
  <c r="D505" i="1" s="1"/>
  <c r="B505" i="1"/>
  <c r="A505" i="1"/>
  <c r="L504" i="1"/>
  <c r="M504" i="1" s="1"/>
  <c r="J504" i="1"/>
  <c r="H504" i="1"/>
  <c r="G504" i="1"/>
  <c r="I504" i="1" s="1"/>
  <c r="F504" i="1"/>
  <c r="E504" i="1"/>
  <c r="D504" i="1"/>
  <c r="C504" i="1"/>
  <c r="B504" i="1"/>
  <c r="A504" i="1"/>
  <c r="M503" i="1"/>
  <c r="L503" i="1"/>
  <c r="K503" i="1"/>
  <c r="J503" i="1"/>
  <c r="H503" i="1"/>
  <c r="G503" i="1"/>
  <c r="I503" i="1" s="1"/>
  <c r="F503" i="1"/>
  <c r="E503" i="1"/>
  <c r="C503" i="1"/>
  <c r="D503" i="1" s="1"/>
  <c r="B503" i="1"/>
  <c r="A503" i="1"/>
  <c r="L502" i="1"/>
  <c r="M502" i="1" s="1"/>
  <c r="J502" i="1"/>
  <c r="I502" i="1"/>
  <c r="K502" i="1" s="1"/>
  <c r="H502" i="1"/>
  <c r="G502" i="1"/>
  <c r="F502" i="1"/>
  <c r="C502" i="1"/>
  <c r="D502" i="1" s="1"/>
  <c r="B502" i="1"/>
  <c r="A502" i="1"/>
  <c r="M501" i="1"/>
  <c r="L501" i="1"/>
  <c r="J501" i="1"/>
  <c r="I501" i="1"/>
  <c r="H501" i="1"/>
  <c r="G501" i="1"/>
  <c r="C501" i="1"/>
  <c r="B501" i="1"/>
  <c r="A501" i="1"/>
  <c r="L500" i="1"/>
  <c r="M500" i="1" s="1"/>
  <c r="J500" i="1"/>
  <c r="K500" i="1" s="1"/>
  <c r="I500" i="1"/>
  <c r="H500" i="1"/>
  <c r="G500" i="1"/>
  <c r="E500" i="1"/>
  <c r="D500" i="1"/>
  <c r="C500" i="1"/>
  <c r="F500" i="1" s="1"/>
  <c r="B500" i="1"/>
  <c r="A500" i="1"/>
  <c r="L499" i="1"/>
  <c r="M499" i="1" s="1"/>
  <c r="K499" i="1"/>
  <c r="J499" i="1"/>
  <c r="I499" i="1"/>
  <c r="H499" i="1"/>
  <c r="G499" i="1"/>
  <c r="E499" i="1"/>
  <c r="C499" i="1"/>
  <c r="B499" i="1"/>
  <c r="A499" i="1"/>
  <c r="L498" i="1"/>
  <c r="M498" i="1" s="1"/>
  <c r="J498" i="1"/>
  <c r="H498" i="1"/>
  <c r="G498" i="1"/>
  <c r="I498" i="1" s="1"/>
  <c r="K498" i="1" s="1"/>
  <c r="F498" i="1"/>
  <c r="E498" i="1"/>
  <c r="D498" i="1"/>
  <c r="C498" i="1"/>
  <c r="B498" i="1"/>
  <c r="A498" i="1"/>
  <c r="M497" i="1"/>
  <c r="L497" i="1"/>
  <c r="J497" i="1"/>
  <c r="H497" i="1"/>
  <c r="G497" i="1"/>
  <c r="I497" i="1" s="1"/>
  <c r="K497" i="1" s="1"/>
  <c r="F497" i="1"/>
  <c r="E497" i="1"/>
  <c r="C497" i="1"/>
  <c r="D497" i="1" s="1"/>
  <c r="B497" i="1"/>
  <c r="A497" i="1"/>
  <c r="L496" i="1"/>
  <c r="M496" i="1" s="1"/>
  <c r="J496" i="1"/>
  <c r="I496" i="1"/>
  <c r="K496" i="1" s="1"/>
  <c r="H496" i="1"/>
  <c r="G496" i="1"/>
  <c r="F496" i="1"/>
  <c r="C496" i="1"/>
  <c r="B496" i="1"/>
  <c r="A496" i="1"/>
  <c r="M495" i="1"/>
  <c r="L495" i="1"/>
  <c r="J495" i="1"/>
  <c r="H495" i="1"/>
  <c r="G495" i="1"/>
  <c r="I495" i="1" s="1"/>
  <c r="K495" i="1" s="1"/>
  <c r="C495" i="1"/>
  <c r="B495" i="1"/>
  <c r="A495" i="1"/>
  <c r="L494" i="1"/>
  <c r="M494" i="1" s="1"/>
  <c r="J494" i="1"/>
  <c r="K494" i="1" s="1"/>
  <c r="I494" i="1"/>
  <c r="H494" i="1"/>
  <c r="G494" i="1"/>
  <c r="E494" i="1"/>
  <c r="D494" i="1"/>
  <c r="C494" i="1"/>
  <c r="F494" i="1" s="1"/>
  <c r="B494" i="1"/>
  <c r="A494" i="1"/>
  <c r="L493" i="1"/>
  <c r="M493" i="1" s="1"/>
  <c r="J493" i="1"/>
  <c r="I493" i="1"/>
  <c r="K493" i="1" s="1"/>
  <c r="H493" i="1"/>
  <c r="G493" i="1"/>
  <c r="F493" i="1"/>
  <c r="E493" i="1"/>
  <c r="C493" i="1"/>
  <c r="D493" i="1" s="1"/>
  <c r="B493" i="1"/>
  <c r="A493" i="1"/>
  <c r="L492" i="1"/>
  <c r="M492" i="1" s="1"/>
  <c r="J492" i="1"/>
  <c r="H492" i="1"/>
  <c r="G492" i="1"/>
  <c r="I492" i="1" s="1"/>
  <c r="F492" i="1"/>
  <c r="E492" i="1"/>
  <c r="D492" i="1"/>
  <c r="C492" i="1"/>
  <c r="B492" i="1"/>
  <c r="A492" i="1"/>
  <c r="M491" i="1"/>
  <c r="L491" i="1"/>
  <c r="J491" i="1"/>
  <c r="H491" i="1"/>
  <c r="G491" i="1"/>
  <c r="I491" i="1" s="1"/>
  <c r="K491" i="1" s="1"/>
  <c r="F491" i="1"/>
  <c r="E491" i="1"/>
  <c r="C491" i="1"/>
  <c r="D491" i="1" s="1"/>
  <c r="B491" i="1"/>
  <c r="A491" i="1"/>
  <c r="L490" i="1"/>
  <c r="M490" i="1" s="1"/>
  <c r="J490" i="1"/>
  <c r="I490" i="1"/>
  <c r="K490" i="1" s="1"/>
  <c r="H490" i="1"/>
  <c r="G490" i="1"/>
  <c r="F490" i="1"/>
  <c r="C490" i="1"/>
  <c r="D490" i="1" s="1"/>
  <c r="B490" i="1"/>
  <c r="A490" i="1"/>
  <c r="M489" i="1"/>
  <c r="L489" i="1"/>
  <c r="J489" i="1"/>
  <c r="I489" i="1"/>
  <c r="K489" i="1" s="1"/>
  <c r="H489" i="1"/>
  <c r="G489" i="1"/>
  <c r="C489" i="1"/>
  <c r="B489" i="1"/>
  <c r="A489" i="1"/>
  <c r="L488" i="1"/>
  <c r="M488" i="1" s="1"/>
  <c r="K488" i="1"/>
  <c r="J488" i="1"/>
  <c r="I488" i="1"/>
  <c r="H488" i="1"/>
  <c r="G488" i="1"/>
  <c r="E488" i="1"/>
  <c r="D488" i="1"/>
  <c r="C488" i="1"/>
  <c r="F488" i="1" s="1"/>
  <c r="B488" i="1"/>
  <c r="A488" i="1"/>
  <c r="L487" i="1"/>
  <c r="M487" i="1" s="1"/>
  <c r="K487" i="1"/>
  <c r="J487" i="1"/>
  <c r="I487" i="1"/>
  <c r="H487" i="1"/>
  <c r="G487" i="1"/>
  <c r="C487" i="1"/>
  <c r="B487" i="1"/>
  <c r="A487" i="1"/>
  <c r="L486" i="1"/>
  <c r="M486" i="1" s="1"/>
  <c r="J486" i="1"/>
  <c r="H486" i="1"/>
  <c r="G486" i="1"/>
  <c r="I486" i="1" s="1"/>
  <c r="K486" i="1" s="1"/>
  <c r="F486" i="1"/>
  <c r="E486" i="1"/>
  <c r="D486" i="1"/>
  <c r="C486" i="1"/>
  <c r="B486" i="1"/>
  <c r="A486" i="1"/>
  <c r="M485" i="1"/>
  <c r="L485" i="1"/>
  <c r="J485" i="1"/>
  <c r="H485" i="1"/>
  <c r="G485" i="1"/>
  <c r="I485" i="1" s="1"/>
  <c r="K485" i="1" s="1"/>
  <c r="F485" i="1"/>
  <c r="E485" i="1"/>
  <c r="C485" i="1"/>
  <c r="D485" i="1" s="1"/>
  <c r="B485" i="1"/>
  <c r="A485" i="1"/>
  <c r="L484" i="1"/>
  <c r="M484" i="1" s="1"/>
  <c r="J484" i="1"/>
  <c r="I484" i="1"/>
  <c r="K484" i="1" s="1"/>
  <c r="H484" i="1"/>
  <c r="G484" i="1"/>
  <c r="C484" i="1"/>
  <c r="F484" i="1" s="1"/>
  <c r="B484" i="1"/>
  <c r="A484" i="1"/>
  <c r="M483" i="1"/>
  <c r="L483" i="1"/>
  <c r="J483" i="1"/>
  <c r="I483" i="1"/>
  <c r="K483" i="1" s="1"/>
  <c r="H483" i="1"/>
  <c r="G483" i="1"/>
  <c r="C483" i="1"/>
  <c r="B483" i="1"/>
  <c r="A483" i="1"/>
  <c r="L482" i="1"/>
  <c r="M482" i="1" s="1"/>
  <c r="J482" i="1"/>
  <c r="K482" i="1" s="1"/>
  <c r="I482" i="1"/>
  <c r="H482" i="1"/>
  <c r="G482" i="1"/>
  <c r="E482" i="1"/>
  <c r="D482" i="1"/>
  <c r="C482" i="1"/>
  <c r="F482" i="1" s="1"/>
  <c r="B482" i="1"/>
  <c r="A482" i="1"/>
  <c r="L481" i="1"/>
  <c r="M481" i="1" s="1"/>
  <c r="K481" i="1"/>
  <c r="J481" i="1"/>
  <c r="I481" i="1"/>
  <c r="H481" i="1"/>
  <c r="G481" i="1"/>
  <c r="F481" i="1"/>
  <c r="E481" i="1"/>
  <c r="C481" i="1"/>
  <c r="D481" i="1" s="1"/>
  <c r="B481" i="1"/>
  <c r="A481" i="1"/>
  <c r="L480" i="1"/>
  <c r="M480" i="1" s="1"/>
  <c r="J480" i="1"/>
  <c r="H480" i="1"/>
  <c r="G480" i="1"/>
  <c r="I480" i="1" s="1"/>
  <c r="K480" i="1" s="1"/>
  <c r="F480" i="1"/>
  <c r="E480" i="1"/>
  <c r="D480" i="1"/>
  <c r="C480" i="1"/>
  <c r="B480" i="1"/>
  <c r="A480" i="1"/>
  <c r="M479" i="1"/>
  <c r="L479" i="1"/>
  <c r="K479" i="1"/>
  <c r="J479" i="1"/>
  <c r="H479" i="1"/>
  <c r="G479" i="1"/>
  <c r="I479" i="1" s="1"/>
  <c r="F479" i="1"/>
  <c r="E479" i="1"/>
  <c r="C479" i="1"/>
  <c r="D479" i="1" s="1"/>
  <c r="B479" i="1"/>
  <c r="A479" i="1"/>
  <c r="L478" i="1"/>
  <c r="M478" i="1" s="1"/>
  <c r="J478" i="1"/>
  <c r="I478" i="1"/>
  <c r="K478" i="1" s="1"/>
  <c r="H478" i="1"/>
  <c r="G478" i="1"/>
  <c r="F478" i="1"/>
  <c r="C478" i="1"/>
  <c r="D478" i="1" s="1"/>
  <c r="B478" i="1"/>
  <c r="A478" i="1"/>
  <c r="M477" i="1"/>
  <c r="L477" i="1"/>
  <c r="J477" i="1"/>
  <c r="I477" i="1"/>
  <c r="H477" i="1"/>
  <c r="G477" i="1"/>
  <c r="C477" i="1"/>
  <c r="B477" i="1"/>
  <c r="A477" i="1"/>
  <c r="L476" i="1"/>
  <c r="M476" i="1" s="1"/>
  <c r="J476" i="1"/>
  <c r="K476" i="1" s="1"/>
  <c r="I476" i="1"/>
  <c r="H476" i="1"/>
  <c r="G476" i="1"/>
  <c r="E476" i="1"/>
  <c r="D476" i="1"/>
  <c r="C476" i="1"/>
  <c r="F476" i="1" s="1"/>
  <c r="B476" i="1"/>
  <c r="A476" i="1"/>
  <c r="L475" i="1"/>
  <c r="M475" i="1" s="1"/>
  <c r="K475" i="1"/>
  <c r="J475" i="1"/>
  <c r="I475" i="1"/>
  <c r="H475" i="1"/>
  <c r="G475" i="1"/>
  <c r="E475" i="1"/>
  <c r="C475" i="1"/>
  <c r="B475" i="1"/>
  <c r="A475" i="1"/>
  <c r="M474" i="1"/>
  <c r="L474" i="1"/>
  <c r="J474" i="1"/>
  <c r="H474" i="1"/>
  <c r="G474" i="1"/>
  <c r="I474" i="1" s="1"/>
  <c r="K474" i="1" s="1"/>
  <c r="F474" i="1"/>
  <c r="E474" i="1"/>
  <c r="D474" i="1"/>
  <c r="C474" i="1"/>
  <c r="B474" i="1"/>
  <c r="A474" i="1"/>
  <c r="M473" i="1"/>
  <c r="L473" i="1"/>
  <c r="J473" i="1"/>
  <c r="H473" i="1"/>
  <c r="G473" i="1"/>
  <c r="I473" i="1" s="1"/>
  <c r="K473" i="1" s="1"/>
  <c r="F473" i="1"/>
  <c r="E473" i="1"/>
  <c r="C473" i="1"/>
  <c r="D473" i="1" s="1"/>
  <c r="B473" i="1"/>
  <c r="A473" i="1"/>
  <c r="L472" i="1"/>
  <c r="M472" i="1" s="1"/>
  <c r="J472" i="1"/>
  <c r="I472" i="1"/>
  <c r="K472" i="1" s="1"/>
  <c r="H472" i="1"/>
  <c r="G472" i="1"/>
  <c r="C472" i="1"/>
  <c r="B472" i="1"/>
  <c r="A472" i="1"/>
  <c r="M471" i="1"/>
  <c r="L471" i="1"/>
  <c r="J471" i="1"/>
  <c r="H471" i="1"/>
  <c r="G471" i="1"/>
  <c r="I471" i="1" s="1"/>
  <c r="K471" i="1" s="1"/>
  <c r="D471" i="1"/>
  <c r="C471" i="1"/>
  <c r="B471" i="1"/>
  <c r="A471" i="1"/>
  <c r="L470" i="1"/>
  <c r="M470" i="1" s="1"/>
  <c r="J470" i="1"/>
  <c r="K470" i="1" s="1"/>
  <c r="I470" i="1"/>
  <c r="H470" i="1"/>
  <c r="G470" i="1"/>
  <c r="E470" i="1"/>
  <c r="D470" i="1"/>
  <c r="C470" i="1"/>
  <c r="F470" i="1" s="1"/>
  <c r="B470" i="1"/>
  <c r="A470" i="1"/>
  <c r="L469" i="1"/>
  <c r="M469" i="1" s="1"/>
  <c r="K469" i="1"/>
  <c r="J469" i="1"/>
  <c r="I469" i="1"/>
  <c r="H469" i="1"/>
  <c r="G469" i="1"/>
  <c r="F469" i="1"/>
  <c r="E469" i="1"/>
  <c r="C469" i="1"/>
  <c r="D469" i="1" s="1"/>
  <c r="B469" i="1"/>
  <c r="A469" i="1"/>
  <c r="L468" i="1"/>
  <c r="M468" i="1" s="1"/>
  <c r="J468" i="1"/>
  <c r="H468" i="1"/>
  <c r="G468" i="1"/>
  <c r="I468" i="1" s="1"/>
  <c r="F468" i="1"/>
  <c r="E468" i="1"/>
  <c r="D468" i="1"/>
  <c r="C468" i="1"/>
  <c r="B468" i="1"/>
  <c r="A468" i="1"/>
  <c r="M467" i="1"/>
  <c r="L467" i="1"/>
  <c r="J467" i="1"/>
  <c r="H467" i="1"/>
  <c r="G467" i="1"/>
  <c r="I467" i="1" s="1"/>
  <c r="K467" i="1" s="1"/>
  <c r="F467" i="1"/>
  <c r="E467" i="1"/>
  <c r="C467" i="1"/>
  <c r="D467" i="1" s="1"/>
  <c r="B467" i="1"/>
  <c r="A467" i="1"/>
  <c r="L466" i="1"/>
  <c r="M466" i="1" s="1"/>
  <c r="J466" i="1"/>
  <c r="I466" i="1"/>
  <c r="K466" i="1" s="1"/>
  <c r="H466" i="1"/>
  <c r="G466" i="1"/>
  <c r="F466" i="1"/>
  <c r="C466" i="1"/>
  <c r="D466" i="1" s="1"/>
  <c r="B466" i="1"/>
  <c r="A466" i="1"/>
  <c r="M465" i="1"/>
  <c r="L465" i="1"/>
  <c r="J465" i="1"/>
  <c r="I465" i="1"/>
  <c r="H465" i="1"/>
  <c r="G465" i="1"/>
  <c r="C465" i="1"/>
  <c r="B465" i="1"/>
  <c r="A465" i="1"/>
  <c r="L464" i="1"/>
  <c r="M464" i="1" s="1"/>
  <c r="K464" i="1"/>
  <c r="J464" i="1"/>
  <c r="I464" i="1"/>
  <c r="H464" i="1"/>
  <c r="G464" i="1"/>
  <c r="E464" i="1"/>
  <c r="D464" i="1"/>
  <c r="C464" i="1"/>
  <c r="F464" i="1" s="1"/>
  <c r="B464" i="1"/>
  <c r="A464" i="1"/>
  <c r="L463" i="1"/>
  <c r="M463" i="1" s="1"/>
  <c r="K463" i="1"/>
  <c r="J463" i="1"/>
  <c r="I463" i="1"/>
  <c r="H463" i="1"/>
  <c r="G463" i="1"/>
  <c r="E463" i="1"/>
  <c r="C463" i="1"/>
  <c r="B463" i="1"/>
  <c r="A463" i="1"/>
  <c r="L462" i="1"/>
  <c r="M462" i="1" s="1"/>
  <c r="J462" i="1"/>
  <c r="H462" i="1"/>
  <c r="G462" i="1"/>
  <c r="I462" i="1" s="1"/>
  <c r="K462" i="1" s="1"/>
  <c r="F462" i="1"/>
  <c r="E462" i="1"/>
  <c r="D462" i="1"/>
  <c r="C462" i="1"/>
  <c r="B462" i="1"/>
  <c r="A462" i="1"/>
  <c r="M461" i="1"/>
  <c r="L461" i="1"/>
  <c r="J461" i="1"/>
  <c r="H461" i="1"/>
  <c r="G461" i="1"/>
  <c r="I461" i="1" s="1"/>
  <c r="K461" i="1" s="1"/>
  <c r="F461" i="1"/>
  <c r="E461" i="1"/>
  <c r="C461" i="1"/>
  <c r="D461" i="1" s="1"/>
  <c r="B461" i="1"/>
  <c r="A461" i="1"/>
  <c r="L460" i="1"/>
  <c r="M460" i="1" s="1"/>
  <c r="J460" i="1"/>
  <c r="I460" i="1"/>
  <c r="K460" i="1" s="1"/>
  <c r="H460" i="1"/>
  <c r="G460" i="1"/>
  <c r="F460" i="1"/>
  <c r="C460" i="1"/>
  <c r="B460" i="1"/>
  <c r="A460" i="1"/>
  <c r="M459" i="1"/>
  <c r="L459" i="1"/>
  <c r="J459" i="1"/>
  <c r="H459" i="1"/>
  <c r="G459" i="1"/>
  <c r="I459" i="1" s="1"/>
  <c r="K459" i="1" s="1"/>
  <c r="C459" i="1"/>
  <c r="D459" i="1" s="1"/>
  <c r="B459" i="1"/>
  <c r="A459" i="1"/>
  <c r="L458" i="1"/>
  <c r="M458" i="1" s="1"/>
  <c r="J458" i="1"/>
  <c r="K458" i="1" s="1"/>
  <c r="I458" i="1"/>
  <c r="H458" i="1"/>
  <c r="G458" i="1"/>
  <c r="E458" i="1"/>
  <c r="D458" i="1"/>
  <c r="C458" i="1"/>
  <c r="F458" i="1" s="1"/>
  <c r="B458" i="1"/>
  <c r="A458" i="1"/>
  <c r="L457" i="1"/>
  <c r="M457" i="1" s="1"/>
  <c r="J457" i="1"/>
  <c r="I457" i="1"/>
  <c r="K457" i="1" s="1"/>
  <c r="H457" i="1"/>
  <c r="G457" i="1"/>
  <c r="C457" i="1"/>
  <c r="D457" i="1" s="1"/>
  <c r="B457" i="1"/>
  <c r="A457" i="1"/>
  <c r="L456" i="1"/>
  <c r="M456" i="1" s="1"/>
  <c r="J456" i="1"/>
  <c r="H456" i="1"/>
  <c r="G456" i="1"/>
  <c r="I456" i="1" s="1"/>
  <c r="F456" i="1"/>
  <c r="E456" i="1"/>
  <c r="D456" i="1"/>
  <c r="C456" i="1"/>
  <c r="B456" i="1"/>
  <c r="A456" i="1"/>
  <c r="M455" i="1"/>
  <c r="L455" i="1"/>
  <c r="J455" i="1"/>
  <c r="H455" i="1"/>
  <c r="G455" i="1"/>
  <c r="I455" i="1" s="1"/>
  <c r="K455" i="1" s="1"/>
  <c r="F455" i="1"/>
  <c r="E455" i="1"/>
  <c r="C455" i="1"/>
  <c r="D455" i="1" s="1"/>
  <c r="B455" i="1"/>
  <c r="A455" i="1"/>
  <c r="L454" i="1"/>
  <c r="M454" i="1" s="1"/>
  <c r="J454" i="1"/>
  <c r="I454" i="1"/>
  <c r="K454" i="1" s="1"/>
  <c r="H454" i="1"/>
  <c r="G454" i="1"/>
  <c r="F454" i="1"/>
  <c r="C454" i="1"/>
  <c r="D454" i="1" s="1"/>
  <c r="B454" i="1"/>
  <c r="A454" i="1"/>
  <c r="M453" i="1"/>
  <c r="L453" i="1"/>
  <c r="J453" i="1"/>
  <c r="I453" i="1"/>
  <c r="K453" i="1" s="1"/>
  <c r="H453" i="1"/>
  <c r="G453" i="1"/>
  <c r="C453" i="1"/>
  <c r="B453" i="1"/>
  <c r="A453" i="1"/>
  <c r="L452" i="1"/>
  <c r="M452" i="1" s="1"/>
  <c r="K452" i="1"/>
  <c r="J452" i="1"/>
  <c r="I452" i="1"/>
  <c r="H452" i="1"/>
  <c r="G452" i="1"/>
  <c r="E452" i="1"/>
  <c r="D452" i="1"/>
  <c r="C452" i="1"/>
  <c r="F452" i="1" s="1"/>
  <c r="B452" i="1"/>
  <c r="A452" i="1"/>
  <c r="L451" i="1"/>
  <c r="M451" i="1" s="1"/>
  <c r="K451" i="1"/>
  <c r="J451" i="1"/>
  <c r="I451" i="1"/>
  <c r="H451" i="1"/>
  <c r="G451" i="1"/>
  <c r="C451" i="1"/>
  <c r="B451" i="1"/>
  <c r="A451" i="1"/>
  <c r="L450" i="1"/>
  <c r="M450" i="1" s="1"/>
  <c r="J450" i="1"/>
  <c r="H450" i="1"/>
  <c r="G450" i="1"/>
  <c r="I450" i="1" s="1"/>
  <c r="K450" i="1" s="1"/>
  <c r="F450" i="1"/>
  <c r="E450" i="1"/>
  <c r="D450" i="1"/>
  <c r="C450" i="1"/>
  <c r="B450" i="1"/>
  <c r="A450" i="1"/>
  <c r="M449" i="1"/>
  <c r="L449" i="1"/>
  <c r="K449" i="1"/>
  <c r="J449" i="1"/>
  <c r="H449" i="1"/>
  <c r="G449" i="1"/>
  <c r="I449" i="1" s="1"/>
  <c r="F449" i="1"/>
  <c r="E449" i="1"/>
  <c r="C449" i="1"/>
  <c r="D449" i="1" s="1"/>
  <c r="B449" i="1"/>
  <c r="A449" i="1"/>
  <c r="L448" i="1"/>
  <c r="M448" i="1" s="1"/>
  <c r="J448" i="1"/>
  <c r="I448" i="1"/>
  <c r="K448" i="1" s="1"/>
  <c r="H448" i="1"/>
  <c r="G448" i="1"/>
  <c r="F448" i="1"/>
  <c r="C448" i="1"/>
  <c r="B448" i="1"/>
  <c r="A448" i="1"/>
  <c r="M447" i="1"/>
  <c r="L447" i="1"/>
  <c r="J447" i="1"/>
  <c r="I447" i="1"/>
  <c r="K447" i="1" s="1"/>
  <c r="H447" i="1"/>
  <c r="G447" i="1"/>
  <c r="D447" i="1"/>
  <c r="C447" i="1"/>
  <c r="B447" i="1"/>
  <c r="A447" i="1"/>
  <c r="L446" i="1"/>
  <c r="M446" i="1" s="1"/>
  <c r="J446" i="1"/>
  <c r="K446" i="1" s="1"/>
  <c r="I446" i="1"/>
  <c r="H446" i="1"/>
  <c r="G446" i="1"/>
  <c r="E446" i="1"/>
  <c r="D446" i="1"/>
  <c r="C446" i="1"/>
  <c r="F446" i="1" s="1"/>
  <c r="B446" i="1"/>
  <c r="A446" i="1"/>
  <c r="L445" i="1"/>
  <c r="M445" i="1" s="1"/>
  <c r="J445" i="1"/>
  <c r="I445" i="1"/>
  <c r="K445" i="1" s="1"/>
  <c r="H445" i="1"/>
  <c r="G445" i="1"/>
  <c r="F445" i="1"/>
  <c r="E445" i="1"/>
  <c r="C445" i="1"/>
  <c r="D445" i="1" s="1"/>
  <c r="B445" i="1"/>
  <c r="A445" i="1"/>
  <c r="L444" i="1"/>
  <c r="M444" i="1" s="1"/>
  <c r="J444" i="1"/>
  <c r="H444" i="1"/>
  <c r="G444" i="1"/>
  <c r="I444" i="1" s="1"/>
  <c r="F444" i="1"/>
  <c r="E444" i="1"/>
  <c r="D444" i="1"/>
  <c r="C444" i="1"/>
  <c r="B444" i="1"/>
  <c r="A444" i="1"/>
  <c r="M443" i="1"/>
  <c r="L443" i="1"/>
  <c r="J443" i="1"/>
  <c r="H443" i="1"/>
  <c r="G443" i="1"/>
  <c r="I443" i="1" s="1"/>
  <c r="K443" i="1" s="1"/>
  <c r="F443" i="1"/>
  <c r="E443" i="1"/>
  <c r="C443" i="1"/>
  <c r="D443" i="1" s="1"/>
  <c r="B443" i="1"/>
  <c r="A443" i="1"/>
  <c r="L442" i="1"/>
  <c r="M442" i="1" s="1"/>
  <c r="J442" i="1"/>
  <c r="I442" i="1"/>
  <c r="K442" i="1" s="1"/>
  <c r="H442" i="1"/>
  <c r="G442" i="1"/>
  <c r="F442" i="1"/>
  <c r="C442" i="1"/>
  <c r="D442" i="1" s="1"/>
  <c r="B442" i="1"/>
  <c r="A442" i="1"/>
  <c r="M441" i="1"/>
  <c r="L441" i="1"/>
  <c r="J441" i="1"/>
  <c r="H441" i="1"/>
  <c r="G441" i="1"/>
  <c r="I441" i="1" s="1"/>
  <c r="C441" i="1"/>
  <c r="B441" i="1"/>
  <c r="A441" i="1"/>
  <c r="L440" i="1"/>
  <c r="M440" i="1" s="1"/>
  <c r="K440" i="1"/>
  <c r="J440" i="1"/>
  <c r="I440" i="1"/>
  <c r="H440" i="1"/>
  <c r="G440" i="1"/>
  <c r="E440" i="1"/>
  <c r="D440" i="1"/>
  <c r="C440" i="1"/>
  <c r="F440" i="1" s="1"/>
  <c r="B440" i="1"/>
  <c r="A440" i="1"/>
  <c r="L439" i="1"/>
  <c r="M439" i="1" s="1"/>
  <c r="J439" i="1"/>
  <c r="I439" i="1"/>
  <c r="K439" i="1" s="1"/>
  <c r="H439" i="1"/>
  <c r="G439" i="1"/>
  <c r="E439" i="1"/>
  <c r="C439" i="1"/>
  <c r="B439" i="1"/>
  <c r="A439" i="1"/>
  <c r="L438" i="1"/>
  <c r="M438" i="1" s="1"/>
  <c r="J438" i="1"/>
  <c r="H438" i="1"/>
  <c r="G438" i="1"/>
  <c r="I438" i="1" s="1"/>
  <c r="K438" i="1" s="1"/>
  <c r="F438" i="1"/>
  <c r="E438" i="1"/>
  <c r="D438" i="1"/>
  <c r="C438" i="1"/>
  <c r="B438" i="1"/>
  <c r="A438" i="1"/>
  <c r="M437" i="1"/>
  <c r="L437" i="1"/>
  <c r="J437" i="1"/>
  <c r="H437" i="1"/>
  <c r="G437" i="1"/>
  <c r="I437" i="1" s="1"/>
  <c r="K437" i="1" s="1"/>
  <c r="F437" i="1"/>
  <c r="E437" i="1"/>
  <c r="C437" i="1"/>
  <c r="D437" i="1" s="1"/>
  <c r="B437" i="1"/>
  <c r="A437" i="1"/>
  <c r="L436" i="1"/>
  <c r="M436" i="1" s="1"/>
  <c r="J436" i="1"/>
  <c r="H436" i="1"/>
  <c r="G436" i="1"/>
  <c r="I436" i="1" s="1"/>
  <c r="K436" i="1" s="1"/>
  <c r="F436" i="1"/>
  <c r="C436" i="1"/>
  <c r="B436" i="1"/>
  <c r="A436" i="1"/>
  <c r="M435" i="1"/>
  <c r="L435" i="1"/>
  <c r="J435" i="1"/>
  <c r="H435" i="1"/>
  <c r="G435" i="1"/>
  <c r="I435" i="1" s="1"/>
  <c r="K435" i="1" s="1"/>
  <c r="C435" i="1"/>
  <c r="B435" i="1"/>
  <c r="A435" i="1"/>
  <c r="L434" i="1"/>
  <c r="M434" i="1" s="1"/>
  <c r="J434" i="1"/>
  <c r="I434" i="1"/>
  <c r="H434" i="1"/>
  <c r="G434" i="1"/>
  <c r="E434" i="1"/>
  <c r="D434" i="1"/>
  <c r="C434" i="1"/>
  <c r="F434" i="1" s="1"/>
  <c r="B434" i="1"/>
  <c r="A434" i="1"/>
  <c r="L433" i="1"/>
  <c r="M433" i="1" s="1"/>
  <c r="J433" i="1"/>
  <c r="I433" i="1"/>
  <c r="K433" i="1" s="1"/>
  <c r="H433" i="1"/>
  <c r="G433" i="1"/>
  <c r="F433" i="1"/>
  <c r="C433" i="1"/>
  <c r="D433" i="1" s="1"/>
  <c r="B433" i="1"/>
  <c r="A433" i="1"/>
  <c r="L432" i="1"/>
  <c r="M432" i="1" s="1"/>
  <c r="J432" i="1"/>
  <c r="H432" i="1"/>
  <c r="G432" i="1"/>
  <c r="I432" i="1" s="1"/>
  <c r="K432" i="1" s="1"/>
  <c r="F432" i="1"/>
  <c r="E432" i="1"/>
  <c r="D432" i="1"/>
  <c r="C432" i="1"/>
  <c r="B432" i="1"/>
  <c r="A432" i="1"/>
  <c r="M431" i="1"/>
  <c r="L431" i="1"/>
  <c r="J431" i="1"/>
  <c r="H431" i="1"/>
  <c r="G431" i="1"/>
  <c r="I431" i="1" s="1"/>
  <c r="K431" i="1" s="1"/>
  <c r="F431" i="1"/>
  <c r="E431" i="1"/>
  <c r="C431" i="1"/>
  <c r="D431" i="1" s="1"/>
  <c r="B431" i="1"/>
  <c r="A431" i="1"/>
  <c r="L430" i="1"/>
  <c r="M430" i="1" s="1"/>
  <c r="J430" i="1"/>
  <c r="I430" i="1"/>
  <c r="K430" i="1" s="1"/>
  <c r="H430" i="1"/>
  <c r="G430" i="1"/>
  <c r="F430" i="1"/>
  <c r="C430" i="1"/>
  <c r="D430" i="1" s="1"/>
  <c r="B430" i="1"/>
  <c r="A430" i="1"/>
  <c r="M429" i="1"/>
  <c r="L429" i="1"/>
  <c r="J429" i="1"/>
  <c r="I429" i="1"/>
  <c r="K429" i="1" s="1"/>
  <c r="H429" i="1"/>
  <c r="G429" i="1"/>
  <c r="C429" i="1"/>
  <c r="B429" i="1"/>
  <c r="A429" i="1"/>
  <c r="L428" i="1"/>
  <c r="M428" i="1" s="1"/>
  <c r="K428" i="1"/>
  <c r="J428" i="1"/>
  <c r="I428" i="1"/>
  <c r="H428" i="1"/>
  <c r="G428" i="1"/>
  <c r="D428" i="1"/>
  <c r="C428" i="1"/>
  <c r="F428" i="1" s="1"/>
  <c r="B428" i="1"/>
  <c r="A428" i="1"/>
  <c r="L427" i="1"/>
  <c r="M427" i="1" s="1"/>
  <c r="J427" i="1"/>
  <c r="I427" i="1"/>
  <c r="K427" i="1" s="1"/>
  <c r="H427" i="1"/>
  <c r="G427" i="1"/>
  <c r="E427" i="1"/>
  <c r="C427" i="1"/>
  <c r="B427" i="1"/>
  <c r="A427" i="1"/>
  <c r="L426" i="1"/>
  <c r="M426" i="1" s="1"/>
  <c r="J426" i="1"/>
  <c r="H426" i="1"/>
  <c r="G426" i="1"/>
  <c r="I426" i="1" s="1"/>
  <c r="K426" i="1" s="1"/>
  <c r="F426" i="1"/>
  <c r="E426" i="1"/>
  <c r="D426" i="1"/>
  <c r="C426" i="1"/>
  <c r="B426" i="1"/>
  <c r="A426" i="1"/>
  <c r="M425" i="1"/>
  <c r="L425" i="1"/>
  <c r="J425" i="1"/>
  <c r="H425" i="1"/>
  <c r="G425" i="1"/>
  <c r="I425" i="1" s="1"/>
  <c r="K425" i="1" s="1"/>
  <c r="F425" i="1"/>
  <c r="E425" i="1"/>
  <c r="C425" i="1"/>
  <c r="D425" i="1" s="1"/>
  <c r="B425" i="1"/>
  <c r="A425" i="1"/>
  <c r="L424" i="1"/>
  <c r="M424" i="1" s="1"/>
  <c r="J424" i="1"/>
  <c r="H424" i="1"/>
  <c r="G424" i="1"/>
  <c r="I424" i="1" s="1"/>
  <c r="K424" i="1" s="1"/>
  <c r="F424" i="1"/>
  <c r="C424" i="1"/>
  <c r="B424" i="1"/>
  <c r="A424" i="1"/>
  <c r="M423" i="1"/>
  <c r="L423" i="1"/>
  <c r="J423" i="1"/>
  <c r="H423" i="1"/>
  <c r="G423" i="1"/>
  <c r="I423" i="1" s="1"/>
  <c r="K423" i="1" s="1"/>
  <c r="C423" i="1"/>
  <c r="B423" i="1"/>
  <c r="A423" i="1"/>
  <c r="L422" i="1"/>
  <c r="M422" i="1" s="1"/>
  <c r="J422" i="1"/>
  <c r="I422" i="1"/>
  <c r="H422" i="1"/>
  <c r="G422" i="1"/>
  <c r="E422" i="1"/>
  <c r="D422" i="1"/>
  <c r="C422" i="1"/>
  <c r="F422" i="1" s="1"/>
  <c r="B422" i="1"/>
  <c r="A422" i="1"/>
  <c r="L421" i="1"/>
  <c r="M421" i="1" s="1"/>
  <c r="J421" i="1"/>
  <c r="I421" i="1"/>
  <c r="K421" i="1" s="1"/>
  <c r="H421" i="1"/>
  <c r="G421" i="1"/>
  <c r="F421" i="1"/>
  <c r="C421" i="1"/>
  <c r="D421" i="1" s="1"/>
  <c r="B421" i="1"/>
  <c r="A421" i="1"/>
  <c r="L420" i="1"/>
  <c r="M420" i="1" s="1"/>
  <c r="J420" i="1"/>
  <c r="H420" i="1"/>
  <c r="G420" i="1"/>
  <c r="I420" i="1" s="1"/>
  <c r="K420" i="1" s="1"/>
  <c r="F420" i="1"/>
  <c r="E420" i="1"/>
  <c r="D420" i="1"/>
  <c r="C420" i="1"/>
  <c r="B420" i="1"/>
  <c r="A420" i="1"/>
  <c r="M419" i="1"/>
  <c r="L419" i="1"/>
  <c r="J419" i="1"/>
  <c r="H419" i="1"/>
  <c r="G419" i="1"/>
  <c r="I419" i="1" s="1"/>
  <c r="K419" i="1" s="1"/>
  <c r="F419" i="1"/>
  <c r="E419" i="1"/>
  <c r="C419" i="1"/>
  <c r="D419" i="1" s="1"/>
  <c r="B419" i="1"/>
  <c r="A419" i="1"/>
  <c r="L418" i="1"/>
  <c r="M418" i="1" s="1"/>
  <c r="J418" i="1"/>
  <c r="I418" i="1"/>
  <c r="K418" i="1" s="1"/>
  <c r="H418" i="1"/>
  <c r="G418" i="1"/>
  <c r="F418" i="1"/>
  <c r="C418" i="1"/>
  <c r="D418" i="1" s="1"/>
  <c r="B418" i="1"/>
  <c r="A418" i="1"/>
  <c r="M417" i="1"/>
  <c r="L417" i="1"/>
  <c r="J417" i="1"/>
  <c r="I417" i="1"/>
  <c r="K417" i="1" s="1"/>
  <c r="H417" i="1"/>
  <c r="G417" i="1"/>
  <c r="C417" i="1"/>
  <c r="B417" i="1"/>
  <c r="A417" i="1"/>
  <c r="L416" i="1"/>
  <c r="M416" i="1" s="1"/>
  <c r="K416" i="1"/>
  <c r="J416" i="1"/>
  <c r="I416" i="1"/>
  <c r="H416" i="1"/>
  <c r="G416" i="1"/>
  <c r="D416" i="1"/>
  <c r="C416" i="1"/>
  <c r="F416" i="1" s="1"/>
  <c r="B416" i="1"/>
  <c r="A416" i="1"/>
  <c r="L415" i="1"/>
  <c r="M415" i="1" s="1"/>
  <c r="J415" i="1"/>
  <c r="I415" i="1"/>
  <c r="K415" i="1" s="1"/>
  <c r="H415" i="1"/>
  <c r="G415" i="1"/>
  <c r="E415" i="1"/>
  <c r="C415" i="1"/>
  <c r="B415" i="1"/>
  <c r="A415" i="1"/>
  <c r="L414" i="1"/>
  <c r="M414" i="1" s="1"/>
  <c r="J414" i="1"/>
  <c r="H414" i="1"/>
  <c r="G414" i="1"/>
  <c r="I414" i="1" s="1"/>
  <c r="K414" i="1" s="1"/>
  <c r="F414" i="1"/>
  <c r="E414" i="1"/>
  <c r="D414" i="1"/>
  <c r="C414" i="1"/>
  <c r="B414" i="1"/>
  <c r="A414" i="1"/>
  <c r="M413" i="1"/>
  <c r="L413" i="1"/>
  <c r="J413" i="1"/>
  <c r="H413" i="1"/>
  <c r="G413" i="1"/>
  <c r="I413" i="1" s="1"/>
  <c r="K413" i="1" s="1"/>
  <c r="F413" i="1"/>
  <c r="E413" i="1"/>
  <c r="C413" i="1"/>
  <c r="D413" i="1" s="1"/>
  <c r="B413" i="1"/>
  <c r="A413" i="1"/>
  <c r="L412" i="1"/>
  <c r="M412" i="1" s="1"/>
  <c r="J412" i="1"/>
  <c r="H412" i="1"/>
  <c r="G412" i="1"/>
  <c r="I412" i="1" s="1"/>
  <c r="K412" i="1" s="1"/>
  <c r="F412" i="1"/>
  <c r="C412" i="1"/>
  <c r="B412" i="1"/>
  <c r="A412" i="1"/>
  <c r="M411" i="1"/>
  <c r="L411" i="1"/>
  <c r="J411" i="1"/>
  <c r="H411" i="1"/>
  <c r="G411" i="1"/>
  <c r="I411" i="1" s="1"/>
  <c r="K411" i="1" s="1"/>
  <c r="C411" i="1"/>
  <c r="B411" i="1"/>
  <c r="A411" i="1"/>
  <c r="L410" i="1"/>
  <c r="M410" i="1" s="1"/>
  <c r="J410" i="1"/>
  <c r="I410" i="1"/>
  <c r="H410" i="1"/>
  <c r="G410" i="1"/>
  <c r="E410" i="1"/>
  <c r="D410" i="1"/>
  <c r="C410" i="1"/>
  <c r="F410" i="1" s="1"/>
  <c r="B410" i="1"/>
  <c r="A410" i="1"/>
  <c r="L409" i="1"/>
  <c r="M409" i="1" s="1"/>
  <c r="J409" i="1"/>
  <c r="I409" i="1"/>
  <c r="K409" i="1" s="1"/>
  <c r="H409" i="1"/>
  <c r="G409" i="1"/>
  <c r="F409" i="1"/>
  <c r="C409" i="1"/>
  <c r="D409" i="1" s="1"/>
  <c r="B409" i="1"/>
  <c r="A409" i="1"/>
  <c r="L408" i="1"/>
  <c r="M408" i="1" s="1"/>
  <c r="J408" i="1"/>
  <c r="H408" i="1"/>
  <c r="G408" i="1"/>
  <c r="I408" i="1" s="1"/>
  <c r="K408" i="1" s="1"/>
  <c r="F408" i="1"/>
  <c r="E408" i="1"/>
  <c r="D408" i="1"/>
  <c r="C408" i="1"/>
  <c r="B408" i="1"/>
  <c r="A408" i="1"/>
  <c r="M407" i="1"/>
  <c r="L407" i="1"/>
  <c r="J407" i="1"/>
  <c r="H407" i="1"/>
  <c r="G407" i="1"/>
  <c r="I407" i="1" s="1"/>
  <c r="K407" i="1" s="1"/>
  <c r="F407" i="1"/>
  <c r="E407" i="1"/>
  <c r="C407" i="1"/>
  <c r="D407" i="1" s="1"/>
  <c r="B407" i="1"/>
  <c r="A407" i="1"/>
  <c r="L406" i="1"/>
  <c r="M406" i="1" s="1"/>
  <c r="J406" i="1"/>
  <c r="I406" i="1"/>
  <c r="K406" i="1" s="1"/>
  <c r="H406" i="1"/>
  <c r="G406" i="1"/>
  <c r="F406" i="1"/>
  <c r="C406" i="1"/>
  <c r="D406" i="1" s="1"/>
  <c r="B406" i="1"/>
  <c r="A406" i="1"/>
  <c r="M405" i="1"/>
  <c r="L405" i="1"/>
  <c r="J405" i="1"/>
  <c r="I405" i="1"/>
  <c r="K405" i="1" s="1"/>
  <c r="H405" i="1"/>
  <c r="G405" i="1"/>
  <c r="C405" i="1"/>
  <c r="B405" i="1"/>
  <c r="A405" i="1"/>
  <c r="L404" i="1"/>
  <c r="M404" i="1" s="1"/>
  <c r="K404" i="1"/>
  <c r="J404" i="1"/>
  <c r="I404" i="1"/>
  <c r="H404" i="1"/>
  <c r="G404" i="1"/>
  <c r="D404" i="1"/>
  <c r="C404" i="1"/>
  <c r="F404" i="1" s="1"/>
  <c r="B404" i="1"/>
  <c r="A404" i="1"/>
  <c r="L403" i="1"/>
  <c r="M403" i="1" s="1"/>
  <c r="J403" i="1"/>
  <c r="I403" i="1"/>
  <c r="K403" i="1" s="1"/>
  <c r="H403" i="1"/>
  <c r="G403" i="1"/>
  <c r="E403" i="1"/>
  <c r="C403" i="1"/>
  <c r="B403" i="1"/>
  <c r="A403" i="1"/>
  <c r="L402" i="1"/>
  <c r="M402" i="1" s="1"/>
  <c r="J402" i="1"/>
  <c r="H402" i="1"/>
  <c r="G402" i="1"/>
  <c r="I402" i="1" s="1"/>
  <c r="K402" i="1" s="1"/>
  <c r="F402" i="1"/>
  <c r="E402" i="1"/>
  <c r="D402" i="1"/>
  <c r="C402" i="1"/>
  <c r="B402" i="1"/>
  <c r="A402" i="1"/>
  <c r="M401" i="1"/>
  <c r="L401" i="1"/>
  <c r="J401" i="1"/>
  <c r="H401" i="1"/>
  <c r="G401" i="1"/>
  <c r="I401" i="1" s="1"/>
  <c r="K401" i="1" s="1"/>
  <c r="F401" i="1"/>
  <c r="E401" i="1"/>
  <c r="C401" i="1"/>
  <c r="D401" i="1" s="1"/>
  <c r="B401" i="1"/>
  <c r="A401" i="1"/>
  <c r="L400" i="1"/>
  <c r="M400" i="1" s="1"/>
  <c r="J400" i="1"/>
  <c r="H400" i="1"/>
  <c r="G400" i="1"/>
  <c r="I400" i="1" s="1"/>
  <c r="K400" i="1" s="1"/>
  <c r="F400" i="1"/>
  <c r="C400" i="1"/>
  <c r="B400" i="1"/>
  <c r="A400" i="1"/>
  <c r="M399" i="1"/>
  <c r="L399" i="1"/>
  <c r="J399" i="1"/>
  <c r="H399" i="1"/>
  <c r="G399" i="1"/>
  <c r="I399" i="1" s="1"/>
  <c r="K399" i="1" s="1"/>
  <c r="C399" i="1"/>
  <c r="B399" i="1"/>
  <c r="A399" i="1"/>
  <c r="L398" i="1"/>
  <c r="M398" i="1" s="1"/>
  <c r="J398" i="1"/>
  <c r="I398" i="1"/>
  <c r="H398" i="1"/>
  <c r="G398" i="1"/>
  <c r="E398" i="1"/>
  <c r="D398" i="1"/>
  <c r="C398" i="1"/>
  <c r="F398" i="1" s="1"/>
  <c r="B398" i="1"/>
  <c r="A398" i="1"/>
  <c r="L397" i="1"/>
  <c r="M397" i="1" s="1"/>
  <c r="J397" i="1"/>
  <c r="I397" i="1"/>
  <c r="K397" i="1" s="1"/>
  <c r="H397" i="1"/>
  <c r="G397" i="1"/>
  <c r="F397" i="1"/>
  <c r="C397" i="1"/>
  <c r="D397" i="1" s="1"/>
  <c r="B397" i="1"/>
  <c r="A397" i="1"/>
  <c r="L396" i="1"/>
  <c r="M396" i="1" s="1"/>
  <c r="J396" i="1"/>
  <c r="H396" i="1"/>
  <c r="G396" i="1"/>
  <c r="I396" i="1" s="1"/>
  <c r="K396" i="1" s="1"/>
  <c r="F396" i="1"/>
  <c r="E396" i="1"/>
  <c r="D396" i="1"/>
  <c r="C396" i="1"/>
  <c r="B396" i="1"/>
  <c r="A396" i="1"/>
  <c r="M395" i="1"/>
  <c r="L395" i="1"/>
  <c r="J395" i="1"/>
  <c r="H395" i="1"/>
  <c r="G395" i="1"/>
  <c r="I395" i="1" s="1"/>
  <c r="K395" i="1" s="1"/>
  <c r="F395" i="1"/>
  <c r="E395" i="1"/>
  <c r="C395" i="1"/>
  <c r="D395" i="1" s="1"/>
  <c r="B395" i="1"/>
  <c r="A395" i="1"/>
  <c r="L394" i="1"/>
  <c r="M394" i="1" s="1"/>
  <c r="J394" i="1"/>
  <c r="I394" i="1"/>
  <c r="K394" i="1" s="1"/>
  <c r="H394" i="1"/>
  <c r="G394" i="1"/>
  <c r="F394" i="1"/>
  <c r="C394" i="1"/>
  <c r="D394" i="1" s="1"/>
  <c r="B394" i="1"/>
  <c r="A394" i="1"/>
  <c r="M393" i="1"/>
  <c r="L393" i="1"/>
  <c r="J393" i="1"/>
  <c r="I393" i="1"/>
  <c r="K393" i="1" s="1"/>
  <c r="H393" i="1"/>
  <c r="G393" i="1"/>
  <c r="C393" i="1"/>
  <c r="B393" i="1"/>
  <c r="A393" i="1"/>
  <c r="L392" i="1"/>
  <c r="M392" i="1" s="1"/>
  <c r="K392" i="1"/>
  <c r="J392" i="1"/>
  <c r="I392" i="1"/>
  <c r="H392" i="1"/>
  <c r="G392" i="1"/>
  <c r="D392" i="1"/>
  <c r="C392" i="1"/>
  <c r="F392" i="1" s="1"/>
  <c r="B392" i="1"/>
  <c r="A392" i="1"/>
  <c r="L391" i="1"/>
  <c r="M391" i="1" s="1"/>
  <c r="J391" i="1"/>
  <c r="I391" i="1"/>
  <c r="K391" i="1" s="1"/>
  <c r="H391" i="1"/>
  <c r="G391" i="1"/>
  <c r="E391" i="1"/>
  <c r="C391" i="1"/>
  <c r="B391" i="1"/>
  <c r="A391" i="1"/>
  <c r="L390" i="1"/>
  <c r="M390" i="1" s="1"/>
  <c r="J390" i="1"/>
  <c r="H390" i="1"/>
  <c r="G390" i="1"/>
  <c r="I390" i="1" s="1"/>
  <c r="K390" i="1" s="1"/>
  <c r="F390" i="1"/>
  <c r="E390" i="1"/>
  <c r="D390" i="1"/>
  <c r="C390" i="1"/>
  <c r="B390" i="1"/>
  <c r="A390" i="1"/>
  <c r="M389" i="1"/>
  <c r="L389" i="1"/>
  <c r="J389" i="1"/>
  <c r="H389" i="1"/>
  <c r="G389" i="1"/>
  <c r="I389" i="1" s="1"/>
  <c r="K389" i="1" s="1"/>
  <c r="F389" i="1"/>
  <c r="E389" i="1"/>
  <c r="C389" i="1"/>
  <c r="D389" i="1" s="1"/>
  <c r="B389" i="1"/>
  <c r="A389" i="1"/>
  <c r="L388" i="1"/>
  <c r="M388" i="1" s="1"/>
  <c r="J388" i="1"/>
  <c r="H388" i="1"/>
  <c r="G388" i="1"/>
  <c r="I388" i="1" s="1"/>
  <c r="K388" i="1" s="1"/>
  <c r="F388" i="1"/>
  <c r="C388" i="1"/>
  <c r="B388" i="1"/>
  <c r="A388" i="1"/>
  <c r="M387" i="1"/>
  <c r="L387" i="1"/>
  <c r="J387" i="1"/>
  <c r="H387" i="1"/>
  <c r="G387" i="1"/>
  <c r="I387" i="1" s="1"/>
  <c r="K387" i="1" s="1"/>
  <c r="C387" i="1"/>
  <c r="B387" i="1"/>
  <c r="A387" i="1"/>
  <c r="L386" i="1"/>
  <c r="M386" i="1" s="1"/>
  <c r="J386" i="1"/>
  <c r="I386" i="1"/>
  <c r="H386" i="1"/>
  <c r="G386" i="1"/>
  <c r="E386" i="1"/>
  <c r="D386" i="1"/>
  <c r="C386" i="1"/>
  <c r="F386" i="1" s="1"/>
  <c r="B386" i="1"/>
  <c r="A386" i="1"/>
  <c r="L385" i="1"/>
  <c r="M385" i="1" s="1"/>
  <c r="J385" i="1"/>
  <c r="I385" i="1"/>
  <c r="K385" i="1" s="1"/>
  <c r="H385" i="1"/>
  <c r="G385" i="1"/>
  <c r="F385" i="1"/>
  <c r="C385" i="1"/>
  <c r="D385" i="1" s="1"/>
  <c r="B385" i="1"/>
  <c r="A385" i="1"/>
  <c r="L384" i="1"/>
  <c r="M384" i="1" s="1"/>
  <c r="J384" i="1"/>
  <c r="H384" i="1"/>
  <c r="G384" i="1"/>
  <c r="I384" i="1" s="1"/>
  <c r="K384" i="1" s="1"/>
  <c r="F384" i="1"/>
  <c r="E384" i="1"/>
  <c r="D384" i="1"/>
  <c r="C384" i="1"/>
  <c r="B384" i="1"/>
  <c r="A384" i="1"/>
  <c r="M383" i="1"/>
  <c r="L383" i="1"/>
  <c r="J383" i="1"/>
  <c r="H383" i="1"/>
  <c r="G383" i="1"/>
  <c r="I383" i="1" s="1"/>
  <c r="K383" i="1" s="1"/>
  <c r="F383" i="1"/>
  <c r="E383" i="1"/>
  <c r="C383" i="1"/>
  <c r="D383" i="1" s="1"/>
  <c r="B383" i="1"/>
  <c r="A383" i="1"/>
  <c r="L382" i="1"/>
  <c r="M382" i="1" s="1"/>
  <c r="J382" i="1"/>
  <c r="I382" i="1"/>
  <c r="K382" i="1" s="1"/>
  <c r="H382" i="1"/>
  <c r="G382" i="1"/>
  <c r="F382" i="1"/>
  <c r="C382" i="1"/>
  <c r="D382" i="1" s="1"/>
  <c r="B382" i="1"/>
  <c r="A382" i="1"/>
  <c r="M381" i="1"/>
  <c r="L381" i="1"/>
  <c r="J381" i="1"/>
  <c r="I381" i="1"/>
  <c r="K381" i="1" s="1"/>
  <c r="H381" i="1"/>
  <c r="G381" i="1"/>
  <c r="C381" i="1"/>
  <c r="B381" i="1"/>
  <c r="A381" i="1"/>
  <c r="L380" i="1"/>
  <c r="M380" i="1" s="1"/>
  <c r="K380" i="1"/>
  <c r="J380" i="1"/>
  <c r="I380" i="1"/>
  <c r="H380" i="1"/>
  <c r="G380" i="1"/>
  <c r="D380" i="1"/>
  <c r="C380" i="1"/>
  <c r="F380" i="1" s="1"/>
  <c r="B380" i="1"/>
  <c r="A380" i="1"/>
  <c r="L379" i="1"/>
  <c r="M379" i="1" s="1"/>
  <c r="J379" i="1"/>
  <c r="I379" i="1"/>
  <c r="K379" i="1" s="1"/>
  <c r="H379" i="1"/>
  <c r="G379" i="1"/>
  <c r="F379" i="1"/>
  <c r="E379" i="1"/>
  <c r="D379" i="1"/>
  <c r="B379" i="1"/>
  <c r="A379" i="1"/>
  <c r="L378" i="1"/>
  <c r="M378" i="1" s="1"/>
  <c r="J378" i="1"/>
  <c r="I378" i="1"/>
  <c r="K378" i="1" s="1"/>
  <c r="H378" i="1"/>
  <c r="G378" i="1"/>
  <c r="C378" i="1"/>
  <c r="B378" i="1"/>
  <c r="A378" i="1"/>
  <c r="M377" i="1"/>
  <c r="L377" i="1"/>
  <c r="J377" i="1"/>
  <c r="H377" i="1"/>
  <c r="G377" i="1"/>
  <c r="I377" i="1" s="1"/>
  <c r="F377" i="1"/>
  <c r="E377" i="1"/>
  <c r="D377" i="1"/>
  <c r="B377" i="1"/>
  <c r="A377" i="1"/>
  <c r="L376" i="1"/>
  <c r="M376" i="1" s="1"/>
  <c r="J376" i="1"/>
  <c r="H376" i="1"/>
  <c r="G376" i="1"/>
  <c r="I376" i="1" s="1"/>
  <c r="F376" i="1"/>
  <c r="E376" i="1"/>
  <c r="D376" i="1"/>
  <c r="C376" i="1"/>
  <c r="B376" i="1"/>
  <c r="A376" i="1"/>
  <c r="M375" i="1"/>
  <c r="L375" i="1"/>
  <c r="K375" i="1"/>
  <c r="J375" i="1"/>
  <c r="H375" i="1"/>
  <c r="G375" i="1"/>
  <c r="I375" i="1" s="1"/>
  <c r="F375" i="1"/>
  <c r="E375" i="1"/>
  <c r="C375" i="1"/>
  <c r="D375" i="1" s="1"/>
  <c r="B375" i="1"/>
  <c r="A375" i="1"/>
  <c r="L374" i="1"/>
  <c r="M374" i="1" s="1"/>
  <c r="J374" i="1"/>
  <c r="H374" i="1"/>
  <c r="G374" i="1"/>
  <c r="I374" i="1" s="1"/>
  <c r="K374" i="1" s="1"/>
  <c r="F374" i="1"/>
  <c r="C374" i="1"/>
  <c r="B374" i="1"/>
  <c r="A374" i="1"/>
  <c r="M373" i="1"/>
  <c r="L373" i="1"/>
  <c r="J373" i="1"/>
  <c r="H373" i="1"/>
  <c r="G373" i="1"/>
  <c r="I373" i="1" s="1"/>
  <c r="K373" i="1" s="1"/>
  <c r="C373" i="1"/>
  <c r="D373" i="1" s="1"/>
  <c r="B373" i="1"/>
  <c r="A373" i="1"/>
  <c r="L372" i="1"/>
  <c r="M372" i="1" s="1"/>
  <c r="J372" i="1"/>
  <c r="I372" i="1"/>
  <c r="H372" i="1"/>
  <c r="G372" i="1"/>
  <c r="E372" i="1"/>
  <c r="D372" i="1"/>
  <c r="C372" i="1"/>
  <c r="F372" i="1" s="1"/>
  <c r="B372" i="1"/>
  <c r="A372" i="1"/>
  <c r="L371" i="1"/>
  <c r="M371" i="1" s="1"/>
  <c r="J371" i="1"/>
  <c r="I371" i="1"/>
  <c r="K371" i="1" s="1"/>
  <c r="H371" i="1"/>
  <c r="G371" i="1"/>
  <c r="C371" i="1"/>
  <c r="D371" i="1" s="1"/>
  <c r="B371" i="1"/>
  <c r="A371" i="1"/>
  <c r="L370" i="1"/>
  <c r="M370" i="1" s="1"/>
  <c r="J370" i="1"/>
  <c r="H370" i="1"/>
  <c r="G370" i="1"/>
  <c r="I370" i="1" s="1"/>
  <c r="F370" i="1"/>
  <c r="E370" i="1"/>
  <c r="D370" i="1"/>
  <c r="C370" i="1"/>
  <c r="B370" i="1"/>
  <c r="A370" i="1"/>
  <c r="M369" i="1"/>
  <c r="L369" i="1"/>
  <c r="K369" i="1"/>
  <c r="J369" i="1"/>
  <c r="H369" i="1"/>
  <c r="G369" i="1"/>
  <c r="I369" i="1" s="1"/>
  <c r="F369" i="1"/>
  <c r="E369" i="1"/>
  <c r="C369" i="1"/>
  <c r="D369" i="1" s="1"/>
  <c r="B369" i="1"/>
  <c r="A369" i="1"/>
  <c r="L368" i="1"/>
  <c r="M368" i="1" s="1"/>
  <c r="J368" i="1"/>
  <c r="I368" i="1"/>
  <c r="K368" i="1" s="1"/>
  <c r="H368" i="1"/>
  <c r="G368" i="1"/>
  <c r="F368" i="1"/>
  <c r="C368" i="1"/>
  <c r="D368" i="1" s="1"/>
  <c r="B368" i="1"/>
  <c r="A368" i="1"/>
  <c r="M367" i="1"/>
  <c r="L367" i="1"/>
  <c r="J367" i="1"/>
  <c r="I367" i="1"/>
  <c r="K367" i="1" s="1"/>
  <c r="H367" i="1"/>
  <c r="G367" i="1"/>
  <c r="C367" i="1"/>
  <c r="B367" i="1"/>
  <c r="A367" i="1"/>
  <c r="L366" i="1"/>
  <c r="M366" i="1" s="1"/>
  <c r="J366" i="1"/>
  <c r="I366" i="1"/>
  <c r="K366" i="1" s="1"/>
  <c r="H366" i="1"/>
  <c r="G366" i="1"/>
  <c r="D366" i="1"/>
  <c r="C366" i="1"/>
  <c r="F366" i="1" s="1"/>
  <c r="B366" i="1"/>
  <c r="A366" i="1"/>
  <c r="L365" i="1"/>
  <c r="M365" i="1" s="1"/>
  <c r="J365" i="1"/>
  <c r="I365" i="1"/>
  <c r="K365" i="1" s="1"/>
  <c r="H365" i="1"/>
  <c r="G365" i="1"/>
  <c r="F365" i="1"/>
  <c r="E365" i="1"/>
  <c r="D365" i="1"/>
  <c r="B365" i="1"/>
  <c r="A365" i="1"/>
  <c r="L364" i="1"/>
  <c r="M364" i="1" s="1"/>
  <c r="K364" i="1"/>
  <c r="J364" i="1"/>
  <c r="I364" i="1"/>
  <c r="H364" i="1"/>
  <c r="G364" i="1"/>
  <c r="E364" i="1"/>
  <c r="C364" i="1"/>
  <c r="B364" i="1"/>
  <c r="A364" i="1"/>
  <c r="M363" i="1"/>
  <c r="L363" i="1"/>
  <c r="J363" i="1"/>
  <c r="K363" i="1" s="1"/>
  <c r="H363" i="1"/>
  <c r="G363" i="1"/>
  <c r="I363" i="1" s="1"/>
  <c r="F363" i="1"/>
  <c r="E363" i="1"/>
  <c r="D363" i="1"/>
  <c r="C363" i="1"/>
  <c r="B363" i="1"/>
  <c r="A363" i="1"/>
  <c r="M362" i="1"/>
  <c r="L362" i="1"/>
  <c r="K362" i="1"/>
  <c r="J362" i="1"/>
  <c r="H362" i="1"/>
  <c r="G362" i="1"/>
  <c r="I362" i="1" s="1"/>
  <c r="F362" i="1"/>
  <c r="E362" i="1"/>
  <c r="C362" i="1"/>
  <c r="D362" i="1" s="1"/>
  <c r="B362" i="1"/>
  <c r="A362" i="1"/>
  <c r="L361" i="1"/>
  <c r="M361" i="1" s="1"/>
  <c r="J361" i="1"/>
  <c r="H361" i="1"/>
  <c r="G361" i="1"/>
  <c r="I361" i="1" s="1"/>
  <c r="K361" i="1" s="1"/>
  <c r="C361" i="1"/>
  <c r="B361" i="1"/>
  <c r="A361" i="1"/>
  <c r="M360" i="1"/>
  <c r="L360" i="1"/>
  <c r="J360" i="1"/>
  <c r="I360" i="1"/>
  <c r="K360" i="1" s="1"/>
  <c r="H360" i="1"/>
  <c r="G360" i="1"/>
  <c r="C360" i="1"/>
  <c r="B360" i="1"/>
  <c r="A360" i="1"/>
  <c r="L359" i="1"/>
  <c r="M359" i="1" s="1"/>
  <c r="J359" i="1"/>
  <c r="I359" i="1"/>
  <c r="K359" i="1" s="1"/>
  <c r="H359" i="1"/>
  <c r="G359" i="1"/>
  <c r="E359" i="1"/>
  <c r="D359" i="1"/>
  <c r="C359" i="1"/>
  <c r="F359" i="1" s="1"/>
  <c r="B359" i="1"/>
  <c r="A359" i="1"/>
  <c r="L358" i="1"/>
  <c r="M358" i="1" s="1"/>
  <c r="K358" i="1"/>
  <c r="J358" i="1"/>
  <c r="I358" i="1"/>
  <c r="H358" i="1"/>
  <c r="G358" i="1"/>
  <c r="F358" i="1"/>
  <c r="E358" i="1"/>
  <c r="D358" i="1"/>
  <c r="C358" i="1"/>
  <c r="B358" i="1"/>
  <c r="A358" i="1"/>
  <c r="L357" i="1"/>
  <c r="M357" i="1" s="1"/>
  <c r="J357" i="1"/>
  <c r="H357" i="1"/>
  <c r="G357" i="1"/>
  <c r="I357" i="1" s="1"/>
  <c r="K357" i="1" s="1"/>
  <c r="F357" i="1"/>
  <c r="E357" i="1"/>
  <c r="D357" i="1"/>
  <c r="C357" i="1"/>
  <c r="B357" i="1"/>
  <c r="A357" i="1"/>
  <c r="M356" i="1"/>
  <c r="L356" i="1"/>
  <c r="J356" i="1"/>
  <c r="H356" i="1"/>
  <c r="G356" i="1"/>
  <c r="I356" i="1" s="1"/>
  <c r="K356" i="1" s="1"/>
  <c r="F356" i="1"/>
  <c r="E356" i="1"/>
  <c r="C356" i="1"/>
  <c r="D356" i="1" s="1"/>
  <c r="B356" i="1"/>
  <c r="A356" i="1"/>
  <c r="L355" i="1"/>
  <c r="M355" i="1" s="1"/>
  <c r="J355" i="1"/>
  <c r="I355" i="1"/>
  <c r="K355" i="1" s="1"/>
  <c r="H355" i="1"/>
  <c r="G355" i="1"/>
  <c r="F355" i="1"/>
  <c r="C355" i="1"/>
  <c r="D355" i="1" s="1"/>
  <c r="B355" i="1"/>
  <c r="A355" i="1"/>
  <c r="M354" i="1"/>
  <c r="L354" i="1"/>
  <c r="J354" i="1"/>
  <c r="I354" i="1"/>
  <c r="K354" i="1" s="1"/>
  <c r="H354" i="1"/>
  <c r="G354" i="1"/>
  <c r="C354" i="1"/>
  <c r="B354" i="1"/>
  <c r="A354" i="1"/>
  <c r="L353" i="1"/>
  <c r="M353" i="1" s="1"/>
  <c r="J353" i="1"/>
  <c r="I353" i="1"/>
  <c r="K353" i="1" s="1"/>
  <c r="H353" i="1"/>
  <c r="G353" i="1"/>
  <c r="D353" i="1"/>
  <c r="C353" i="1"/>
  <c r="B353" i="1"/>
  <c r="A353" i="1"/>
  <c r="L352" i="1"/>
  <c r="M352" i="1" s="1"/>
  <c r="K352" i="1"/>
  <c r="J352" i="1"/>
  <c r="I352" i="1"/>
  <c r="H352" i="1"/>
  <c r="G352" i="1"/>
  <c r="C352" i="1"/>
  <c r="F352" i="1" s="1"/>
  <c r="B352" i="1"/>
  <c r="A352" i="1"/>
  <c r="M351" i="1"/>
  <c r="L351" i="1"/>
  <c r="K351" i="1"/>
  <c r="J351" i="1"/>
  <c r="H351" i="1"/>
  <c r="G351" i="1"/>
  <c r="I351" i="1" s="1"/>
  <c r="F351" i="1"/>
  <c r="E351" i="1"/>
  <c r="D351" i="1"/>
  <c r="C351" i="1"/>
  <c r="B351" i="1"/>
  <c r="A351" i="1"/>
  <c r="M350" i="1"/>
  <c r="L350" i="1"/>
  <c r="K350" i="1"/>
  <c r="J350" i="1"/>
  <c r="H350" i="1"/>
  <c r="G350" i="1"/>
  <c r="I350" i="1" s="1"/>
  <c r="F350" i="1"/>
  <c r="E350" i="1"/>
  <c r="C350" i="1"/>
  <c r="D350" i="1" s="1"/>
  <c r="B350" i="1"/>
  <c r="A350" i="1"/>
  <c r="M349" i="1"/>
  <c r="L349" i="1"/>
  <c r="J349" i="1"/>
  <c r="H349" i="1"/>
  <c r="G349" i="1"/>
  <c r="I349" i="1" s="1"/>
  <c r="K349" i="1" s="1"/>
  <c r="C349" i="1"/>
  <c r="B349" i="1"/>
  <c r="A349" i="1"/>
  <c r="M348" i="1"/>
  <c r="L348" i="1"/>
  <c r="J348" i="1"/>
  <c r="I348" i="1"/>
  <c r="K348" i="1" s="1"/>
  <c r="H348" i="1"/>
  <c r="G348" i="1"/>
  <c r="D348" i="1"/>
  <c r="C348" i="1"/>
  <c r="B348" i="1"/>
  <c r="A348" i="1"/>
  <c r="L347" i="1"/>
  <c r="M347" i="1" s="1"/>
  <c r="J347" i="1"/>
  <c r="I347" i="1"/>
  <c r="K347" i="1" s="1"/>
  <c r="H347" i="1"/>
  <c r="G347" i="1"/>
  <c r="C347" i="1"/>
  <c r="F347" i="1" s="1"/>
  <c r="B347" i="1"/>
  <c r="A347" i="1"/>
  <c r="L346" i="1"/>
  <c r="M346" i="1" s="1"/>
  <c r="K346" i="1"/>
  <c r="J346" i="1"/>
  <c r="I346" i="1"/>
  <c r="H346" i="1"/>
  <c r="G346" i="1"/>
  <c r="C346" i="1"/>
  <c r="F346" i="1" s="1"/>
  <c r="B346" i="1"/>
  <c r="A346" i="1"/>
  <c r="L345" i="1"/>
  <c r="M345" i="1" s="1"/>
  <c r="J345" i="1"/>
  <c r="K345" i="1" s="1"/>
  <c r="H345" i="1"/>
  <c r="G345" i="1"/>
  <c r="I345" i="1" s="1"/>
  <c r="F345" i="1"/>
  <c r="E345" i="1"/>
  <c r="D345" i="1"/>
  <c r="C345" i="1"/>
  <c r="B345" i="1"/>
  <c r="A345" i="1"/>
  <c r="L344" i="1"/>
  <c r="M344" i="1" s="1"/>
  <c r="K344" i="1"/>
  <c r="J344" i="1"/>
  <c r="H344" i="1"/>
  <c r="G344" i="1"/>
  <c r="I344" i="1" s="1"/>
  <c r="F344" i="1"/>
  <c r="E344" i="1"/>
  <c r="C344" i="1"/>
  <c r="D344" i="1" s="1"/>
  <c r="B344" i="1"/>
  <c r="A344" i="1"/>
  <c r="L343" i="1"/>
  <c r="M343" i="1" s="1"/>
  <c r="J343" i="1"/>
  <c r="H343" i="1"/>
  <c r="G343" i="1"/>
  <c r="I343" i="1" s="1"/>
  <c r="K343" i="1" s="1"/>
  <c r="C343" i="1"/>
  <c r="B343" i="1"/>
  <c r="A343" i="1"/>
  <c r="M342" i="1"/>
  <c r="L342" i="1"/>
  <c r="J342" i="1"/>
  <c r="I342" i="1"/>
  <c r="K342" i="1" s="1"/>
  <c r="H342" i="1"/>
  <c r="G342" i="1"/>
  <c r="C342" i="1"/>
  <c r="B342" i="1"/>
  <c r="A342" i="1"/>
  <c r="L341" i="1"/>
  <c r="M341" i="1" s="1"/>
  <c r="J341" i="1"/>
  <c r="I341" i="1"/>
  <c r="K341" i="1" s="1"/>
  <c r="H341" i="1"/>
  <c r="G341" i="1"/>
  <c r="E341" i="1"/>
  <c r="C341" i="1"/>
  <c r="F341" i="1" s="1"/>
  <c r="B341" i="1"/>
  <c r="A341" i="1"/>
  <c r="L340" i="1"/>
  <c r="M340" i="1" s="1"/>
  <c r="J340" i="1"/>
  <c r="I340" i="1"/>
  <c r="K340" i="1" s="1"/>
  <c r="H340" i="1"/>
  <c r="G340" i="1"/>
  <c r="F340" i="1"/>
  <c r="E340" i="1"/>
  <c r="C340" i="1"/>
  <c r="D340" i="1" s="1"/>
  <c r="B340" i="1"/>
  <c r="A340" i="1"/>
  <c r="M339" i="1"/>
  <c r="L339" i="1"/>
  <c r="J339" i="1"/>
  <c r="H339" i="1"/>
  <c r="G339" i="1"/>
  <c r="I339" i="1" s="1"/>
  <c r="K339" i="1" s="1"/>
  <c r="F339" i="1"/>
  <c r="E339" i="1"/>
  <c r="D339" i="1"/>
  <c r="C339" i="1"/>
  <c r="B339" i="1"/>
  <c r="A339" i="1"/>
  <c r="M338" i="1"/>
  <c r="L338" i="1"/>
  <c r="J338" i="1"/>
  <c r="H338" i="1"/>
  <c r="G338" i="1"/>
  <c r="I338" i="1" s="1"/>
  <c r="K338" i="1" s="1"/>
  <c r="F338" i="1"/>
  <c r="E338" i="1"/>
  <c r="C338" i="1"/>
  <c r="D338" i="1" s="1"/>
  <c r="B338" i="1"/>
  <c r="A338" i="1"/>
  <c r="L337" i="1"/>
  <c r="M337" i="1" s="1"/>
  <c r="J337" i="1"/>
  <c r="H337" i="1"/>
  <c r="G337" i="1"/>
  <c r="I337" i="1" s="1"/>
  <c r="K337" i="1" s="1"/>
  <c r="C337" i="1"/>
  <c r="B337" i="1"/>
  <c r="A337" i="1"/>
  <c r="M336" i="1"/>
  <c r="L336" i="1"/>
  <c r="J336" i="1"/>
  <c r="I336" i="1"/>
  <c r="K336" i="1" s="1"/>
  <c r="H336" i="1"/>
  <c r="G336" i="1"/>
  <c r="D336" i="1"/>
  <c r="C336" i="1"/>
  <c r="B336" i="1"/>
  <c r="A336" i="1"/>
  <c r="L335" i="1"/>
  <c r="M335" i="1" s="1"/>
  <c r="J335" i="1"/>
  <c r="I335" i="1"/>
  <c r="K335" i="1" s="1"/>
  <c r="H335" i="1"/>
  <c r="G335" i="1"/>
  <c r="C335" i="1"/>
  <c r="F335" i="1" s="1"/>
  <c r="B335" i="1"/>
  <c r="A335" i="1"/>
  <c r="L334" i="1"/>
  <c r="M334" i="1" s="1"/>
  <c r="K334" i="1"/>
  <c r="J334" i="1"/>
  <c r="I334" i="1"/>
  <c r="H334" i="1"/>
  <c r="G334" i="1"/>
  <c r="C334" i="1"/>
  <c r="F334" i="1" s="1"/>
  <c r="B334" i="1"/>
  <c r="A334" i="1"/>
  <c r="L333" i="1"/>
  <c r="M333" i="1" s="1"/>
  <c r="J333" i="1"/>
  <c r="K333" i="1" s="1"/>
  <c r="H333" i="1"/>
  <c r="G333" i="1"/>
  <c r="I333" i="1" s="1"/>
  <c r="F333" i="1"/>
  <c r="E333" i="1"/>
  <c r="D333" i="1"/>
  <c r="C333" i="1"/>
  <c r="B333" i="1"/>
  <c r="A333" i="1"/>
  <c r="L332" i="1"/>
  <c r="M332" i="1" s="1"/>
  <c r="K332" i="1"/>
  <c r="J332" i="1"/>
  <c r="H332" i="1"/>
  <c r="G332" i="1"/>
  <c r="I332" i="1" s="1"/>
  <c r="F332" i="1"/>
  <c r="E332" i="1"/>
  <c r="C332" i="1"/>
  <c r="D332" i="1" s="1"/>
  <c r="B332" i="1"/>
  <c r="A332" i="1"/>
  <c r="L331" i="1"/>
  <c r="M331" i="1" s="1"/>
  <c r="J331" i="1"/>
  <c r="H331" i="1"/>
  <c r="G331" i="1"/>
  <c r="I331" i="1" s="1"/>
  <c r="K331" i="1" s="1"/>
  <c r="C331" i="1"/>
  <c r="B331" i="1"/>
  <c r="A331" i="1"/>
  <c r="M330" i="1"/>
  <c r="L330" i="1"/>
  <c r="J330" i="1"/>
  <c r="I330" i="1"/>
  <c r="K330" i="1" s="1"/>
  <c r="H330" i="1"/>
  <c r="G330" i="1"/>
  <c r="D330" i="1"/>
  <c r="C330" i="1"/>
  <c r="B330" i="1"/>
  <c r="A330" i="1"/>
  <c r="L329" i="1"/>
  <c r="M329" i="1" s="1"/>
  <c r="J329" i="1"/>
  <c r="I329" i="1"/>
  <c r="K329" i="1" s="1"/>
  <c r="H329" i="1"/>
  <c r="G329" i="1"/>
  <c r="E329" i="1"/>
  <c r="C329" i="1"/>
  <c r="F329" i="1" s="1"/>
  <c r="B329" i="1"/>
  <c r="A329" i="1"/>
  <c r="L328" i="1"/>
  <c r="M328" i="1" s="1"/>
  <c r="J328" i="1"/>
  <c r="I328" i="1"/>
  <c r="K328" i="1" s="1"/>
  <c r="H328" i="1"/>
  <c r="G328" i="1"/>
  <c r="F328" i="1"/>
  <c r="E328" i="1"/>
  <c r="C328" i="1"/>
  <c r="D328" i="1" s="1"/>
  <c r="B328" i="1"/>
  <c r="A328" i="1"/>
  <c r="M327" i="1"/>
  <c r="L327" i="1"/>
  <c r="J327" i="1"/>
  <c r="H327" i="1"/>
  <c r="G327" i="1"/>
  <c r="I327" i="1" s="1"/>
  <c r="K327" i="1" s="1"/>
  <c r="F327" i="1"/>
  <c r="E327" i="1"/>
  <c r="D327" i="1"/>
  <c r="C327" i="1"/>
  <c r="B327" i="1"/>
  <c r="A327" i="1"/>
  <c r="M326" i="1"/>
  <c r="L326" i="1"/>
  <c r="J326" i="1"/>
  <c r="H326" i="1"/>
  <c r="G326" i="1"/>
  <c r="I326" i="1" s="1"/>
  <c r="K326" i="1" s="1"/>
  <c r="F326" i="1"/>
  <c r="E326" i="1"/>
  <c r="C326" i="1"/>
  <c r="D326" i="1" s="1"/>
  <c r="B326" i="1"/>
  <c r="A326" i="1"/>
  <c r="L325" i="1"/>
  <c r="M325" i="1" s="1"/>
  <c r="J325" i="1"/>
  <c r="H325" i="1"/>
  <c r="G325" i="1"/>
  <c r="I325" i="1" s="1"/>
  <c r="K325" i="1" s="1"/>
  <c r="C325" i="1"/>
  <c r="B325" i="1"/>
  <c r="A325" i="1"/>
  <c r="M324" i="1"/>
  <c r="L324" i="1"/>
  <c r="J324" i="1"/>
  <c r="I324" i="1"/>
  <c r="K324" i="1" s="1"/>
  <c r="H324" i="1"/>
  <c r="G324" i="1"/>
  <c r="D324" i="1"/>
  <c r="C324" i="1"/>
  <c r="B324" i="1"/>
  <c r="A324" i="1"/>
  <c r="L323" i="1"/>
  <c r="M323" i="1" s="1"/>
  <c r="J323" i="1"/>
  <c r="I323" i="1"/>
  <c r="K323" i="1" s="1"/>
  <c r="H323" i="1"/>
  <c r="G323" i="1"/>
  <c r="C323" i="1"/>
  <c r="F323" i="1" s="1"/>
  <c r="B323" i="1"/>
  <c r="A323" i="1"/>
  <c r="L322" i="1"/>
  <c r="M322" i="1" s="1"/>
  <c r="K322" i="1"/>
  <c r="J322" i="1"/>
  <c r="I322" i="1"/>
  <c r="H322" i="1"/>
  <c r="G322" i="1"/>
  <c r="C322" i="1"/>
  <c r="F322" i="1" s="1"/>
  <c r="B322" i="1"/>
  <c r="A322" i="1"/>
  <c r="L321" i="1"/>
  <c r="M321" i="1" s="1"/>
  <c r="J321" i="1"/>
  <c r="K321" i="1" s="1"/>
  <c r="H321" i="1"/>
  <c r="G321" i="1"/>
  <c r="I321" i="1" s="1"/>
  <c r="F321" i="1"/>
  <c r="E321" i="1"/>
  <c r="D321" i="1"/>
  <c r="C321" i="1"/>
  <c r="B321" i="1"/>
  <c r="A321" i="1"/>
  <c r="L320" i="1"/>
  <c r="M320" i="1" s="1"/>
  <c r="K320" i="1"/>
  <c r="J320" i="1"/>
  <c r="H320" i="1"/>
  <c r="G320" i="1"/>
  <c r="I320" i="1" s="1"/>
  <c r="F320" i="1"/>
  <c r="E320" i="1"/>
  <c r="C320" i="1"/>
  <c r="D320" i="1" s="1"/>
  <c r="B320" i="1"/>
  <c r="A320" i="1"/>
  <c r="L319" i="1"/>
  <c r="M319" i="1" s="1"/>
  <c r="J319" i="1"/>
  <c r="H319" i="1"/>
  <c r="G319" i="1"/>
  <c r="I319" i="1" s="1"/>
  <c r="K319" i="1" s="1"/>
  <c r="C319" i="1"/>
  <c r="B319" i="1"/>
  <c r="A319" i="1"/>
  <c r="M318" i="1"/>
  <c r="L318" i="1"/>
  <c r="J318" i="1"/>
  <c r="I318" i="1"/>
  <c r="K318" i="1" s="1"/>
  <c r="H318" i="1"/>
  <c r="G318" i="1"/>
  <c r="D318" i="1"/>
  <c r="C318" i="1"/>
  <c r="B318" i="1"/>
  <c r="A318" i="1"/>
  <c r="L317" i="1"/>
  <c r="M317" i="1" s="1"/>
  <c r="J317" i="1"/>
  <c r="I317" i="1"/>
  <c r="K317" i="1" s="1"/>
  <c r="H317" i="1"/>
  <c r="G317" i="1"/>
  <c r="E317" i="1"/>
  <c r="C317" i="1"/>
  <c r="F317" i="1" s="1"/>
  <c r="B317" i="1"/>
  <c r="A317" i="1"/>
  <c r="L316" i="1"/>
  <c r="M316" i="1" s="1"/>
  <c r="J316" i="1"/>
  <c r="I316" i="1"/>
  <c r="K316" i="1" s="1"/>
  <c r="H316" i="1"/>
  <c r="G316" i="1"/>
  <c r="F316" i="1"/>
  <c r="E316" i="1"/>
  <c r="C316" i="1"/>
  <c r="D316" i="1" s="1"/>
  <c r="B316" i="1"/>
  <c r="A316" i="1"/>
  <c r="M315" i="1"/>
  <c r="L315" i="1"/>
  <c r="J315" i="1"/>
  <c r="K315" i="1" s="1"/>
  <c r="H315" i="1"/>
  <c r="G315" i="1"/>
  <c r="I315" i="1" s="1"/>
  <c r="F315" i="1"/>
  <c r="E315" i="1"/>
  <c r="D315" i="1"/>
  <c r="C315" i="1"/>
  <c r="B315" i="1"/>
  <c r="A315" i="1"/>
  <c r="M314" i="1"/>
  <c r="L314" i="1"/>
  <c r="K314" i="1"/>
  <c r="J314" i="1"/>
  <c r="H314" i="1"/>
  <c r="G314" i="1"/>
  <c r="I314" i="1" s="1"/>
  <c r="F314" i="1"/>
  <c r="E314" i="1"/>
  <c r="C314" i="1"/>
  <c r="D314" i="1" s="1"/>
  <c r="B314" i="1"/>
  <c r="A314" i="1"/>
  <c r="L313" i="1"/>
  <c r="M313" i="1" s="1"/>
  <c r="J313" i="1"/>
  <c r="H313" i="1"/>
  <c r="G313" i="1"/>
  <c r="I313" i="1" s="1"/>
  <c r="K313" i="1" s="1"/>
  <c r="C313" i="1"/>
  <c r="B313" i="1"/>
  <c r="A313" i="1"/>
  <c r="M312" i="1"/>
  <c r="L312" i="1"/>
  <c r="J312" i="1"/>
  <c r="I312" i="1"/>
  <c r="K312" i="1" s="1"/>
  <c r="H312" i="1"/>
  <c r="G312" i="1"/>
  <c r="D312" i="1"/>
  <c r="C312" i="1"/>
  <c r="B312" i="1"/>
  <c r="A312" i="1"/>
  <c r="L311" i="1"/>
  <c r="M311" i="1" s="1"/>
  <c r="J311" i="1"/>
  <c r="I311" i="1"/>
  <c r="K311" i="1" s="1"/>
  <c r="H311" i="1"/>
  <c r="G311" i="1"/>
  <c r="C311" i="1"/>
  <c r="F311" i="1" s="1"/>
  <c r="B311" i="1"/>
  <c r="A311" i="1"/>
  <c r="L310" i="1"/>
  <c r="M310" i="1" s="1"/>
  <c r="K310" i="1"/>
  <c r="J310" i="1"/>
  <c r="I310" i="1"/>
  <c r="H310" i="1"/>
  <c r="G310" i="1"/>
  <c r="C310" i="1"/>
  <c r="F310" i="1" s="1"/>
  <c r="B310" i="1"/>
  <c r="A310" i="1"/>
  <c r="L309" i="1"/>
  <c r="M309" i="1" s="1"/>
  <c r="J309" i="1"/>
  <c r="K309" i="1" s="1"/>
  <c r="H309" i="1"/>
  <c r="G309" i="1"/>
  <c r="I309" i="1" s="1"/>
  <c r="F309" i="1"/>
  <c r="E309" i="1"/>
  <c r="D309" i="1"/>
  <c r="C309" i="1"/>
  <c r="B309" i="1"/>
  <c r="A309" i="1"/>
  <c r="L308" i="1"/>
  <c r="M308" i="1" s="1"/>
  <c r="K308" i="1"/>
  <c r="J308" i="1"/>
  <c r="H308" i="1"/>
  <c r="G308" i="1"/>
  <c r="I308" i="1" s="1"/>
  <c r="F308" i="1"/>
  <c r="E308" i="1"/>
  <c r="C308" i="1"/>
  <c r="D308" i="1" s="1"/>
  <c r="B308" i="1"/>
  <c r="A308" i="1"/>
  <c r="L307" i="1"/>
  <c r="M307" i="1" s="1"/>
  <c r="J307" i="1"/>
  <c r="H307" i="1"/>
  <c r="G307" i="1"/>
  <c r="I307" i="1" s="1"/>
  <c r="K307" i="1" s="1"/>
  <c r="C307" i="1"/>
  <c r="B307" i="1"/>
  <c r="A307" i="1"/>
  <c r="M306" i="1"/>
  <c r="L306" i="1"/>
  <c r="J306" i="1"/>
  <c r="I306" i="1"/>
  <c r="K306" i="1" s="1"/>
  <c r="H306" i="1"/>
  <c r="G306" i="1"/>
  <c r="D306" i="1"/>
  <c r="C306" i="1"/>
  <c r="B306" i="1"/>
  <c r="A306" i="1"/>
  <c r="L305" i="1"/>
  <c r="M305" i="1" s="1"/>
  <c r="J305" i="1"/>
  <c r="K305" i="1" s="1"/>
  <c r="I305" i="1"/>
  <c r="H305" i="1"/>
  <c r="G305" i="1"/>
  <c r="E305" i="1"/>
  <c r="C305" i="1"/>
  <c r="F305" i="1" s="1"/>
  <c r="B305" i="1"/>
  <c r="A305" i="1"/>
  <c r="L304" i="1"/>
  <c r="M304" i="1" s="1"/>
  <c r="J304" i="1"/>
  <c r="I304" i="1"/>
  <c r="K304" i="1" s="1"/>
  <c r="H304" i="1"/>
  <c r="G304" i="1"/>
  <c r="F304" i="1"/>
  <c r="E304" i="1"/>
  <c r="C304" i="1"/>
  <c r="D304" i="1" s="1"/>
  <c r="B304" i="1"/>
  <c r="A304" i="1"/>
  <c r="M303" i="1"/>
  <c r="L303" i="1"/>
  <c r="J303" i="1"/>
  <c r="K303" i="1" s="1"/>
  <c r="H303" i="1"/>
  <c r="G303" i="1"/>
  <c r="I303" i="1" s="1"/>
  <c r="F303" i="1"/>
  <c r="E303" i="1"/>
  <c r="D303" i="1"/>
  <c r="C303" i="1"/>
  <c r="B303" i="1"/>
  <c r="A303" i="1"/>
  <c r="M302" i="1"/>
  <c r="L302" i="1"/>
  <c r="K302" i="1"/>
  <c r="J302" i="1"/>
  <c r="H302" i="1"/>
  <c r="G302" i="1"/>
  <c r="I302" i="1" s="1"/>
  <c r="F302" i="1"/>
  <c r="E302" i="1"/>
  <c r="C302" i="1"/>
  <c r="D302" i="1" s="1"/>
  <c r="B302" i="1"/>
  <c r="A302" i="1"/>
  <c r="L301" i="1"/>
  <c r="M301" i="1" s="1"/>
  <c r="J301" i="1"/>
  <c r="I301" i="1"/>
  <c r="K301" i="1" s="1"/>
  <c r="H301" i="1"/>
  <c r="G301" i="1"/>
  <c r="C301" i="1"/>
  <c r="B301" i="1"/>
  <c r="A301" i="1"/>
  <c r="M300" i="1"/>
  <c r="L300" i="1"/>
  <c r="J300" i="1"/>
  <c r="I300" i="1"/>
  <c r="K300" i="1" s="1"/>
  <c r="H300" i="1"/>
  <c r="G300" i="1"/>
  <c r="D300" i="1"/>
  <c r="C300" i="1"/>
  <c r="B300" i="1"/>
  <c r="A300" i="1"/>
  <c r="L299" i="1"/>
  <c r="M299" i="1" s="1"/>
  <c r="J299" i="1"/>
  <c r="I299" i="1"/>
  <c r="K299" i="1" s="1"/>
  <c r="H299" i="1"/>
  <c r="G299" i="1"/>
  <c r="C299" i="1"/>
  <c r="F299" i="1" s="1"/>
  <c r="B299" i="1"/>
  <c r="A299" i="1"/>
  <c r="L298" i="1"/>
  <c r="M298" i="1" s="1"/>
  <c r="K298" i="1"/>
  <c r="J298" i="1"/>
  <c r="I298" i="1"/>
  <c r="H298" i="1"/>
  <c r="G298" i="1"/>
  <c r="C298" i="1"/>
  <c r="F298" i="1" s="1"/>
  <c r="B298" i="1"/>
  <c r="A298" i="1"/>
  <c r="L297" i="1"/>
  <c r="M297" i="1" s="1"/>
  <c r="J297" i="1"/>
  <c r="K297" i="1" s="1"/>
  <c r="H297" i="1"/>
  <c r="G297" i="1"/>
  <c r="I297" i="1" s="1"/>
  <c r="F297" i="1"/>
  <c r="E297" i="1"/>
  <c r="D297" i="1"/>
  <c r="C297" i="1"/>
  <c r="B297" i="1"/>
  <c r="A297" i="1"/>
  <c r="L296" i="1"/>
  <c r="M296" i="1" s="1"/>
  <c r="K296" i="1"/>
  <c r="J296" i="1"/>
  <c r="H296" i="1"/>
  <c r="G296" i="1"/>
  <c r="I296" i="1" s="1"/>
  <c r="F296" i="1"/>
  <c r="E296" i="1"/>
  <c r="C296" i="1"/>
  <c r="D296" i="1" s="1"/>
  <c r="B296" i="1"/>
  <c r="A296" i="1"/>
  <c r="L295" i="1"/>
  <c r="M295" i="1" s="1"/>
  <c r="J295" i="1"/>
  <c r="H295" i="1"/>
  <c r="G295" i="1"/>
  <c r="I295" i="1" s="1"/>
  <c r="K295" i="1" s="1"/>
  <c r="C295" i="1"/>
  <c r="B295" i="1"/>
  <c r="A295" i="1"/>
  <c r="M294" i="1"/>
  <c r="L294" i="1"/>
  <c r="J294" i="1"/>
  <c r="I294" i="1"/>
  <c r="K294" i="1" s="1"/>
  <c r="H294" i="1"/>
  <c r="G294" i="1"/>
  <c r="D294" i="1"/>
  <c r="C294" i="1"/>
  <c r="B294" i="1"/>
  <c r="A294" i="1"/>
  <c r="L293" i="1"/>
  <c r="M293" i="1" s="1"/>
  <c r="J293" i="1"/>
  <c r="K293" i="1" s="1"/>
  <c r="I293" i="1"/>
  <c r="H293" i="1"/>
  <c r="G293" i="1"/>
  <c r="E293" i="1"/>
  <c r="C293" i="1"/>
  <c r="F293" i="1" s="1"/>
  <c r="B293" i="1"/>
  <c r="A293" i="1"/>
  <c r="L292" i="1"/>
  <c r="M292" i="1" s="1"/>
  <c r="J292" i="1"/>
  <c r="I292" i="1"/>
  <c r="K292" i="1" s="1"/>
  <c r="H292" i="1"/>
  <c r="G292" i="1"/>
  <c r="F292" i="1"/>
  <c r="E292" i="1"/>
  <c r="C292" i="1"/>
  <c r="D292" i="1" s="1"/>
  <c r="B292" i="1"/>
  <c r="A292" i="1"/>
  <c r="M291" i="1"/>
  <c r="L291" i="1"/>
  <c r="J291" i="1"/>
  <c r="K291" i="1" s="1"/>
  <c r="H291" i="1"/>
  <c r="G291" i="1"/>
  <c r="I291" i="1" s="1"/>
  <c r="F291" i="1"/>
  <c r="E291" i="1"/>
  <c r="D291" i="1"/>
  <c r="C291" i="1"/>
  <c r="B291" i="1"/>
  <c r="A291" i="1"/>
  <c r="M290" i="1"/>
  <c r="L290" i="1"/>
  <c r="K290" i="1"/>
  <c r="J290" i="1"/>
  <c r="H290" i="1"/>
  <c r="G290" i="1"/>
  <c r="I290" i="1" s="1"/>
  <c r="F290" i="1"/>
  <c r="E290" i="1"/>
  <c r="C290" i="1"/>
  <c r="D290" i="1" s="1"/>
  <c r="B290" i="1"/>
  <c r="A290" i="1"/>
  <c r="L289" i="1"/>
  <c r="M289" i="1" s="1"/>
  <c r="J289" i="1"/>
  <c r="I289" i="1"/>
  <c r="K289" i="1" s="1"/>
  <c r="H289" i="1"/>
  <c r="G289" i="1"/>
  <c r="C289" i="1"/>
  <c r="B289" i="1"/>
  <c r="A289" i="1"/>
  <c r="M288" i="1"/>
  <c r="L288" i="1"/>
  <c r="J288" i="1"/>
  <c r="I288" i="1"/>
  <c r="K288" i="1" s="1"/>
  <c r="H288" i="1"/>
  <c r="G288" i="1"/>
  <c r="D288" i="1"/>
  <c r="C288" i="1"/>
  <c r="B288" i="1"/>
  <c r="A288" i="1"/>
  <c r="L287" i="1"/>
  <c r="M287" i="1" s="1"/>
  <c r="J287" i="1"/>
  <c r="I287" i="1"/>
  <c r="K287" i="1" s="1"/>
  <c r="H287" i="1"/>
  <c r="G287" i="1"/>
  <c r="C287" i="1"/>
  <c r="F287" i="1" s="1"/>
  <c r="B287" i="1"/>
  <c r="A287" i="1"/>
  <c r="L286" i="1"/>
  <c r="M286" i="1" s="1"/>
  <c r="K286" i="1"/>
  <c r="J286" i="1"/>
  <c r="I286" i="1"/>
  <c r="H286" i="1"/>
  <c r="G286" i="1"/>
  <c r="C286" i="1"/>
  <c r="F286" i="1" s="1"/>
  <c r="B286" i="1"/>
  <c r="A286" i="1"/>
  <c r="L285" i="1"/>
  <c r="M285" i="1" s="1"/>
  <c r="J285" i="1"/>
  <c r="K285" i="1" s="1"/>
  <c r="H285" i="1"/>
  <c r="G285" i="1"/>
  <c r="I285" i="1" s="1"/>
  <c r="F285" i="1"/>
  <c r="E285" i="1"/>
  <c r="D285" i="1"/>
  <c r="C285" i="1"/>
  <c r="B285" i="1"/>
  <c r="A285" i="1"/>
  <c r="L284" i="1"/>
  <c r="M284" i="1" s="1"/>
  <c r="K284" i="1"/>
  <c r="J284" i="1"/>
  <c r="H284" i="1"/>
  <c r="G284" i="1"/>
  <c r="I284" i="1" s="1"/>
  <c r="F284" i="1"/>
  <c r="E284" i="1"/>
  <c r="C284" i="1"/>
  <c r="D284" i="1" s="1"/>
  <c r="B284" i="1"/>
  <c r="A284" i="1"/>
  <c r="L283" i="1"/>
  <c r="M283" i="1" s="1"/>
  <c r="J283" i="1"/>
  <c r="H283" i="1"/>
  <c r="G283" i="1"/>
  <c r="I283" i="1" s="1"/>
  <c r="K283" i="1" s="1"/>
  <c r="C283" i="1"/>
  <c r="B283" i="1"/>
  <c r="A283" i="1"/>
  <c r="M282" i="1"/>
  <c r="L282" i="1"/>
  <c r="J282" i="1"/>
  <c r="I282" i="1"/>
  <c r="K282" i="1" s="1"/>
  <c r="H282" i="1"/>
  <c r="G282" i="1"/>
  <c r="D282" i="1"/>
  <c r="C282" i="1"/>
  <c r="B282" i="1"/>
  <c r="A282" i="1"/>
  <c r="L281" i="1"/>
  <c r="M281" i="1" s="1"/>
  <c r="J281" i="1"/>
  <c r="K281" i="1" s="1"/>
  <c r="I281" i="1"/>
  <c r="H281" i="1"/>
  <c r="G281" i="1"/>
  <c r="E281" i="1"/>
  <c r="C281" i="1"/>
  <c r="F281" i="1" s="1"/>
  <c r="B281" i="1"/>
  <c r="A281" i="1"/>
  <c r="L280" i="1"/>
  <c r="M280" i="1" s="1"/>
  <c r="J280" i="1"/>
  <c r="I280" i="1"/>
  <c r="K280" i="1" s="1"/>
  <c r="H280" i="1"/>
  <c r="G280" i="1"/>
  <c r="F280" i="1"/>
  <c r="E280" i="1"/>
  <c r="C280" i="1"/>
  <c r="D280" i="1" s="1"/>
  <c r="B280" i="1"/>
  <c r="A280" i="1"/>
  <c r="M279" i="1"/>
  <c r="L279" i="1"/>
  <c r="J279" i="1"/>
  <c r="K279" i="1" s="1"/>
  <c r="H279" i="1"/>
  <c r="G279" i="1"/>
  <c r="I279" i="1" s="1"/>
  <c r="F279" i="1"/>
  <c r="E279" i="1"/>
  <c r="D279" i="1"/>
  <c r="C279" i="1"/>
  <c r="B279" i="1"/>
  <c r="A279" i="1"/>
  <c r="M278" i="1"/>
  <c r="L278" i="1"/>
  <c r="K278" i="1"/>
  <c r="J278" i="1"/>
  <c r="H278" i="1"/>
  <c r="G278" i="1"/>
  <c r="I278" i="1" s="1"/>
  <c r="F278" i="1"/>
  <c r="E278" i="1"/>
  <c r="C278" i="1"/>
  <c r="D278" i="1" s="1"/>
  <c r="B278" i="1"/>
  <c r="A278" i="1"/>
  <c r="L277" i="1"/>
  <c r="M277" i="1" s="1"/>
  <c r="J277" i="1"/>
  <c r="I277" i="1"/>
  <c r="K277" i="1" s="1"/>
  <c r="H277" i="1"/>
  <c r="G277" i="1"/>
  <c r="C277" i="1"/>
  <c r="B277" i="1"/>
  <c r="A277" i="1"/>
  <c r="M276" i="1"/>
  <c r="L276" i="1"/>
  <c r="J276" i="1"/>
  <c r="I276" i="1"/>
  <c r="K276" i="1" s="1"/>
  <c r="H276" i="1"/>
  <c r="G276" i="1"/>
  <c r="D276" i="1"/>
  <c r="C276" i="1"/>
  <c r="B276" i="1"/>
  <c r="A276" i="1"/>
  <c r="L275" i="1"/>
  <c r="M275" i="1" s="1"/>
  <c r="J275" i="1"/>
  <c r="I275" i="1"/>
  <c r="K275" i="1" s="1"/>
  <c r="H275" i="1"/>
  <c r="G275" i="1"/>
  <c r="C275" i="1"/>
  <c r="F275" i="1" s="1"/>
  <c r="B275" i="1"/>
  <c r="A275" i="1"/>
  <c r="L274" i="1"/>
  <c r="M274" i="1" s="1"/>
  <c r="K274" i="1"/>
  <c r="J274" i="1"/>
  <c r="I274" i="1"/>
  <c r="H274" i="1"/>
  <c r="G274" i="1"/>
  <c r="C274" i="1"/>
  <c r="F274" i="1" s="1"/>
  <c r="B274" i="1"/>
  <c r="A274" i="1"/>
  <c r="L273" i="1"/>
  <c r="M273" i="1" s="1"/>
  <c r="J273" i="1"/>
  <c r="K273" i="1" s="1"/>
  <c r="H273" i="1"/>
  <c r="G273" i="1"/>
  <c r="I273" i="1" s="1"/>
  <c r="F273" i="1"/>
  <c r="E273" i="1"/>
  <c r="D273" i="1"/>
  <c r="C273" i="1"/>
  <c r="B273" i="1"/>
  <c r="A273" i="1"/>
  <c r="L272" i="1"/>
  <c r="M272" i="1" s="1"/>
  <c r="K272" i="1"/>
  <c r="J272" i="1"/>
  <c r="H272" i="1"/>
  <c r="G272" i="1"/>
  <c r="I272" i="1" s="1"/>
  <c r="F272" i="1"/>
  <c r="E272" i="1"/>
  <c r="C272" i="1"/>
  <c r="D272" i="1" s="1"/>
  <c r="B272" i="1"/>
  <c r="A272" i="1"/>
  <c r="L271" i="1"/>
  <c r="M271" i="1" s="1"/>
  <c r="J271" i="1"/>
  <c r="H271" i="1"/>
  <c r="G271" i="1"/>
  <c r="I271" i="1" s="1"/>
  <c r="K271" i="1" s="1"/>
  <c r="C271" i="1"/>
  <c r="B271" i="1"/>
  <c r="A271" i="1"/>
  <c r="M270" i="1"/>
  <c r="L270" i="1"/>
  <c r="J270" i="1"/>
  <c r="I270" i="1"/>
  <c r="K270" i="1" s="1"/>
  <c r="H270" i="1"/>
  <c r="G270" i="1"/>
  <c r="D270" i="1"/>
  <c r="C270" i="1"/>
  <c r="B270" i="1"/>
  <c r="A270" i="1"/>
  <c r="L269" i="1"/>
  <c r="M269" i="1" s="1"/>
  <c r="J269" i="1"/>
  <c r="K269" i="1" s="1"/>
  <c r="I269" i="1"/>
  <c r="H269" i="1"/>
  <c r="G269" i="1"/>
  <c r="E269" i="1"/>
  <c r="C269" i="1"/>
  <c r="F269" i="1" s="1"/>
  <c r="B269" i="1"/>
  <c r="A269" i="1"/>
  <c r="L268" i="1"/>
  <c r="M268" i="1" s="1"/>
  <c r="J268" i="1"/>
  <c r="I268" i="1"/>
  <c r="K268" i="1" s="1"/>
  <c r="H268" i="1"/>
  <c r="G268" i="1"/>
  <c r="F268" i="1"/>
  <c r="E268" i="1"/>
  <c r="C268" i="1"/>
  <c r="D268" i="1" s="1"/>
  <c r="B268" i="1"/>
  <c r="A268" i="1"/>
  <c r="M267" i="1"/>
  <c r="L267" i="1"/>
  <c r="J267" i="1"/>
  <c r="K267" i="1" s="1"/>
  <c r="H267" i="1"/>
  <c r="G267" i="1"/>
  <c r="I267" i="1" s="1"/>
  <c r="F267" i="1"/>
  <c r="E267" i="1"/>
  <c r="D267" i="1"/>
  <c r="C267" i="1"/>
  <c r="B267" i="1"/>
  <c r="A267" i="1"/>
  <c r="M266" i="1"/>
  <c r="L266" i="1"/>
  <c r="K266" i="1"/>
  <c r="J266" i="1"/>
  <c r="H266" i="1"/>
  <c r="G266" i="1"/>
  <c r="I266" i="1" s="1"/>
  <c r="F266" i="1"/>
  <c r="E266" i="1"/>
  <c r="C266" i="1"/>
  <c r="D266" i="1" s="1"/>
  <c r="B266" i="1"/>
  <c r="A266" i="1"/>
  <c r="L265" i="1"/>
  <c r="M265" i="1" s="1"/>
  <c r="J265" i="1"/>
  <c r="I265" i="1"/>
  <c r="K265" i="1" s="1"/>
  <c r="H265" i="1"/>
  <c r="G265" i="1"/>
  <c r="C265" i="1"/>
  <c r="B265" i="1"/>
  <c r="A265" i="1"/>
  <c r="M264" i="1"/>
  <c r="L264" i="1"/>
  <c r="J264" i="1"/>
  <c r="I264" i="1"/>
  <c r="K264" i="1" s="1"/>
  <c r="H264" i="1"/>
  <c r="G264" i="1"/>
  <c r="D264" i="1"/>
  <c r="C264" i="1"/>
  <c r="B264" i="1"/>
  <c r="A264" i="1"/>
  <c r="L263" i="1"/>
  <c r="M263" i="1" s="1"/>
  <c r="J263" i="1"/>
  <c r="I263" i="1"/>
  <c r="K263" i="1" s="1"/>
  <c r="H263" i="1"/>
  <c r="G263" i="1"/>
  <c r="C263" i="1"/>
  <c r="F263" i="1" s="1"/>
  <c r="B263" i="1"/>
  <c r="A263" i="1"/>
  <c r="L262" i="1"/>
  <c r="M262" i="1" s="1"/>
  <c r="K262" i="1"/>
  <c r="J262" i="1"/>
  <c r="I262" i="1"/>
  <c r="H262" i="1"/>
  <c r="G262" i="1"/>
  <c r="C262" i="1"/>
  <c r="F262" i="1" s="1"/>
  <c r="B262" i="1"/>
  <c r="A262" i="1"/>
  <c r="L261" i="1"/>
  <c r="M261" i="1" s="1"/>
  <c r="J261" i="1"/>
  <c r="K261" i="1" s="1"/>
  <c r="H261" i="1"/>
  <c r="G261" i="1"/>
  <c r="I261" i="1" s="1"/>
  <c r="F261" i="1"/>
  <c r="E261" i="1"/>
  <c r="D261" i="1"/>
  <c r="C261" i="1"/>
  <c r="B261" i="1"/>
  <c r="A261" i="1"/>
  <c r="L260" i="1"/>
  <c r="M260" i="1" s="1"/>
  <c r="K260" i="1"/>
  <c r="J260" i="1"/>
  <c r="H260" i="1"/>
  <c r="G260" i="1"/>
  <c r="I260" i="1" s="1"/>
  <c r="F260" i="1"/>
  <c r="E260" i="1"/>
  <c r="C260" i="1"/>
  <c r="D260" i="1" s="1"/>
  <c r="B260" i="1"/>
  <c r="A260" i="1"/>
  <c r="L259" i="1"/>
  <c r="M259" i="1" s="1"/>
  <c r="J259" i="1"/>
  <c r="H259" i="1"/>
  <c r="G259" i="1"/>
  <c r="I259" i="1" s="1"/>
  <c r="K259" i="1" s="1"/>
  <c r="C259" i="1"/>
  <c r="B259" i="1"/>
  <c r="A259" i="1"/>
  <c r="M258" i="1"/>
  <c r="L258" i="1"/>
  <c r="J258" i="1"/>
  <c r="I258" i="1"/>
  <c r="K258" i="1" s="1"/>
  <c r="H258" i="1"/>
  <c r="G258" i="1"/>
  <c r="D258" i="1"/>
  <c r="C258" i="1"/>
  <c r="B258" i="1"/>
  <c r="A258" i="1"/>
  <c r="L257" i="1"/>
  <c r="M257" i="1" s="1"/>
  <c r="J257" i="1"/>
  <c r="K257" i="1" s="1"/>
  <c r="I257" i="1"/>
  <c r="H257" i="1"/>
  <c r="G257" i="1"/>
  <c r="E257" i="1"/>
  <c r="C257" i="1"/>
  <c r="F257" i="1" s="1"/>
  <c r="B257" i="1"/>
  <c r="A257" i="1"/>
  <c r="L256" i="1"/>
  <c r="M256" i="1" s="1"/>
  <c r="J256" i="1"/>
  <c r="I256" i="1"/>
  <c r="K256" i="1" s="1"/>
  <c r="H256" i="1"/>
  <c r="G256" i="1"/>
  <c r="F256" i="1"/>
  <c r="E256" i="1"/>
  <c r="C256" i="1"/>
  <c r="D256" i="1" s="1"/>
  <c r="B256" i="1"/>
  <c r="A256" i="1"/>
  <c r="M255" i="1"/>
  <c r="L255" i="1"/>
  <c r="J255" i="1"/>
  <c r="K255" i="1" s="1"/>
  <c r="H255" i="1"/>
  <c r="G255" i="1"/>
  <c r="I255" i="1" s="1"/>
  <c r="F255" i="1"/>
  <c r="E255" i="1"/>
  <c r="D255" i="1"/>
  <c r="C255" i="1"/>
  <c r="B255" i="1"/>
  <c r="A255" i="1"/>
  <c r="M254" i="1"/>
  <c r="L254" i="1"/>
  <c r="K254" i="1"/>
  <c r="J254" i="1"/>
  <c r="H254" i="1"/>
  <c r="G254" i="1"/>
  <c r="I254" i="1" s="1"/>
  <c r="F254" i="1"/>
  <c r="E254" i="1"/>
  <c r="C254" i="1"/>
  <c r="D254" i="1" s="1"/>
  <c r="B254" i="1"/>
  <c r="A254" i="1"/>
  <c r="L253" i="1"/>
  <c r="M253" i="1" s="1"/>
  <c r="J253" i="1"/>
  <c r="I253" i="1"/>
  <c r="K253" i="1" s="1"/>
  <c r="H253" i="1"/>
  <c r="G253" i="1"/>
  <c r="C253" i="1"/>
  <c r="B253" i="1"/>
  <c r="A253" i="1"/>
  <c r="M252" i="1"/>
  <c r="L252" i="1"/>
  <c r="J252" i="1"/>
  <c r="I252" i="1"/>
  <c r="K252" i="1" s="1"/>
  <c r="H252" i="1"/>
  <c r="G252" i="1"/>
  <c r="D252" i="1"/>
  <c r="C252" i="1"/>
  <c r="B252" i="1"/>
  <c r="A252" i="1"/>
  <c r="L251" i="1"/>
  <c r="M251" i="1" s="1"/>
  <c r="J251" i="1"/>
  <c r="I251" i="1"/>
  <c r="K251" i="1" s="1"/>
  <c r="H251" i="1"/>
  <c r="G251" i="1"/>
  <c r="C251" i="1"/>
  <c r="F251" i="1" s="1"/>
  <c r="B251" i="1"/>
  <c r="A251" i="1"/>
  <c r="L250" i="1"/>
  <c r="M250" i="1" s="1"/>
  <c r="K250" i="1"/>
  <c r="J250" i="1"/>
  <c r="I250" i="1"/>
  <c r="H250" i="1"/>
  <c r="G250" i="1"/>
  <c r="C250" i="1"/>
  <c r="F250" i="1" s="1"/>
  <c r="B250" i="1"/>
  <c r="A250" i="1"/>
  <c r="L249" i="1"/>
  <c r="M249" i="1" s="1"/>
  <c r="J249" i="1"/>
  <c r="K249" i="1" s="1"/>
  <c r="H249" i="1"/>
  <c r="G249" i="1"/>
  <c r="I249" i="1" s="1"/>
  <c r="F249" i="1"/>
  <c r="E249" i="1"/>
  <c r="D249" i="1"/>
  <c r="C249" i="1"/>
  <c r="B249" i="1"/>
  <c r="A249" i="1"/>
  <c r="L248" i="1"/>
  <c r="M248" i="1" s="1"/>
  <c r="K248" i="1"/>
  <c r="J248" i="1"/>
  <c r="H248" i="1"/>
  <c r="G248" i="1"/>
  <c r="I248" i="1" s="1"/>
  <c r="F248" i="1"/>
  <c r="E248" i="1"/>
  <c r="C248" i="1"/>
  <c r="D248" i="1" s="1"/>
  <c r="B248" i="1"/>
  <c r="A248" i="1"/>
  <c r="L247" i="1"/>
  <c r="M247" i="1" s="1"/>
  <c r="J247" i="1"/>
  <c r="H247" i="1"/>
  <c r="G247" i="1"/>
  <c r="I247" i="1" s="1"/>
  <c r="K247" i="1" s="1"/>
  <c r="C247" i="1"/>
  <c r="B247" i="1"/>
  <c r="A247" i="1"/>
  <c r="M246" i="1"/>
  <c r="L246" i="1"/>
  <c r="J246" i="1"/>
  <c r="I246" i="1"/>
  <c r="K246" i="1" s="1"/>
  <c r="H246" i="1"/>
  <c r="G246" i="1"/>
  <c r="D246" i="1"/>
  <c r="C246" i="1"/>
  <c r="B246" i="1"/>
  <c r="A246" i="1"/>
  <c r="L245" i="1"/>
  <c r="M245" i="1" s="1"/>
  <c r="J245" i="1"/>
  <c r="K245" i="1" s="1"/>
  <c r="I245" i="1"/>
  <c r="H245" i="1"/>
  <c r="G245" i="1"/>
  <c r="E245" i="1"/>
  <c r="C245" i="1"/>
  <c r="F245" i="1" s="1"/>
  <c r="B245" i="1"/>
  <c r="A245" i="1"/>
  <c r="L244" i="1"/>
  <c r="M244" i="1" s="1"/>
  <c r="J244" i="1"/>
  <c r="I244" i="1"/>
  <c r="K244" i="1" s="1"/>
  <c r="H244" i="1"/>
  <c r="G244" i="1"/>
  <c r="F244" i="1"/>
  <c r="E244" i="1"/>
  <c r="C244" i="1"/>
  <c r="D244" i="1" s="1"/>
  <c r="B244" i="1"/>
  <c r="A244" i="1"/>
  <c r="M243" i="1"/>
  <c r="L243" i="1"/>
  <c r="J243" i="1"/>
  <c r="K243" i="1" s="1"/>
  <c r="H243" i="1"/>
  <c r="G243" i="1"/>
  <c r="I243" i="1" s="1"/>
  <c r="F243" i="1"/>
  <c r="E243" i="1"/>
  <c r="D243" i="1"/>
  <c r="C243" i="1"/>
  <c r="B243" i="1"/>
  <c r="A243" i="1"/>
  <c r="M242" i="1"/>
  <c r="L242" i="1"/>
  <c r="K242" i="1"/>
  <c r="J242" i="1"/>
  <c r="H242" i="1"/>
  <c r="G242" i="1"/>
  <c r="I242" i="1" s="1"/>
  <c r="F242" i="1"/>
  <c r="E242" i="1"/>
  <c r="C242" i="1"/>
  <c r="D242" i="1" s="1"/>
  <c r="B242" i="1"/>
  <c r="A242" i="1"/>
  <c r="L241" i="1"/>
  <c r="M241" i="1" s="1"/>
  <c r="J241" i="1"/>
  <c r="I241" i="1"/>
  <c r="K241" i="1" s="1"/>
  <c r="H241" i="1"/>
  <c r="G241" i="1"/>
  <c r="C241" i="1"/>
  <c r="B241" i="1"/>
  <c r="A241" i="1"/>
  <c r="M240" i="1"/>
  <c r="L240" i="1"/>
  <c r="J240" i="1"/>
  <c r="I240" i="1"/>
  <c r="K240" i="1" s="1"/>
  <c r="H240" i="1"/>
  <c r="G240" i="1"/>
  <c r="D240" i="1"/>
  <c r="C240" i="1"/>
  <c r="B240" i="1"/>
  <c r="A240" i="1"/>
  <c r="L239" i="1"/>
  <c r="M239" i="1" s="1"/>
  <c r="J239" i="1"/>
  <c r="I239" i="1"/>
  <c r="K239" i="1" s="1"/>
  <c r="H239" i="1"/>
  <c r="G239" i="1"/>
  <c r="C239" i="1"/>
  <c r="F239" i="1" s="1"/>
  <c r="B239" i="1"/>
  <c r="A239" i="1"/>
  <c r="L238" i="1"/>
  <c r="M238" i="1" s="1"/>
  <c r="K238" i="1"/>
  <c r="J238" i="1"/>
  <c r="I238" i="1"/>
  <c r="H238" i="1"/>
  <c r="G238" i="1"/>
  <c r="C238" i="1"/>
  <c r="F238" i="1" s="1"/>
  <c r="B238" i="1"/>
  <c r="A238" i="1"/>
  <c r="L237" i="1"/>
  <c r="M237" i="1" s="1"/>
  <c r="J237" i="1"/>
  <c r="K237" i="1" s="1"/>
  <c r="H237" i="1"/>
  <c r="G237" i="1"/>
  <c r="I237" i="1" s="1"/>
  <c r="F237" i="1"/>
  <c r="E237" i="1"/>
  <c r="D237" i="1"/>
  <c r="C237" i="1"/>
  <c r="B237" i="1"/>
  <c r="A237" i="1"/>
  <c r="L236" i="1"/>
  <c r="M236" i="1" s="1"/>
  <c r="K236" i="1"/>
  <c r="J236" i="1"/>
  <c r="H236" i="1"/>
  <c r="G236" i="1"/>
  <c r="I236" i="1" s="1"/>
  <c r="F236" i="1"/>
  <c r="E236" i="1"/>
  <c r="C236" i="1"/>
  <c r="D236" i="1" s="1"/>
  <c r="B236" i="1"/>
  <c r="A236" i="1"/>
  <c r="L235" i="1"/>
  <c r="M235" i="1" s="1"/>
  <c r="J235" i="1"/>
  <c r="H235" i="1"/>
  <c r="G235" i="1"/>
  <c r="I235" i="1" s="1"/>
  <c r="K235" i="1" s="1"/>
  <c r="C235" i="1"/>
  <c r="B235" i="1"/>
  <c r="A235" i="1"/>
  <c r="M234" i="1"/>
  <c r="L234" i="1"/>
  <c r="J234" i="1"/>
  <c r="I234" i="1"/>
  <c r="K234" i="1" s="1"/>
  <c r="H234" i="1"/>
  <c r="G234" i="1"/>
  <c r="D234" i="1"/>
  <c r="C234" i="1"/>
  <c r="B234" i="1"/>
  <c r="A234" i="1"/>
  <c r="L233" i="1"/>
  <c r="M233" i="1" s="1"/>
  <c r="J233" i="1"/>
  <c r="K233" i="1" s="1"/>
  <c r="I233" i="1"/>
  <c r="H233" i="1"/>
  <c r="G233" i="1"/>
  <c r="E233" i="1"/>
  <c r="C233" i="1"/>
  <c r="F233" i="1" s="1"/>
  <c r="B233" i="1"/>
  <c r="A233" i="1"/>
  <c r="L232" i="1"/>
  <c r="M232" i="1" s="1"/>
  <c r="J232" i="1"/>
  <c r="I232" i="1"/>
  <c r="K232" i="1" s="1"/>
  <c r="H232" i="1"/>
  <c r="G232" i="1"/>
  <c r="F232" i="1"/>
  <c r="E232" i="1"/>
  <c r="C232" i="1"/>
  <c r="D232" i="1" s="1"/>
  <c r="B232" i="1"/>
  <c r="A232" i="1"/>
  <c r="M231" i="1"/>
  <c r="L231" i="1"/>
  <c r="J231" i="1"/>
  <c r="K231" i="1" s="1"/>
  <c r="H231" i="1"/>
  <c r="G231" i="1"/>
  <c r="I231" i="1" s="1"/>
  <c r="F231" i="1"/>
  <c r="E231" i="1"/>
  <c r="D231" i="1"/>
  <c r="C231" i="1"/>
  <c r="B231" i="1"/>
  <c r="A231" i="1"/>
  <c r="M230" i="1"/>
  <c r="L230" i="1"/>
  <c r="K230" i="1"/>
  <c r="J230" i="1"/>
  <c r="H230" i="1"/>
  <c r="G230" i="1"/>
  <c r="I230" i="1" s="1"/>
  <c r="F230" i="1"/>
  <c r="E230" i="1"/>
  <c r="C230" i="1"/>
  <c r="D230" i="1" s="1"/>
  <c r="B230" i="1"/>
  <c r="A230" i="1"/>
  <c r="L229" i="1"/>
  <c r="M229" i="1" s="1"/>
  <c r="J229" i="1"/>
  <c r="I229" i="1"/>
  <c r="K229" i="1" s="1"/>
  <c r="H229" i="1"/>
  <c r="G229" i="1"/>
  <c r="C229" i="1"/>
  <c r="B229" i="1"/>
  <c r="A229" i="1"/>
  <c r="M228" i="1"/>
  <c r="L228" i="1"/>
  <c r="J228" i="1"/>
  <c r="I228" i="1"/>
  <c r="K228" i="1" s="1"/>
  <c r="H228" i="1"/>
  <c r="G228" i="1"/>
  <c r="D228" i="1"/>
  <c r="C228" i="1"/>
  <c r="B228" i="1"/>
  <c r="A228" i="1"/>
  <c r="L227" i="1"/>
  <c r="M227" i="1" s="1"/>
  <c r="J227" i="1"/>
  <c r="I227" i="1"/>
  <c r="K227" i="1" s="1"/>
  <c r="H227" i="1"/>
  <c r="G227" i="1"/>
  <c r="C227" i="1"/>
  <c r="F227" i="1" s="1"/>
  <c r="B227" i="1"/>
  <c r="A227" i="1"/>
  <c r="L226" i="1"/>
  <c r="M226" i="1" s="1"/>
  <c r="K226" i="1"/>
  <c r="J226" i="1"/>
  <c r="I226" i="1"/>
  <c r="H226" i="1"/>
  <c r="G226" i="1"/>
  <c r="C226" i="1"/>
  <c r="F226" i="1" s="1"/>
  <c r="B226" i="1"/>
  <c r="A226" i="1"/>
  <c r="L225" i="1"/>
  <c r="M225" i="1" s="1"/>
  <c r="J225" i="1"/>
  <c r="K225" i="1" s="1"/>
  <c r="H225" i="1"/>
  <c r="G225" i="1"/>
  <c r="I225" i="1" s="1"/>
  <c r="F225" i="1"/>
  <c r="E225" i="1"/>
  <c r="D225" i="1"/>
  <c r="C225" i="1"/>
  <c r="B225" i="1"/>
  <c r="A225" i="1"/>
  <c r="L224" i="1"/>
  <c r="M224" i="1" s="1"/>
  <c r="K224" i="1"/>
  <c r="J224" i="1"/>
  <c r="H224" i="1"/>
  <c r="G224" i="1"/>
  <c r="I224" i="1" s="1"/>
  <c r="F224" i="1"/>
  <c r="E224" i="1"/>
  <c r="C224" i="1"/>
  <c r="D224" i="1" s="1"/>
  <c r="B224" i="1"/>
  <c r="A224" i="1"/>
  <c r="L223" i="1"/>
  <c r="M223" i="1" s="1"/>
  <c r="J223" i="1"/>
  <c r="H223" i="1"/>
  <c r="G223" i="1"/>
  <c r="I223" i="1" s="1"/>
  <c r="K223" i="1" s="1"/>
  <c r="C223" i="1"/>
  <c r="B223" i="1"/>
  <c r="A223" i="1"/>
  <c r="M222" i="1"/>
  <c r="L222" i="1"/>
  <c r="J222" i="1"/>
  <c r="I222" i="1"/>
  <c r="K222" i="1" s="1"/>
  <c r="H222" i="1"/>
  <c r="G222" i="1"/>
  <c r="D222" i="1"/>
  <c r="C222" i="1"/>
  <c r="B222" i="1"/>
  <c r="A222" i="1"/>
  <c r="L221" i="1"/>
  <c r="M221" i="1" s="1"/>
  <c r="J221" i="1"/>
  <c r="K221" i="1" s="1"/>
  <c r="I221" i="1"/>
  <c r="H221" i="1"/>
  <c r="G221" i="1"/>
  <c r="E221" i="1"/>
  <c r="C221" i="1"/>
  <c r="F221" i="1" s="1"/>
  <c r="B221" i="1"/>
  <c r="A221" i="1"/>
  <c r="L220" i="1"/>
  <c r="M220" i="1" s="1"/>
  <c r="J220" i="1"/>
  <c r="I220" i="1"/>
  <c r="K220" i="1" s="1"/>
  <c r="H220" i="1"/>
  <c r="G220" i="1"/>
  <c r="F220" i="1"/>
  <c r="E220" i="1"/>
  <c r="C220" i="1"/>
  <c r="D220" i="1" s="1"/>
  <c r="B220" i="1"/>
  <c r="A220" i="1"/>
  <c r="M219" i="1"/>
  <c r="L219" i="1"/>
  <c r="J219" i="1"/>
  <c r="K219" i="1" s="1"/>
  <c r="H219" i="1"/>
  <c r="G219" i="1"/>
  <c r="I219" i="1" s="1"/>
  <c r="F219" i="1"/>
  <c r="E219" i="1"/>
  <c r="D219" i="1"/>
  <c r="C219" i="1"/>
  <c r="B219" i="1"/>
  <c r="A219" i="1"/>
  <c r="M218" i="1"/>
  <c r="L218" i="1"/>
  <c r="K218" i="1"/>
  <c r="J218" i="1"/>
  <c r="H218" i="1"/>
  <c r="G218" i="1"/>
  <c r="I218" i="1" s="1"/>
  <c r="F218" i="1"/>
  <c r="E218" i="1"/>
  <c r="C218" i="1"/>
  <c r="D218" i="1" s="1"/>
  <c r="B218" i="1"/>
  <c r="A218" i="1"/>
  <c r="L217" i="1"/>
  <c r="M217" i="1" s="1"/>
  <c r="J217" i="1"/>
  <c r="I217" i="1"/>
  <c r="K217" i="1" s="1"/>
  <c r="H217" i="1"/>
  <c r="G217" i="1"/>
  <c r="C217" i="1"/>
  <c r="B217" i="1"/>
  <c r="A217" i="1"/>
  <c r="M216" i="1"/>
  <c r="L216" i="1"/>
  <c r="J216" i="1"/>
  <c r="I216" i="1"/>
  <c r="K216" i="1" s="1"/>
  <c r="H216" i="1"/>
  <c r="G216" i="1"/>
  <c r="D216" i="1"/>
  <c r="C216" i="1"/>
  <c r="B216" i="1"/>
  <c r="A216" i="1"/>
  <c r="L215" i="1"/>
  <c r="M215" i="1" s="1"/>
  <c r="J215" i="1"/>
  <c r="I215" i="1"/>
  <c r="K215" i="1" s="1"/>
  <c r="H215" i="1"/>
  <c r="G215" i="1"/>
  <c r="C215" i="1"/>
  <c r="F215" i="1" s="1"/>
  <c r="B215" i="1"/>
  <c r="A215" i="1"/>
  <c r="L214" i="1"/>
  <c r="M214" i="1" s="1"/>
  <c r="K214" i="1"/>
  <c r="J214" i="1"/>
  <c r="I214" i="1"/>
  <c r="H214" i="1"/>
  <c r="G214" i="1"/>
  <c r="C214" i="1"/>
  <c r="F214" i="1" s="1"/>
  <c r="B214" i="1"/>
  <c r="A214" i="1"/>
  <c r="L213" i="1"/>
  <c r="M213" i="1" s="1"/>
  <c r="J213" i="1"/>
  <c r="K213" i="1" s="1"/>
  <c r="H213" i="1"/>
  <c r="G213" i="1"/>
  <c r="I213" i="1" s="1"/>
  <c r="F213" i="1"/>
  <c r="E213" i="1"/>
  <c r="D213" i="1"/>
  <c r="C213" i="1"/>
  <c r="B213" i="1"/>
  <c r="A213" i="1"/>
  <c r="L212" i="1"/>
  <c r="M212" i="1" s="1"/>
  <c r="K212" i="1"/>
  <c r="J212" i="1"/>
  <c r="H212" i="1"/>
  <c r="G212" i="1"/>
  <c r="I212" i="1" s="1"/>
  <c r="F212" i="1"/>
  <c r="E212" i="1"/>
  <c r="C212" i="1"/>
  <c r="D212" i="1" s="1"/>
  <c r="B212" i="1"/>
  <c r="A212" i="1"/>
  <c r="L211" i="1"/>
  <c r="M211" i="1" s="1"/>
  <c r="J211" i="1"/>
  <c r="H211" i="1"/>
  <c r="G211" i="1"/>
  <c r="I211" i="1" s="1"/>
  <c r="K211" i="1" s="1"/>
  <c r="C211" i="1"/>
  <c r="B211" i="1"/>
  <c r="A211" i="1"/>
  <c r="M210" i="1"/>
  <c r="L210" i="1"/>
  <c r="J210" i="1"/>
  <c r="I210" i="1"/>
  <c r="K210" i="1" s="1"/>
  <c r="H210" i="1"/>
  <c r="G210" i="1"/>
  <c r="D210" i="1"/>
  <c r="C210" i="1"/>
  <c r="B210" i="1"/>
  <c r="A210" i="1"/>
  <c r="L209" i="1"/>
  <c r="M209" i="1" s="1"/>
  <c r="J209" i="1"/>
  <c r="K209" i="1" s="1"/>
  <c r="I209" i="1"/>
  <c r="H209" i="1"/>
  <c r="G209" i="1"/>
  <c r="E209" i="1"/>
  <c r="C209" i="1"/>
  <c r="F209" i="1" s="1"/>
  <c r="B209" i="1"/>
  <c r="A209" i="1"/>
  <c r="L208" i="1"/>
  <c r="M208" i="1" s="1"/>
  <c r="J208" i="1"/>
  <c r="I208" i="1"/>
  <c r="K208" i="1" s="1"/>
  <c r="H208" i="1"/>
  <c r="G208" i="1"/>
  <c r="F208" i="1"/>
  <c r="E208" i="1"/>
  <c r="C208" i="1"/>
  <c r="D208" i="1" s="1"/>
  <c r="B208" i="1"/>
  <c r="A208" i="1"/>
  <c r="M207" i="1"/>
  <c r="L207" i="1"/>
  <c r="J207" i="1"/>
  <c r="K207" i="1" s="1"/>
  <c r="H207" i="1"/>
  <c r="G207" i="1"/>
  <c r="I207" i="1" s="1"/>
  <c r="F207" i="1"/>
  <c r="E207" i="1"/>
  <c r="D207" i="1"/>
  <c r="C207" i="1"/>
  <c r="B207" i="1"/>
  <c r="A207" i="1"/>
  <c r="M206" i="1"/>
  <c r="L206" i="1"/>
  <c r="K206" i="1"/>
  <c r="J206" i="1"/>
  <c r="H206" i="1"/>
  <c r="G206" i="1"/>
  <c r="I206" i="1" s="1"/>
  <c r="F206" i="1"/>
  <c r="E206" i="1"/>
  <c r="C206" i="1"/>
  <c r="D206" i="1" s="1"/>
  <c r="B206" i="1"/>
  <c r="A206" i="1"/>
  <c r="L205" i="1"/>
  <c r="M205" i="1" s="1"/>
  <c r="J205" i="1"/>
  <c r="I205" i="1"/>
  <c r="K205" i="1" s="1"/>
  <c r="H205" i="1"/>
  <c r="G205" i="1"/>
  <c r="C205" i="1"/>
  <c r="B205" i="1"/>
  <c r="A205" i="1"/>
  <c r="M204" i="1"/>
  <c r="L204" i="1"/>
  <c r="J204" i="1"/>
  <c r="I204" i="1"/>
  <c r="K204" i="1" s="1"/>
  <c r="H204" i="1"/>
  <c r="G204" i="1"/>
  <c r="D204" i="1"/>
  <c r="C204" i="1"/>
  <c r="B204" i="1"/>
  <c r="A204" i="1"/>
  <c r="L203" i="1"/>
  <c r="M203" i="1" s="1"/>
  <c r="J203" i="1"/>
  <c r="I203" i="1"/>
  <c r="K203" i="1" s="1"/>
  <c r="H203" i="1"/>
  <c r="G203" i="1"/>
  <c r="C203" i="1"/>
  <c r="F203" i="1" s="1"/>
  <c r="B203" i="1"/>
  <c r="A203" i="1"/>
  <c r="L202" i="1"/>
  <c r="M202" i="1" s="1"/>
  <c r="K202" i="1"/>
  <c r="J202" i="1"/>
  <c r="I202" i="1"/>
  <c r="H202" i="1"/>
  <c r="G202" i="1"/>
  <c r="C202" i="1"/>
  <c r="F202" i="1" s="1"/>
  <c r="B202" i="1"/>
  <c r="A202" i="1"/>
  <c r="M201" i="1"/>
  <c r="L201" i="1"/>
  <c r="J201" i="1"/>
  <c r="K201" i="1" s="1"/>
  <c r="H201" i="1"/>
  <c r="G201" i="1"/>
  <c r="I201" i="1" s="1"/>
  <c r="F201" i="1"/>
  <c r="E201" i="1"/>
  <c r="D201" i="1"/>
  <c r="C201" i="1"/>
  <c r="B201" i="1"/>
  <c r="A201" i="1"/>
  <c r="L200" i="1"/>
  <c r="M200" i="1" s="1"/>
  <c r="K200" i="1"/>
  <c r="J200" i="1"/>
  <c r="H200" i="1"/>
  <c r="G200" i="1"/>
  <c r="I200" i="1" s="1"/>
  <c r="F200" i="1"/>
  <c r="E200" i="1"/>
  <c r="C200" i="1"/>
  <c r="D200" i="1" s="1"/>
  <c r="B200" i="1"/>
  <c r="A200" i="1"/>
  <c r="L199" i="1"/>
  <c r="M199" i="1" s="1"/>
  <c r="J199" i="1"/>
  <c r="H199" i="1"/>
  <c r="G199" i="1"/>
  <c r="I199" i="1" s="1"/>
  <c r="K199" i="1" s="1"/>
  <c r="C199" i="1"/>
  <c r="B199" i="1"/>
  <c r="A199" i="1"/>
  <c r="M198" i="1"/>
  <c r="L198" i="1"/>
  <c r="J198" i="1"/>
  <c r="I198" i="1"/>
  <c r="K198" i="1" s="1"/>
  <c r="H198" i="1"/>
  <c r="G198" i="1"/>
  <c r="D198" i="1"/>
  <c r="C198" i="1"/>
  <c r="B198" i="1"/>
  <c r="A198" i="1"/>
  <c r="L197" i="1"/>
  <c r="M197" i="1" s="1"/>
  <c r="J197" i="1"/>
  <c r="K197" i="1" s="1"/>
  <c r="I197" i="1"/>
  <c r="H197" i="1"/>
  <c r="G197" i="1"/>
  <c r="E197" i="1"/>
  <c r="C197" i="1"/>
  <c r="F197" i="1" s="1"/>
  <c r="B197" i="1"/>
  <c r="A197" i="1"/>
  <c r="L196" i="1"/>
  <c r="M196" i="1" s="1"/>
  <c r="J196" i="1"/>
  <c r="I196" i="1"/>
  <c r="K196" i="1" s="1"/>
  <c r="H196" i="1"/>
  <c r="G196" i="1"/>
  <c r="F196" i="1"/>
  <c r="E196" i="1"/>
  <c r="C196" i="1"/>
  <c r="D196" i="1" s="1"/>
  <c r="B196" i="1"/>
  <c r="A196" i="1"/>
  <c r="M195" i="1"/>
  <c r="L195" i="1"/>
  <c r="J195" i="1"/>
  <c r="K195" i="1" s="1"/>
  <c r="H195" i="1"/>
  <c r="G195" i="1"/>
  <c r="I195" i="1" s="1"/>
  <c r="F195" i="1"/>
  <c r="E195" i="1"/>
  <c r="D195" i="1"/>
  <c r="C195" i="1"/>
  <c r="B195" i="1"/>
  <c r="A195" i="1"/>
  <c r="M194" i="1"/>
  <c r="L194" i="1"/>
  <c r="K194" i="1"/>
  <c r="J194" i="1"/>
  <c r="H194" i="1"/>
  <c r="G194" i="1"/>
  <c r="I194" i="1" s="1"/>
  <c r="F194" i="1"/>
  <c r="E194" i="1"/>
  <c r="C194" i="1"/>
  <c r="D194" i="1" s="1"/>
  <c r="B194" i="1"/>
  <c r="A194" i="1"/>
  <c r="L193" i="1"/>
  <c r="M193" i="1" s="1"/>
  <c r="J193" i="1"/>
  <c r="I193" i="1"/>
  <c r="K193" i="1" s="1"/>
  <c r="H193" i="1"/>
  <c r="G193" i="1"/>
  <c r="C193" i="1"/>
  <c r="B193" i="1"/>
  <c r="A193" i="1"/>
  <c r="M192" i="1"/>
  <c r="L192" i="1"/>
  <c r="J192" i="1"/>
  <c r="I192" i="1"/>
  <c r="K192" i="1" s="1"/>
  <c r="H192" i="1"/>
  <c r="G192" i="1"/>
  <c r="D192" i="1"/>
  <c r="C192" i="1"/>
  <c r="B192" i="1"/>
  <c r="A192" i="1"/>
  <c r="L191" i="1"/>
  <c r="M191" i="1" s="1"/>
  <c r="J191" i="1"/>
  <c r="I191" i="1"/>
  <c r="K191" i="1" s="1"/>
  <c r="H191" i="1"/>
  <c r="G191" i="1"/>
  <c r="C191" i="1"/>
  <c r="F191" i="1" s="1"/>
  <c r="B191" i="1"/>
  <c r="A191" i="1"/>
  <c r="L190" i="1"/>
  <c r="M190" i="1" s="1"/>
  <c r="K190" i="1"/>
  <c r="J190" i="1"/>
  <c r="I190" i="1"/>
  <c r="H190" i="1"/>
  <c r="G190" i="1"/>
  <c r="C190" i="1"/>
  <c r="B190" i="1"/>
  <c r="A190" i="1"/>
  <c r="L189" i="1"/>
  <c r="M189" i="1" s="1"/>
  <c r="J189" i="1"/>
  <c r="K189" i="1" s="1"/>
  <c r="H189" i="1"/>
  <c r="G189" i="1"/>
  <c r="I189" i="1" s="1"/>
  <c r="F189" i="1"/>
  <c r="E189" i="1"/>
  <c r="D189" i="1"/>
  <c r="C189" i="1"/>
  <c r="B189" i="1"/>
  <c r="A189" i="1"/>
  <c r="L188" i="1"/>
  <c r="M188" i="1" s="1"/>
  <c r="K188" i="1"/>
  <c r="J188" i="1"/>
  <c r="H188" i="1"/>
  <c r="G188" i="1"/>
  <c r="I188" i="1" s="1"/>
  <c r="F188" i="1"/>
  <c r="E188" i="1"/>
  <c r="C188" i="1"/>
  <c r="D188" i="1" s="1"/>
  <c r="B188" i="1"/>
  <c r="A188" i="1"/>
  <c r="L187" i="1"/>
  <c r="M187" i="1" s="1"/>
  <c r="J187" i="1"/>
  <c r="H187" i="1"/>
  <c r="G187" i="1"/>
  <c r="I187" i="1" s="1"/>
  <c r="K187" i="1" s="1"/>
  <c r="C187" i="1"/>
  <c r="B187" i="1"/>
  <c r="A187" i="1"/>
  <c r="M186" i="1"/>
  <c r="L186" i="1"/>
  <c r="J186" i="1"/>
  <c r="I186" i="1"/>
  <c r="K186" i="1" s="1"/>
  <c r="H186" i="1"/>
  <c r="G186" i="1"/>
  <c r="D186" i="1"/>
  <c r="C186" i="1"/>
  <c r="B186" i="1"/>
  <c r="A186" i="1"/>
  <c r="L185" i="1"/>
  <c r="M185" i="1" s="1"/>
  <c r="J185" i="1"/>
  <c r="K185" i="1" s="1"/>
  <c r="I185" i="1"/>
  <c r="H185" i="1"/>
  <c r="G185" i="1"/>
  <c r="E185" i="1"/>
  <c r="C185" i="1"/>
  <c r="F185" i="1" s="1"/>
  <c r="B185" i="1"/>
  <c r="A185" i="1"/>
  <c r="L184" i="1"/>
  <c r="M184" i="1" s="1"/>
  <c r="J184" i="1"/>
  <c r="I184" i="1"/>
  <c r="K184" i="1" s="1"/>
  <c r="H184" i="1"/>
  <c r="G184" i="1"/>
  <c r="F184" i="1"/>
  <c r="E184" i="1"/>
  <c r="C184" i="1"/>
  <c r="D184" i="1" s="1"/>
  <c r="B184" i="1"/>
  <c r="A184" i="1"/>
  <c r="M183" i="1"/>
  <c r="L183" i="1"/>
  <c r="J183" i="1"/>
  <c r="K183" i="1" s="1"/>
  <c r="H183" i="1"/>
  <c r="G183" i="1"/>
  <c r="I183" i="1" s="1"/>
  <c r="F183" i="1"/>
  <c r="E183" i="1"/>
  <c r="D183" i="1"/>
  <c r="C183" i="1"/>
  <c r="B183" i="1"/>
  <c r="A183" i="1"/>
  <c r="M182" i="1"/>
  <c r="L182" i="1"/>
  <c r="K182" i="1"/>
  <c r="J182" i="1"/>
  <c r="H182" i="1"/>
  <c r="G182" i="1"/>
  <c r="I182" i="1" s="1"/>
  <c r="F182" i="1"/>
  <c r="E182" i="1"/>
  <c r="C182" i="1"/>
  <c r="D182" i="1" s="1"/>
  <c r="B182" i="1"/>
  <c r="A182" i="1"/>
  <c r="L181" i="1"/>
  <c r="M181" i="1" s="1"/>
  <c r="J181" i="1"/>
  <c r="I181" i="1"/>
  <c r="K181" i="1" s="1"/>
  <c r="H181" i="1"/>
  <c r="G181" i="1"/>
  <c r="C181" i="1"/>
  <c r="B181" i="1"/>
  <c r="A181" i="1"/>
  <c r="M180" i="1"/>
  <c r="L180" i="1"/>
  <c r="J180" i="1"/>
  <c r="I180" i="1"/>
  <c r="K180" i="1" s="1"/>
  <c r="H180" i="1"/>
  <c r="G180" i="1"/>
  <c r="D180" i="1"/>
  <c r="C180" i="1"/>
  <c r="B180" i="1"/>
  <c r="A180" i="1"/>
  <c r="L179" i="1"/>
  <c r="M179" i="1" s="1"/>
  <c r="J179" i="1"/>
  <c r="I179" i="1"/>
  <c r="K179" i="1" s="1"/>
  <c r="H179" i="1"/>
  <c r="G179" i="1"/>
  <c r="C179" i="1"/>
  <c r="B179" i="1"/>
  <c r="A179" i="1"/>
  <c r="L178" i="1"/>
  <c r="M178" i="1" s="1"/>
  <c r="K178" i="1"/>
  <c r="J178" i="1"/>
  <c r="I178" i="1"/>
  <c r="H178" i="1"/>
  <c r="G178" i="1"/>
  <c r="C178" i="1"/>
  <c r="B178" i="1"/>
  <c r="A178" i="1"/>
  <c r="L177" i="1"/>
  <c r="M177" i="1" s="1"/>
  <c r="J177" i="1"/>
  <c r="K177" i="1" s="1"/>
  <c r="H177" i="1"/>
  <c r="G177" i="1"/>
  <c r="I177" i="1" s="1"/>
  <c r="F177" i="1"/>
  <c r="E177" i="1"/>
  <c r="D177" i="1"/>
  <c r="C177" i="1"/>
  <c r="B177" i="1"/>
  <c r="A177" i="1"/>
  <c r="L176" i="1"/>
  <c r="M176" i="1" s="1"/>
  <c r="K176" i="1"/>
  <c r="J176" i="1"/>
  <c r="H176" i="1"/>
  <c r="G176" i="1"/>
  <c r="I176" i="1" s="1"/>
  <c r="F176" i="1"/>
  <c r="E176" i="1"/>
  <c r="C176" i="1"/>
  <c r="D176" i="1" s="1"/>
  <c r="B176" i="1"/>
  <c r="A176" i="1"/>
  <c r="L175" i="1"/>
  <c r="M175" i="1" s="1"/>
  <c r="J175" i="1"/>
  <c r="H175" i="1"/>
  <c r="G175" i="1"/>
  <c r="I175" i="1" s="1"/>
  <c r="K175" i="1" s="1"/>
  <c r="C175" i="1"/>
  <c r="B175" i="1"/>
  <c r="A175" i="1"/>
  <c r="M174" i="1"/>
  <c r="L174" i="1"/>
  <c r="J174" i="1"/>
  <c r="I174" i="1"/>
  <c r="K174" i="1" s="1"/>
  <c r="H174" i="1"/>
  <c r="G174" i="1"/>
  <c r="D174" i="1"/>
  <c r="C174" i="1"/>
  <c r="B174" i="1"/>
  <c r="A174" i="1"/>
  <c r="L173" i="1"/>
  <c r="M173" i="1" s="1"/>
  <c r="J173" i="1"/>
  <c r="K173" i="1" s="1"/>
  <c r="I173" i="1"/>
  <c r="H173" i="1"/>
  <c r="G173" i="1"/>
  <c r="E173" i="1"/>
  <c r="C173" i="1"/>
  <c r="F173" i="1" s="1"/>
  <c r="B173" i="1"/>
  <c r="A173" i="1"/>
  <c r="L172" i="1"/>
  <c r="M172" i="1" s="1"/>
  <c r="J172" i="1"/>
  <c r="I172" i="1"/>
  <c r="K172" i="1" s="1"/>
  <c r="H172" i="1"/>
  <c r="G172" i="1"/>
  <c r="F172" i="1"/>
  <c r="E172" i="1"/>
  <c r="C172" i="1"/>
  <c r="D172" i="1" s="1"/>
  <c r="B172" i="1"/>
  <c r="A172" i="1"/>
  <c r="M171" i="1"/>
  <c r="L171" i="1"/>
  <c r="J171" i="1"/>
  <c r="K171" i="1" s="1"/>
  <c r="H171" i="1"/>
  <c r="G171" i="1"/>
  <c r="I171" i="1" s="1"/>
  <c r="F171" i="1"/>
  <c r="E171" i="1"/>
  <c r="D171" i="1"/>
  <c r="C171" i="1"/>
  <c r="B171" i="1"/>
  <c r="A171" i="1"/>
  <c r="M170" i="1"/>
  <c r="L170" i="1"/>
  <c r="K170" i="1"/>
  <c r="J170" i="1"/>
  <c r="H170" i="1"/>
  <c r="G170" i="1"/>
  <c r="I170" i="1" s="1"/>
  <c r="F170" i="1"/>
  <c r="E170" i="1"/>
  <c r="C170" i="1"/>
  <c r="D170" i="1" s="1"/>
  <c r="B170" i="1"/>
  <c r="A170" i="1"/>
  <c r="L169" i="1"/>
  <c r="M169" i="1" s="1"/>
  <c r="J169" i="1"/>
  <c r="I169" i="1"/>
  <c r="K169" i="1" s="1"/>
  <c r="H169" i="1"/>
  <c r="G169" i="1"/>
  <c r="C169" i="1"/>
  <c r="B169" i="1"/>
  <c r="A169" i="1"/>
  <c r="M168" i="1"/>
  <c r="L168" i="1"/>
  <c r="J168" i="1"/>
  <c r="I168" i="1"/>
  <c r="K168" i="1" s="1"/>
  <c r="H168" i="1"/>
  <c r="G168" i="1"/>
  <c r="D168" i="1"/>
  <c r="C168" i="1"/>
  <c r="B168" i="1"/>
  <c r="A168" i="1"/>
  <c r="L167" i="1"/>
  <c r="M167" i="1" s="1"/>
  <c r="J167" i="1"/>
  <c r="I167" i="1"/>
  <c r="K167" i="1" s="1"/>
  <c r="H167" i="1"/>
  <c r="G167" i="1"/>
  <c r="C167" i="1"/>
  <c r="B167" i="1"/>
  <c r="A167" i="1"/>
  <c r="L166" i="1"/>
  <c r="M166" i="1" s="1"/>
  <c r="K166" i="1"/>
  <c r="J166" i="1"/>
  <c r="I166" i="1"/>
  <c r="H166" i="1"/>
  <c r="G166" i="1"/>
  <c r="C166" i="1"/>
  <c r="B166" i="1"/>
  <c r="A166" i="1"/>
  <c r="L165" i="1"/>
  <c r="M165" i="1" s="1"/>
  <c r="J165" i="1"/>
  <c r="K165" i="1" s="1"/>
  <c r="H165" i="1"/>
  <c r="G165" i="1"/>
  <c r="I165" i="1" s="1"/>
  <c r="F165" i="1"/>
  <c r="E165" i="1"/>
  <c r="D165" i="1"/>
  <c r="C165" i="1"/>
  <c r="B165" i="1"/>
  <c r="A165" i="1"/>
  <c r="M164" i="1"/>
  <c r="L164" i="1"/>
  <c r="J164" i="1"/>
  <c r="H164" i="1"/>
  <c r="G164" i="1"/>
  <c r="I164" i="1" s="1"/>
  <c r="K164" i="1" s="1"/>
  <c r="F164" i="1"/>
  <c r="E164" i="1"/>
  <c r="C164" i="1"/>
  <c r="D164" i="1" s="1"/>
  <c r="B164" i="1"/>
  <c r="A164" i="1"/>
  <c r="L163" i="1"/>
  <c r="M163" i="1" s="1"/>
  <c r="J163" i="1"/>
  <c r="I163" i="1"/>
  <c r="K163" i="1" s="1"/>
  <c r="H163" i="1"/>
  <c r="G163" i="1"/>
  <c r="F163" i="1"/>
  <c r="C163" i="1"/>
  <c r="B163" i="1"/>
  <c r="A163" i="1"/>
  <c r="M162" i="1"/>
  <c r="L162" i="1"/>
  <c r="J162" i="1"/>
  <c r="H162" i="1"/>
  <c r="G162" i="1"/>
  <c r="I162" i="1" s="1"/>
  <c r="K162" i="1" s="1"/>
  <c r="C162" i="1"/>
  <c r="B162" i="1"/>
  <c r="A162" i="1"/>
  <c r="L161" i="1"/>
  <c r="M161" i="1" s="1"/>
  <c r="J161" i="1"/>
  <c r="I161" i="1"/>
  <c r="K161" i="1" s="1"/>
  <c r="H161" i="1"/>
  <c r="G161" i="1"/>
  <c r="E161" i="1"/>
  <c r="D161" i="1"/>
  <c r="C161" i="1"/>
  <c r="F161" i="1" s="1"/>
  <c r="B161" i="1"/>
  <c r="A161" i="1"/>
  <c r="L160" i="1"/>
  <c r="M160" i="1" s="1"/>
  <c r="J160" i="1"/>
  <c r="I160" i="1"/>
  <c r="K160" i="1" s="1"/>
  <c r="H160" i="1"/>
  <c r="G160" i="1"/>
  <c r="C160" i="1"/>
  <c r="B160" i="1"/>
  <c r="A160" i="1"/>
  <c r="M159" i="1"/>
  <c r="L159" i="1"/>
  <c r="J159" i="1"/>
  <c r="K159" i="1" s="1"/>
  <c r="H159" i="1"/>
  <c r="G159" i="1"/>
  <c r="I159" i="1" s="1"/>
  <c r="F159" i="1"/>
  <c r="E159" i="1"/>
  <c r="D159" i="1"/>
  <c r="C159" i="1"/>
  <c r="B159" i="1"/>
  <c r="A159" i="1"/>
  <c r="M158" i="1"/>
  <c r="L158" i="1"/>
  <c r="K158" i="1"/>
  <c r="J158" i="1"/>
  <c r="H158" i="1"/>
  <c r="G158" i="1"/>
  <c r="I158" i="1" s="1"/>
  <c r="F158" i="1"/>
  <c r="E158" i="1"/>
  <c r="C158" i="1"/>
  <c r="D158" i="1" s="1"/>
  <c r="B158" i="1"/>
  <c r="A158" i="1"/>
  <c r="L157" i="1"/>
  <c r="M157" i="1" s="1"/>
  <c r="J157" i="1"/>
  <c r="H157" i="1"/>
  <c r="G157" i="1"/>
  <c r="I157" i="1" s="1"/>
  <c r="K157" i="1" s="1"/>
  <c r="D157" i="1"/>
  <c r="C157" i="1"/>
  <c r="E157" i="1" s="1"/>
  <c r="B157" i="1"/>
  <c r="A157" i="1"/>
  <c r="M156" i="1"/>
  <c r="L156" i="1"/>
  <c r="J156" i="1"/>
  <c r="H156" i="1"/>
  <c r="G156" i="1"/>
  <c r="I156" i="1" s="1"/>
  <c r="C156" i="1"/>
  <c r="B156" i="1"/>
  <c r="A156" i="1"/>
  <c r="L155" i="1"/>
  <c r="M155" i="1" s="1"/>
  <c r="J155" i="1"/>
  <c r="I155" i="1"/>
  <c r="K155" i="1" s="1"/>
  <c r="H155" i="1"/>
  <c r="G155" i="1"/>
  <c r="F155" i="1"/>
  <c r="E155" i="1"/>
  <c r="C155" i="1"/>
  <c r="D155" i="1" s="1"/>
  <c r="B155" i="1"/>
  <c r="A155" i="1"/>
  <c r="L154" i="1"/>
  <c r="M154" i="1" s="1"/>
  <c r="J154" i="1"/>
  <c r="I154" i="1"/>
  <c r="K154" i="1" s="1"/>
  <c r="H154" i="1"/>
  <c r="G154" i="1"/>
  <c r="E154" i="1"/>
  <c r="C154" i="1"/>
  <c r="D154" i="1" s="1"/>
  <c r="B154" i="1"/>
  <c r="A154" i="1"/>
  <c r="M153" i="1"/>
  <c r="L153" i="1"/>
  <c r="J153" i="1"/>
  <c r="K153" i="1" s="1"/>
  <c r="H153" i="1"/>
  <c r="G153" i="1"/>
  <c r="I153" i="1" s="1"/>
  <c r="F153" i="1"/>
  <c r="E153" i="1"/>
  <c r="D153" i="1"/>
  <c r="C153" i="1"/>
  <c r="B153" i="1"/>
  <c r="A153" i="1"/>
  <c r="M152" i="1"/>
  <c r="L152" i="1"/>
  <c r="J152" i="1"/>
  <c r="H152" i="1"/>
  <c r="G152" i="1"/>
  <c r="I152" i="1" s="1"/>
  <c r="K152" i="1" s="1"/>
  <c r="F152" i="1"/>
  <c r="E152" i="1"/>
  <c r="C152" i="1"/>
  <c r="D152" i="1" s="1"/>
  <c r="B152" i="1"/>
  <c r="A152" i="1"/>
  <c r="M151" i="1"/>
  <c r="L151" i="1"/>
  <c r="J151" i="1"/>
  <c r="I151" i="1"/>
  <c r="K151" i="1" s="1"/>
  <c r="H151" i="1"/>
  <c r="G151" i="1"/>
  <c r="F151" i="1"/>
  <c r="D151" i="1"/>
  <c r="C151" i="1"/>
  <c r="E151" i="1" s="1"/>
  <c r="B151" i="1"/>
  <c r="A151" i="1"/>
  <c r="M150" i="1"/>
  <c r="L150" i="1"/>
  <c r="J150" i="1"/>
  <c r="I150" i="1"/>
  <c r="K150" i="1" s="1"/>
  <c r="H150" i="1"/>
  <c r="G150" i="1"/>
  <c r="E150" i="1"/>
  <c r="D150" i="1"/>
  <c r="C150" i="1"/>
  <c r="F150" i="1" s="1"/>
  <c r="B150" i="1"/>
  <c r="A150" i="1"/>
  <c r="L149" i="1"/>
  <c r="M149" i="1" s="1"/>
  <c r="K149" i="1"/>
  <c r="J149" i="1"/>
  <c r="I149" i="1"/>
  <c r="H149" i="1"/>
  <c r="G149" i="1"/>
  <c r="F149" i="1"/>
  <c r="E149" i="1"/>
  <c r="D149" i="1"/>
  <c r="C149" i="1"/>
  <c r="B149" i="1"/>
  <c r="A149" i="1"/>
  <c r="L148" i="1"/>
  <c r="M148" i="1" s="1"/>
  <c r="J148" i="1"/>
  <c r="I148" i="1"/>
  <c r="K148" i="1" s="1"/>
  <c r="H148" i="1"/>
  <c r="G148" i="1"/>
  <c r="C148" i="1"/>
  <c r="D148" i="1" s="1"/>
  <c r="B148" i="1"/>
  <c r="A148" i="1"/>
  <c r="M147" i="1"/>
  <c r="L147" i="1"/>
  <c r="J147" i="1"/>
  <c r="K147" i="1" s="1"/>
  <c r="H147" i="1"/>
  <c r="G147" i="1"/>
  <c r="I147" i="1" s="1"/>
  <c r="F147" i="1"/>
  <c r="E147" i="1"/>
  <c r="D147" i="1"/>
  <c r="C147" i="1"/>
  <c r="B147" i="1"/>
  <c r="A147" i="1"/>
  <c r="M146" i="1"/>
  <c r="L146" i="1"/>
  <c r="J146" i="1"/>
  <c r="H146" i="1"/>
  <c r="G146" i="1"/>
  <c r="I146" i="1" s="1"/>
  <c r="K146" i="1" s="1"/>
  <c r="C146" i="1"/>
  <c r="B146" i="1"/>
  <c r="A146" i="1"/>
  <c r="M145" i="1"/>
  <c r="L145" i="1"/>
  <c r="J145" i="1"/>
  <c r="I145" i="1"/>
  <c r="K145" i="1" s="1"/>
  <c r="H145" i="1"/>
  <c r="G145" i="1"/>
  <c r="F145" i="1"/>
  <c r="D145" i="1"/>
  <c r="C145" i="1"/>
  <c r="E145" i="1" s="1"/>
  <c r="B145" i="1"/>
  <c r="A145" i="1"/>
  <c r="M144" i="1"/>
  <c r="L144" i="1"/>
  <c r="J144" i="1"/>
  <c r="I144" i="1"/>
  <c r="K144" i="1" s="1"/>
  <c r="H144" i="1"/>
  <c r="G144" i="1"/>
  <c r="E144" i="1"/>
  <c r="D144" i="1"/>
  <c r="C144" i="1"/>
  <c r="F144" i="1" s="1"/>
  <c r="B144" i="1"/>
  <c r="A144" i="1"/>
  <c r="L143" i="1"/>
  <c r="M143" i="1" s="1"/>
  <c r="K143" i="1"/>
  <c r="J143" i="1"/>
  <c r="I143" i="1"/>
  <c r="H143" i="1"/>
  <c r="G143" i="1"/>
  <c r="F143" i="1"/>
  <c r="E143" i="1"/>
  <c r="D143" i="1"/>
  <c r="C143" i="1"/>
  <c r="B143" i="1"/>
  <c r="A143" i="1"/>
  <c r="L142" i="1"/>
  <c r="M142" i="1" s="1"/>
  <c r="J142" i="1"/>
  <c r="I142" i="1"/>
  <c r="K142" i="1" s="1"/>
  <c r="H142" i="1"/>
  <c r="G142" i="1"/>
  <c r="F142" i="1"/>
  <c r="E142" i="1"/>
  <c r="C142" i="1"/>
  <c r="D142" i="1" s="1"/>
  <c r="B142" i="1"/>
  <c r="A142" i="1"/>
  <c r="M141" i="1"/>
  <c r="L141" i="1"/>
  <c r="J141" i="1"/>
  <c r="K141" i="1" s="1"/>
  <c r="H141" i="1"/>
  <c r="G141" i="1"/>
  <c r="I141" i="1" s="1"/>
  <c r="F141" i="1"/>
  <c r="E141" i="1"/>
  <c r="D141" i="1"/>
  <c r="C141" i="1"/>
  <c r="B141" i="1"/>
  <c r="A141" i="1"/>
  <c r="M140" i="1"/>
  <c r="L140" i="1"/>
  <c r="J140" i="1"/>
  <c r="H140" i="1"/>
  <c r="G140" i="1"/>
  <c r="I140" i="1" s="1"/>
  <c r="K140" i="1" s="1"/>
  <c r="C140" i="1"/>
  <c r="B140" i="1"/>
  <c r="A140" i="1"/>
  <c r="M139" i="1"/>
  <c r="L139" i="1"/>
  <c r="J139" i="1"/>
  <c r="I139" i="1"/>
  <c r="K139" i="1" s="1"/>
  <c r="H139" i="1"/>
  <c r="G139" i="1"/>
  <c r="F139" i="1"/>
  <c r="D139" i="1"/>
  <c r="C139" i="1"/>
  <c r="E139" i="1" s="1"/>
  <c r="B139" i="1"/>
  <c r="A139" i="1"/>
  <c r="M138" i="1"/>
  <c r="L138" i="1"/>
  <c r="J138" i="1"/>
  <c r="I138" i="1"/>
  <c r="K138" i="1" s="1"/>
  <c r="H138" i="1"/>
  <c r="G138" i="1"/>
  <c r="E138" i="1"/>
  <c r="D138" i="1"/>
  <c r="C138" i="1"/>
  <c r="F138" i="1" s="1"/>
  <c r="B138" i="1"/>
  <c r="A138" i="1"/>
  <c r="L137" i="1"/>
  <c r="M137" i="1" s="1"/>
  <c r="K137" i="1"/>
  <c r="J137" i="1"/>
  <c r="I137" i="1"/>
  <c r="H137" i="1"/>
  <c r="G137" i="1"/>
  <c r="F137" i="1"/>
  <c r="E137" i="1"/>
  <c r="D137" i="1"/>
  <c r="C137" i="1"/>
  <c r="B137" i="1"/>
  <c r="A137" i="1"/>
  <c r="L136" i="1"/>
  <c r="M136" i="1" s="1"/>
  <c r="J136" i="1"/>
  <c r="I136" i="1"/>
  <c r="K136" i="1" s="1"/>
  <c r="H136" i="1"/>
  <c r="G136" i="1"/>
  <c r="F136" i="1"/>
  <c r="C136" i="1"/>
  <c r="D136" i="1" s="1"/>
  <c r="B136" i="1"/>
  <c r="A136" i="1"/>
  <c r="M135" i="1"/>
  <c r="L135" i="1"/>
  <c r="J135" i="1"/>
  <c r="K135" i="1" s="1"/>
  <c r="H135" i="1"/>
  <c r="G135" i="1"/>
  <c r="I135" i="1" s="1"/>
  <c r="F135" i="1"/>
  <c r="E135" i="1"/>
  <c r="D135" i="1"/>
  <c r="C135" i="1"/>
  <c r="B135" i="1"/>
  <c r="A135" i="1"/>
  <c r="M134" i="1"/>
  <c r="L134" i="1"/>
  <c r="J134" i="1"/>
  <c r="H134" i="1"/>
  <c r="G134" i="1"/>
  <c r="I134" i="1" s="1"/>
  <c r="K134" i="1" s="1"/>
  <c r="F134" i="1"/>
  <c r="C134" i="1"/>
  <c r="B134" i="1"/>
  <c r="A134" i="1"/>
  <c r="M133" i="1"/>
  <c r="L133" i="1"/>
  <c r="J133" i="1"/>
  <c r="I133" i="1"/>
  <c r="K133" i="1" s="1"/>
  <c r="H133" i="1"/>
  <c r="G133" i="1"/>
  <c r="F133" i="1"/>
  <c r="D133" i="1"/>
  <c r="C133" i="1"/>
  <c r="E133" i="1" s="1"/>
  <c r="B133" i="1"/>
  <c r="A133" i="1"/>
  <c r="M132" i="1"/>
  <c r="L132" i="1"/>
  <c r="J132" i="1"/>
  <c r="I132" i="1"/>
  <c r="K132" i="1" s="1"/>
  <c r="H132" i="1"/>
  <c r="G132" i="1"/>
  <c r="E132" i="1"/>
  <c r="D132" i="1"/>
  <c r="C132" i="1"/>
  <c r="F132" i="1" s="1"/>
  <c r="B132" i="1"/>
  <c r="A132" i="1"/>
  <c r="L131" i="1"/>
  <c r="M131" i="1" s="1"/>
  <c r="K131" i="1"/>
  <c r="J131" i="1"/>
  <c r="I131" i="1"/>
  <c r="H131" i="1"/>
  <c r="G131" i="1"/>
  <c r="F131" i="1"/>
  <c r="E131" i="1"/>
  <c r="D131" i="1"/>
  <c r="C131" i="1"/>
  <c r="B131" i="1"/>
  <c r="A131" i="1"/>
  <c r="L130" i="1"/>
  <c r="M130" i="1" s="1"/>
  <c r="J130" i="1"/>
  <c r="I130" i="1"/>
  <c r="K130" i="1" s="1"/>
  <c r="H130" i="1"/>
  <c r="G130" i="1"/>
  <c r="C130" i="1"/>
  <c r="D130" i="1" s="1"/>
  <c r="B130" i="1"/>
  <c r="A130" i="1"/>
  <c r="M129" i="1"/>
  <c r="L129" i="1"/>
  <c r="J129" i="1"/>
  <c r="K129" i="1" s="1"/>
  <c r="H129" i="1"/>
  <c r="G129" i="1"/>
  <c r="I129" i="1" s="1"/>
  <c r="F129" i="1"/>
  <c r="E129" i="1"/>
  <c r="D129" i="1"/>
  <c r="C129" i="1"/>
  <c r="B129" i="1"/>
  <c r="A129" i="1"/>
  <c r="M128" i="1"/>
  <c r="L128" i="1"/>
  <c r="J128" i="1"/>
  <c r="H128" i="1"/>
  <c r="G128" i="1"/>
  <c r="I128" i="1" s="1"/>
  <c r="K128" i="1" s="1"/>
  <c r="C128" i="1"/>
  <c r="B128" i="1"/>
  <c r="A128" i="1"/>
  <c r="M127" i="1"/>
  <c r="L127" i="1"/>
  <c r="J127" i="1"/>
  <c r="I127" i="1"/>
  <c r="K127" i="1" s="1"/>
  <c r="H127" i="1"/>
  <c r="G127" i="1"/>
  <c r="F127" i="1"/>
  <c r="D127" i="1"/>
  <c r="C127" i="1"/>
  <c r="E127" i="1" s="1"/>
  <c r="B127" i="1"/>
  <c r="A127" i="1"/>
  <c r="M126" i="1"/>
  <c r="L126" i="1"/>
  <c r="J126" i="1"/>
  <c r="I126" i="1"/>
  <c r="K126" i="1" s="1"/>
  <c r="H126" i="1"/>
  <c r="G126" i="1"/>
  <c r="E126" i="1"/>
  <c r="D126" i="1"/>
  <c r="C126" i="1"/>
  <c r="F126" i="1" s="1"/>
  <c r="B126" i="1"/>
  <c r="A126" i="1"/>
  <c r="L125" i="1"/>
  <c r="M125" i="1" s="1"/>
  <c r="K125" i="1"/>
  <c r="J125" i="1"/>
  <c r="I125" i="1"/>
  <c r="H125" i="1"/>
  <c r="G125" i="1"/>
  <c r="E125" i="1"/>
  <c r="D125" i="1"/>
  <c r="C125" i="1"/>
  <c r="F125" i="1" s="1"/>
  <c r="B125" i="1"/>
  <c r="A125" i="1"/>
  <c r="L124" i="1"/>
  <c r="M124" i="1" s="1"/>
  <c r="J124" i="1"/>
  <c r="I124" i="1"/>
  <c r="K124" i="1" s="1"/>
  <c r="H124" i="1"/>
  <c r="G124" i="1"/>
  <c r="C124" i="1"/>
  <c r="D124" i="1" s="1"/>
  <c r="B124" i="1"/>
  <c r="A124" i="1"/>
  <c r="M123" i="1"/>
  <c r="L123" i="1"/>
  <c r="J123" i="1"/>
  <c r="K123" i="1" s="1"/>
  <c r="H123" i="1"/>
  <c r="G123" i="1"/>
  <c r="I123" i="1" s="1"/>
  <c r="F123" i="1"/>
  <c r="E123" i="1"/>
  <c r="D123" i="1"/>
  <c r="C123" i="1"/>
  <c r="B123" i="1"/>
  <c r="A123" i="1"/>
  <c r="M122" i="1"/>
  <c r="L122" i="1"/>
  <c r="J122" i="1"/>
  <c r="H122" i="1"/>
  <c r="G122" i="1"/>
  <c r="I122" i="1" s="1"/>
  <c r="K122" i="1" s="1"/>
  <c r="F122" i="1"/>
  <c r="C122" i="1"/>
  <c r="B122" i="1"/>
  <c r="A122" i="1"/>
  <c r="M121" i="1"/>
  <c r="L121" i="1"/>
  <c r="J121" i="1"/>
  <c r="I121" i="1"/>
  <c r="K121" i="1" s="1"/>
  <c r="H121" i="1"/>
  <c r="G121" i="1"/>
  <c r="F121" i="1"/>
  <c r="D121" i="1"/>
  <c r="C121" i="1"/>
  <c r="E121" i="1" s="1"/>
  <c r="B121" i="1"/>
  <c r="A121" i="1"/>
  <c r="M120" i="1"/>
  <c r="L120" i="1"/>
  <c r="J120" i="1"/>
  <c r="I120" i="1"/>
  <c r="K120" i="1" s="1"/>
  <c r="H120" i="1"/>
  <c r="G120" i="1"/>
  <c r="E120" i="1"/>
  <c r="D120" i="1"/>
  <c r="C120" i="1"/>
  <c r="F120" i="1" s="1"/>
  <c r="B120" i="1"/>
  <c r="A120" i="1"/>
  <c r="L119" i="1"/>
  <c r="M119" i="1" s="1"/>
  <c r="K119" i="1"/>
  <c r="J119" i="1"/>
  <c r="I119" i="1"/>
  <c r="H119" i="1"/>
  <c r="G119" i="1"/>
  <c r="E119" i="1"/>
  <c r="D119" i="1"/>
  <c r="C119" i="1"/>
  <c r="F119" i="1" s="1"/>
  <c r="B119" i="1"/>
  <c r="A119" i="1"/>
  <c r="L118" i="1"/>
  <c r="M118" i="1" s="1"/>
  <c r="J118" i="1"/>
  <c r="I118" i="1"/>
  <c r="K118" i="1" s="1"/>
  <c r="H118" i="1"/>
  <c r="G118" i="1"/>
  <c r="C118" i="1"/>
  <c r="D118" i="1" s="1"/>
  <c r="B118" i="1"/>
  <c r="A118" i="1"/>
  <c r="M117" i="1"/>
  <c r="L117" i="1"/>
  <c r="J117" i="1"/>
  <c r="K117" i="1" s="1"/>
  <c r="H117" i="1"/>
  <c r="G117" i="1"/>
  <c r="I117" i="1" s="1"/>
  <c r="F117" i="1"/>
  <c r="E117" i="1"/>
  <c r="D117" i="1"/>
  <c r="C117" i="1"/>
  <c r="B117" i="1"/>
  <c r="A117" i="1"/>
  <c r="M116" i="1"/>
  <c r="L116" i="1"/>
  <c r="J116" i="1"/>
  <c r="H116" i="1"/>
  <c r="G116" i="1"/>
  <c r="I116" i="1" s="1"/>
  <c r="K116" i="1" s="1"/>
  <c r="C116" i="1"/>
  <c r="B116" i="1"/>
  <c r="A116" i="1"/>
  <c r="M115" i="1"/>
  <c r="L115" i="1"/>
  <c r="J115" i="1"/>
  <c r="I115" i="1"/>
  <c r="K115" i="1" s="1"/>
  <c r="H115" i="1"/>
  <c r="G115" i="1"/>
  <c r="F115" i="1"/>
  <c r="D115" i="1"/>
  <c r="C115" i="1"/>
  <c r="E115" i="1" s="1"/>
  <c r="B115" i="1"/>
  <c r="A115" i="1"/>
  <c r="M114" i="1"/>
  <c r="L114" i="1"/>
  <c r="J114" i="1"/>
  <c r="I114" i="1"/>
  <c r="K114" i="1" s="1"/>
  <c r="H114" i="1"/>
  <c r="G114" i="1"/>
  <c r="E114" i="1"/>
  <c r="D114" i="1"/>
  <c r="C114" i="1"/>
  <c r="F114" i="1" s="1"/>
  <c r="B114" i="1"/>
  <c r="A114" i="1"/>
  <c r="L113" i="1"/>
  <c r="M113" i="1" s="1"/>
  <c r="K113" i="1"/>
  <c r="J113" i="1"/>
  <c r="I113" i="1"/>
  <c r="H113" i="1"/>
  <c r="G113" i="1"/>
  <c r="E113" i="1"/>
  <c r="D113" i="1"/>
  <c r="C113" i="1"/>
  <c r="F113" i="1" s="1"/>
  <c r="B113" i="1"/>
  <c r="A113" i="1"/>
  <c r="L112" i="1"/>
  <c r="M112" i="1" s="1"/>
  <c r="J112" i="1"/>
  <c r="I112" i="1"/>
  <c r="K112" i="1" s="1"/>
  <c r="H112" i="1"/>
  <c r="G112" i="1"/>
  <c r="F112" i="1"/>
  <c r="E112" i="1"/>
  <c r="C112" i="1"/>
  <c r="D112" i="1" s="1"/>
  <c r="B112" i="1"/>
  <c r="A112" i="1"/>
  <c r="M111" i="1"/>
  <c r="L111" i="1"/>
  <c r="J111" i="1"/>
  <c r="K111" i="1" s="1"/>
  <c r="H111" i="1"/>
  <c r="G111" i="1"/>
  <c r="I111" i="1" s="1"/>
  <c r="F111" i="1"/>
  <c r="E111" i="1"/>
  <c r="D111" i="1"/>
  <c r="C111" i="1"/>
  <c r="B111" i="1"/>
  <c r="A111" i="1"/>
  <c r="M110" i="1"/>
  <c r="L110" i="1"/>
  <c r="J110" i="1"/>
  <c r="H110" i="1"/>
  <c r="G110" i="1"/>
  <c r="I110" i="1" s="1"/>
  <c r="K110" i="1" s="1"/>
  <c r="C110" i="1"/>
  <c r="F110" i="1" s="1"/>
  <c r="B110" i="1"/>
  <c r="A110" i="1"/>
  <c r="M109" i="1"/>
  <c r="L109" i="1"/>
  <c r="J109" i="1"/>
  <c r="I109" i="1"/>
  <c r="K109" i="1" s="1"/>
  <c r="H109" i="1"/>
  <c r="G109" i="1"/>
  <c r="F109" i="1"/>
  <c r="D109" i="1"/>
  <c r="C109" i="1"/>
  <c r="E109" i="1" s="1"/>
  <c r="B109" i="1"/>
  <c r="A109" i="1"/>
  <c r="M108" i="1"/>
  <c r="L108" i="1"/>
  <c r="J108" i="1"/>
  <c r="I108" i="1"/>
  <c r="K108" i="1" s="1"/>
  <c r="H108" i="1"/>
  <c r="G108" i="1"/>
  <c r="E108" i="1"/>
  <c r="D108" i="1"/>
  <c r="C108" i="1"/>
  <c r="F108" i="1" s="1"/>
  <c r="B108" i="1"/>
  <c r="A108" i="1"/>
  <c r="L107" i="1"/>
  <c r="M107" i="1" s="1"/>
  <c r="K107" i="1"/>
  <c r="J107" i="1"/>
  <c r="I107" i="1"/>
  <c r="H107" i="1"/>
  <c r="G107" i="1"/>
  <c r="E107" i="1"/>
  <c r="D107" i="1"/>
  <c r="C107" i="1"/>
  <c r="F107" i="1" s="1"/>
  <c r="B107" i="1"/>
  <c r="A107" i="1"/>
  <c r="L106" i="1"/>
  <c r="M106" i="1" s="1"/>
  <c r="J106" i="1"/>
  <c r="I106" i="1"/>
  <c r="K106" i="1" s="1"/>
  <c r="H106" i="1"/>
  <c r="G106" i="1"/>
  <c r="C106" i="1"/>
  <c r="D106" i="1" s="1"/>
  <c r="B106" i="1"/>
  <c r="A106" i="1"/>
  <c r="M105" i="1"/>
  <c r="L105" i="1"/>
  <c r="J105" i="1"/>
  <c r="K105" i="1" s="1"/>
  <c r="H105" i="1"/>
  <c r="G105" i="1"/>
  <c r="I105" i="1" s="1"/>
  <c r="F105" i="1"/>
  <c r="E105" i="1"/>
  <c r="D105" i="1"/>
  <c r="C105" i="1"/>
  <c r="B105" i="1"/>
  <c r="A105" i="1"/>
  <c r="M104" i="1"/>
  <c r="L104" i="1"/>
  <c r="J104" i="1"/>
  <c r="H104" i="1"/>
  <c r="G104" i="1"/>
  <c r="I104" i="1" s="1"/>
  <c r="K104" i="1" s="1"/>
  <c r="C104" i="1"/>
  <c r="B104" i="1"/>
  <c r="A104" i="1"/>
  <c r="M103" i="1"/>
  <c r="L103" i="1"/>
  <c r="J103" i="1"/>
  <c r="I103" i="1"/>
  <c r="K103" i="1" s="1"/>
  <c r="H103" i="1"/>
  <c r="G103" i="1"/>
  <c r="F103" i="1"/>
  <c r="D103" i="1"/>
  <c r="C103" i="1"/>
  <c r="E103" i="1" s="1"/>
  <c r="B103" i="1"/>
  <c r="A103" i="1"/>
  <c r="M102" i="1"/>
  <c r="L102" i="1"/>
  <c r="J102" i="1"/>
  <c r="I102" i="1"/>
  <c r="K102" i="1" s="1"/>
  <c r="H102" i="1"/>
  <c r="G102" i="1"/>
  <c r="E102" i="1"/>
  <c r="D102" i="1"/>
  <c r="C102" i="1"/>
  <c r="F102" i="1" s="1"/>
  <c r="B102" i="1"/>
  <c r="A102" i="1"/>
  <c r="L101" i="1"/>
  <c r="M101" i="1" s="1"/>
  <c r="J101" i="1"/>
  <c r="I101" i="1"/>
  <c r="H101" i="1"/>
  <c r="G101" i="1"/>
  <c r="F101" i="1"/>
  <c r="E101" i="1"/>
  <c r="C101" i="1"/>
  <c r="D101" i="1" s="1"/>
  <c r="B101" i="1"/>
  <c r="A101" i="1"/>
  <c r="M100" i="1"/>
  <c r="L100" i="1"/>
  <c r="J100" i="1"/>
  <c r="H100" i="1"/>
  <c r="G100" i="1"/>
  <c r="I100" i="1" s="1"/>
  <c r="K100" i="1" s="1"/>
  <c r="F100" i="1"/>
  <c r="E100" i="1"/>
  <c r="D100" i="1"/>
  <c r="C100" i="1"/>
  <c r="B100" i="1"/>
  <c r="A100" i="1"/>
  <c r="L99" i="1"/>
  <c r="M99" i="1" s="1"/>
  <c r="K99" i="1"/>
  <c r="J99" i="1"/>
  <c r="H99" i="1"/>
  <c r="G99" i="1"/>
  <c r="I99" i="1" s="1"/>
  <c r="F99" i="1"/>
  <c r="E99" i="1"/>
  <c r="D99" i="1"/>
  <c r="C99" i="1"/>
  <c r="B99" i="1"/>
  <c r="A99" i="1"/>
  <c r="M98" i="1"/>
  <c r="L98" i="1"/>
  <c r="J98" i="1"/>
  <c r="I98" i="1"/>
  <c r="K98" i="1" s="1"/>
  <c r="H98" i="1"/>
  <c r="G98" i="1"/>
  <c r="C98" i="1"/>
  <c r="B98" i="1"/>
  <c r="A98" i="1"/>
  <c r="M97" i="1"/>
  <c r="L97" i="1"/>
  <c r="J97" i="1"/>
  <c r="I97" i="1"/>
  <c r="H97" i="1"/>
  <c r="G97" i="1"/>
  <c r="D97" i="1"/>
  <c r="C97" i="1"/>
  <c r="F97" i="1" s="1"/>
  <c r="B97" i="1"/>
  <c r="A97" i="1"/>
  <c r="L96" i="1"/>
  <c r="M96" i="1" s="1"/>
  <c r="K96" i="1"/>
  <c r="J96" i="1"/>
  <c r="I96" i="1"/>
  <c r="H96" i="1"/>
  <c r="G96" i="1"/>
  <c r="E96" i="1"/>
  <c r="C96" i="1"/>
  <c r="B96" i="1"/>
  <c r="A96" i="1"/>
  <c r="L95" i="1"/>
  <c r="M95" i="1" s="1"/>
  <c r="J95" i="1"/>
  <c r="I95" i="1"/>
  <c r="K95" i="1" s="1"/>
  <c r="H95" i="1"/>
  <c r="G95" i="1"/>
  <c r="F95" i="1"/>
  <c r="C95" i="1"/>
  <c r="E95" i="1" s="1"/>
  <c r="B95" i="1"/>
  <c r="A95" i="1"/>
  <c r="L94" i="1"/>
  <c r="M94" i="1" s="1"/>
  <c r="J94" i="1"/>
  <c r="K94" i="1" s="1"/>
  <c r="H94" i="1"/>
  <c r="G94" i="1"/>
  <c r="I94" i="1" s="1"/>
  <c r="F94" i="1"/>
  <c r="E94" i="1"/>
  <c r="D94" i="1"/>
  <c r="C94" i="1"/>
  <c r="B94" i="1"/>
  <c r="A94" i="1"/>
  <c r="L93" i="1"/>
  <c r="M93" i="1" s="1"/>
  <c r="K93" i="1"/>
  <c r="J93" i="1"/>
  <c r="H93" i="1"/>
  <c r="G93" i="1"/>
  <c r="I93" i="1" s="1"/>
  <c r="F93" i="1"/>
  <c r="E93" i="1"/>
  <c r="C93" i="1"/>
  <c r="D93" i="1" s="1"/>
  <c r="B93" i="1"/>
  <c r="A93" i="1"/>
  <c r="M92" i="1"/>
  <c r="L92" i="1"/>
  <c r="J92" i="1"/>
  <c r="H92" i="1"/>
  <c r="G92" i="1"/>
  <c r="I92" i="1" s="1"/>
  <c r="K92" i="1" s="1"/>
  <c r="C92" i="1"/>
  <c r="F92" i="1" s="1"/>
  <c r="B92" i="1"/>
  <c r="A92" i="1"/>
  <c r="M91" i="1"/>
  <c r="L91" i="1"/>
  <c r="J91" i="1"/>
  <c r="H91" i="1"/>
  <c r="G91" i="1"/>
  <c r="I91" i="1" s="1"/>
  <c r="K91" i="1" s="1"/>
  <c r="C91" i="1"/>
  <c r="D91" i="1" s="1"/>
  <c r="B91" i="1"/>
  <c r="A91" i="1"/>
  <c r="M90" i="1"/>
  <c r="L90" i="1"/>
  <c r="K90" i="1"/>
  <c r="J90" i="1"/>
  <c r="I90" i="1"/>
  <c r="H90" i="1"/>
  <c r="G90" i="1"/>
  <c r="C90" i="1"/>
  <c r="F90" i="1" s="1"/>
  <c r="B90" i="1"/>
  <c r="A90" i="1"/>
  <c r="L89" i="1"/>
  <c r="M89" i="1" s="1"/>
  <c r="J89" i="1"/>
  <c r="I89" i="1"/>
  <c r="H89" i="1"/>
  <c r="G89" i="1"/>
  <c r="C89" i="1"/>
  <c r="F89" i="1" s="1"/>
  <c r="B89" i="1"/>
  <c r="A89" i="1"/>
  <c r="M88" i="1"/>
  <c r="L88" i="1"/>
  <c r="K88" i="1"/>
  <c r="J88" i="1"/>
  <c r="H88" i="1"/>
  <c r="G88" i="1"/>
  <c r="I88" i="1" s="1"/>
  <c r="F88" i="1"/>
  <c r="E88" i="1"/>
  <c r="D88" i="1"/>
  <c r="C88" i="1"/>
  <c r="B88" i="1"/>
  <c r="A88" i="1"/>
  <c r="L87" i="1"/>
  <c r="M87" i="1" s="1"/>
  <c r="J87" i="1"/>
  <c r="H87" i="1"/>
  <c r="G87" i="1"/>
  <c r="I87" i="1" s="1"/>
  <c r="K87" i="1" s="1"/>
  <c r="F87" i="1"/>
  <c r="E87" i="1"/>
  <c r="D87" i="1"/>
  <c r="C87" i="1"/>
  <c r="B87" i="1"/>
  <c r="A87" i="1"/>
  <c r="M86" i="1"/>
  <c r="L86" i="1"/>
  <c r="J86" i="1"/>
  <c r="I86" i="1"/>
  <c r="K86" i="1" s="1"/>
  <c r="H86" i="1"/>
  <c r="G86" i="1"/>
  <c r="C86" i="1"/>
  <c r="B86" i="1"/>
  <c r="A86" i="1"/>
  <c r="M85" i="1"/>
  <c r="L85" i="1"/>
  <c r="J85" i="1"/>
  <c r="H85" i="1"/>
  <c r="G85" i="1"/>
  <c r="I85" i="1" s="1"/>
  <c r="K85" i="1" s="1"/>
  <c r="D85" i="1"/>
  <c r="C85" i="1"/>
  <c r="F85" i="1" s="1"/>
  <c r="B85" i="1"/>
  <c r="A85" i="1"/>
  <c r="L84" i="1"/>
  <c r="M84" i="1" s="1"/>
  <c r="J84" i="1"/>
  <c r="I84" i="1"/>
  <c r="K84" i="1" s="1"/>
  <c r="H84" i="1"/>
  <c r="G84" i="1"/>
  <c r="C84" i="1"/>
  <c r="B84" i="1"/>
  <c r="A84" i="1"/>
  <c r="L83" i="1"/>
  <c r="M83" i="1" s="1"/>
  <c r="J83" i="1"/>
  <c r="I83" i="1"/>
  <c r="K83" i="1" s="1"/>
  <c r="H83" i="1"/>
  <c r="G83" i="1"/>
  <c r="F83" i="1"/>
  <c r="C83" i="1"/>
  <c r="E83" i="1" s="1"/>
  <c r="B83" i="1"/>
  <c r="A83" i="1"/>
  <c r="M82" i="1"/>
  <c r="L82" i="1"/>
  <c r="J82" i="1"/>
  <c r="H82" i="1"/>
  <c r="G82" i="1"/>
  <c r="I82" i="1" s="1"/>
  <c r="K82" i="1" s="1"/>
  <c r="F82" i="1"/>
  <c r="E82" i="1"/>
  <c r="D82" i="1"/>
  <c r="C82" i="1"/>
  <c r="B82" i="1"/>
  <c r="A82" i="1"/>
  <c r="M81" i="1"/>
  <c r="L81" i="1"/>
  <c r="J81" i="1"/>
  <c r="H81" i="1"/>
  <c r="G81" i="1"/>
  <c r="I81" i="1" s="1"/>
  <c r="K81" i="1" s="1"/>
  <c r="F81" i="1"/>
  <c r="E81" i="1"/>
  <c r="C81" i="1"/>
  <c r="D81" i="1" s="1"/>
  <c r="B81" i="1"/>
  <c r="A81" i="1"/>
  <c r="L80" i="1"/>
  <c r="M80" i="1" s="1"/>
  <c r="J80" i="1"/>
  <c r="H80" i="1"/>
  <c r="G80" i="1"/>
  <c r="I80" i="1" s="1"/>
  <c r="K80" i="1" s="1"/>
  <c r="C80" i="1"/>
  <c r="F80" i="1" s="1"/>
  <c r="B80" i="1"/>
  <c r="A80" i="1"/>
  <c r="M79" i="1"/>
  <c r="L79" i="1"/>
  <c r="J79" i="1"/>
  <c r="H79" i="1"/>
  <c r="G79" i="1"/>
  <c r="I79" i="1" s="1"/>
  <c r="D79" i="1"/>
  <c r="C79" i="1"/>
  <c r="B79" i="1"/>
  <c r="A79" i="1"/>
  <c r="M78" i="1"/>
  <c r="L78" i="1"/>
  <c r="J78" i="1"/>
  <c r="I78" i="1"/>
  <c r="K78" i="1" s="1"/>
  <c r="H78" i="1"/>
  <c r="G78" i="1"/>
  <c r="D78" i="1"/>
  <c r="C78" i="1"/>
  <c r="F78" i="1" s="1"/>
  <c r="B78" i="1"/>
  <c r="A78" i="1"/>
  <c r="L77" i="1"/>
  <c r="M77" i="1" s="1"/>
  <c r="J77" i="1"/>
  <c r="I77" i="1"/>
  <c r="H77" i="1"/>
  <c r="G77" i="1"/>
  <c r="E77" i="1"/>
  <c r="C77" i="1"/>
  <c r="F77" i="1" s="1"/>
  <c r="B77" i="1"/>
  <c r="A77" i="1"/>
  <c r="M76" i="1"/>
  <c r="L76" i="1"/>
  <c r="K76" i="1"/>
  <c r="J76" i="1"/>
  <c r="H76" i="1"/>
  <c r="G76" i="1"/>
  <c r="I76" i="1" s="1"/>
  <c r="F76" i="1"/>
  <c r="E76" i="1"/>
  <c r="D76" i="1"/>
  <c r="C76" i="1"/>
  <c r="B76" i="1"/>
  <c r="A76" i="1"/>
  <c r="L75" i="1"/>
  <c r="M75" i="1" s="1"/>
  <c r="K75" i="1"/>
  <c r="J75" i="1"/>
  <c r="H75" i="1"/>
  <c r="G75" i="1"/>
  <c r="I75" i="1" s="1"/>
  <c r="F75" i="1"/>
  <c r="E75" i="1"/>
  <c r="D75" i="1"/>
  <c r="C75" i="1"/>
  <c r="B75" i="1"/>
  <c r="A75" i="1"/>
  <c r="L74" i="1"/>
  <c r="M74" i="1" s="1"/>
  <c r="J74" i="1"/>
  <c r="I74" i="1"/>
  <c r="K74" i="1" s="1"/>
  <c r="H74" i="1"/>
  <c r="G74" i="1"/>
  <c r="F74" i="1"/>
  <c r="C74" i="1"/>
  <c r="B74" i="1"/>
  <c r="A74" i="1"/>
  <c r="M73" i="1"/>
  <c r="L73" i="1"/>
  <c r="J73" i="1"/>
  <c r="H73" i="1"/>
  <c r="G73" i="1"/>
  <c r="I73" i="1" s="1"/>
  <c r="K73" i="1" s="1"/>
  <c r="D73" i="1"/>
  <c r="C73" i="1"/>
  <c r="F73" i="1" s="1"/>
  <c r="B73" i="1"/>
  <c r="A73" i="1"/>
  <c r="L72" i="1"/>
  <c r="M72" i="1" s="1"/>
  <c r="J72" i="1"/>
  <c r="I72" i="1"/>
  <c r="K72" i="1" s="1"/>
  <c r="H72" i="1"/>
  <c r="G72" i="1"/>
  <c r="C72" i="1"/>
  <c r="E72" i="1" s="1"/>
  <c r="B72" i="1"/>
  <c r="A72" i="1"/>
  <c r="L71" i="1"/>
  <c r="M71" i="1" s="1"/>
  <c r="J71" i="1"/>
  <c r="K71" i="1" s="1"/>
  <c r="I71" i="1"/>
  <c r="H71" i="1"/>
  <c r="G71" i="1"/>
  <c r="C71" i="1"/>
  <c r="D71" i="1" s="1"/>
  <c r="B71" i="1"/>
  <c r="A71" i="1"/>
  <c r="M70" i="1"/>
  <c r="L70" i="1"/>
  <c r="K70" i="1"/>
  <c r="J70" i="1"/>
  <c r="H70" i="1"/>
  <c r="G70" i="1"/>
  <c r="I70" i="1" s="1"/>
  <c r="F70" i="1"/>
  <c r="E70" i="1"/>
  <c r="D70" i="1"/>
  <c r="C70" i="1"/>
  <c r="B70" i="1"/>
  <c r="A70" i="1"/>
  <c r="M69" i="1"/>
  <c r="L69" i="1"/>
  <c r="K69" i="1"/>
  <c r="J69" i="1"/>
  <c r="H69" i="1"/>
  <c r="G69" i="1"/>
  <c r="I69" i="1" s="1"/>
  <c r="F69" i="1"/>
  <c r="E69" i="1"/>
  <c r="C69" i="1"/>
  <c r="D69" i="1" s="1"/>
  <c r="B69" i="1"/>
  <c r="A69" i="1"/>
  <c r="L68" i="1"/>
  <c r="M68" i="1" s="1"/>
  <c r="J68" i="1"/>
  <c r="I68" i="1"/>
  <c r="K68" i="1" s="1"/>
  <c r="H68" i="1"/>
  <c r="G68" i="1"/>
  <c r="C68" i="1"/>
  <c r="B68" i="1"/>
  <c r="A68" i="1"/>
  <c r="M67" i="1"/>
  <c r="L67" i="1"/>
  <c r="J67" i="1"/>
  <c r="I67" i="1"/>
  <c r="K67" i="1" s="1"/>
  <c r="H67" i="1"/>
  <c r="G67" i="1"/>
  <c r="C67" i="1"/>
  <c r="B67" i="1"/>
  <c r="A67" i="1"/>
  <c r="M66" i="1"/>
  <c r="L66" i="1"/>
  <c r="K66" i="1"/>
  <c r="J66" i="1"/>
  <c r="I66" i="1"/>
  <c r="H66" i="1"/>
  <c r="G66" i="1"/>
  <c r="E66" i="1"/>
  <c r="C66" i="1"/>
  <c r="F66" i="1" s="1"/>
  <c r="B66" i="1"/>
  <c r="A66" i="1"/>
  <c r="L65" i="1"/>
  <c r="M65" i="1" s="1"/>
  <c r="J65" i="1"/>
  <c r="K65" i="1" s="1"/>
  <c r="I65" i="1"/>
  <c r="H65" i="1"/>
  <c r="G65" i="1"/>
  <c r="E65" i="1"/>
  <c r="C65" i="1"/>
  <c r="F65" i="1" s="1"/>
  <c r="B65" i="1"/>
  <c r="A65" i="1"/>
  <c r="L64" i="1"/>
  <c r="M64" i="1" s="1"/>
  <c r="K64" i="1"/>
  <c r="J64" i="1"/>
  <c r="H64" i="1"/>
  <c r="G64" i="1"/>
  <c r="I64" i="1" s="1"/>
  <c r="F64" i="1"/>
  <c r="E64" i="1"/>
  <c r="D64" i="1"/>
  <c r="C64" i="1"/>
  <c r="B64" i="1"/>
  <c r="A64" i="1"/>
  <c r="L63" i="1"/>
  <c r="M63" i="1" s="1"/>
  <c r="K63" i="1"/>
  <c r="J63" i="1"/>
  <c r="H63" i="1"/>
  <c r="G63" i="1"/>
  <c r="I63" i="1" s="1"/>
  <c r="F63" i="1"/>
  <c r="E63" i="1"/>
  <c r="D63" i="1"/>
  <c r="C63" i="1"/>
  <c r="B63" i="1"/>
  <c r="A63" i="1"/>
  <c r="L62" i="1"/>
  <c r="M62" i="1" s="1"/>
  <c r="J62" i="1"/>
  <c r="H62" i="1"/>
  <c r="G62" i="1"/>
  <c r="I62" i="1" s="1"/>
  <c r="K62" i="1" s="1"/>
  <c r="C62" i="1"/>
  <c r="B62" i="1"/>
  <c r="A62" i="1"/>
  <c r="M61" i="1"/>
  <c r="L61" i="1"/>
  <c r="J61" i="1"/>
  <c r="I61" i="1"/>
  <c r="K61" i="1" s="1"/>
  <c r="H61" i="1"/>
  <c r="G61" i="1"/>
  <c r="C61" i="1"/>
  <c r="B61" i="1"/>
  <c r="A61" i="1"/>
  <c r="L60" i="1"/>
  <c r="M60" i="1" s="1"/>
  <c r="K60" i="1"/>
  <c r="J60" i="1"/>
  <c r="I60" i="1"/>
  <c r="H60" i="1"/>
  <c r="G60" i="1"/>
  <c r="E60" i="1"/>
  <c r="C60" i="1"/>
  <c r="F60" i="1" s="1"/>
  <c r="B60" i="1"/>
  <c r="A60" i="1"/>
  <c r="L59" i="1"/>
  <c r="M59" i="1" s="1"/>
  <c r="J59" i="1"/>
  <c r="I59" i="1"/>
  <c r="K59" i="1" s="1"/>
  <c r="H59" i="1"/>
  <c r="G59" i="1"/>
  <c r="F59" i="1"/>
  <c r="E59" i="1"/>
  <c r="C59" i="1"/>
  <c r="D59" i="1" s="1"/>
  <c r="B59" i="1"/>
  <c r="A59" i="1"/>
  <c r="M58" i="1"/>
  <c r="L58" i="1"/>
  <c r="J58" i="1"/>
  <c r="H58" i="1"/>
  <c r="G58" i="1"/>
  <c r="I58" i="1" s="1"/>
  <c r="K58" i="1" s="1"/>
  <c r="F58" i="1"/>
  <c r="E58" i="1"/>
  <c r="D58" i="1"/>
  <c r="C58" i="1"/>
  <c r="B58" i="1"/>
  <c r="A58" i="1"/>
  <c r="M57" i="1"/>
  <c r="L57" i="1"/>
  <c r="J57" i="1"/>
  <c r="H57" i="1"/>
  <c r="G57" i="1"/>
  <c r="I57" i="1" s="1"/>
  <c r="K57" i="1" s="1"/>
  <c r="F57" i="1"/>
  <c r="E57" i="1"/>
  <c r="C57" i="1"/>
  <c r="D57" i="1" s="1"/>
  <c r="B57" i="1"/>
  <c r="A57" i="1"/>
  <c r="L56" i="1"/>
  <c r="M56" i="1" s="1"/>
  <c r="J56" i="1"/>
  <c r="I56" i="1"/>
  <c r="K56" i="1" s="1"/>
  <c r="H56" i="1"/>
  <c r="G56" i="1"/>
  <c r="C56" i="1"/>
  <c r="F56" i="1" s="1"/>
  <c r="B56" i="1"/>
  <c r="A56" i="1"/>
  <c r="M55" i="1"/>
  <c r="L55" i="1"/>
  <c r="J55" i="1"/>
  <c r="I55" i="1"/>
  <c r="K55" i="1" s="1"/>
  <c r="H55" i="1"/>
  <c r="G55" i="1"/>
  <c r="C55" i="1"/>
  <c r="B55" i="1"/>
  <c r="A55" i="1"/>
  <c r="M54" i="1"/>
  <c r="L54" i="1"/>
  <c r="J54" i="1"/>
  <c r="K54" i="1" s="1"/>
  <c r="I54" i="1"/>
  <c r="H54" i="1"/>
  <c r="G54" i="1"/>
  <c r="E54" i="1"/>
  <c r="C54" i="1"/>
  <c r="F54" i="1" s="1"/>
  <c r="B54" i="1"/>
  <c r="A54" i="1"/>
  <c r="L53" i="1"/>
  <c r="M53" i="1" s="1"/>
  <c r="J53" i="1"/>
  <c r="I53" i="1"/>
  <c r="K53" i="1" s="1"/>
  <c r="H53" i="1"/>
  <c r="G53" i="1"/>
  <c r="E53" i="1"/>
  <c r="C53" i="1"/>
  <c r="F53" i="1" s="1"/>
  <c r="B53" i="1"/>
  <c r="A53" i="1"/>
  <c r="M52" i="1"/>
  <c r="L52" i="1"/>
  <c r="J52" i="1"/>
  <c r="H52" i="1"/>
  <c r="G52" i="1"/>
  <c r="I52" i="1" s="1"/>
  <c r="K52" i="1" s="1"/>
  <c r="F52" i="1"/>
  <c r="E52" i="1"/>
  <c r="D52" i="1"/>
  <c r="C52" i="1"/>
  <c r="B52" i="1"/>
  <c r="A52" i="1"/>
  <c r="M51" i="1"/>
  <c r="L51" i="1"/>
  <c r="J51" i="1"/>
  <c r="H51" i="1"/>
  <c r="G51" i="1"/>
  <c r="I51" i="1" s="1"/>
  <c r="K51" i="1" s="1"/>
  <c r="F51" i="1"/>
  <c r="E51" i="1"/>
  <c r="D51" i="1"/>
  <c r="C51" i="1"/>
  <c r="B51" i="1"/>
  <c r="A51" i="1"/>
  <c r="M50" i="1"/>
  <c r="L50" i="1"/>
  <c r="J50" i="1"/>
  <c r="I50" i="1"/>
  <c r="K50" i="1" s="1"/>
  <c r="H50" i="1"/>
  <c r="G50" i="1"/>
  <c r="C50" i="1"/>
  <c r="B50" i="1"/>
  <c r="A50" i="1"/>
  <c r="M49" i="1"/>
  <c r="L49" i="1"/>
  <c r="J49" i="1"/>
  <c r="H49" i="1"/>
  <c r="G49" i="1"/>
  <c r="I49" i="1" s="1"/>
  <c r="K49" i="1" s="1"/>
  <c r="C49" i="1"/>
  <c r="B49" i="1"/>
  <c r="A49" i="1"/>
  <c r="L48" i="1"/>
  <c r="M48" i="1" s="1"/>
  <c r="J48" i="1"/>
  <c r="I48" i="1"/>
  <c r="K48" i="1" s="1"/>
  <c r="H48" i="1"/>
  <c r="G48" i="1"/>
  <c r="E48" i="1"/>
  <c r="D48" i="1"/>
  <c r="C48" i="1"/>
  <c r="F48" i="1" s="1"/>
  <c r="B48" i="1"/>
  <c r="A48" i="1"/>
  <c r="L47" i="1"/>
  <c r="M47" i="1" s="1"/>
  <c r="J47" i="1"/>
  <c r="I47" i="1"/>
  <c r="K47" i="1" s="1"/>
  <c r="H47" i="1"/>
  <c r="G47" i="1"/>
  <c r="E47" i="1"/>
  <c r="D47" i="1"/>
  <c r="C47" i="1"/>
  <c r="F47" i="1" s="1"/>
  <c r="B47" i="1"/>
  <c r="A47" i="1"/>
  <c r="M46" i="1"/>
  <c r="L46" i="1"/>
  <c r="J46" i="1"/>
  <c r="H46" i="1"/>
  <c r="G46" i="1"/>
  <c r="I46" i="1" s="1"/>
  <c r="K46" i="1" s="1"/>
  <c r="F46" i="1"/>
  <c r="E46" i="1"/>
  <c r="D46" i="1"/>
  <c r="C46" i="1"/>
  <c r="B46" i="1"/>
  <c r="A46" i="1"/>
  <c r="M45" i="1"/>
  <c r="L45" i="1"/>
  <c r="J45" i="1"/>
  <c r="H45" i="1"/>
  <c r="G45" i="1"/>
  <c r="I45" i="1" s="1"/>
  <c r="K45" i="1" s="1"/>
  <c r="F45" i="1"/>
  <c r="E45" i="1"/>
  <c r="C45" i="1"/>
  <c r="D45" i="1" s="1"/>
  <c r="B45" i="1"/>
  <c r="A45" i="1"/>
  <c r="L44" i="1"/>
  <c r="M44" i="1" s="1"/>
  <c r="J44" i="1"/>
  <c r="H44" i="1"/>
  <c r="G44" i="1"/>
  <c r="I44" i="1" s="1"/>
  <c r="K44" i="1" s="1"/>
  <c r="F44" i="1"/>
  <c r="C44" i="1"/>
  <c r="B44" i="1"/>
  <c r="A44" i="1"/>
  <c r="M43" i="1"/>
  <c r="L43" i="1"/>
  <c r="J43" i="1"/>
  <c r="I43" i="1"/>
  <c r="K43" i="1" s="1"/>
  <c r="H43" i="1"/>
  <c r="G43" i="1"/>
  <c r="C43" i="1"/>
  <c r="D43" i="1" s="1"/>
  <c r="B43" i="1"/>
  <c r="A43" i="1"/>
  <c r="M42" i="1"/>
  <c r="L42" i="1"/>
  <c r="J42" i="1"/>
  <c r="K42" i="1" s="1"/>
  <c r="I42" i="1"/>
  <c r="H42" i="1"/>
  <c r="G42" i="1"/>
  <c r="C42" i="1"/>
  <c r="F42" i="1" s="1"/>
  <c r="B42" i="1"/>
  <c r="A42" i="1"/>
  <c r="L41" i="1"/>
  <c r="M41" i="1" s="1"/>
  <c r="K41" i="1"/>
  <c r="J41" i="1"/>
  <c r="I41" i="1"/>
  <c r="H41" i="1"/>
  <c r="G41" i="1"/>
  <c r="C41" i="1"/>
  <c r="F41" i="1" s="1"/>
  <c r="B41" i="1"/>
  <c r="A41" i="1"/>
  <c r="L40" i="1"/>
  <c r="M40" i="1" s="1"/>
  <c r="J40" i="1"/>
  <c r="H40" i="1"/>
  <c r="G40" i="1"/>
  <c r="I40" i="1" s="1"/>
  <c r="K40" i="1" s="1"/>
  <c r="F40" i="1"/>
  <c r="E40" i="1"/>
  <c r="D40" i="1"/>
  <c r="C40" i="1"/>
  <c r="B40" i="1"/>
  <c r="A40" i="1"/>
  <c r="L39" i="1"/>
  <c r="M39" i="1" s="1"/>
  <c r="J39" i="1"/>
  <c r="H39" i="1"/>
  <c r="G39" i="1"/>
  <c r="I39" i="1" s="1"/>
  <c r="K39" i="1" s="1"/>
  <c r="F39" i="1"/>
  <c r="E39" i="1"/>
  <c r="D39" i="1"/>
  <c r="C39" i="1"/>
  <c r="B39" i="1"/>
  <c r="A39" i="1"/>
  <c r="L38" i="1"/>
  <c r="M38" i="1" s="1"/>
  <c r="J38" i="1"/>
  <c r="I38" i="1"/>
  <c r="K38" i="1" s="1"/>
  <c r="H38" i="1"/>
  <c r="G38" i="1"/>
  <c r="C38" i="1"/>
  <c r="B38" i="1"/>
  <c r="A38" i="1"/>
  <c r="M37" i="1"/>
  <c r="L37" i="1"/>
  <c r="J37" i="1"/>
  <c r="I37" i="1"/>
  <c r="K37" i="1" s="1"/>
  <c r="H37" i="1"/>
  <c r="G37" i="1"/>
  <c r="C37" i="1"/>
  <c r="B37" i="1"/>
  <c r="A37" i="1"/>
  <c r="L36" i="1"/>
  <c r="M36" i="1" s="1"/>
  <c r="J36" i="1"/>
  <c r="K36" i="1" s="1"/>
  <c r="I36" i="1"/>
  <c r="H36" i="1"/>
  <c r="G36" i="1"/>
  <c r="E36" i="1"/>
  <c r="D36" i="1"/>
  <c r="C36" i="1"/>
  <c r="F36" i="1" s="1"/>
  <c r="B36" i="1"/>
  <c r="A36" i="1"/>
  <c r="L35" i="1"/>
  <c r="M35" i="1" s="1"/>
  <c r="J35" i="1"/>
  <c r="I35" i="1"/>
  <c r="K35" i="1" s="1"/>
  <c r="H35" i="1"/>
  <c r="G35" i="1"/>
  <c r="F35" i="1"/>
  <c r="E35" i="1"/>
  <c r="D35" i="1"/>
  <c r="C35" i="1"/>
  <c r="B35" i="1"/>
  <c r="A35" i="1"/>
  <c r="L34" i="1"/>
  <c r="M34" i="1" s="1"/>
  <c r="J34" i="1"/>
  <c r="K34" i="1" s="1"/>
  <c r="H34" i="1"/>
  <c r="G34" i="1"/>
  <c r="I34" i="1" s="1"/>
  <c r="F34" i="1"/>
  <c r="E34" i="1"/>
  <c r="D34" i="1"/>
  <c r="C34" i="1"/>
  <c r="B34" i="1"/>
  <c r="A34" i="1"/>
  <c r="L33" i="1"/>
  <c r="M33" i="1" s="1"/>
  <c r="K33" i="1"/>
  <c r="J33" i="1"/>
  <c r="H33" i="1"/>
  <c r="G33" i="1"/>
  <c r="I33" i="1" s="1"/>
  <c r="F33" i="1"/>
  <c r="E33" i="1"/>
  <c r="C33" i="1"/>
  <c r="D33" i="1" s="1"/>
  <c r="B33" i="1"/>
  <c r="A33" i="1"/>
  <c r="L32" i="1"/>
  <c r="M32" i="1" s="1"/>
  <c r="J32" i="1"/>
  <c r="I32" i="1"/>
  <c r="K32" i="1" s="1"/>
  <c r="H32" i="1"/>
  <c r="G32" i="1"/>
  <c r="F32" i="1"/>
  <c r="D32" i="1"/>
  <c r="C32" i="1"/>
  <c r="E32" i="1" s="1"/>
  <c r="B32" i="1"/>
  <c r="A32" i="1"/>
  <c r="M31" i="1"/>
  <c r="L31" i="1"/>
  <c r="J31" i="1"/>
  <c r="H31" i="1"/>
  <c r="G31" i="1"/>
  <c r="I31" i="1" s="1"/>
  <c r="K31" i="1" s="1"/>
  <c r="C31" i="1"/>
  <c r="F31" i="1" s="1"/>
  <c r="B31" i="1"/>
  <c r="A31" i="1"/>
  <c r="M30" i="1"/>
  <c r="L30" i="1"/>
  <c r="J30" i="1"/>
  <c r="I30" i="1"/>
  <c r="K30" i="1" s="1"/>
  <c r="H30" i="1"/>
  <c r="G30" i="1"/>
  <c r="E30" i="1"/>
  <c r="D30" i="1"/>
  <c r="C30" i="1"/>
  <c r="F30" i="1" s="1"/>
  <c r="B30" i="1"/>
  <c r="A30" i="1"/>
  <c r="L29" i="1"/>
  <c r="M29" i="1" s="1"/>
  <c r="J29" i="1"/>
  <c r="H29" i="1"/>
  <c r="G29" i="1"/>
  <c r="I29" i="1" s="1"/>
  <c r="K29" i="1" s="1"/>
  <c r="E29" i="1"/>
  <c r="D29" i="1"/>
  <c r="C29" i="1"/>
  <c r="F29" i="1" s="1"/>
  <c r="B29" i="1"/>
  <c r="A29" i="1"/>
  <c r="M28" i="1"/>
  <c r="L28" i="1"/>
  <c r="J28" i="1"/>
  <c r="H28" i="1"/>
  <c r="G28" i="1"/>
  <c r="I28" i="1" s="1"/>
  <c r="K28" i="1" s="1"/>
  <c r="F28" i="1"/>
  <c r="E28" i="1"/>
  <c r="D28" i="1"/>
  <c r="C28" i="1"/>
  <c r="B28" i="1"/>
  <c r="A28" i="1"/>
  <c r="M27" i="1"/>
  <c r="L27" i="1"/>
  <c r="J27" i="1"/>
  <c r="I27" i="1"/>
  <c r="K27" i="1" s="1"/>
  <c r="H27" i="1"/>
  <c r="G27" i="1"/>
  <c r="F27" i="1"/>
  <c r="E27" i="1"/>
  <c r="D27" i="1"/>
  <c r="C27" i="1"/>
  <c r="B27" i="1"/>
  <c r="A27" i="1"/>
  <c r="L26" i="1"/>
  <c r="M26" i="1" s="1"/>
  <c r="J26" i="1"/>
  <c r="I26" i="1"/>
  <c r="K26" i="1" s="1"/>
  <c r="H26" i="1"/>
  <c r="G26" i="1"/>
  <c r="C26" i="1"/>
  <c r="B26" i="1"/>
  <c r="A26" i="1"/>
  <c r="M25" i="1"/>
  <c r="L25" i="1"/>
  <c r="J25" i="1"/>
  <c r="H25" i="1"/>
  <c r="G25" i="1"/>
  <c r="I25" i="1" s="1"/>
  <c r="K25" i="1" s="1"/>
  <c r="C25" i="1"/>
  <c r="B25" i="1"/>
  <c r="A25" i="1"/>
  <c r="L24" i="1"/>
  <c r="M24" i="1" s="1"/>
  <c r="J24" i="1"/>
  <c r="I24" i="1"/>
  <c r="K24" i="1" s="1"/>
  <c r="H24" i="1"/>
  <c r="G24" i="1"/>
  <c r="E24" i="1"/>
  <c r="D24" i="1"/>
  <c r="C24" i="1"/>
  <c r="F24" i="1" s="1"/>
  <c r="B24" i="1"/>
  <c r="A24" i="1"/>
  <c r="L23" i="1"/>
  <c r="M23" i="1" s="1"/>
  <c r="J23" i="1"/>
  <c r="I23" i="1"/>
  <c r="K23" i="1" s="1"/>
  <c r="H23" i="1"/>
  <c r="G23" i="1"/>
  <c r="F23" i="1"/>
  <c r="E23" i="1"/>
  <c r="C23" i="1"/>
  <c r="D23" i="1" s="1"/>
  <c r="B23" i="1"/>
  <c r="A23" i="1"/>
  <c r="M22" i="1"/>
  <c r="L22" i="1"/>
  <c r="J22" i="1"/>
  <c r="H22" i="1"/>
  <c r="G22" i="1"/>
  <c r="I22" i="1" s="1"/>
  <c r="K22" i="1" s="1"/>
  <c r="F22" i="1"/>
  <c r="E22" i="1"/>
  <c r="D22" i="1"/>
  <c r="C22" i="1"/>
  <c r="B22" i="1"/>
  <c r="A22" i="1"/>
  <c r="M21" i="1"/>
  <c r="L21" i="1"/>
  <c r="J21" i="1"/>
  <c r="H21" i="1"/>
  <c r="G21" i="1"/>
  <c r="I21" i="1" s="1"/>
  <c r="K21" i="1" s="1"/>
  <c r="F21" i="1"/>
  <c r="E21" i="1"/>
  <c r="C21" i="1"/>
  <c r="D21" i="1" s="1"/>
  <c r="B21" i="1"/>
  <c r="A21" i="1"/>
  <c r="L20" i="1"/>
  <c r="M20" i="1" s="1"/>
  <c r="J20" i="1"/>
  <c r="I20" i="1"/>
  <c r="K20" i="1" s="1"/>
  <c r="H20" i="1"/>
  <c r="G20" i="1"/>
  <c r="C20" i="1"/>
  <c r="E20" i="1" s="1"/>
  <c r="B20" i="1"/>
  <c r="A20" i="1"/>
  <c r="M19" i="1"/>
  <c r="L19" i="1"/>
  <c r="J19" i="1"/>
  <c r="H19" i="1"/>
  <c r="G19" i="1"/>
  <c r="I19" i="1" s="1"/>
  <c r="K19" i="1" s="1"/>
  <c r="C19" i="1"/>
  <c r="F19" i="1" s="1"/>
  <c r="B19" i="1"/>
  <c r="A19" i="1"/>
  <c r="M18" i="1"/>
  <c r="L18" i="1"/>
  <c r="J18" i="1"/>
  <c r="K18" i="1" s="1"/>
  <c r="I18" i="1"/>
  <c r="H18" i="1"/>
  <c r="G18" i="1"/>
  <c r="C18" i="1"/>
  <c r="D18" i="1" s="1"/>
  <c r="B18" i="1"/>
  <c r="A18" i="1"/>
  <c r="L17" i="1"/>
  <c r="M17" i="1" s="1"/>
  <c r="J17" i="1"/>
  <c r="H17" i="1"/>
  <c r="G17" i="1"/>
  <c r="I17" i="1" s="1"/>
  <c r="K17" i="1" s="1"/>
  <c r="C17" i="1"/>
  <c r="D17" i="1" s="1"/>
  <c r="B17" i="1"/>
  <c r="A17" i="1"/>
  <c r="M16" i="1"/>
  <c r="L16" i="1"/>
  <c r="K16" i="1"/>
  <c r="J16" i="1"/>
  <c r="H16" i="1"/>
  <c r="G16" i="1"/>
  <c r="I16" i="1" s="1"/>
  <c r="C16" i="1"/>
  <c r="F16" i="1" s="1"/>
  <c r="B16" i="1"/>
  <c r="A16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L14" i="1"/>
  <c r="M14" i="1" s="1"/>
  <c r="J14" i="1"/>
  <c r="I14" i="1"/>
  <c r="K14" i="1" s="1"/>
  <c r="H14" i="1"/>
  <c r="G14" i="1"/>
  <c r="C14" i="1"/>
  <c r="D14" i="1" s="1"/>
  <c r="B14" i="1"/>
  <c r="A14" i="1"/>
  <c r="M13" i="1"/>
  <c r="L13" i="1"/>
  <c r="K13" i="1"/>
  <c r="J13" i="1"/>
  <c r="I13" i="1"/>
  <c r="H13" i="1"/>
  <c r="G13" i="1"/>
  <c r="C13" i="1"/>
  <c r="E13" i="1" s="1"/>
  <c r="B13" i="1"/>
  <c r="A13" i="1"/>
  <c r="L12" i="1"/>
  <c r="M12" i="1" s="1"/>
  <c r="J12" i="1"/>
  <c r="H12" i="1"/>
  <c r="G12" i="1"/>
  <c r="I12" i="1" s="1"/>
  <c r="K12" i="1" s="1"/>
  <c r="C12" i="1"/>
  <c r="F12" i="1" s="1"/>
  <c r="B12" i="1"/>
  <c r="A12" i="1"/>
  <c r="L11" i="1"/>
  <c r="M11" i="1" s="1"/>
  <c r="J11" i="1"/>
  <c r="K11" i="1" s="1"/>
  <c r="I11" i="1"/>
  <c r="H11" i="1"/>
  <c r="G11" i="1"/>
  <c r="C11" i="1"/>
  <c r="D11" i="1" s="1"/>
  <c r="B11" i="1"/>
  <c r="A11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M9" i="1" s="1"/>
  <c r="J9" i="1"/>
  <c r="H9" i="1"/>
  <c r="G9" i="1"/>
  <c r="I9" i="1" s="1"/>
  <c r="K9" i="1" s="1"/>
  <c r="C9" i="1"/>
  <c r="D9" i="1" s="1"/>
  <c r="B9" i="1"/>
  <c r="A9" i="1"/>
  <c r="M8" i="1"/>
  <c r="L8" i="1"/>
  <c r="K8" i="1"/>
  <c r="J8" i="1"/>
  <c r="I8" i="1"/>
  <c r="H8" i="1"/>
  <c r="G8" i="1"/>
  <c r="C8" i="1"/>
  <c r="E8" i="1" s="1"/>
  <c r="B8" i="1"/>
  <c r="A8" i="1"/>
  <c r="M7" i="1"/>
  <c r="L7" i="1"/>
  <c r="J7" i="1"/>
  <c r="H7" i="1"/>
  <c r="G7" i="1"/>
  <c r="I7" i="1" s="1"/>
  <c r="K7" i="1" s="1"/>
  <c r="C7" i="1"/>
  <c r="F7" i="1" s="1"/>
  <c r="B7" i="1"/>
  <c r="A7" i="1"/>
  <c r="M6" i="1"/>
  <c r="L6" i="1"/>
  <c r="J6" i="1"/>
  <c r="K6" i="1" s="1"/>
  <c r="I6" i="1"/>
  <c r="H6" i="1"/>
  <c r="G6" i="1"/>
  <c r="C6" i="1"/>
  <c r="D6" i="1" s="1"/>
  <c r="B6" i="1"/>
  <c r="A6" i="1"/>
  <c r="L5" i="1"/>
  <c r="M5" i="1" s="1"/>
  <c r="J5" i="1"/>
  <c r="H5" i="1"/>
  <c r="G5" i="1"/>
  <c r="I5" i="1" s="1"/>
  <c r="C5" i="1"/>
  <c r="E5" i="1" s="1"/>
  <c r="B5" i="1"/>
  <c r="A5" i="1"/>
  <c r="M4" i="1"/>
  <c r="L4" i="1"/>
  <c r="K4" i="1"/>
  <c r="J4" i="1"/>
  <c r="H4" i="1"/>
  <c r="G4" i="1"/>
  <c r="I4" i="1" s="1"/>
  <c r="C4" i="1"/>
  <c r="D4" i="1" s="1"/>
  <c r="B4" i="1"/>
  <c r="A4" i="1"/>
  <c r="M3" i="1"/>
  <c r="L3" i="1"/>
  <c r="K3" i="1"/>
  <c r="J3" i="1"/>
  <c r="I3" i="1"/>
  <c r="H3" i="1"/>
  <c r="G3" i="1"/>
  <c r="F3" i="1"/>
  <c r="E3" i="1"/>
  <c r="D3" i="1"/>
  <c r="C3" i="1"/>
  <c r="B3" i="1"/>
  <c r="A3" i="1"/>
  <c r="L2" i="1"/>
  <c r="M2" i="1" s="1"/>
  <c r="J2" i="1"/>
  <c r="I2" i="1"/>
  <c r="K2" i="1" s="1"/>
  <c r="H2" i="1"/>
  <c r="G2" i="1"/>
  <c r="C2" i="1"/>
  <c r="D2" i="1" s="1"/>
  <c r="B2" i="1"/>
  <c r="A2" i="1"/>
  <c r="K5" i="1" l="1"/>
  <c r="O1" i="1"/>
  <c r="D5" i="1"/>
  <c r="E26" i="1"/>
  <c r="D26" i="1"/>
  <c r="F84" i="1"/>
  <c r="D84" i="1"/>
  <c r="F25" i="1"/>
  <c r="E25" i="1"/>
  <c r="F26" i="1"/>
  <c r="D25" i="1"/>
  <c r="E31" i="1"/>
  <c r="E44" i="1"/>
  <c r="D44" i="1"/>
  <c r="D60" i="1"/>
  <c r="K77" i="1"/>
  <c r="D83" i="1"/>
  <c r="F118" i="1"/>
  <c r="D134" i="1"/>
  <c r="E134" i="1"/>
  <c r="E193" i="1"/>
  <c r="D193" i="1"/>
  <c r="F193" i="1"/>
  <c r="E2" i="1"/>
  <c r="D20" i="1"/>
  <c r="D116" i="1"/>
  <c r="E116" i="1"/>
  <c r="E6" i="1"/>
  <c r="E16" i="1"/>
  <c r="D90" i="1"/>
  <c r="E98" i="1"/>
  <c r="D98" i="1"/>
  <c r="F116" i="1"/>
  <c r="F124" i="1"/>
  <c r="D16" i="1"/>
  <c r="F13" i="1"/>
  <c r="E18" i="1"/>
  <c r="D41" i="1"/>
  <c r="E71" i="1"/>
  <c r="F4" i="1"/>
  <c r="F6" i="1"/>
  <c r="F11" i="1"/>
  <c r="E12" i="1"/>
  <c r="F17" i="1"/>
  <c r="F18" i="1"/>
  <c r="E19" i="1"/>
  <c r="E38" i="1"/>
  <c r="D38" i="1"/>
  <c r="E41" i="1"/>
  <c r="E42" i="1"/>
  <c r="F55" i="1"/>
  <c r="E55" i="1"/>
  <c r="E68" i="1"/>
  <c r="D68" i="1"/>
  <c r="F71" i="1"/>
  <c r="D89" i="1"/>
  <c r="E90" i="1"/>
  <c r="F98" i="1"/>
  <c r="D140" i="1"/>
  <c r="E140" i="1"/>
  <c r="F167" i="1"/>
  <c r="E167" i="1"/>
  <c r="D167" i="1"/>
  <c r="E124" i="1"/>
  <c r="E4" i="1"/>
  <c r="D7" i="1"/>
  <c r="E11" i="1"/>
  <c r="D19" i="1"/>
  <c r="D42" i="1"/>
  <c r="F5" i="1"/>
  <c r="E7" i="1"/>
  <c r="F38" i="1"/>
  <c r="D53" i="1"/>
  <c r="D54" i="1"/>
  <c r="D55" i="1"/>
  <c r="F68" i="1"/>
  <c r="F79" i="1"/>
  <c r="E79" i="1"/>
  <c r="E89" i="1"/>
  <c r="K101" i="1"/>
  <c r="E106" i="1"/>
  <c r="D122" i="1"/>
  <c r="E122" i="1"/>
  <c r="E130" i="1"/>
  <c r="F140" i="1"/>
  <c r="E148" i="1"/>
  <c r="F156" i="1"/>
  <c r="D156" i="1"/>
  <c r="E181" i="1"/>
  <c r="D181" i="1"/>
  <c r="F181" i="1"/>
  <c r="F378" i="1"/>
  <c r="D378" i="1"/>
  <c r="E378" i="1"/>
  <c r="E9" i="1"/>
  <c r="F67" i="1"/>
  <c r="E67" i="1"/>
  <c r="E86" i="1"/>
  <c r="D86" i="1"/>
  <c r="F106" i="1"/>
  <c r="F130" i="1"/>
  <c r="F148" i="1"/>
  <c r="E156" i="1"/>
  <c r="E477" i="1"/>
  <c r="D477" i="1"/>
  <c r="F477" i="1"/>
  <c r="F483" i="1"/>
  <c r="E483" i="1"/>
  <c r="D483" i="1"/>
  <c r="F43" i="1"/>
  <c r="E43" i="1"/>
  <c r="E56" i="1"/>
  <c r="D56" i="1"/>
  <c r="F2" i="1"/>
  <c r="F8" i="1"/>
  <c r="F9" i="1"/>
  <c r="D12" i="1"/>
  <c r="F14" i="1"/>
  <c r="E17" i="1"/>
  <c r="F20" i="1"/>
  <c r="F37" i="1"/>
  <c r="E37" i="1"/>
  <c r="E50" i="1"/>
  <c r="D50" i="1"/>
  <c r="D37" i="1"/>
  <c r="F50" i="1"/>
  <c r="D65" i="1"/>
  <c r="D66" i="1"/>
  <c r="D67" i="1"/>
  <c r="D77" i="1"/>
  <c r="E78" i="1"/>
  <c r="K79" i="1"/>
  <c r="F86" i="1"/>
  <c r="F96" i="1"/>
  <c r="D96" i="1"/>
  <c r="K156" i="1"/>
  <c r="F166" i="1"/>
  <c r="E166" i="1"/>
  <c r="D166" i="1"/>
  <c r="E205" i="1"/>
  <c r="D205" i="1"/>
  <c r="F205" i="1"/>
  <c r="K441" i="1"/>
  <c r="E508" i="1"/>
  <c r="D508" i="1"/>
  <c r="F508" i="1"/>
  <c r="E80" i="1"/>
  <c r="D80" i="1"/>
  <c r="F91" i="1"/>
  <c r="E91" i="1"/>
  <c r="F178" i="1"/>
  <c r="E178" i="1"/>
  <c r="D178" i="1"/>
  <c r="F49" i="1"/>
  <c r="E49" i="1"/>
  <c r="E62" i="1"/>
  <c r="D62" i="1"/>
  <c r="D104" i="1"/>
  <c r="E104" i="1"/>
  <c r="D128" i="1"/>
  <c r="E128" i="1"/>
  <c r="D146" i="1"/>
  <c r="E146" i="1"/>
  <c r="E160" i="1"/>
  <c r="D160" i="1"/>
  <c r="F72" i="1"/>
  <c r="D72" i="1"/>
  <c r="D8" i="1"/>
  <c r="D13" i="1"/>
  <c r="D49" i="1"/>
  <c r="F62" i="1"/>
  <c r="E74" i="1"/>
  <c r="D74" i="1"/>
  <c r="K89" i="1"/>
  <c r="D95" i="1"/>
  <c r="K97" i="1"/>
  <c r="F104" i="1"/>
  <c r="F128" i="1"/>
  <c r="E136" i="1"/>
  <c r="F146" i="1"/>
  <c r="F160" i="1"/>
  <c r="F190" i="1"/>
  <c r="E190" i="1"/>
  <c r="D190" i="1"/>
  <c r="E169" i="1"/>
  <c r="D169" i="1"/>
  <c r="F169" i="1"/>
  <c r="E14" i="1"/>
  <c r="F61" i="1"/>
  <c r="E61" i="1"/>
  <c r="D31" i="1"/>
  <c r="D61" i="1"/>
  <c r="E84" i="1"/>
  <c r="E92" i="1"/>
  <c r="D92" i="1"/>
  <c r="D110" i="1"/>
  <c r="E110" i="1"/>
  <c r="E118" i="1"/>
  <c r="F154" i="1"/>
  <c r="F179" i="1"/>
  <c r="E179" i="1"/>
  <c r="D179" i="1"/>
  <c r="F157" i="1"/>
  <c r="D173" i="1"/>
  <c r="D185" i="1"/>
  <c r="D197" i="1"/>
  <c r="D209" i="1"/>
  <c r="D221" i="1"/>
  <c r="D233" i="1"/>
  <c r="D245" i="1"/>
  <c r="D257" i="1"/>
  <c r="D269" i="1"/>
  <c r="D281" i="1"/>
  <c r="D293" i="1"/>
  <c r="D305" i="1"/>
  <c r="D317" i="1"/>
  <c r="D329" i="1"/>
  <c r="D341" i="1"/>
  <c r="E352" i="1"/>
  <c r="E385" i="1"/>
  <c r="F391" i="1"/>
  <c r="D391" i="1"/>
  <c r="E397" i="1"/>
  <c r="F403" i="1"/>
  <c r="D403" i="1"/>
  <c r="E409" i="1"/>
  <c r="F415" i="1"/>
  <c r="D415" i="1"/>
  <c r="E421" i="1"/>
  <c r="F427" i="1"/>
  <c r="D427" i="1"/>
  <c r="E433" i="1"/>
  <c r="F439" i="1"/>
  <c r="D439" i="1"/>
  <c r="E465" i="1"/>
  <c r="D465" i="1"/>
  <c r="F465" i="1"/>
  <c r="F471" i="1"/>
  <c r="E471" i="1"/>
  <c r="E496" i="1"/>
  <c r="D496" i="1"/>
  <c r="K504" i="1"/>
  <c r="E520" i="1"/>
  <c r="D520" i="1"/>
  <c r="E217" i="1"/>
  <c r="D217" i="1"/>
  <c r="E229" i="1"/>
  <c r="D229" i="1"/>
  <c r="E241" i="1"/>
  <c r="D241" i="1"/>
  <c r="E253" i="1"/>
  <c r="D253" i="1"/>
  <c r="E265" i="1"/>
  <c r="D265" i="1"/>
  <c r="E277" i="1"/>
  <c r="D277" i="1"/>
  <c r="E289" i="1"/>
  <c r="D289" i="1"/>
  <c r="E301" i="1"/>
  <c r="D301" i="1"/>
  <c r="E313" i="1"/>
  <c r="D313" i="1"/>
  <c r="E325" i="1"/>
  <c r="D325" i="1"/>
  <c r="E337" i="1"/>
  <c r="D337" i="1"/>
  <c r="E349" i="1"/>
  <c r="D349" i="1"/>
  <c r="F451" i="1"/>
  <c r="D451" i="1"/>
  <c r="E489" i="1"/>
  <c r="D489" i="1"/>
  <c r="F489" i="1"/>
  <c r="F495" i="1"/>
  <c r="E495" i="1"/>
  <c r="F217" i="1"/>
  <c r="F229" i="1"/>
  <c r="F241" i="1"/>
  <c r="F253" i="1"/>
  <c r="F265" i="1"/>
  <c r="F277" i="1"/>
  <c r="F289" i="1"/>
  <c r="F301" i="1"/>
  <c r="F313" i="1"/>
  <c r="F325" i="1"/>
  <c r="F337" i="1"/>
  <c r="F349" i="1"/>
  <c r="E371" i="1"/>
  <c r="K386" i="1"/>
  <c r="K398" i="1"/>
  <c r="K410" i="1"/>
  <c r="K422" i="1"/>
  <c r="K434" i="1"/>
  <c r="E451" i="1"/>
  <c r="E457" i="1"/>
  <c r="F463" i="1"/>
  <c r="D463" i="1"/>
  <c r="K465" i="1"/>
  <c r="D495" i="1"/>
  <c r="E501" i="1"/>
  <c r="D501" i="1"/>
  <c r="F501" i="1"/>
  <c r="F507" i="1"/>
  <c r="E507" i="1"/>
  <c r="F519" i="1"/>
  <c r="E519" i="1"/>
  <c r="F168" i="1"/>
  <c r="E168" i="1"/>
  <c r="F180" i="1"/>
  <c r="E180" i="1"/>
  <c r="F192" i="1"/>
  <c r="E192" i="1"/>
  <c r="F204" i="1"/>
  <c r="E204" i="1"/>
  <c r="F216" i="1"/>
  <c r="E216" i="1"/>
  <c r="F228" i="1"/>
  <c r="E228" i="1"/>
  <c r="F240" i="1"/>
  <c r="E240" i="1"/>
  <c r="F252" i="1"/>
  <c r="E252" i="1"/>
  <c r="F264" i="1"/>
  <c r="E264" i="1"/>
  <c r="F276" i="1"/>
  <c r="E276" i="1"/>
  <c r="F288" i="1"/>
  <c r="E288" i="1"/>
  <c r="F300" i="1"/>
  <c r="E300" i="1"/>
  <c r="F312" i="1"/>
  <c r="E312" i="1"/>
  <c r="F324" i="1"/>
  <c r="E324" i="1"/>
  <c r="F336" i="1"/>
  <c r="E336" i="1"/>
  <c r="F348" i="1"/>
  <c r="E348" i="1"/>
  <c r="F364" i="1"/>
  <c r="D364" i="1"/>
  <c r="F371" i="1"/>
  <c r="F457" i="1"/>
  <c r="F475" i="1"/>
  <c r="D475" i="1"/>
  <c r="K477" i="1"/>
  <c r="E513" i="1"/>
  <c r="D513" i="1"/>
  <c r="F513" i="1"/>
  <c r="F535" i="1"/>
  <c r="E535" i="1"/>
  <c r="D535" i="1"/>
  <c r="K537" i="1"/>
  <c r="F487" i="1"/>
  <c r="D487" i="1"/>
  <c r="F547" i="1"/>
  <c r="E547" i="1"/>
  <c r="D547" i="1"/>
  <c r="D191" i="1"/>
  <c r="D202" i="1"/>
  <c r="D203" i="1"/>
  <c r="D214" i="1"/>
  <c r="D215" i="1"/>
  <c r="D226" i="1"/>
  <c r="D227" i="1"/>
  <c r="D238" i="1"/>
  <c r="D239" i="1"/>
  <c r="D250" i="1"/>
  <c r="D251" i="1"/>
  <c r="D262" i="1"/>
  <c r="D263" i="1"/>
  <c r="D274" i="1"/>
  <c r="D275" i="1"/>
  <c r="D286" i="1"/>
  <c r="D287" i="1"/>
  <c r="D298" i="1"/>
  <c r="D299" i="1"/>
  <c r="D310" i="1"/>
  <c r="D311" i="1"/>
  <c r="D322" i="1"/>
  <c r="D323" i="1"/>
  <c r="D334" i="1"/>
  <c r="D335" i="1"/>
  <c r="D346" i="1"/>
  <c r="D347" i="1"/>
  <c r="K372" i="1"/>
  <c r="K377" i="1"/>
  <c r="E388" i="1"/>
  <c r="D388" i="1"/>
  <c r="E400" i="1"/>
  <c r="D400" i="1"/>
  <c r="E412" i="1"/>
  <c r="D412" i="1"/>
  <c r="E424" i="1"/>
  <c r="D424" i="1"/>
  <c r="E436" i="1"/>
  <c r="D436" i="1"/>
  <c r="K444" i="1"/>
  <c r="E487" i="1"/>
  <c r="F499" i="1"/>
  <c r="D499" i="1"/>
  <c r="K501" i="1"/>
  <c r="F523" i="1"/>
  <c r="E523" i="1"/>
  <c r="D523" i="1"/>
  <c r="F559" i="1"/>
  <c r="E559" i="1"/>
  <c r="D559" i="1"/>
  <c r="D163" i="1"/>
  <c r="E163" i="1"/>
  <c r="E191" i="1"/>
  <c r="E202" i="1"/>
  <c r="E203" i="1"/>
  <c r="E214" i="1"/>
  <c r="E215" i="1"/>
  <c r="E226" i="1"/>
  <c r="E227" i="1"/>
  <c r="E238" i="1"/>
  <c r="E239" i="1"/>
  <c r="E250" i="1"/>
  <c r="E251" i="1"/>
  <c r="E262" i="1"/>
  <c r="E263" i="1"/>
  <c r="E274" i="1"/>
  <c r="E275" i="1"/>
  <c r="E286" i="1"/>
  <c r="E287" i="1"/>
  <c r="E298" i="1"/>
  <c r="E299" i="1"/>
  <c r="E310" i="1"/>
  <c r="E311" i="1"/>
  <c r="E322" i="1"/>
  <c r="E323" i="1"/>
  <c r="E334" i="1"/>
  <c r="E335" i="1"/>
  <c r="E346" i="1"/>
  <c r="E347" i="1"/>
  <c r="E354" i="1"/>
  <c r="D354" i="1"/>
  <c r="F354" i="1"/>
  <c r="E448" i="1"/>
  <c r="D448" i="1"/>
  <c r="F511" i="1"/>
  <c r="D511" i="1"/>
  <c r="K513" i="1"/>
  <c r="E162" i="1"/>
  <c r="F162" i="1"/>
  <c r="D175" i="1"/>
  <c r="E175" i="1"/>
  <c r="D199" i="1"/>
  <c r="E199" i="1"/>
  <c r="D211" i="1"/>
  <c r="E211" i="1"/>
  <c r="D223" i="1"/>
  <c r="E223" i="1"/>
  <c r="D235" i="1"/>
  <c r="E235" i="1"/>
  <c r="D247" i="1"/>
  <c r="E247" i="1"/>
  <c r="D259" i="1"/>
  <c r="E259" i="1"/>
  <c r="D271" i="1"/>
  <c r="E271" i="1"/>
  <c r="D283" i="1"/>
  <c r="E283" i="1"/>
  <c r="D295" i="1"/>
  <c r="E295" i="1"/>
  <c r="D307" i="1"/>
  <c r="E307" i="1"/>
  <c r="D319" i="1"/>
  <c r="E319" i="1"/>
  <c r="D331" i="1"/>
  <c r="E331" i="1"/>
  <c r="D343" i="1"/>
  <c r="E343" i="1"/>
  <c r="E361" i="1"/>
  <c r="D361" i="1"/>
  <c r="K370" i="1"/>
  <c r="K376" i="1"/>
  <c r="E381" i="1"/>
  <c r="D381" i="1"/>
  <c r="F381" i="1"/>
  <c r="F387" i="1"/>
  <c r="E387" i="1"/>
  <c r="E393" i="1"/>
  <c r="D393" i="1"/>
  <c r="F393" i="1"/>
  <c r="F399" i="1"/>
  <c r="E399" i="1"/>
  <c r="E405" i="1"/>
  <c r="D405" i="1"/>
  <c r="F405" i="1"/>
  <c r="F411" i="1"/>
  <c r="E411" i="1"/>
  <c r="E417" i="1"/>
  <c r="D417" i="1"/>
  <c r="F417" i="1"/>
  <c r="F423" i="1"/>
  <c r="E423" i="1"/>
  <c r="E429" i="1"/>
  <c r="D429" i="1"/>
  <c r="F429" i="1"/>
  <c r="F435" i="1"/>
  <c r="E435" i="1"/>
  <c r="K456" i="1"/>
  <c r="D187" i="1"/>
  <c r="E187" i="1"/>
  <c r="E73" i="1"/>
  <c r="E85" i="1"/>
  <c r="E97" i="1"/>
  <c r="D162" i="1"/>
  <c r="F175" i="1"/>
  <c r="F187" i="1"/>
  <c r="F199" i="1"/>
  <c r="F211" i="1"/>
  <c r="F223" i="1"/>
  <c r="F235" i="1"/>
  <c r="F247" i="1"/>
  <c r="F259" i="1"/>
  <c r="F271" i="1"/>
  <c r="F283" i="1"/>
  <c r="F295" i="1"/>
  <c r="F307" i="1"/>
  <c r="F319" i="1"/>
  <c r="F331" i="1"/>
  <c r="F343" i="1"/>
  <c r="F353" i="1"/>
  <c r="E353" i="1"/>
  <c r="F361" i="1"/>
  <c r="E374" i="1"/>
  <c r="D374" i="1"/>
  <c r="D387" i="1"/>
  <c r="D399" i="1"/>
  <c r="D411" i="1"/>
  <c r="D423" i="1"/>
  <c r="D435" i="1"/>
  <c r="E441" i="1"/>
  <c r="D441" i="1"/>
  <c r="F441" i="1"/>
  <c r="F447" i="1"/>
  <c r="E447" i="1"/>
  <c r="E460" i="1"/>
  <c r="D460" i="1"/>
  <c r="K468" i="1"/>
  <c r="E174" i="1"/>
  <c r="F174" i="1"/>
  <c r="E186" i="1"/>
  <c r="F186" i="1"/>
  <c r="E198" i="1"/>
  <c r="F198" i="1"/>
  <c r="E210" i="1"/>
  <c r="F210" i="1"/>
  <c r="E222" i="1"/>
  <c r="F222" i="1"/>
  <c r="E234" i="1"/>
  <c r="F234" i="1"/>
  <c r="E246" i="1"/>
  <c r="F246" i="1"/>
  <c r="E258" i="1"/>
  <c r="F258" i="1"/>
  <c r="E270" i="1"/>
  <c r="F270" i="1"/>
  <c r="E282" i="1"/>
  <c r="F282" i="1"/>
  <c r="E294" i="1"/>
  <c r="F294" i="1"/>
  <c r="E306" i="1"/>
  <c r="F306" i="1"/>
  <c r="E318" i="1"/>
  <c r="F318" i="1"/>
  <c r="E330" i="1"/>
  <c r="F330" i="1"/>
  <c r="E342" i="1"/>
  <c r="F342" i="1"/>
  <c r="F360" i="1"/>
  <c r="E360" i="1"/>
  <c r="E472" i="1"/>
  <c r="D472" i="1"/>
  <c r="E532" i="1"/>
  <c r="D532" i="1"/>
  <c r="D342" i="1"/>
  <c r="D352" i="1"/>
  <c r="D360" i="1"/>
  <c r="E367" i="1"/>
  <c r="D367" i="1"/>
  <c r="F367" i="1"/>
  <c r="F373" i="1"/>
  <c r="E373" i="1"/>
  <c r="E453" i="1"/>
  <c r="D453" i="1"/>
  <c r="F453" i="1"/>
  <c r="F459" i="1"/>
  <c r="E459" i="1"/>
  <c r="F472" i="1"/>
  <c r="E484" i="1"/>
  <c r="D484" i="1"/>
  <c r="K492" i="1"/>
  <c r="K528" i="1"/>
  <c r="F532" i="1"/>
  <c r="E544" i="1"/>
  <c r="D544" i="1"/>
  <c r="K552" i="1"/>
  <c r="E355" i="1"/>
  <c r="E368" i="1"/>
  <c r="E382" i="1"/>
  <c r="E394" i="1"/>
  <c r="E406" i="1"/>
  <c r="E418" i="1"/>
  <c r="E430" i="1"/>
  <c r="E442" i="1"/>
  <c r="E454" i="1"/>
  <c r="E466" i="1"/>
  <c r="E478" i="1"/>
  <c r="E490" i="1"/>
  <c r="E502" i="1"/>
  <c r="E514" i="1"/>
  <c r="F525" i="1"/>
  <c r="E526" i="1"/>
  <c r="F537" i="1"/>
  <c r="E538" i="1"/>
  <c r="F549" i="1"/>
  <c r="E550" i="1"/>
  <c r="F561" i="1"/>
  <c r="E562" i="1"/>
  <c r="F573" i="1"/>
  <c r="E574" i="1"/>
  <c r="D688" i="1"/>
  <c r="E688" i="1"/>
  <c r="E691" i="1"/>
  <c r="E692" i="1"/>
  <c r="E693" i="1"/>
  <c r="D712" i="1"/>
  <c r="E712" i="1"/>
  <c r="E715" i="1"/>
  <c r="E716" i="1"/>
  <c r="F717" i="1"/>
  <c r="K720" i="1"/>
  <c r="E727" i="1"/>
  <c r="K730" i="1"/>
  <c r="D735" i="1"/>
  <c r="F742" i="1"/>
  <c r="E742" i="1"/>
  <c r="K744" i="1"/>
  <c r="E756" i="1"/>
  <c r="F756" i="1"/>
  <c r="E763" i="1"/>
  <c r="K766" i="1"/>
  <c r="D771" i="1"/>
  <c r="F778" i="1"/>
  <c r="E778" i="1"/>
  <c r="E792" i="1"/>
  <c r="F792" i="1"/>
  <c r="E799" i="1"/>
  <c r="K802" i="1"/>
  <c r="D807" i="1"/>
  <c r="F814" i="1"/>
  <c r="E814" i="1"/>
  <c r="E828" i="1"/>
  <c r="F828" i="1"/>
  <c r="K838" i="1"/>
  <c r="F850" i="1"/>
  <c r="E850" i="1"/>
  <c r="F869" i="1"/>
  <c r="E869" i="1"/>
  <c r="E876" i="1"/>
  <c r="F876" i="1"/>
  <c r="E687" i="1"/>
  <c r="F687" i="1"/>
  <c r="E711" i="1"/>
  <c r="F711" i="1"/>
  <c r="F755" i="1"/>
  <c r="E755" i="1"/>
  <c r="F791" i="1"/>
  <c r="E791" i="1"/>
  <c r="F827" i="1"/>
  <c r="E827" i="1"/>
  <c r="F856" i="1"/>
  <c r="E856" i="1"/>
  <c r="F875" i="1"/>
  <c r="E875" i="1"/>
  <c r="D685" i="1"/>
  <c r="D687" i="1"/>
  <c r="D709" i="1"/>
  <c r="D711" i="1"/>
  <c r="K718" i="1"/>
  <c r="D725" i="1"/>
  <c r="D726" i="1"/>
  <c r="E733" i="1"/>
  <c r="K736" i="1"/>
  <c r="D741" i="1"/>
  <c r="F748" i="1"/>
  <c r="E748" i="1"/>
  <c r="K750" i="1"/>
  <c r="D755" i="1"/>
  <c r="E762" i="1"/>
  <c r="F762" i="1"/>
  <c r="E769" i="1"/>
  <c r="K772" i="1"/>
  <c r="D777" i="1"/>
  <c r="F784" i="1"/>
  <c r="E784" i="1"/>
  <c r="D791" i="1"/>
  <c r="E798" i="1"/>
  <c r="F798" i="1"/>
  <c r="E805" i="1"/>
  <c r="K808" i="1"/>
  <c r="D813" i="1"/>
  <c r="F820" i="1"/>
  <c r="E820" i="1"/>
  <c r="D827" i="1"/>
  <c r="E834" i="1"/>
  <c r="F834" i="1"/>
  <c r="K844" i="1"/>
  <c r="D856" i="1"/>
  <c r="F862" i="1"/>
  <c r="E862" i="1"/>
  <c r="D875" i="1"/>
  <c r="E685" i="1"/>
  <c r="E709" i="1"/>
  <c r="F761" i="1"/>
  <c r="E761" i="1"/>
  <c r="F797" i="1"/>
  <c r="E797" i="1"/>
  <c r="F833" i="1"/>
  <c r="E833" i="1"/>
  <c r="F868" i="1"/>
  <c r="E868" i="1"/>
  <c r="D613" i="1"/>
  <c r="D619" i="1"/>
  <c r="E623" i="1"/>
  <c r="D625" i="1"/>
  <c r="E629" i="1"/>
  <c r="D631" i="1"/>
  <c r="E635" i="1"/>
  <c r="D637" i="1"/>
  <c r="E641" i="1"/>
  <c r="D643" i="1"/>
  <c r="E647" i="1"/>
  <c r="D649" i="1"/>
  <c r="E653" i="1"/>
  <c r="D655" i="1"/>
  <c r="E659" i="1"/>
  <c r="D661" i="1"/>
  <c r="E665" i="1"/>
  <c r="D667" i="1"/>
  <c r="E671" i="1"/>
  <c r="D673" i="1"/>
  <c r="E677" i="1"/>
  <c r="D679" i="1"/>
  <c r="D682" i="1"/>
  <c r="D706" i="1"/>
  <c r="D723" i="1"/>
  <c r="D724" i="1"/>
  <c r="E732" i="1"/>
  <c r="F732" i="1"/>
  <c r="E739" i="1"/>
  <c r="D747" i="1"/>
  <c r="F754" i="1"/>
  <c r="E754" i="1"/>
  <c r="D761" i="1"/>
  <c r="E768" i="1"/>
  <c r="F768" i="1"/>
  <c r="E775" i="1"/>
  <c r="D783" i="1"/>
  <c r="F790" i="1"/>
  <c r="E790" i="1"/>
  <c r="D797" i="1"/>
  <c r="E804" i="1"/>
  <c r="F804" i="1"/>
  <c r="E811" i="1"/>
  <c r="D819" i="1"/>
  <c r="F826" i="1"/>
  <c r="E826" i="1"/>
  <c r="D833" i="1"/>
  <c r="E840" i="1"/>
  <c r="F840" i="1"/>
  <c r="D868" i="1"/>
  <c r="F874" i="1"/>
  <c r="E874" i="1"/>
  <c r="E531" i="1"/>
  <c r="E543" i="1"/>
  <c r="E555" i="1"/>
  <c r="D556" i="1"/>
  <c r="E567" i="1"/>
  <c r="D568" i="1"/>
  <c r="E579" i="1"/>
  <c r="D580" i="1"/>
  <c r="F581" i="1"/>
  <c r="E583" i="1"/>
  <c r="D584" i="1"/>
  <c r="D585" i="1"/>
  <c r="D586" i="1"/>
  <c r="F587" i="1"/>
  <c r="E589" i="1"/>
  <c r="D590" i="1"/>
  <c r="D591" i="1"/>
  <c r="D592" i="1"/>
  <c r="F593" i="1"/>
  <c r="E595" i="1"/>
  <c r="D596" i="1"/>
  <c r="D597" i="1"/>
  <c r="D598" i="1"/>
  <c r="F599" i="1"/>
  <c r="E601" i="1"/>
  <c r="D602" i="1"/>
  <c r="D603" i="1"/>
  <c r="D604" i="1"/>
  <c r="F605" i="1"/>
  <c r="E607" i="1"/>
  <c r="D608" i="1"/>
  <c r="D609" i="1"/>
  <c r="D610" i="1"/>
  <c r="F611" i="1"/>
  <c r="E613" i="1"/>
  <c r="D614" i="1"/>
  <c r="D615" i="1"/>
  <c r="D616" i="1"/>
  <c r="F617" i="1"/>
  <c r="E619" i="1"/>
  <c r="D620" i="1"/>
  <c r="D621" i="1"/>
  <c r="D622" i="1"/>
  <c r="F623" i="1"/>
  <c r="E625" i="1"/>
  <c r="D626" i="1"/>
  <c r="D627" i="1"/>
  <c r="D628" i="1"/>
  <c r="F629" i="1"/>
  <c r="E631" i="1"/>
  <c r="D632" i="1"/>
  <c r="D633" i="1"/>
  <c r="D634" i="1"/>
  <c r="F635" i="1"/>
  <c r="E637" i="1"/>
  <c r="D638" i="1"/>
  <c r="D639" i="1"/>
  <c r="D640" i="1"/>
  <c r="F641" i="1"/>
  <c r="E643" i="1"/>
  <c r="D644" i="1"/>
  <c r="D645" i="1"/>
  <c r="D646" i="1"/>
  <c r="F647" i="1"/>
  <c r="E649" i="1"/>
  <c r="D650" i="1"/>
  <c r="D651" i="1"/>
  <c r="D652" i="1"/>
  <c r="F653" i="1"/>
  <c r="E655" i="1"/>
  <c r="D656" i="1"/>
  <c r="D657" i="1"/>
  <c r="D658" i="1"/>
  <c r="F659" i="1"/>
  <c r="E661" i="1"/>
  <c r="D662" i="1"/>
  <c r="D663" i="1"/>
  <c r="D664" i="1"/>
  <c r="F665" i="1"/>
  <c r="E667" i="1"/>
  <c r="D668" i="1"/>
  <c r="D669" i="1"/>
  <c r="D670" i="1"/>
  <c r="F671" i="1"/>
  <c r="E673" i="1"/>
  <c r="D674" i="1"/>
  <c r="D675" i="1"/>
  <c r="D676" i="1"/>
  <c r="F677" i="1"/>
  <c r="E679" i="1"/>
  <c r="D680" i="1"/>
  <c r="D681" i="1"/>
  <c r="F682" i="1"/>
  <c r="D703" i="1"/>
  <c r="D704" i="1"/>
  <c r="D705" i="1"/>
  <c r="F706" i="1"/>
  <c r="E723" i="1"/>
  <c r="E724" i="1"/>
  <c r="F731" i="1"/>
  <c r="E731" i="1"/>
  <c r="D732" i="1"/>
  <c r="F739" i="1"/>
  <c r="E747" i="1"/>
  <c r="D754" i="1"/>
  <c r="F767" i="1"/>
  <c r="E767" i="1"/>
  <c r="D768" i="1"/>
  <c r="F775" i="1"/>
  <c r="E783" i="1"/>
  <c r="D790" i="1"/>
  <c r="F803" i="1"/>
  <c r="E803" i="1"/>
  <c r="D804" i="1"/>
  <c r="F811" i="1"/>
  <c r="E819" i="1"/>
  <c r="D826" i="1"/>
  <c r="F839" i="1"/>
  <c r="E839" i="1"/>
  <c r="D840" i="1"/>
  <c r="D874" i="1"/>
  <c r="F580" i="1"/>
  <c r="E585" i="1"/>
  <c r="F586" i="1"/>
  <c r="E591" i="1"/>
  <c r="F592" i="1"/>
  <c r="E597" i="1"/>
  <c r="F598" i="1"/>
  <c r="E603" i="1"/>
  <c r="F604" i="1"/>
  <c r="E609" i="1"/>
  <c r="F610" i="1"/>
  <c r="E615" i="1"/>
  <c r="F616" i="1"/>
  <c r="E621" i="1"/>
  <c r="F622" i="1"/>
  <c r="E627" i="1"/>
  <c r="F628" i="1"/>
  <c r="E633" i="1"/>
  <c r="F634" i="1"/>
  <c r="E639" i="1"/>
  <c r="F640" i="1"/>
  <c r="E645" i="1"/>
  <c r="F646" i="1"/>
  <c r="E651" i="1"/>
  <c r="F652" i="1"/>
  <c r="E657" i="1"/>
  <c r="F658" i="1"/>
  <c r="E663" i="1"/>
  <c r="F664" i="1"/>
  <c r="E669" i="1"/>
  <c r="F670" i="1"/>
  <c r="E675" i="1"/>
  <c r="F676" i="1"/>
  <c r="E681" i="1"/>
  <c r="D700" i="1"/>
  <c r="E700" i="1"/>
  <c r="E705" i="1"/>
  <c r="E721" i="1"/>
  <c r="K726" i="1"/>
  <c r="D731" i="1"/>
  <c r="E738" i="1"/>
  <c r="F738" i="1"/>
  <c r="E745" i="1"/>
  <c r="K748" i="1"/>
  <c r="D753" i="1"/>
  <c r="F760" i="1"/>
  <c r="E760" i="1"/>
  <c r="D767" i="1"/>
  <c r="E774" i="1"/>
  <c r="F774" i="1"/>
  <c r="E781" i="1"/>
  <c r="K784" i="1"/>
  <c r="D789" i="1"/>
  <c r="F796" i="1"/>
  <c r="E796" i="1"/>
  <c r="D803" i="1"/>
  <c r="E810" i="1"/>
  <c r="F810" i="1"/>
  <c r="E817" i="1"/>
  <c r="K820" i="1"/>
  <c r="D825" i="1"/>
  <c r="F832" i="1"/>
  <c r="E832" i="1"/>
  <c r="D839" i="1"/>
  <c r="E846" i="1"/>
  <c r="F846" i="1"/>
  <c r="K862" i="1"/>
  <c r="E699" i="1"/>
  <c r="F699" i="1"/>
  <c r="F737" i="1"/>
  <c r="E737" i="1"/>
  <c r="F773" i="1"/>
  <c r="E773" i="1"/>
  <c r="F809" i="1"/>
  <c r="E809" i="1"/>
  <c r="F845" i="1"/>
  <c r="E845" i="1"/>
  <c r="D571" i="1"/>
  <c r="D697" i="1"/>
  <c r="D699" i="1"/>
  <c r="D719" i="1"/>
  <c r="D720" i="1"/>
  <c r="K724" i="1"/>
  <c r="F730" i="1"/>
  <c r="E730" i="1"/>
  <c r="K732" i="1"/>
  <c r="D737" i="1"/>
  <c r="E744" i="1"/>
  <c r="F744" i="1"/>
  <c r="E751" i="1"/>
  <c r="K754" i="1"/>
  <c r="D759" i="1"/>
  <c r="F766" i="1"/>
  <c r="E766" i="1"/>
  <c r="D773" i="1"/>
  <c r="E780" i="1"/>
  <c r="F780" i="1"/>
  <c r="E787" i="1"/>
  <c r="K790" i="1"/>
  <c r="D795" i="1"/>
  <c r="F802" i="1"/>
  <c r="E802" i="1"/>
  <c r="D809" i="1"/>
  <c r="E816" i="1"/>
  <c r="F816" i="1"/>
  <c r="E823" i="1"/>
  <c r="K826" i="1"/>
  <c r="F838" i="1"/>
  <c r="E838" i="1"/>
  <c r="D845" i="1"/>
  <c r="E852" i="1"/>
  <c r="F852" i="1"/>
  <c r="E571" i="1"/>
  <c r="E697" i="1"/>
  <c r="E719" i="1"/>
  <c r="F720" i="1"/>
  <c r="F743" i="1"/>
  <c r="E743" i="1"/>
  <c r="F751" i="1"/>
  <c r="E759" i="1"/>
  <c r="F779" i="1"/>
  <c r="E779" i="1"/>
  <c r="F787" i="1"/>
  <c r="E795" i="1"/>
  <c r="F815" i="1"/>
  <c r="E815" i="1"/>
  <c r="F823" i="1"/>
  <c r="F851" i="1"/>
  <c r="E851" i="1"/>
  <c r="E858" i="1"/>
  <c r="F858" i="1"/>
  <c r="E366" i="1"/>
  <c r="E380" i="1"/>
  <c r="E392" i="1"/>
  <c r="E404" i="1"/>
  <c r="E416" i="1"/>
  <c r="E428" i="1"/>
  <c r="D525" i="1"/>
  <c r="D694" i="1"/>
  <c r="D717" i="1"/>
  <c r="D718" i="1"/>
  <c r="D729" i="1"/>
  <c r="F736" i="1"/>
  <c r="E736" i="1"/>
  <c r="D743" i="1"/>
  <c r="E750" i="1"/>
  <c r="F750" i="1"/>
  <c r="E757" i="1"/>
  <c r="D765" i="1"/>
  <c r="F772" i="1"/>
  <c r="E772" i="1"/>
  <c r="D779" i="1"/>
  <c r="E786" i="1"/>
  <c r="F786" i="1"/>
  <c r="E793" i="1"/>
  <c r="D801" i="1"/>
  <c r="F808" i="1"/>
  <c r="E808" i="1"/>
  <c r="D815" i="1"/>
  <c r="E822" i="1"/>
  <c r="F822" i="1"/>
  <c r="F844" i="1"/>
  <c r="E844" i="1"/>
  <c r="F857" i="1"/>
  <c r="E857" i="1"/>
  <c r="E864" i="1"/>
  <c r="F864" i="1"/>
  <c r="D693" i="1"/>
  <c r="F694" i="1"/>
  <c r="E718" i="1"/>
  <c r="E729" i="1"/>
  <c r="D736" i="1"/>
  <c r="F749" i="1"/>
  <c r="E749" i="1"/>
  <c r="D750" i="1"/>
  <c r="F757" i="1"/>
  <c r="E765" i="1"/>
  <c r="D772" i="1"/>
  <c r="F785" i="1"/>
  <c r="E785" i="1"/>
  <c r="D786" i="1"/>
  <c r="F793" i="1"/>
  <c r="E801" i="1"/>
  <c r="D808" i="1"/>
  <c r="F821" i="1"/>
  <c r="E821" i="1"/>
  <c r="D822" i="1"/>
  <c r="D844" i="1"/>
  <c r="D857" i="1"/>
  <c r="F863" i="1"/>
  <c r="E863" i="1"/>
  <c r="D864" i="1"/>
  <c r="E870" i="1"/>
  <c r="F870" i="1"/>
  <c r="D905" i="1"/>
  <c r="F906" i="1"/>
  <c r="D929" i="1"/>
  <c r="F930" i="1"/>
  <c r="D953" i="1"/>
  <c r="F954" i="1"/>
  <c r="E966" i="1"/>
  <c r="D966" i="1"/>
  <c r="F969" i="1"/>
  <c r="E978" i="1"/>
  <c r="D978" i="1"/>
  <c r="F981" i="1"/>
  <c r="E990" i="1"/>
  <c r="D990" i="1"/>
  <c r="F993" i="1"/>
  <c r="E1002" i="1"/>
  <c r="D1002" i="1"/>
  <c r="F1005" i="1"/>
  <c r="F1023" i="1"/>
  <c r="F1030" i="1"/>
  <c r="E1030" i="1"/>
  <c r="F1047" i="1"/>
  <c r="F1054" i="1"/>
  <c r="E1054" i="1"/>
  <c r="E1074" i="1"/>
  <c r="D1074" i="1"/>
  <c r="K1084" i="1"/>
  <c r="K1096" i="1"/>
  <c r="D900" i="1"/>
  <c r="E900" i="1"/>
  <c r="D924" i="1"/>
  <c r="E924" i="1"/>
  <c r="D948" i="1"/>
  <c r="E948" i="1"/>
  <c r="F1013" i="1"/>
  <c r="E1013" i="1"/>
  <c r="F1037" i="1"/>
  <c r="E1037" i="1"/>
  <c r="E1067" i="1"/>
  <c r="D1067" i="1"/>
  <c r="F1067" i="1"/>
  <c r="F1109" i="1"/>
  <c r="E1109" i="1"/>
  <c r="D1109" i="1"/>
  <c r="E899" i="1"/>
  <c r="F899" i="1"/>
  <c r="F900" i="1"/>
  <c r="E923" i="1"/>
  <c r="F923" i="1"/>
  <c r="F924" i="1"/>
  <c r="E947" i="1"/>
  <c r="F947" i="1"/>
  <c r="F948" i="1"/>
  <c r="F965" i="1"/>
  <c r="E965" i="1"/>
  <c r="F977" i="1"/>
  <c r="E977" i="1"/>
  <c r="F989" i="1"/>
  <c r="E989" i="1"/>
  <c r="F1001" i="1"/>
  <c r="E1001" i="1"/>
  <c r="D1013" i="1"/>
  <c r="K1024" i="1"/>
  <c r="D1029" i="1"/>
  <c r="D1037" i="1"/>
  <c r="K1048" i="1"/>
  <c r="D1053" i="1"/>
  <c r="D1059" i="1"/>
  <c r="D1060" i="1"/>
  <c r="F1073" i="1"/>
  <c r="E1073" i="1"/>
  <c r="E1029" i="1"/>
  <c r="E1053" i="1"/>
  <c r="E1059" i="1"/>
  <c r="E1060" i="1"/>
  <c r="F1086" i="1"/>
  <c r="E1086" i="1"/>
  <c r="D1086" i="1"/>
  <c r="F1098" i="1"/>
  <c r="E1098" i="1"/>
  <c r="D1098" i="1"/>
  <c r="E1019" i="1"/>
  <c r="D1019" i="1"/>
  <c r="F1019" i="1"/>
  <c r="E1043" i="1"/>
  <c r="D1043" i="1"/>
  <c r="F1043" i="1"/>
  <c r="E1079" i="1"/>
  <c r="D1079" i="1"/>
  <c r="F1079" i="1"/>
  <c r="F1108" i="1"/>
  <c r="E1108" i="1"/>
  <c r="E880" i="1"/>
  <c r="E881" i="1"/>
  <c r="F882" i="1"/>
  <c r="E886" i="1"/>
  <c r="E887" i="1"/>
  <c r="F888" i="1"/>
  <c r="E892" i="1"/>
  <c r="E893" i="1"/>
  <c r="F894" i="1"/>
  <c r="E898" i="1"/>
  <c r="D918" i="1"/>
  <c r="F919" i="1"/>
  <c r="E922" i="1"/>
  <c r="D942" i="1"/>
  <c r="F943" i="1"/>
  <c r="E946" i="1"/>
  <c r="E963" i="1"/>
  <c r="E964" i="1"/>
  <c r="E975" i="1"/>
  <c r="E976" i="1"/>
  <c r="E987" i="1"/>
  <c r="E988" i="1"/>
  <c r="E999" i="1"/>
  <c r="E1000" i="1"/>
  <c r="E1011" i="1"/>
  <c r="E1012" i="1"/>
  <c r="E1026" i="1"/>
  <c r="D1026" i="1"/>
  <c r="E1035" i="1"/>
  <c r="E1036" i="1"/>
  <c r="E1050" i="1"/>
  <c r="D1050" i="1"/>
  <c r="F1065" i="1"/>
  <c r="D1065" i="1"/>
  <c r="D1071" i="1"/>
  <c r="D1072" i="1"/>
  <c r="F1085" i="1"/>
  <c r="E1085" i="1"/>
  <c r="E1091" i="1"/>
  <c r="D1091" i="1"/>
  <c r="F1091" i="1"/>
  <c r="F1097" i="1"/>
  <c r="E1097" i="1"/>
  <c r="D1108" i="1"/>
  <c r="D917" i="1"/>
  <c r="F918" i="1"/>
  <c r="D941" i="1"/>
  <c r="F942" i="1"/>
  <c r="D960" i="1"/>
  <c r="E960" i="1"/>
  <c r="D972" i="1"/>
  <c r="E972" i="1"/>
  <c r="D984" i="1"/>
  <c r="E984" i="1"/>
  <c r="D996" i="1"/>
  <c r="E996" i="1"/>
  <c r="D1008" i="1"/>
  <c r="E1008" i="1"/>
  <c r="F1018" i="1"/>
  <c r="E1018" i="1"/>
  <c r="F1026" i="1"/>
  <c r="F1042" i="1"/>
  <c r="E1042" i="1"/>
  <c r="F1050" i="1"/>
  <c r="K1060" i="1"/>
  <c r="E1065" i="1"/>
  <c r="E1072" i="1"/>
  <c r="D1085" i="1"/>
  <c r="D1097" i="1"/>
  <c r="F1133" i="1"/>
  <c r="E1133" i="1"/>
  <c r="D1133" i="1"/>
  <c r="D912" i="1"/>
  <c r="E912" i="1"/>
  <c r="D936" i="1"/>
  <c r="E936" i="1"/>
  <c r="F1025" i="1"/>
  <c r="E1025" i="1"/>
  <c r="F1049" i="1"/>
  <c r="E1049" i="1"/>
  <c r="K756" i="1"/>
  <c r="K762" i="1"/>
  <c r="K768" i="1"/>
  <c r="K774" i="1"/>
  <c r="K780" i="1"/>
  <c r="K786" i="1"/>
  <c r="K792" i="1"/>
  <c r="K798" i="1"/>
  <c r="K804" i="1"/>
  <c r="K810" i="1"/>
  <c r="K816" i="1"/>
  <c r="K822" i="1"/>
  <c r="K828" i="1"/>
  <c r="K834" i="1"/>
  <c r="K840" i="1"/>
  <c r="K846" i="1"/>
  <c r="K852" i="1"/>
  <c r="K858" i="1"/>
  <c r="K864" i="1"/>
  <c r="K870" i="1"/>
  <c r="K876" i="1"/>
  <c r="K882" i="1"/>
  <c r="K888" i="1"/>
  <c r="K894" i="1"/>
  <c r="E911" i="1"/>
  <c r="F911" i="1"/>
  <c r="F912" i="1"/>
  <c r="E935" i="1"/>
  <c r="F935" i="1"/>
  <c r="F936" i="1"/>
  <c r="E959" i="1"/>
  <c r="F959" i="1"/>
  <c r="E971" i="1"/>
  <c r="F971" i="1"/>
  <c r="E983" i="1"/>
  <c r="F983" i="1"/>
  <c r="E995" i="1"/>
  <c r="F995" i="1"/>
  <c r="E1007" i="1"/>
  <c r="F1007" i="1"/>
  <c r="K1012" i="1"/>
  <c r="D1017" i="1"/>
  <c r="D1025" i="1"/>
  <c r="K1036" i="1"/>
  <c r="D1041" i="1"/>
  <c r="D1049" i="1"/>
  <c r="F1077" i="1"/>
  <c r="D1077" i="1"/>
  <c r="D1083" i="1"/>
  <c r="D1084" i="1"/>
  <c r="K1091" i="1"/>
  <c r="D1096" i="1"/>
  <c r="E1017" i="1"/>
  <c r="E1041" i="1"/>
  <c r="E1062" i="1"/>
  <c r="D1062" i="1"/>
  <c r="K1072" i="1"/>
  <c r="E1083" i="1"/>
  <c r="E1084" i="1"/>
  <c r="E1096" i="1"/>
  <c r="E1031" i="1"/>
  <c r="D1031" i="1"/>
  <c r="F1031" i="1"/>
  <c r="E1055" i="1"/>
  <c r="D1055" i="1"/>
  <c r="F1055" i="1"/>
  <c r="F1121" i="1"/>
  <c r="E1121" i="1"/>
  <c r="D1121" i="1"/>
  <c r="D906" i="1"/>
  <c r="F907" i="1"/>
  <c r="E910" i="1"/>
  <c r="D930" i="1"/>
  <c r="F931" i="1"/>
  <c r="E934" i="1"/>
  <c r="D954" i="1"/>
  <c r="F955" i="1"/>
  <c r="E958" i="1"/>
  <c r="E970" i="1"/>
  <c r="E982" i="1"/>
  <c r="E994" i="1"/>
  <c r="E1006" i="1"/>
  <c r="E1014" i="1"/>
  <c r="D1014" i="1"/>
  <c r="E1024" i="1"/>
  <c r="E1038" i="1"/>
  <c r="D1038" i="1"/>
  <c r="E1048" i="1"/>
  <c r="F1061" i="1"/>
  <c r="E1061" i="1"/>
  <c r="E1020" i="1"/>
  <c r="E1032" i="1"/>
  <c r="E1044" i="1"/>
  <c r="E1056" i="1"/>
  <c r="E1068" i="1"/>
  <c r="E1080" i="1"/>
  <c r="E1092" i="1"/>
  <c r="F1103" i="1"/>
  <c r="E1104" i="1"/>
  <c r="F1115" i="1"/>
  <c r="E1116" i="1"/>
  <c r="F1127" i="1"/>
  <c r="E1128" i="1"/>
  <c r="F1139" i="1"/>
  <c r="E1140" i="1"/>
  <c r="K1192" i="1"/>
  <c r="F1199" i="1"/>
  <c r="D1199" i="1"/>
  <c r="F1201" i="1"/>
  <c r="D1215" i="1"/>
  <c r="D1216" i="1"/>
  <c r="E1225" i="1"/>
  <c r="K1250" i="1"/>
  <c r="K1286" i="1"/>
  <c r="F1295" i="1"/>
  <c r="D1295" i="1"/>
  <c r="F1315" i="1"/>
  <c r="E1315" i="1"/>
  <c r="D1315" i="1"/>
  <c r="K1326" i="1"/>
  <c r="K1188" i="1"/>
  <c r="F1233" i="1"/>
  <c r="D1233" i="1"/>
  <c r="K1242" i="1"/>
  <c r="F1247" i="1"/>
  <c r="D1247" i="1"/>
  <c r="K1262" i="1"/>
  <c r="E1157" i="1"/>
  <c r="K1170" i="1"/>
  <c r="K1174" i="1"/>
  <c r="K1204" i="1"/>
  <c r="F1211" i="1"/>
  <c r="D1211" i="1"/>
  <c r="F1223" i="1"/>
  <c r="D1223" i="1"/>
  <c r="E1233" i="1"/>
  <c r="D1240" i="1"/>
  <c r="E1240" i="1"/>
  <c r="E1247" i="1"/>
  <c r="F1259" i="1"/>
  <c r="D1259" i="1"/>
  <c r="K1274" i="1"/>
  <c r="F1283" i="1"/>
  <c r="D1283" i="1"/>
  <c r="K1296" i="1"/>
  <c r="F1319" i="1"/>
  <c r="D1319" i="1"/>
  <c r="F1181" i="1"/>
  <c r="D1181" i="1"/>
  <c r="F1231" i="1"/>
  <c r="D1231" i="1"/>
  <c r="E1239" i="1"/>
  <c r="F1239" i="1"/>
  <c r="F1271" i="1"/>
  <c r="D1271" i="1"/>
  <c r="F1309" i="1"/>
  <c r="E1309" i="1"/>
  <c r="D1309" i="1"/>
  <c r="E1120" i="1"/>
  <c r="E1132" i="1"/>
  <c r="E1181" i="1"/>
  <c r="E1231" i="1"/>
  <c r="D1239" i="1"/>
  <c r="E1271" i="1"/>
  <c r="E1333" i="1"/>
  <c r="D1333" i="1"/>
  <c r="E1339" i="1"/>
  <c r="D1339" i="1"/>
  <c r="E1345" i="1"/>
  <c r="D1345" i="1"/>
  <c r="E1351" i="1"/>
  <c r="D1351" i="1"/>
  <c r="D1110" i="1"/>
  <c r="D1122" i="1"/>
  <c r="D1134" i="1"/>
  <c r="K1182" i="1"/>
  <c r="F1193" i="1"/>
  <c r="D1193" i="1"/>
  <c r="E1207" i="1"/>
  <c r="D1209" i="1"/>
  <c r="D1210" i="1"/>
  <c r="K1212" i="1"/>
  <c r="D1222" i="1"/>
  <c r="F1245" i="1"/>
  <c r="D1245" i="1"/>
  <c r="K1272" i="1"/>
  <c r="K1278" i="1"/>
  <c r="F1303" i="1"/>
  <c r="E1303" i="1"/>
  <c r="D1303" i="1"/>
  <c r="F1333" i="1"/>
  <c r="F1339" i="1"/>
  <c r="F1345" i="1"/>
  <c r="F1351" i="1"/>
  <c r="E1110" i="1"/>
  <c r="E1122" i="1"/>
  <c r="E1134" i="1"/>
  <c r="E1177" i="1"/>
  <c r="D1179" i="1"/>
  <c r="D1180" i="1"/>
  <c r="E1193" i="1"/>
  <c r="F1207" i="1"/>
  <c r="E1209" i="1"/>
  <c r="F1210" i="1"/>
  <c r="D1221" i="1"/>
  <c r="F1222" i="1"/>
  <c r="E1237" i="1"/>
  <c r="K1240" i="1"/>
  <c r="E1245" i="1"/>
  <c r="E1251" i="1"/>
  <c r="D1251" i="1"/>
  <c r="F1251" i="1"/>
  <c r="F1257" i="1"/>
  <c r="D1257" i="1"/>
  <c r="K1314" i="1"/>
  <c r="F1332" i="1"/>
  <c r="D1332" i="1"/>
  <c r="F1338" i="1"/>
  <c r="D1338" i="1"/>
  <c r="F1344" i="1"/>
  <c r="D1344" i="1"/>
  <c r="F1350" i="1"/>
  <c r="D1350" i="1"/>
  <c r="F1175" i="1"/>
  <c r="D1175" i="1"/>
  <c r="K1194" i="1"/>
  <c r="F1205" i="1"/>
  <c r="D1205" i="1"/>
  <c r="E1263" i="1"/>
  <c r="D1263" i="1"/>
  <c r="F1263" i="1"/>
  <c r="F1269" i="1"/>
  <c r="D1269" i="1"/>
  <c r="F1281" i="1"/>
  <c r="D1281" i="1"/>
  <c r="F1307" i="1"/>
  <c r="D1307" i="1"/>
  <c r="D1089" i="1"/>
  <c r="D1101" i="1"/>
  <c r="D1113" i="1"/>
  <c r="D1125" i="1"/>
  <c r="D1137" i="1"/>
  <c r="E1175" i="1"/>
  <c r="D1191" i="1"/>
  <c r="D1192" i="1"/>
  <c r="E1205" i="1"/>
  <c r="K1230" i="1"/>
  <c r="F1243" i="1"/>
  <c r="D1243" i="1"/>
  <c r="K1252" i="1"/>
  <c r="E1269" i="1"/>
  <c r="E1281" i="1"/>
  <c r="K1288" i="1"/>
  <c r="F1297" i="1"/>
  <c r="E1297" i="1"/>
  <c r="D1297" i="1"/>
  <c r="E1307" i="1"/>
  <c r="F1331" i="1"/>
  <c r="D1331" i="1"/>
  <c r="F1337" i="1"/>
  <c r="D1337" i="1"/>
  <c r="F1343" i="1"/>
  <c r="D1343" i="1"/>
  <c r="F1349" i="1"/>
  <c r="D1349" i="1"/>
  <c r="F1217" i="1"/>
  <c r="D1217" i="1"/>
  <c r="D1228" i="1"/>
  <c r="E1228" i="1"/>
  <c r="F1235" i="1"/>
  <c r="D1235" i="1"/>
  <c r="F1249" i="1"/>
  <c r="D1249" i="1"/>
  <c r="F1255" i="1"/>
  <c r="D1255" i="1"/>
  <c r="F1291" i="1"/>
  <c r="D1291" i="1"/>
  <c r="F1321" i="1"/>
  <c r="E1321" i="1"/>
  <c r="D1321" i="1"/>
  <c r="E1066" i="1"/>
  <c r="E1078" i="1"/>
  <c r="E1090" i="1"/>
  <c r="E1102" i="1"/>
  <c r="D1103" i="1"/>
  <c r="D1115" i="1"/>
  <c r="D1127" i="1"/>
  <c r="D1139" i="1"/>
  <c r="E1171" i="1"/>
  <c r="D1173" i="1"/>
  <c r="D1174" i="1"/>
  <c r="F1187" i="1"/>
  <c r="D1187" i="1"/>
  <c r="D1203" i="1"/>
  <c r="D1204" i="1"/>
  <c r="E1217" i="1"/>
  <c r="E1227" i="1"/>
  <c r="F1227" i="1"/>
  <c r="F1228" i="1"/>
  <c r="E1235" i="1"/>
  <c r="E1249" i="1"/>
  <c r="E1255" i="1"/>
  <c r="F1261" i="1"/>
  <c r="D1261" i="1"/>
  <c r="F1267" i="1"/>
  <c r="D1267" i="1"/>
  <c r="F1285" i="1"/>
  <c r="E1285" i="1"/>
  <c r="D1285" i="1"/>
  <c r="E1291" i="1"/>
  <c r="F1169" i="1"/>
  <c r="D1169" i="1"/>
  <c r="F1171" i="1"/>
  <c r="E1173" i="1"/>
  <c r="F1174" i="1"/>
  <c r="E1187" i="1"/>
  <c r="E1201" i="1"/>
  <c r="E1203" i="1"/>
  <c r="F1204" i="1"/>
  <c r="K1218" i="1"/>
  <c r="D1227" i="1"/>
  <c r="K1236" i="1"/>
  <c r="E1261" i="1"/>
  <c r="E1267" i="1"/>
  <c r="F1273" i="1"/>
  <c r="D1273" i="1"/>
  <c r="F1279" i="1"/>
  <c r="D1279" i="1"/>
  <c r="K1302" i="1"/>
  <c r="D1229" i="1"/>
  <c r="D1241" i="1"/>
  <c r="E1252" i="1"/>
  <c r="D1253" i="1"/>
  <c r="E1264" i="1"/>
  <c r="D1265" i="1"/>
  <c r="F1275" i="1"/>
  <c r="E1276" i="1"/>
  <c r="D1277" i="1"/>
  <c r="F1287" i="1"/>
  <c r="E1288" i="1"/>
  <c r="D1289" i="1"/>
  <c r="F1299" i="1"/>
  <c r="E1300" i="1"/>
  <c r="D1301" i="1"/>
  <c r="F1311" i="1"/>
  <c r="E1312" i="1"/>
  <c r="D1313" i="1"/>
  <c r="F1323" i="1"/>
  <c r="E1324" i="1"/>
  <c r="D1325" i="1"/>
  <c r="D1405" i="1"/>
  <c r="F1406" i="1"/>
  <c r="F1408" i="1"/>
  <c r="E1409" i="1"/>
  <c r="E1432" i="1"/>
  <c r="D1477" i="1"/>
  <c r="E1477" i="1"/>
  <c r="K1480" i="1"/>
  <c r="E1492" i="1"/>
  <c r="K1505" i="1"/>
  <c r="E1538" i="1"/>
  <c r="D1538" i="1"/>
  <c r="F1543" i="1"/>
  <c r="D1543" i="1"/>
  <c r="F1548" i="1"/>
  <c r="D1548" i="1"/>
  <c r="E1562" i="1"/>
  <c r="D1562" i="1"/>
  <c r="F1567" i="1"/>
  <c r="D1567" i="1"/>
  <c r="D1327" i="1"/>
  <c r="E1399" i="1"/>
  <c r="D1399" i="1"/>
  <c r="E1404" i="1"/>
  <c r="D1420" i="1"/>
  <c r="E1421" i="1"/>
  <c r="D1429" i="1"/>
  <c r="E1429" i="1"/>
  <c r="F1439" i="1"/>
  <c r="D1439" i="1"/>
  <c r="E1447" i="1"/>
  <c r="D1447" i="1"/>
  <c r="F1450" i="1"/>
  <c r="F1458" i="1"/>
  <c r="E1458" i="1"/>
  <c r="D1468" i="1"/>
  <c r="E1469" i="1"/>
  <c r="F1538" i="1"/>
  <c r="E1543" i="1"/>
  <c r="E1548" i="1"/>
  <c r="F1562" i="1"/>
  <c r="E1567" i="1"/>
  <c r="E1327" i="1"/>
  <c r="F1398" i="1"/>
  <c r="E1398" i="1"/>
  <c r="E1420" i="1"/>
  <c r="E1468" i="1"/>
  <c r="F1482" i="1"/>
  <c r="E1482" i="1"/>
  <c r="D1482" i="1"/>
  <c r="D1489" i="1"/>
  <c r="E1489" i="1"/>
  <c r="D1293" i="1"/>
  <c r="D1305" i="1"/>
  <c r="D1317" i="1"/>
  <c r="D1329" i="1"/>
  <c r="D1396" i="1"/>
  <c r="D1398" i="1"/>
  <c r="E1418" i="1"/>
  <c r="K1432" i="1"/>
  <c r="D1438" i="1"/>
  <c r="D1457" i="1"/>
  <c r="F1475" i="1"/>
  <c r="D1475" i="1"/>
  <c r="F1489" i="1"/>
  <c r="D1508" i="1"/>
  <c r="D1514" i="1"/>
  <c r="D1520" i="1"/>
  <c r="D1526" i="1"/>
  <c r="D1532" i="1"/>
  <c r="F1537" i="1"/>
  <c r="D1537" i="1"/>
  <c r="F1542" i="1"/>
  <c r="D1542" i="1"/>
  <c r="E1556" i="1"/>
  <c r="D1556" i="1"/>
  <c r="F1561" i="1"/>
  <c r="D1561" i="1"/>
  <c r="F1566" i="1"/>
  <c r="D1566" i="1"/>
  <c r="E1396" i="1"/>
  <c r="F1418" i="1"/>
  <c r="F1427" i="1"/>
  <c r="D1427" i="1"/>
  <c r="E1435" i="1"/>
  <c r="D1435" i="1"/>
  <c r="F1438" i="1"/>
  <c r="F1446" i="1"/>
  <c r="E1446" i="1"/>
  <c r="E1457" i="1"/>
  <c r="D1465" i="1"/>
  <c r="E1465" i="1"/>
  <c r="F1481" i="1"/>
  <c r="E1481" i="1"/>
  <c r="D1501" i="1"/>
  <c r="E1501" i="1"/>
  <c r="F1508" i="1"/>
  <c r="F1514" i="1"/>
  <c r="F1520" i="1"/>
  <c r="F1526" i="1"/>
  <c r="F1532" i="1"/>
  <c r="F1334" i="1"/>
  <c r="F1340" i="1"/>
  <c r="F1346" i="1"/>
  <c r="F1352" i="1"/>
  <c r="D1355" i="1"/>
  <c r="D1356" i="1"/>
  <c r="D1357" i="1"/>
  <c r="F1358" i="1"/>
  <c r="D1361" i="1"/>
  <c r="D1362" i="1"/>
  <c r="D1363" i="1"/>
  <c r="F1364" i="1"/>
  <c r="D1367" i="1"/>
  <c r="D1368" i="1"/>
  <c r="D1369" i="1"/>
  <c r="F1370" i="1"/>
  <c r="D1373" i="1"/>
  <c r="D1374" i="1"/>
  <c r="D1375" i="1"/>
  <c r="F1376" i="1"/>
  <c r="D1379" i="1"/>
  <c r="D1380" i="1"/>
  <c r="D1381" i="1"/>
  <c r="F1382" i="1"/>
  <c r="D1385" i="1"/>
  <c r="D1386" i="1"/>
  <c r="D1387" i="1"/>
  <c r="F1388" i="1"/>
  <c r="D1391" i="1"/>
  <c r="D1392" i="1"/>
  <c r="D1393" i="1"/>
  <c r="F1394" i="1"/>
  <c r="E1397" i="1"/>
  <c r="F1417" i="1"/>
  <c r="E1427" i="1"/>
  <c r="F1435" i="1"/>
  <c r="D1446" i="1"/>
  <c r="F1465" i="1"/>
  <c r="D1474" i="1"/>
  <c r="D1481" i="1"/>
  <c r="F1494" i="1"/>
  <c r="E1494" i="1"/>
  <c r="D1494" i="1"/>
  <c r="F1501" i="1"/>
  <c r="D1507" i="1"/>
  <c r="D1513" i="1"/>
  <c r="D1519" i="1"/>
  <c r="D1525" i="1"/>
  <c r="D1531" i="1"/>
  <c r="F1487" i="1"/>
  <c r="D1487" i="1"/>
  <c r="F1536" i="1"/>
  <c r="D1536" i="1"/>
  <c r="E1550" i="1"/>
  <c r="D1550" i="1"/>
  <c r="F1555" i="1"/>
  <c r="D1555" i="1"/>
  <c r="F1560" i="1"/>
  <c r="D1560" i="1"/>
  <c r="E1411" i="1"/>
  <c r="D1411" i="1"/>
  <c r="E1423" i="1"/>
  <c r="D1423" i="1"/>
  <c r="K1428" i="1"/>
  <c r="F1434" i="1"/>
  <c r="E1434" i="1"/>
  <c r="D1444" i="1"/>
  <c r="D1453" i="1"/>
  <c r="E1453" i="1"/>
  <c r="F1463" i="1"/>
  <c r="D1463" i="1"/>
  <c r="E1471" i="1"/>
  <c r="D1471" i="1"/>
  <c r="K1475" i="1"/>
  <c r="D1480" i="1"/>
  <c r="E1487" i="1"/>
  <c r="F1493" i="1"/>
  <c r="E1493" i="1"/>
  <c r="D1506" i="1"/>
  <c r="D1512" i="1"/>
  <c r="D1518" i="1"/>
  <c r="D1524" i="1"/>
  <c r="D1530" i="1"/>
  <c r="E1536" i="1"/>
  <c r="F1550" i="1"/>
  <c r="E1555" i="1"/>
  <c r="E1560" i="1"/>
  <c r="F1410" i="1"/>
  <c r="E1410" i="1"/>
  <c r="E1444" i="1"/>
  <c r="E1480" i="1"/>
  <c r="E1506" i="1"/>
  <c r="E1512" i="1"/>
  <c r="E1518" i="1"/>
  <c r="E1524" i="1"/>
  <c r="E1530" i="1"/>
  <c r="D1275" i="1"/>
  <c r="D1287" i="1"/>
  <c r="D1299" i="1"/>
  <c r="D1311" i="1"/>
  <c r="D1323" i="1"/>
  <c r="D1408" i="1"/>
  <c r="D1410" i="1"/>
  <c r="D1433" i="1"/>
  <c r="D1462" i="1"/>
  <c r="E1544" i="1"/>
  <c r="D1544" i="1"/>
  <c r="F1549" i="1"/>
  <c r="D1549" i="1"/>
  <c r="F1554" i="1"/>
  <c r="D1554" i="1"/>
  <c r="E1568" i="1"/>
  <c r="D1568" i="1"/>
  <c r="E1406" i="1"/>
  <c r="D1409" i="1"/>
  <c r="F1422" i="1"/>
  <c r="E1422" i="1"/>
  <c r="E1433" i="1"/>
  <c r="D1441" i="1"/>
  <c r="E1441" i="1"/>
  <c r="F1451" i="1"/>
  <c r="D1451" i="1"/>
  <c r="E1459" i="1"/>
  <c r="D1459" i="1"/>
  <c r="F1462" i="1"/>
  <c r="F1470" i="1"/>
  <c r="E1470" i="1"/>
  <c r="D1492" i="1"/>
  <c r="E1498" i="1"/>
  <c r="D1498" i="1"/>
  <c r="F1544" i="1"/>
  <c r="E1549" i="1"/>
  <c r="E1554" i="1"/>
  <c r="F1568" i="1"/>
  <c r="D1625" i="1"/>
  <c r="F1631" i="1"/>
  <c r="E1633" i="1"/>
  <c r="F1634" i="1"/>
  <c r="K1636" i="1"/>
  <c r="E1657" i="1"/>
  <c r="F1658" i="1"/>
  <c r="K1678" i="1"/>
  <c r="E1687" i="1"/>
  <c r="K1706" i="1"/>
  <c r="E1711" i="1"/>
  <c r="F1725" i="1"/>
  <c r="E1725" i="1"/>
  <c r="D1725" i="1"/>
  <c r="E1759" i="1"/>
  <c r="F1785" i="1"/>
  <c r="E1785" i="1"/>
  <c r="E1792" i="1"/>
  <c r="F1792" i="1"/>
  <c r="E1798" i="1"/>
  <c r="F1798" i="1"/>
  <c r="D1798" i="1"/>
  <c r="E1804" i="1"/>
  <c r="F1804" i="1"/>
  <c r="D1804" i="1"/>
  <c r="E1810" i="1"/>
  <c r="F1810" i="1"/>
  <c r="D1810" i="1"/>
  <c r="E1816" i="1"/>
  <c r="F1816" i="1"/>
  <c r="D1816" i="1"/>
  <c r="E1822" i="1"/>
  <c r="F1822" i="1"/>
  <c r="D1822" i="1"/>
  <c r="E1828" i="1"/>
  <c r="F1828" i="1"/>
  <c r="D1828" i="1"/>
  <c r="E1834" i="1"/>
  <c r="F1834" i="1"/>
  <c r="D1834" i="1"/>
  <c r="E1840" i="1"/>
  <c r="F1840" i="1"/>
  <c r="D1840" i="1"/>
  <c r="E1846" i="1"/>
  <c r="F1846" i="1"/>
  <c r="D1846" i="1"/>
  <c r="E1625" i="1"/>
  <c r="F1653" i="1"/>
  <c r="E1653" i="1"/>
  <c r="D1653" i="1"/>
  <c r="F1665" i="1"/>
  <c r="E1665" i="1"/>
  <c r="D1665" i="1"/>
  <c r="F1676" i="1"/>
  <c r="E1676" i="1"/>
  <c r="F1701" i="1"/>
  <c r="E1701" i="1"/>
  <c r="D1701" i="1"/>
  <c r="E1778" i="1"/>
  <c r="F1778" i="1"/>
  <c r="D1572" i="1"/>
  <c r="D1573" i="1"/>
  <c r="D1574" i="1"/>
  <c r="D1578" i="1"/>
  <c r="D1579" i="1"/>
  <c r="D1580" i="1"/>
  <c r="D1584" i="1"/>
  <c r="D1585" i="1"/>
  <c r="D1586" i="1"/>
  <c r="D1590" i="1"/>
  <c r="D1591" i="1"/>
  <c r="D1592" i="1"/>
  <c r="D1596" i="1"/>
  <c r="D1597" i="1"/>
  <c r="D1598" i="1"/>
  <c r="D1602" i="1"/>
  <c r="D1603" i="1"/>
  <c r="D1604" i="1"/>
  <c r="D1608" i="1"/>
  <c r="D1609" i="1"/>
  <c r="D1610" i="1"/>
  <c r="D1614" i="1"/>
  <c r="D1615" i="1"/>
  <c r="D1616" i="1"/>
  <c r="D1621" i="1"/>
  <c r="D1622" i="1"/>
  <c r="K1670" i="1"/>
  <c r="D1675" i="1"/>
  <c r="D1676" i="1"/>
  <c r="K1688" i="1"/>
  <c r="F1693" i="1"/>
  <c r="D1693" i="1"/>
  <c r="K1712" i="1"/>
  <c r="F1717" i="1"/>
  <c r="D1717" i="1"/>
  <c r="F1737" i="1"/>
  <c r="E1737" i="1"/>
  <c r="D1737" i="1"/>
  <c r="D1778" i="1"/>
  <c r="F1791" i="1"/>
  <c r="E1791" i="1"/>
  <c r="K1634" i="1"/>
  <c r="F1652" i="1"/>
  <c r="E1652" i="1"/>
  <c r="K1658" i="1"/>
  <c r="F1724" i="1"/>
  <c r="E1724" i="1"/>
  <c r="E1784" i="1"/>
  <c r="F1784" i="1"/>
  <c r="F1797" i="1"/>
  <c r="E1797" i="1"/>
  <c r="D1797" i="1"/>
  <c r="F1803" i="1"/>
  <c r="E1803" i="1"/>
  <c r="D1803" i="1"/>
  <c r="F1809" i="1"/>
  <c r="E1809" i="1"/>
  <c r="D1809" i="1"/>
  <c r="F1815" i="1"/>
  <c r="E1815" i="1"/>
  <c r="D1815" i="1"/>
  <c r="F1821" i="1"/>
  <c r="E1821" i="1"/>
  <c r="D1821" i="1"/>
  <c r="F1827" i="1"/>
  <c r="E1827" i="1"/>
  <c r="D1827" i="1"/>
  <c r="F1833" i="1"/>
  <c r="E1833" i="1"/>
  <c r="D1833" i="1"/>
  <c r="F1839" i="1"/>
  <c r="E1839" i="1"/>
  <c r="D1839" i="1"/>
  <c r="F1845" i="1"/>
  <c r="E1845" i="1"/>
  <c r="D1845" i="1"/>
  <c r="F1664" i="1"/>
  <c r="E1664" i="1"/>
  <c r="F1683" i="1"/>
  <c r="D1683" i="1"/>
  <c r="F1700" i="1"/>
  <c r="E1700" i="1"/>
  <c r="F1749" i="1"/>
  <c r="E1749" i="1"/>
  <c r="D1749" i="1"/>
  <c r="D1483" i="1"/>
  <c r="D1495" i="1"/>
  <c r="E1647" i="1"/>
  <c r="E1649" i="1"/>
  <c r="E1650" i="1"/>
  <c r="E1651" i="1"/>
  <c r="D1663" i="1"/>
  <c r="D1664" i="1"/>
  <c r="F1673" i="1"/>
  <c r="E1683" i="1"/>
  <c r="D1699" i="1"/>
  <c r="D1700" i="1"/>
  <c r="F1707" i="1"/>
  <c r="E1707" i="1"/>
  <c r="D1707" i="1"/>
  <c r="D1723" i="1"/>
  <c r="F1736" i="1"/>
  <c r="E1736" i="1"/>
  <c r="E1790" i="1"/>
  <c r="F1790" i="1"/>
  <c r="F1647" i="1"/>
  <c r="E1661" i="1"/>
  <c r="E1663" i="1"/>
  <c r="K1694" i="1"/>
  <c r="E1699" i="1"/>
  <c r="K1718" i="1"/>
  <c r="E1723" i="1"/>
  <c r="D1736" i="1"/>
  <c r="F1761" i="1"/>
  <c r="E1761" i="1"/>
  <c r="D1761" i="1"/>
  <c r="E1774" i="1"/>
  <c r="F1774" i="1"/>
  <c r="D1790" i="1"/>
  <c r="E1802" i="1"/>
  <c r="D1802" i="1"/>
  <c r="F1802" i="1"/>
  <c r="E1808" i="1"/>
  <c r="D1808" i="1"/>
  <c r="F1808" i="1"/>
  <c r="E1814" i="1"/>
  <c r="D1814" i="1"/>
  <c r="F1814" i="1"/>
  <c r="E1820" i="1"/>
  <c r="D1820" i="1"/>
  <c r="F1820" i="1"/>
  <c r="E1826" i="1"/>
  <c r="D1826" i="1"/>
  <c r="F1826" i="1"/>
  <c r="E1832" i="1"/>
  <c r="D1832" i="1"/>
  <c r="F1832" i="1"/>
  <c r="E1838" i="1"/>
  <c r="D1838" i="1"/>
  <c r="F1838" i="1"/>
  <c r="E1844" i="1"/>
  <c r="D1844" i="1"/>
  <c r="F1844" i="1"/>
  <c r="E1850" i="1"/>
  <c r="D1850" i="1"/>
  <c r="F1850" i="1"/>
  <c r="F1641" i="1"/>
  <c r="D1641" i="1"/>
  <c r="K1652" i="1"/>
  <c r="F1671" i="1"/>
  <c r="D1671" i="1"/>
  <c r="F1681" i="1"/>
  <c r="D1681" i="1"/>
  <c r="F1689" i="1"/>
  <c r="E1689" i="1"/>
  <c r="D1689" i="1"/>
  <c r="F1713" i="1"/>
  <c r="E1713" i="1"/>
  <c r="D1713" i="1"/>
  <c r="F1748" i="1"/>
  <c r="E1748" i="1"/>
  <c r="E1796" i="1"/>
  <c r="D1796" i="1"/>
  <c r="F1796" i="1"/>
  <c r="F1659" i="1"/>
  <c r="D1659" i="1"/>
  <c r="F1705" i="1"/>
  <c r="D1705" i="1"/>
  <c r="F1773" i="1"/>
  <c r="E1773" i="1"/>
  <c r="E1780" i="1"/>
  <c r="F1780" i="1"/>
  <c r="D1499" i="1"/>
  <c r="E1635" i="1"/>
  <c r="D1638" i="1"/>
  <c r="D1639" i="1"/>
  <c r="D1640" i="1"/>
  <c r="E1659" i="1"/>
  <c r="E1705" i="1"/>
  <c r="K1730" i="1"/>
  <c r="D1747" i="1"/>
  <c r="F1760" i="1"/>
  <c r="E1760" i="1"/>
  <c r="D1773" i="1"/>
  <c r="D1780" i="1"/>
  <c r="F1635" i="1"/>
  <c r="E1638" i="1"/>
  <c r="E1639" i="1"/>
  <c r="F1640" i="1"/>
  <c r="F1669" i="1"/>
  <c r="D1669" i="1"/>
  <c r="F1677" i="1"/>
  <c r="E1677" i="1"/>
  <c r="D1677" i="1"/>
  <c r="F1688" i="1"/>
  <c r="E1688" i="1"/>
  <c r="F1712" i="1"/>
  <c r="E1712" i="1"/>
  <c r="F1779" i="1"/>
  <c r="E1779" i="1"/>
  <c r="E1786" i="1"/>
  <c r="F1786" i="1"/>
  <c r="F1629" i="1"/>
  <c r="D1629" i="1"/>
  <c r="E1631" i="1"/>
  <c r="D1633" i="1"/>
  <c r="D1634" i="1"/>
  <c r="D1657" i="1"/>
  <c r="D1658" i="1"/>
  <c r="E1669" i="1"/>
  <c r="D1687" i="1"/>
  <c r="D1688" i="1"/>
  <c r="F1695" i="1"/>
  <c r="E1695" i="1"/>
  <c r="D1695" i="1"/>
  <c r="D1711" i="1"/>
  <c r="D1712" i="1"/>
  <c r="D1759" i="1"/>
  <c r="E1772" i="1"/>
  <c r="F1772" i="1"/>
  <c r="D1779" i="1"/>
  <c r="D1786" i="1"/>
  <c r="F1856" i="1"/>
  <c r="F1862" i="1"/>
  <c r="F1868" i="1"/>
  <c r="F1874" i="1"/>
  <c r="F1880" i="1"/>
  <c r="F1886" i="1"/>
  <c r="F1892" i="1"/>
  <c r="F1898" i="1"/>
  <c r="F1904" i="1"/>
  <c r="F1910" i="1"/>
  <c r="F1916" i="1"/>
  <c r="F1922" i="1"/>
  <c r="F1928" i="1"/>
  <c r="D1942" i="1"/>
  <c r="F1943" i="1"/>
  <c r="E1970" i="1"/>
  <c r="D1970" i="1"/>
  <c r="K1987" i="1"/>
  <c r="K1994" i="1"/>
  <c r="K2009" i="1"/>
  <c r="F2034" i="1"/>
  <c r="E2034" i="1"/>
  <c r="D2034" i="1"/>
  <c r="E1998" i="1"/>
  <c r="D1998" i="1"/>
  <c r="F2046" i="1"/>
  <c r="E2046" i="1"/>
  <c r="D2046" i="1"/>
  <c r="K1774" i="1"/>
  <c r="K1780" i="1"/>
  <c r="K1786" i="1"/>
  <c r="K1792" i="1"/>
  <c r="K1798" i="1"/>
  <c r="K1804" i="1"/>
  <c r="K1810" i="1"/>
  <c r="K1816" i="1"/>
  <c r="K1822" i="1"/>
  <c r="K1828" i="1"/>
  <c r="K1834" i="1"/>
  <c r="K1840" i="1"/>
  <c r="K1846" i="1"/>
  <c r="K1852" i="1"/>
  <c r="K1858" i="1"/>
  <c r="K1864" i="1"/>
  <c r="K1870" i="1"/>
  <c r="K1876" i="1"/>
  <c r="K1882" i="1"/>
  <c r="K1888" i="1"/>
  <c r="K1894" i="1"/>
  <c r="K1900" i="1"/>
  <c r="K1906" i="1"/>
  <c r="K1912" i="1"/>
  <c r="K1918" i="1"/>
  <c r="K1924" i="1"/>
  <c r="K1930" i="1"/>
  <c r="E1940" i="1"/>
  <c r="K1945" i="1"/>
  <c r="E1961" i="1"/>
  <c r="K1991" i="1"/>
  <c r="F1998" i="1"/>
  <c r="F1940" i="1"/>
  <c r="K1954" i="1"/>
  <c r="F1961" i="1"/>
  <c r="F1969" i="1"/>
  <c r="E1969" i="1"/>
  <c r="K2021" i="1"/>
  <c r="D1729" i="1"/>
  <c r="D1741" i="1"/>
  <c r="D1753" i="1"/>
  <c r="D1765" i="1"/>
  <c r="E1937" i="1"/>
  <c r="K1942" i="1"/>
  <c r="E1952" i="1"/>
  <c r="D1969" i="1"/>
  <c r="F1976" i="1"/>
  <c r="E1976" i="1"/>
  <c r="D1976" i="1"/>
  <c r="E1982" i="1"/>
  <c r="D1982" i="1"/>
  <c r="E1729" i="1"/>
  <c r="E1741" i="1"/>
  <c r="E1753" i="1"/>
  <c r="E1765" i="1"/>
  <c r="D1719" i="1"/>
  <c r="D1731" i="1"/>
  <c r="D1743" i="1"/>
  <c r="D1755" i="1"/>
  <c r="D1767" i="1"/>
  <c r="F1936" i="1"/>
  <c r="E1949" i="1"/>
  <c r="F1951" i="1"/>
  <c r="E1958" i="1"/>
  <c r="D1958" i="1"/>
  <c r="F1975" i="1"/>
  <c r="E1975" i="1"/>
  <c r="F1988" i="1"/>
  <c r="E1988" i="1"/>
  <c r="D1988" i="1"/>
  <c r="F2010" i="1"/>
  <c r="E2010" i="1"/>
  <c r="D2010" i="1"/>
  <c r="K2033" i="1"/>
  <c r="E1719" i="1"/>
  <c r="E1731" i="1"/>
  <c r="E1743" i="1"/>
  <c r="E1755" i="1"/>
  <c r="E1767" i="1"/>
  <c r="D1966" i="1"/>
  <c r="E1966" i="1"/>
  <c r="D1933" i="1"/>
  <c r="F1966" i="1"/>
  <c r="E1973" i="1"/>
  <c r="F1987" i="1"/>
  <c r="E1987" i="1"/>
  <c r="K1997" i="1"/>
  <c r="F2022" i="1"/>
  <c r="E2022" i="1"/>
  <c r="D2022" i="1"/>
  <c r="F1933" i="1"/>
  <c r="F1957" i="1"/>
  <c r="E1957" i="1"/>
  <c r="F1973" i="1"/>
  <c r="D1851" i="1"/>
  <c r="D1852" i="1"/>
  <c r="D1856" i="1"/>
  <c r="D1857" i="1"/>
  <c r="D1858" i="1"/>
  <c r="D1862" i="1"/>
  <c r="D1863" i="1"/>
  <c r="D1864" i="1"/>
  <c r="D1868" i="1"/>
  <c r="D1869" i="1"/>
  <c r="D1870" i="1"/>
  <c r="D1874" i="1"/>
  <c r="D1875" i="1"/>
  <c r="D1876" i="1"/>
  <c r="D1880" i="1"/>
  <c r="D1881" i="1"/>
  <c r="D1882" i="1"/>
  <c r="D1886" i="1"/>
  <c r="D1887" i="1"/>
  <c r="D1888" i="1"/>
  <c r="D1892" i="1"/>
  <c r="D1893" i="1"/>
  <c r="D1894" i="1"/>
  <c r="D1898" i="1"/>
  <c r="D1899" i="1"/>
  <c r="D1900" i="1"/>
  <c r="D1904" i="1"/>
  <c r="D1905" i="1"/>
  <c r="D1906" i="1"/>
  <c r="D1910" i="1"/>
  <c r="D1911" i="1"/>
  <c r="D1912" i="1"/>
  <c r="D1916" i="1"/>
  <c r="D1917" i="1"/>
  <c r="D1918" i="1"/>
  <c r="D1922" i="1"/>
  <c r="D1923" i="1"/>
  <c r="D1924" i="1"/>
  <c r="D1928" i="1"/>
  <c r="D1929" i="1"/>
  <c r="D1930" i="1"/>
  <c r="D1945" i="1"/>
  <c r="D1957" i="1"/>
  <c r="K1975" i="1"/>
  <c r="E1985" i="1"/>
  <c r="E1851" i="1"/>
  <c r="F1852" i="1"/>
  <c r="E1857" i="1"/>
  <c r="F1858" i="1"/>
  <c r="E1863" i="1"/>
  <c r="F1864" i="1"/>
  <c r="E1869" i="1"/>
  <c r="F1870" i="1"/>
  <c r="E1875" i="1"/>
  <c r="F1876" i="1"/>
  <c r="E1881" i="1"/>
  <c r="F1882" i="1"/>
  <c r="E1887" i="1"/>
  <c r="F1888" i="1"/>
  <c r="E1893" i="1"/>
  <c r="F1894" i="1"/>
  <c r="E1899" i="1"/>
  <c r="F1900" i="1"/>
  <c r="E1905" i="1"/>
  <c r="F1906" i="1"/>
  <c r="E1911" i="1"/>
  <c r="F1912" i="1"/>
  <c r="E1917" i="1"/>
  <c r="F1918" i="1"/>
  <c r="E1923" i="1"/>
  <c r="F1924" i="1"/>
  <c r="E1929" i="1"/>
  <c r="F1930" i="1"/>
  <c r="F1945" i="1"/>
  <c r="F1964" i="1"/>
  <c r="D1964" i="1"/>
  <c r="F1985" i="1"/>
  <c r="E1978" i="1"/>
  <c r="E1991" i="1"/>
  <c r="E2015" i="1"/>
  <c r="E2039" i="1"/>
  <c r="E2063" i="1"/>
  <c r="E2071" i="1"/>
  <c r="D2072" i="1"/>
  <c r="D2073" i="1"/>
  <c r="D2074" i="1"/>
  <c r="F2075" i="1"/>
  <c r="E2095" i="1"/>
  <c r="K2100" i="1"/>
  <c r="F2071" i="1"/>
  <c r="E2073" i="1"/>
  <c r="F2074" i="1"/>
  <c r="D2180" i="1"/>
  <c r="E2180" i="1"/>
  <c r="D2093" i="1"/>
  <c r="E2093" i="1"/>
  <c r="D2111" i="1"/>
  <c r="E2111" i="1"/>
  <c r="E1981" i="1"/>
  <c r="E1996" i="1"/>
  <c r="E1997" i="1"/>
  <c r="E2020" i="1"/>
  <c r="E2021" i="1"/>
  <c r="E2044" i="1"/>
  <c r="E2045" i="1"/>
  <c r="F2068" i="1"/>
  <c r="K2070" i="1"/>
  <c r="F2093" i="1"/>
  <c r="F2111" i="1"/>
  <c r="D2183" i="1"/>
  <c r="E2183" i="1"/>
  <c r="F2183" i="1"/>
  <c r="D2087" i="1"/>
  <c r="E2087" i="1"/>
  <c r="D2105" i="1"/>
  <c r="E2105" i="1"/>
  <c r="D2198" i="1"/>
  <c r="F2198" i="1"/>
  <c r="E2198" i="1"/>
  <c r="E2182" i="1"/>
  <c r="F2182" i="1"/>
  <c r="D2182" i="1"/>
  <c r="E2201" i="1"/>
  <c r="D2201" i="1"/>
  <c r="F2201" i="1"/>
  <c r="E2008" i="1"/>
  <c r="E2009" i="1"/>
  <c r="E2032" i="1"/>
  <c r="E2033" i="1"/>
  <c r="E2056" i="1"/>
  <c r="E2057" i="1"/>
  <c r="D2058" i="1"/>
  <c r="D2077" i="1"/>
  <c r="E2081" i="1"/>
  <c r="E2084" i="1"/>
  <c r="E2085" i="1"/>
  <c r="F2101" i="1"/>
  <c r="K2193" i="1"/>
  <c r="E2058" i="1"/>
  <c r="E2077" i="1"/>
  <c r="F2081" i="1"/>
  <c r="D2099" i="1"/>
  <c r="E2099" i="1"/>
  <c r="F2181" i="1"/>
  <c r="D2181" i="1"/>
  <c r="E2181" i="1"/>
  <c r="E2075" i="1"/>
  <c r="K2082" i="1"/>
  <c r="F2099" i="1"/>
  <c r="E2117" i="1"/>
  <c r="E2123" i="1"/>
  <c r="E2129" i="1"/>
  <c r="E2135" i="1"/>
  <c r="E2141" i="1"/>
  <c r="E2147" i="1"/>
  <c r="E2153" i="1"/>
  <c r="E2159" i="1"/>
  <c r="E2165" i="1"/>
  <c r="E2171" i="1"/>
  <c r="E2177" i="1"/>
  <c r="D2195" i="1"/>
  <c r="E2195" i="1"/>
  <c r="E2199" i="1"/>
  <c r="E2213" i="1"/>
  <c r="D2213" i="1"/>
  <c r="E2216" i="1"/>
  <c r="E2217" i="1"/>
  <c r="D2255" i="1"/>
  <c r="E2255" i="1"/>
  <c r="D2279" i="1"/>
  <c r="E2279" i="1"/>
  <c r="D2303" i="1"/>
  <c r="E2303" i="1"/>
  <c r="F2216" i="1"/>
  <c r="F2229" i="1"/>
  <c r="D2229" i="1"/>
  <c r="F2247" i="1"/>
  <c r="D2247" i="1"/>
  <c r="F2271" i="1"/>
  <c r="D2271" i="1"/>
  <c r="F2295" i="1"/>
  <c r="D2295" i="1"/>
  <c r="F2325" i="1"/>
  <c r="D2325" i="1"/>
  <c r="E2194" i="1"/>
  <c r="F2194" i="1"/>
  <c r="F2212" i="1"/>
  <c r="E2212" i="1"/>
  <c r="E2229" i="1"/>
  <c r="E2247" i="1"/>
  <c r="F2337" i="1"/>
  <c r="D2337" i="1"/>
  <c r="D2192" i="1"/>
  <c r="D2193" i="1"/>
  <c r="D2194" i="1"/>
  <c r="D2210" i="1"/>
  <c r="D2211" i="1"/>
  <c r="D2212" i="1"/>
  <c r="D2228" i="1"/>
  <c r="E2237" i="1"/>
  <c r="D2237" i="1"/>
  <c r="E2261" i="1"/>
  <c r="D2261" i="1"/>
  <c r="E2285" i="1"/>
  <c r="D2285" i="1"/>
  <c r="E2309" i="1"/>
  <c r="D2309" i="1"/>
  <c r="E2318" i="1"/>
  <c r="D2318" i="1"/>
  <c r="K2332" i="1"/>
  <c r="E2337" i="1"/>
  <c r="K2344" i="1"/>
  <c r="F2349" i="1"/>
  <c r="E2349" i="1"/>
  <c r="E2189" i="1"/>
  <c r="D2189" i="1"/>
  <c r="E2192" i="1"/>
  <c r="E2193" i="1"/>
  <c r="D2207" i="1"/>
  <c r="E2207" i="1"/>
  <c r="E2210" i="1"/>
  <c r="E2211" i="1"/>
  <c r="E2225" i="1"/>
  <c r="D2225" i="1"/>
  <c r="F2228" i="1"/>
  <c r="F2253" i="1"/>
  <c r="D2253" i="1"/>
  <c r="F2277" i="1"/>
  <c r="D2277" i="1"/>
  <c r="F2301" i="1"/>
  <c r="D2301" i="1"/>
  <c r="D2349" i="1"/>
  <c r="F2189" i="1"/>
  <c r="F2207" i="1"/>
  <c r="F2225" i="1"/>
  <c r="E2253" i="1"/>
  <c r="K2254" i="1"/>
  <c r="E2277" i="1"/>
  <c r="K2278" i="1"/>
  <c r="E2301" i="1"/>
  <c r="F2188" i="1"/>
  <c r="E2188" i="1"/>
  <c r="E2206" i="1"/>
  <c r="F2206" i="1"/>
  <c r="F2224" i="1"/>
  <c r="E2224" i="1"/>
  <c r="F2236" i="1"/>
  <c r="E2236" i="1"/>
  <c r="D2243" i="1"/>
  <c r="E2243" i="1"/>
  <c r="D2267" i="1"/>
  <c r="E2267" i="1"/>
  <c r="D2291" i="1"/>
  <c r="E2291" i="1"/>
  <c r="D2315" i="1"/>
  <c r="E2315" i="1"/>
  <c r="F2336" i="1"/>
  <c r="F2259" i="1"/>
  <c r="D2259" i="1"/>
  <c r="F2283" i="1"/>
  <c r="D2283" i="1"/>
  <c r="F2307" i="1"/>
  <c r="D2307" i="1"/>
  <c r="K2318" i="1"/>
  <c r="D2219" i="1"/>
  <c r="E2219" i="1"/>
  <c r="K2236" i="1"/>
  <c r="F2219" i="1"/>
  <c r="E2249" i="1"/>
  <c r="D2249" i="1"/>
  <c r="E2273" i="1"/>
  <c r="D2273" i="1"/>
  <c r="E2297" i="1"/>
  <c r="D2297" i="1"/>
  <c r="D2327" i="1"/>
  <c r="E2327" i="1"/>
  <c r="K2330" i="1"/>
  <c r="K2342" i="1"/>
  <c r="F2200" i="1"/>
  <c r="E2200" i="1"/>
  <c r="E2218" i="1"/>
  <c r="F2218" i="1"/>
  <c r="D2231" i="1"/>
  <c r="E2231" i="1"/>
  <c r="F2241" i="1"/>
  <c r="D2241" i="1"/>
  <c r="F2265" i="1"/>
  <c r="D2265" i="1"/>
  <c r="F2289" i="1"/>
  <c r="D2289" i="1"/>
  <c r="F2313" i="1"/>
  <c r="D2313" i="1"/>
  <c r="D2339" i="1"/>
  <c r="F2339" i="1"/>
  <c r="E2339" i="1"/>
  <c r="D2199" i="1"/>
  <c r="D2200" i="1"/>
  <c r="D2217" i="1"/>
  <c r="D2218" i="1"/>
  <c r="F2231" i="1"/>
  <c r="E2241" i="1"/>
  <c r="K2242" i="1"/>
  <c r="F2258" i="1"/>
  <c r="E2265" i="1"/>
  <c r="K2266" i="1"/>
  <c r="F2282" i="1"/>
  <c r="E2289" i="1"/>
  <c r="K2290" i="1"/>
  <c r="F2306" i="1"/>
  <c r="E2313" i="1"/>
  <c r="K2314" i="1"/>
  <c r="F2230" i="1"/>
  <c r="F2242" i="1"/>
  <c r="F2254" i="1"/>
  <c r="F2266" i="1"/>
  <c r="F2278" i="1"/>
  <c r="F2290" i="1"/>
  <c r="F2302" i="1"/>
  <c r="F2314" i="1"/>
  <c r="F2326" i="1"/>
  <c r="F2338" i="1"/>
  <c r="F2354" i="1"/>
  <c r="F2355" i="1"/>
  <c r="E2356" i="1"/>
  <c r="E2357" i="1"/>
  <c r="F2378" i="1"/>
  <c r="F2379" i="1"/>
  <c r="E2380" i="1"/>
  <c r="E2381" i="1"/>
  <c r="F2434" i="1"/>
  <c r="F2494" i="1"/>
  <c r="E2494" i="1"/>
  <c r="D2494" i="1"/>
  <c r="F2499" i="1"/>
  <c r="E2499" i="1"/>
  <c r="D2499" i="1"/>
  <c r="F2356" i="1"/>
  <c r="F2357" i="1"/>
  <c r="F2380" i="1"/>
  <c r="F2381" i="1"/>
  <c r="K2458" i="1"/>
  <c r="F2482" i="1"/>
  <c r="E2482" i="1"/>
  <c r="E2488" i="1"/>
  <c r="F2488" i="1"/>
  <c r="D2488" i="1"/>
  <c r="D2330" i="1"/>
  <c r="D2342" i="1"/>
  <c r="D2361" i="1"/>
  <c r="D2362" i="1"/>
  <c r="E2363" i="1"/>
  <c r="D2385" i="1"/>
  <c r="D2386" i="1"/>
  <c r="E2387" i="1"/>
  <c r="E2419" i="1"/>
  <c r="F2440" i="1"/>
  <c r="E2440" i="1"/>
  <c r="D2447" i="1"/>
  <c r="F2447" i="1"/>
  <c r="F2504" i="1"/>
  <c r="E2504" i="1"/>
  <c r="D2504" i="1"/>
  <c r="D2319" i="1"/>
  <c r="E2330" i="1"/>
  <c r="D2331" i="1"/>
  <c r="E2342" i="1"/>
  <c r="D2343" i="1"/>
  <c r="E2361" i="1"/>
  <c r="F2362" i="1"/>
  <c r="F2363" i="1"/>
  <c r="D2365" i="1"/>
  <c r="E2385" i="1"/>
  <c r="F2386" i="1"/>
  <c r="F2387" i="1"/>
  <c r="D2389" i="1"/>
  <c r="E2417" i="1"/>
  <c r="F2419" i="1"/>
  <c r="D2440" i="1"/>
  <c r="E2447" i="1"/>
  <c r="E2461" i="1"/>
  <c r="D2461" i="1"/>
  <c r="K2470" i="1"/>
  <c r="E2475" i="1"/>
  <c r="D2475" i="1"/>
  <c r="E2508" i="1"/>
  <c r="F2508" i="1"/>
  <c r="D2508" i="1"/>
  <c r="F2417" i="1"/>
  <c r="F2429" i="1"/>
  <c r="E2429" i="1"/>
  <c r="D2429" i="1"/>
  <c r="F2453" i="1"/>
  <c r="E2453" i="1"/>
  <c r="D2453" i="1"/>
  <c r="F2487" i="1"/>
  <c r="E2487" i="1"/>
  <c r="D2487" i="1"/>
  <c r="E2248" i="1"/>
  <c r="E2260" i="1"/>
  <c r="E2272" i="1"/>
  <c r="E2284" i="1"/>
  <c r="E2296" i="1"/>
  <c r="E2308" i="1"/>
  <c r="E2320" i="1"/>
  <c r="D2321" i="1"/>
  <c r="E2332" i="1"/>
  <c r="D2333" i="1"/>
  <c r="E2344" i="1"/>
  <c r="D2345" i="1"/>
  <c r="E2366" i="1"/>
  <c r="E2367" i="1"/>
  <c r="D2368" i="1"/>
  <c r="D2369" i="1"/>
  <c r="E2390" i="1"/>
  <c r="E2391" i="1"/>
  <c r="D2392" i="1"/>
  <c r="D2393" i="1"/>
  <c r="D2410" i="1"/>
  <c r="F2411" i="1"/>
  <c r="F2413" i="1"/>
  <c r="F2414" i="1"/>
  <c r="F2416" i="1"/>
  <c r="E2437" i="1"/>
  <c r="D2437" i="1"/>
  <c r="D2446" i="1"/>
  <c r="F2507" i="1"/>
  <c r="E2507" i="1"/>
  <c r="D2507" i="1"/>
  <c r="F2410" i="1"/>
  <c r="F2428" i="1"/>
  <c r="E2428" i="1"/>
  <c r="K2440" i="1"/>
  <c r="F2446" i="1"/>
  <c r="F2465" i="1"/>
  <c r="E2465" i="1"/>
  <c r="D2465" i="1"/>
  <c r="K2466" i="1"/>
  <c r="F2480" i="1"/>
  <c r="E2480" i="1"/>
  <c r="F2492" i="1"/>
  <c r="E2492" i="1"/>
  <c r="D2492" i="1"/>
  <c r="F2452" i="1"/>
  <c r="E2452" i="1"/>
  <c r="E2496" i="1"/>
  <c r="F2496" i="1"/>
  <c r="D2496" i="1"/>
  <c r="E2512" i="1"/>
  <c r="F2512" i="1"/>
  <c r="D2512" i="1"/>
  <c r="D2435" i="1"/>
  <c r="F2435" i="1"/>
  <c r="F2506" i="1"/>
  <c r="E2506" i="1"/>
  <c r="D2506" i="1"/>
  <c r="F2350" i="1"/>
  <c r="F2351" i="1"/>
  <c r="D2353" i="1"/>
  <c r="E2373" i="1"/>
  <c r="F2374" i="1"/>
  <c r="F2375" i="1"/>
  <c r="D2377" i="1"/>
  <c r="E2397" i="1"/>
  <c r="F2398" i="1"/>
  <c r="F2399" i="1"/>
  <c r="E2402" i="1"/>
  <c r="F2404" i="1"/>
  <c r="D2425" i="1"/>
  <c r="F2426" i="1"/>
  <c r="E2435" i="1"/>
  <c r="K2446" i="1"/>
  <c r="E2458" i="1"/>
  <c r="D2458" i="1"/>
  <c r="F2464" i="1"/>
  <c r="E2464" i="1"/>
  <c r="F2495" i="1"/>
  <c r="E2495" i="1"/>
  <c r="D2495" i="1"/>
  <c r="E2500" i="1"/>
  <c r="F2500" i="1"/>
  <c r="D2500" i="1"/>
  <c r="E2353" i="1"/>
  <c r="F2425" i="1"/>
  <c r="E2484" i="1"/>
  <c r="F2484" i="1"/>
  <c r="F2511" i="1"/>
  <c r="E2511" i="1"/>
  <c r="D2511" i="1"/>
  <c r="F2423" i="1"/>
  <c r="D2434" i="1"/>
  <c r="F2441" i="1"/>
  <c r="E2441" i="1"/>
  <c r="D2441" i="1"/>
  <c r="K2442" i="1"/>
  <c r="E2449" i="1"/>
  <c r="D2449" i="1"/>
  <c r="K2452" i="1"/>
  <c r="E2470" i="1"/>
  <c r="D2470" i="1"/>
  <c r="F2483" i="1"/>
  <c r="E2483" i="1"/>
  <c r="D2484" i="1"/>
  <c r="F2459" i="1"/>
  <c r="F2471" i="1"/>
  <c r="D2523" i="1"/>
  <c r="K2526" i="1"/>
  <c r="E2536" i="1"/>
  <c r="D2550" i="1"/>
  <c r="D2560" i="1"/>
  <c r="E2560" i="1"/>
  <c r="K2562" i="1"/>
  <c r="D2567" i="1"/>
  <c r="E2567" i="1"/>
  <c r="K2625" i="1"/>
  <c r="F2522" i="1"/>
  <c r="E2522" i="1"/>
  <c r="F2523" i="1"/>
  <c r="D2535" i="1"/>
  <c r="F2536" i="1"/>
  <c r="K2538" i="1"/>
  <c r="E2548" i="1"/>
  <c r="E2550" i="1"/>
  <c r="F2560" i="1"/>
  <c r="F2567" i="1"/>
  <c r="F2574" i="1"/>
  <c r="D2574" i="1"/>
  <c r="K2606" i="1"/>
  <c r="E2619" i="1"/>
  <c r="D2619" i="1"/>
  <c r="F2619" i="1"/>
  <c r="F2534" i="1"/>
  <c r="E2534" i="1"/>
  <c r="E2559" i="1"/>
  <c r="D2559" i="1"/>
  <c r="E2566" i="1"/>
  <c r="D2566" i="1"/>
  <c r="E2610" i="1"/>
  <c r="F2610" i="1"/>
  <c r="D2610" i="1"/>
  <c r="D2516" i="1"/>
  <c r="D2518" i="1"/>
  <c r="E2519" i="1"/>
  <c r="D2533" i="1"/>
  <c r="D2534" i="1"/>
  <c r="F2546" i="1"/>
  <c r="E2546" i="1"/>
  <c r="F2559" i="1"/>
  <c r="F2566" i="1"/>
  <c r="D2572" i="1"/>
  <c r="E2572" i="1"/>
  <c r="E2516" i="1"/>
  <c r="E2518" i="1"/>
  <c r="F2519" i="1"/>
  <c r="K2523" i="1"/>
  <c r="E2531" i="1"/>
  <c r="E2533" i="1"/>
  <c r="D2545" i="1"/>
  <c r="D2546" i="1"/>
  <c r="K2568" i="1"/>
  <c r="F2572" i="1"/>
  <c r="D2632" i="1"/>
  <c r="F2632" i="1"/>
  <c r="E2632" i="1"/>
  <c r="F2531" i="1"/>
  <c r="E2545" i="1"/>
  <c r="F2564" i="1"/>
  <c r="D2564" i="1"/>
  <c r="E2571" i="1"/>
  <c r="D2571" i="1"/>
  <c r="D2608" i="1"/>
  <c r="F2608" i="1"/>
  <c r="E2608" i="1"/>
  <c r="F2529" i="1"/>
  <c r="E2529" i="1"/>
  <c r="D2542" i="1"/>
  <c r="K2547" i="1"/>
  <c r="E2555" i="1"/>
  <c r="K2559" i="1"/>
  <c r="E2564" i="1"/>
  <c r="F2571" i="1"/>
  <c r="K2478" i="1"/>
  <c r="K2490" i="1"/>
  <c r="K2502" i="1"/>
  <c r="K2514" i="1"/>
  <c r="K2520" i="1"/>
  <c r="F2541" i="1"/>
  <c r="E2541" i="1"/>
  <c r="F2563" i="1"/>
  <c r="D2563" i="1"/>
  <c r="E2607" i="1"/>
  <c r="F2607" i="1"/>
  <c r="D2607" i="1"/>
  <c r="F2553" i="1"/>
  <c r="E2553" i="1"/>
  <c r="D2539" i="1"/>
  <c r="D2552" i="1"/>
  <c r="D2553" i="1"/>
  <c r="K2603" i="1"/>
  <c r="D2526" i="1"/>
  <c r="E2539" i="1"/>
  <c r="D2551" i="1"/>
  <c r="E2552" i="1"/>
  <c r="K2556" i="1"/>
  <c r="F2562" i="1"/>
  <c r="D2562" i="1"/>
  <c r="F2569" i="1"/>
  <c r="D2569" i="1"/>
  <c r="D2620" i="1"/>
  <c r="E2620" i="1"/>
  <c r="F2620" i="1"/>
  <c r="F2622" i="1"/>
  <c r="F2671" i="1"/>
  <c r="K2680" i="1"/>
  <c r="E2733" i="1"/>
  <c r="F2733" i="1"/>
  <c r="D2733" i="1"/>
  <c r="E2615" i="1"/>
  <c r="D2618" i="1"/>
  <c r="D2637" i="1"/>
  <c r="D2646" i="1"/>
  <c r="F2647" i="1"/>
  <c r="K2665" i="1"/>
  <c r="K2707" i="1"/>
  <c r="F2721" i="1"/>
  <c r="D2721" i="1"/>
  <c r="D2729" i="1"/>
  <c r="F2729" i="1"/>
  <c r="E2729" i="1"/>
  <c r="E2742" i="1"/>
  <c r="F2742" i="1"/>
  <c r="D2742" i="1"/>
  <c r="F2615" i="1"/>
  <c r="E2618" i="1"/>
  <c r="E2637" i="1"/>
  <c r="F2646" i="1"/>
  <c r="K2656" i="1"/>
  <c r="K2699" i="1"/>
  <c r="K2724" i="1"/>
  <c r="K2743" i="1"/>
  <c r="K2756" i="1"/>
  <c r="K2647" i="1"/>
  <c r="D2667" i="1"/>
  <c r="E2667" i="1"/>
  <c r="E2702" i="1"/>
  <c r="D2702" i="1"/>
  <c r="F2702" i="1"/>
  <c r="F2720" i="1"/>
  <c r="D2720" i="1"/>
  <c r="D2605" i="1"/>
  <c r="D2651" i="1"/>
  <c r="E2651" i="1"/>
  <c r="D2675" i="1"/>
  <c r="E2675" i="1"/>
  <c r="F2689" i="1"/>
  <c r="E2689" i="1"/>
  <c r="D2689" i="1"/>
  <c r="F2709" i="1"/>
  <c r="E2709" i="1"/>
  <c r="D2709" i="1"/>
  <c r="E2603" i="1"/>
  <c r="E2605" i="1"/>
  <c r="D2606" i="1"/>
  <c r="F2630" i="1"/>
  <c r="D2630" i="1"/>
  <c r="F2642" i="1"/>
  <c r="D2642" i="1"/>
  <c r="F2651" i="1"/>
  <c r="F2659" i="1"/>
  <c r="F2675" i="1"/>
  <c r="F2682" i="1"/>
  <c r="K2716" i="1"/>
  <c r="K2727" i="1"/>
  <c r="E2745" i="1"/>
  <c r="D2745" i="1"/>
  <c r="F2745" i="1"/>
  <c r="D2575" i="1"/>
  <c r="D2576" i="1"/>
  <c r="D2578" i="1"/>
  <c r="E2579" i="1"/>
  <c r="D2581" i="1"/>
  <c r="D2583" i="1"/>
  <c r="E2584" i="1"/>
  <c r="D2586" i="1"/>
  <c r="D2587" i="1"/>
  <c r="D2588" i="1"/>
  <c r="D2590" i="1"/>
  <c r="E2591" i="1"/>
  <c r="D2593" i="1"/>
  <c r="D2595" i="1"/>
  <c r="E2596" i="1"/>
  <c r="D2598" i="1"/>
  <c r="D2599" i="1"/>
  <c r="D2600" i="1"/>
  <c r="D2602" i="1"/>
  <c r="F2603" i="1"/>
  <c r="E2606" i="1"/>
  <c r="D2629" i="1"/>
  <c r="E2630" i="1"/>
  <c r="E2642" i="1"/>
  <c r="K2653" i="1"/>
  <c r="K2677" i="1"/>
  <c r="D2681" i="1"/>
  <c r="E2708" i="1"/>
  <c r="D2708" i="1"/>
  <c r="F2719" i="1"/>
  <c r="D2719" i="1"/>
  <c r="D2788" i="1"/>
  <c r="F2788" i="1"/>
  <c r="E2788" i="1"/>
  <c r="E2558" i="1"/>
  <c r="E2565" i="1"/>
  <c r="E2570" i="1"/>
  <c r="E2577" i="1"/>
  <c r="E2582" i="1"/>
  <c r="E2589" i="1"/>
  <c r="E2594" i="1"/>
  <c r="E2601" i="1"/>
  <c r="D2626" i="1"/>
  <c r="F2627" i="1"/>
  <c r="F2641" i="1"/>
  <c r="K2652" i="1"/>
  <c r="E2657" i="1"/>
  <c r="K2659" i="1"/>
  <c r="K2676" i="1"/>
  <c r="F2694" i="1"/>
  <c r="K2701" i="1"/>
  <c r="E2707" i="1"/>
  <c r="D2707" i="1"/>
  <c r="K2714" i="1"/>
  <c r="D2730" i="1"/>
  <c r="F2730" i="1"/>
  <c r="E2730" i="1"/>
  <c r="D2738" i="1"/>
  <c r="E2738" i="1"/>
  <c r="F2738" i="1"/>
  <c r="F2766" i="1"/>
  <c r="E2766" i="1"/>
  <c r="D2766" i="1"/>
  <c r="D2638" i="1"/>
  <c r="E2638" i="1"/>
  <c r="D2655" i="1"/>
  <c r="E2655" i="1"/>
  <c r="E2686" i="1"/>
  <c r="D2686" i="1"/>
  <c r="K2536" i="1"/>
  <c r="K2548" i="1"/>
  <c r="K2560" i="1"/>
  <c r="K2572" i="1"/>
  <c r="K2584" i="1"/>
  <c r="K2596" i="1"/>
  <c r="D2622" i="1"/>
  <c r="F2638" i="1"/>
  <c r="F2655" i="1"/>
  <c r="D2663" i="1"/>
  <c r="E2663" i="1"/>
  <c r="K2666" i="1"/>
  <c r="E2671" i="1"/>
  <c r="F2686" i="1"/>
  <c r="D2699" i="1"/>
  <c r="E2699" i="1"/>
  <c r="F2699" i="1"/>
  <c r="D2698" i="1"/>
  <c r="E2726" i="1"/>
  <c r="D2726" i="1"/>
  <c r="F2725" i="1"/>
  <c r="E2725" i="1"/>
  <c r="K2732" i="1"/>
  <c r="K2748" i="1"/>
  <c r="E2763" i="1"/>
  <c r="E2690" i="1"/>
  <c r="D2690" i="1"/>
  <c r="F2722" i="1"/>
  <c r="D2735" i="1"/>
  <c r="F2735" i="1"/>
  <c r="F2753" i="1"/>
  <c r="E2753" i="1"/>
  <c r="D2753" i="1"/>
  <c r="F2763" i="1"/>
  <c r="F2790" i="1"/>
  <c r="E2790" i="1"/>
  <c r="D2790" i="1"/>
  <c r="F2687" i="1"/>
  <c r="E2714" i="1"/>
  <c r="D2714" i="1"/>
  <c r="D2743" i="1"/>
  <c r="F2743" i="1"/>
  <c r="F2752" i="1"/>
  <c r="E2752" i="1"/>
  <c r="F2762" i="1"/>
  <c r="F2713" i="1"/>
  <c r="E2713" i="1"/>
  <c r="D2734" i="1"/>
  <c r="F2734" i="1"/>
  <c r="K2763" i="1"/>
  <c r="F2771" i="1"/>
  <c r="E2771" i="1"/>
  <c r="D2771" i="1"/>
  <c r="E2678" i="1"/>
  <c r="D2678" i="1"/>
  <c r="F2710" i="1"/>
  <c r="E2751" i="1"/>
  <c r="F2741" i="1"/>
  <c r="E2741" i="1"/>
  <c r="F2765" i="1"/>
  <c r="E2765" i="1"/>
  <c r="F2701" i="1"/>
  <c r="E2701" i="1"/>
  <c r="F2731" i="1"/>
  <c r="F2739" i="1"/>
  <c r="K2750" i="1"/>
  <c r="E2754" i="1"/>
  <c r="F2754" i="1"/>
  <c r="D2754" i="1"/>
  <c r="D2765" i="1"/>
  <c r="F2770" i="1"/>
  <c r="E2770" i="1"/>
  <c r="D2770" i="1"/>
  <c r="F2836" i="1"/>
  <c r="E2836" i="1"/>
  <c r="F2758" i="1"/>
  <c r="F2759" i="1"/>
  <c r="E2767" i="1"/>
  <c r="D2767" i="1"/>
  <c r="F2794" i="1"/>
  <c r="F2795" i="1"/>
  <c r="K2819" i="1"/>
  <c r="F2826" i="1"/>
  <c r="E2826" i="1"/>
  <c r="D2826" i="1"/>
  <c r="K2829" i="1"/>
  <c r="D2836" i="1"/>
  <c r="K2842" i="1"/>
  <c r="E2849" i="1"/>
  <c r="F2849" i="1"/>
  <c r="F2857" i="1"/>
  <c r="E2857" i="1"/>
  <c r="F2864" i="1"/>
  <c r="E2864" i="1"/>
  <c r="F2845" i="1"/>
  <c r="E2845" i="1"/>
  <c r="F2853" i="1"/>
  <c r="E2853" i="1"/>
  <c r="D2853" i="1"/>
  <c r="E2779" i="1"/>
  <c r="D2779" i="1"/>
  <c r="D2782" i="1"/>
  <c r="D2783" i="1"/>
  <c r="D2784" i="1"/>
  <c r="D2785" i="1"/>
  <c r="D2786" i="1"/>
  <c r="E2803" i="1"/>
  <c r="D2803" i="1"/>
  <c r="F2814" i="1"/>
  <c r="E2814" i="1"/>
  <c r="D2814" i="1"/>
  <c r="F2824" i="1"/>
  <c r="D2824" i="1"/>
  <c r="F2841" i="1"/>
  <c r="E2841" i="1"/>
  <c r="D2841" i="1"/>
  <c r="D2845" i="1"/>
  <c r="F2860" i="1"/>
  <c r="E2860" i="1"/>
  <c r="D2860" i="1"/>
  <c r="D2867" i="1"/>
  <c r="F2867" i="1"/>
  <c r="D2772" i="1"/>
  <c r="D2773" i="1"/>
  <c r="D2774" i="1"/>
  <c r="D2775" i="1"/>
  <c r="D2776" i="1"/>
  <c r="F2778" i="1"/>
  <c r="E2778" i="1"/>
  <c r="F2779" i="1"/>
  <c r="E2782" i="1"/>
  <c r="E2783" i="1"/>
  <c r="E2784" i="1"/>
  <c r="E2785" i="1"/>
  <c r="E2786" i="1"/>
  <c r="F2802" i="1"/>
  <c r="E2802" i="1"/>
  <c r="F2803" i="1"/>
  <c r="E2824" i="1"/>
  <c r="D2834" i="1"/>
  <c r="K2845" i="1"/>
  <c r="F2852" i="1"/>
  <c r="E2852" i="1"/>
  <c r="E2867" i="1"/>
  <c r="E2772" i="1"/>
  <c r="E2773" i="1"/>
  <c r="E2774" i="1"/>
  <c r="E2775" i="1"/>
  <c r="E2776" i="1"/>
  <c r="D2778" i="1"/>
  <c r="D2802" i="1"/>
  <c r="K2805" i="1"/>
  <c r="F2812" i="1"/>
  <c r="D2812" i="1"/>
  <c r="E2834" i="1"/>
  <c r="F2840" i="1"/>
  <c r="E2840" i="1"/>
  <c r="F2848" i="1"/>
  <c r="E2848" i="1"/>
  <c r="D2848" i="1"/>
  <c r="D2852" i="1"/>
  <c r="F2859" i="1"/>
  <c r="E2859" i="1"/>
  <c r="D2893" i="1"/>
  <c r="F2893" i="1"/>
  <c r="E2893" i="1"/>
  <c r="D2822" i="1"/>
  <c r="F2822" i="1"/>
  <c r="D2862" i="1"/>
  <c r="F2862" i="1"/>
  <c r="E2866" i="1"/>
  <c r="F2866" i="1"/>
  <c r="D2912" i="1"/>
  <c r="F2912" i="1"/>
  <c r="E2912" i="1"/>
  <c r="F2847" i="1"/>
  <c r="E2847" i="1"/>
  <c r="D2855" i="1"/>
  <c r="F2855" i="1"/>
  <c r="D2798" i="1"/>
  <c r="F2798" i="1"/>
  <c r="D2810" i="1"/>
  <c r="F2810" i="1"/>
  <c r="D2821" i="1"/>
  <c r="E2831" i="1"/>
  <c r="D2843" i="1"/>
  <c r="F2843" i="1"/>
  <c r="D2847" i="1"/>
  <c r="E2855" i="1"/>
  <c r="E2755" i="1"/>
  <c r="E2798" i="1"/>
  <c r="E2810" i="1"/>
  <c r="D2820" i="1"/>
  <c r="F2821" i="1"/>
  <c r="F2831" i="1"/>
  <c r="D2850" i="1"/>
  <c r="F2850" i="1"/>
  <c r="F2858" i="1"/>
  <c r="E2858" i="1"/>
  <c r="F2755" i="1"/>
  <c r="D2757" i="1"/>
  <c r="D2797" i="1"/>
  <c r="D2809" i="1"/>
  <c r="D2818" i="1"/>
  <c r="D2819" i="1"/>
  <c r="E2820" i="1"/>
  <c r="F2838" i="1"/>
  <c r="K2839" i="1"/>
  <c r="K2843" i="1"/>
  <c r="F2846" i="1"/>
  <c r="E2846" i="1"/>
  <c r="E2850" i="1"/>
  <c r="K2851" i="1"/>
  <c r="E2854" i="1"/>
  <c r="F2854" i="1"/>
  <c r="D2858" i="1"/>
  <c r="E2861" i="1"/>
  <c r="F2861" i="1"/>
  <c r="E2791" i="1"/>
  <c r="D2791" i="1"/>
  <c r="D2796" i="1"/>
  <c r="F2797" i="1"/>
  <c r="D2808" i="1"/>
  <c r="F2809" i="1"/>
  <c r="D2837" i="1"/>
  <c r="E2842" i="1"/>
  <c r="F2842" i="1"/>
  <c r="D2846" i="1"/>
  <c r="D2854" i="1"/>
  <c r="D2861" i="1"/>
  <c r="F2865" i="1"/>
  <c r="E2865" i="1"/>
  <c r="D2865" i="1"/>
  <c r="F2872" i="1"/>
  <c r="E2872" i="1"/>
  <c r="D2872" i="1"/>
  <c r="K2905" i="1"/>
  <c r="F2939" i="1"/>
  <c r="E2939" i="1"/>
  <c r="D2939" i="1"/>
  <c r="K2980" i="1"/>
  <c r="K2992" i="1"/>
  <c r="F2903" i="1"/>
  <c r="D2903" i="1"/>
  <c r="F2891" i="1"/>
  <c r="D2891" i="1"/>
  <c r="D2902" i="1"/>
  <c r="E2903" i="1"/>
  <c r="F2917" i="1"/>
  <c r="D2917" i="1"/>
  <c r="F2963" i="1"/>
  <c r="E2963" i="1"/>
  <c r="D2963" i="1"/>
  <c r="D2815" i="1"/>
  <c r="D2827" i="1"/>
  <c r="D2890" i="1"/>
  <c r="E2891" i="1"/>
  <c r="F2902" i="1"/>
  <c r="K2903" i="1"/>
  <c r="F2910" i="1"/>
  <c r="D2910" i="1"/>
  <c r="E2917" i="1"/>
  <c r="K2968" i="1"/>
  <c r="F2890" i="1"/>
  <c r="K2891" i="1"/>
  <c r="E2900" i="1"/>
  <c r="E2910" i="1"/>
  <c r="K2910" i="1"/>
  <c r="F2927" i="1"/>
  <c r="E2927" i="1"/>
  <c r="D2927" i="1"/>
  <c r="F2898" i="1"/>
  <c r="D2898" i="1"/>
  <c r="F2922" i="1"/>
  <c r="E2922" i="1"/>
  <c r="D2922" i="1"/>
  <c r="K2927" i="1"/>
  <c r="D2885" i="1"/>
  <c r="E2886" i="1"/>
  <c r="E2898" i="1"/>
  <c r="E2907" i="1"/>
  <c r="D2907" i="1"/>
  <c r="F2915" i="1"/>
  <c r="D2915" i="1"/>
  <c r="F2951" i="1"/>
  <c r="E2951" i="1"/>
  <c r="D2951" i="1"/>
  <c r="F2987" i="1"/>
  <c r="E2987" i="1"/>
  <c r="D2987" i="1"/>
  <c r="F2885" i="1"/>
  <c r="F2886" i="1"/>
  <c r="F2999" i="1"/>
  <c r="E2999" i="1"/>
  <c r="D2999" i="1"/>
  <c r="E2869" i="1"/>
  <c r="E2870" i="1"/>
  <c r="E2871" i="1"/>
  <c r="F2873" i="1"/>
  <c r="F2874" i="1"/>
  <c r="E2876" i="1"/>
  <c r="D2877" i="1"/>
  <c r="F2878" i="1"/>
  <c r="F2879" i="1"/>
  <c r="E2881" i="1"/>
  <c r="E2882" i="1"/>
  <c r="E2883" i="1"/>
  <c r="D2884" i="1"/>
  <c r="K2886" i="1"/>
  <c r="F2896" i="1"/>
  <c r="D2896" i="1"/>
  <c r="F2914" i="1"/>
  <c r="K2915" i="1"/>
  <c r="F2975" i="1"/>
  <c r="E2975" i="1"/>
  <c r="D2975" i="1"/>
  <c r="E2877" i="1"/>
  <c r="E2884" i="1"/>
  <c r="D2895" i="1"/>
  <c r="E2896" i="1"/>
  <c r="F2905" i="1"/>
  <c r="D2905" i="1"/>
  <c r="E2919" i="1"/>
  <c r="D2919" i="1"/>
  <c r="K2956" i="1"/>
  <c r="E2926" i="1"/>
  <c r="D2929" i="1"/>
  <c r="D2941" i="1"/>
  <c r="D2953" i="1"/>
  <c r="D2965" i="1"/>
  <c r="D2977" i="1"/>
  <c r="D2989" i="1"/>
  <c r="E3000" i="1"/>
  <c r="E2929" i="1"/>
  <c r="E2941" i="1"/>
  <c r="E2953" i="1"/>
  <c r="E2965" i="1"/>
  <c r="E2977" i="1"/>
  <c r="E2989" i="1"/>
  <c r="D2931" i="1"/>
  <c r="D2943" i="1"/>
  <c r="D2955" i="1"/>
  <c r="D2967" i="1"/>
  <c r="D2908" i="1"/>
  <c r="D2920" i="1"/>
  <c r="D2932" i="1"/>
  <c r="D2944" i="1"/>
  <c r="D2956" i="1"/>
  <c r="D2968" i="1"/>
  <c r="D2980" i="1"/>
  <c r="D2992" i="1"/>
  <c r="D2934" i="1"/>
  <c r="D2946" i="1"/>
  <c r="D2958" i="1"/>
  <c r="D2970" i="1"/>
  <c r="D2982" i="1"/>
  <c r="E2934" i="1"/>
  <c r="E2946" i="1"/>
  <c r="E2958" i="1"/>
</calcChain>
</file>

<file path=xl/sharedStrings.xml><?xml version="1.0" encoding="utf-8"?>
<sst xmlns="http://schemas.openxmlformats.org/spreadsheetml/2006/main" count="13" uniqueCount="13">
  <si>
    <t>FECHA</t>
  </si>
  <si>
    <t>MÁQUINA</t>
  </si>
  <si>
    <t># PRODUCTO</t>
  </si>
  <si>
    <t>CÓDIGO PRODUCTO (SAT)</t>
  </si>
  <si>
    <t>PRODUCTO</t>
  </si>
  <si>
    <t>CATEGORIA</t>
  </si>
  <si>
    <t>VENTA UNIDADES</t>
  </si>
  <si>
    <t>PRODUCTOS VENDIDOS (SEMANAL)</t>
  </si>
  <si>
    <t>VENTA $</t>
  </si>
  <si>
    <t>COSTO DE VENTA $</t>
  </si>
  <si>
    <t>UTILIDAD $</t>
  </si>
  <si>
    <t>utilidad x dia</t>
  </si>
  <si>
    <t>UTILIDAD X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</si>
</sst>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3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14" fontId="0" fillId="0" borderId="0" xfId="0" applyNumberFormat="1"/>
    <xf numFmtId="2" fontId="0" fillId="0" borderId="0" xfId="1" applyNumberFormat="1" applyFont="1"/>
    <xf numFmtId="44" fontId="0" fillId="0" borderId="0" xfId="1" applyFont="1"/>
    <xf numFmtId="2" fontId="0" fillId="0" borderId="0" xfId="0" applyNumberFormat="1"/>
  </cellXfs>
  <cellStyles count="2">
    <cellStyle name="Moneda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f/Downloads/VENDING%20MACHINE_M&#201;TRICAS_KPI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 DE PRODUCTO"/>
      <sheetName val="VENTAS(RESUMEN GLOBAL)"/>
      <sheetName val="HOJA PARA TABLA DINÁMICA"/>
      <sheetName val="TABLA DINÁMICA"/>
      <sheetName val="GASTOS"/>
      <sheetName val="ER"/>
      <sheetName val="RESÚMENES"/>
    </sheetNames>
    <sheetDataSet>
      <sheetData sheetId="0">
        <row r="3">
          <cell r="A3">
            <v>100000</v>
          </cell>
        </row>
        <row r="4">
          <cell r="A4">
            <v>100100</v>
          </cell>
          <cell r="B4" t="str">
            <v>Agua Walmart</v>
          </cell>
          <cell r="C4" t="str">
            <v>Bebidas</v>
          </cell>
          <cell r="D4" t="str">
            <v>50202300 </v>
          </cell>
        </row>
        <row r="5">
          <cell r="A5">
            <v>100200</v>
          </cell>
          <cell r="B5" t="str">
            <v>Agua SAMS</v>
          </cell>
          <cell r="C5" t="str">
            <v>Bebidas</v>
          </cell>
          <cell r="D5" t="str">
            <v>50202300 </v>
          </cell>
        </row>
        <row r="6">
          <cell r="A6">
            <v>100300</v>
          </cell>
          <cell r="B6" t="str">
            <v>Gatorade</v>
          </cell>
          <cell r="C6" t="str">
            <v>Bebidas</v>
          </cell>
          <cell r="D6" t="str">
            <v>50202300 </v>
          </cell>
        </row>
        <row r="7">
          <cell r="A7">
            <v>100400</v>
          </cell>
          <cell r="B7" t="str">
            <v>Jumex</v>
          </cell>
          <cell r="C7" t="str">
            <v>Bebidas</v>
          </cell>
          <cell r="D7" t="str">
            <v>50202300 </v>
          </cell>
        </row>
        <row r="8">
          <cell r="A8">
            <v>100500</v>
          </cell>
          <cell r="B8" t="str">
            <v>Ades</v>
          </cell>
          <cell r="C8" t="str">
            <v>Bebidas</v>
          </cell>
          <cell r="D8" t="str">
            <v>50202300 </v>
          </cell>
        </row>
        <row r="9">
          <cell r="A9">
            <v>100600</v>
          </cell>
          <cell r="B9" t="str">
            <v>Leche santa clara</v>
          </cell>
          <cell r="C9" t="str">
            <v>Bebidas</v>
          </cell>
          <cell r="D9" t="str">
            <v>50202300 </v>
          </cell>
        </row>
        <row r="10">
          <cell r="A10">
            <v>100700</v>
          </cell>
          <cell r="B10" t="str">
            <v>jugo del valle (200 ml)</v>
          </cell>
          <cell r="C10" t="str">
            <v>Bebidas</v>
          </cell>
          <cell r="D10" t="str">
            <v>50202300 </v>
          </cell>
        </row>
        <row r="11">
          <cell r="A11">
            <v>100800</v>
          </cell>
          <cell r="B11" t="str">
            <v>TÉ VERDE KIRKLAND</v>
          </cell>
          <cell r="C11" t="str">
            <v>Bebidas</v>
          </cell>
          <cell r="D11" t="str">
            <v>50202300 </v>
          </cell>
        </row>
        <row r="12">
          <cell r="A12">
            <v>100900</v>
          </cell>
          <cell r="B12" t="str">
            <v>VOLT</v>
          </cell>
          <cell r="C12" t="str">
            <v>Bebidas</v>
          </cell>
          <cell r="D12" t="str">
            <v>50202300 </v>
          </cell>
        </row>
        <row r="13">
          <cell r="A13">
            <v>101000</v>
          </cell>
          <cell r="B13" t="str">
            <v>ARIZONA</v>
          </cell>
          <cell r="C13" t="str">
            <v>Bebidas</v>
          </cell>
          <cell r="D13" t="str">
            <v>50202300 </v>
          </cell>
        </row>
        <row r="14">
          <cell r="A14">
            <v>101100</v>
          </cell>
          <cell r="B14" t="str">
            <v>PEPSI BLACK</v>
          </cell>
          <cell r="C14" t="str">
            <v>Bebidas</v>
          </cell>
          <cell r="D14" t="str">
            <v>50202300 </v>
          </cell>
        </row>
        <row r="15">
          <cell r="A15">
            <v>101200</v>
          </cell>
          <cell r="B15" t="str">
            <v>AMPER ENERGY</v>
          </cell>
          <cell r="C15" t="str">
            <v>Bebidas</v>
          </cell>
          <cell r="D15" t="str">
            <v>50202300 </v>
          </cell>
        </row>
        <row r="16">
          <cell r="A16">
            <v>101300</v>
          </cell>
          <cell r="B16" t="str">
            <v xml:space="preserve">COCA COLA </v>
          </cell>
          <cell r="C16" t="str">
            <v>Bebidas</v>
          </cell>
          <cell r="D16" t="str">
            <v>50202300 </v>
          </cell>
        </row>
        <row r="17">
          <cell r="A17">
            <v>101400</v>
          </cell>
          <cell r="B17" t="str">
            <v>FANTA NARANJA</v>
          </cell>
          <cell r="C17" t="str">
            <v>Bebidas</v>
          </cell>
          <cell r="D17" t="str">
            <v>50202300 </v>
          </cell>
        </row>
        <row r="18">
          <cell r="A18">
            <v>101500</v>
          </cell>
          <cell r="B18" t="str">
            <v>SANGRIA</v>
          </cell>
          <cell r="C18" t="str">
            <v>Bebidas</v>
          </cell>
          <cell r="D18" t="str">
            <v>50202300 </v>
          </cell>
        </row>
        <row r="19">
          <cell r="A19">
            <v>101600</v>
          </cell>
          <cell r="B19" t="str">
            <v>SIDRAL MUNDET</v>
          </cell>
          <cell r="C19" t="str">
            <v>Bebidas</v>
          </cell>
          <cell r="D19" t="str">
            <v>50202300 </v>
          </cell>
        </row>
        <row r="20">
          <cell r="A20">
            <v>101700</v>
          </cell>
          <cell r="B20" t="str">
            <v>SPRITE</v>
          </cell>
          <cell r="C20" t="str">
            <v>Bebidas</v>
          </cell>
          <cell r="D20" t="str">
            <v>50202300 </v>
          </cell>
        </row>
        <row r="21">
          <cell r="A21">
            <v>101800</v>
          </cell>
          <cell r="B21" t="str">
            <v>YOGHURT ALPURA</v>
          </cell>
          <cell r="C21" t="str">
            <v>Bebidas</v>
          </cell>
          <cell r="D21" t="str">
            <v>50202300 </v>
          </cell>
        </row>
        <row r="22">
          <cell r="A22">
            <v>101901</v>
          </cell>
          <cell r="B22" t="str">
            <v>YOGHURT ALPURA FRESA</v>
          </cell>
          <cell r="C22" t="str">
            <v>Bebidas</v>
          </cell>
          <cell r="D22" t="str">
            <v>50202300 </v>
          </cell>
        </row>
        <row r="23">
          <cell r="A23">
            <v>102002</v>
          </cell>
          <cell r="B23" t="str">
            <v>YOGHURT ALPURA MANGO</v>
          </cell>
          <cell r="C23" t="str">
            <v>Bebidas</v>
          </cell>
          <cell r="D23" t="str">
            <v>50202300 </v>
          </cell>
        </row>
        <row r="24">
          <cell r="A24">
            <v>102103</v>
          </cell>
          <cell r="B24" t="str">
            <v>YOGHURT ALPURA MANZANA</v>
          </cell>
          <cell r="C24" t="str">
            <v>Bebidas</v>
          </cell>
          <cell r="D24" t="str">
            <v>50202300 </v>
          </cell>
        </row>
        <row r="25">
          <cell r="A25">
            <v>101900</v>
          </cell>
          <cell r="B25" t="str">
            <v>LECHITA ALPURA</v>
          </cell>
          <cell r="C25" t="str">
            <v>Bebidas</v>
          </cell>
          <cell r="D25" t="str">
            <v>50202300 </v>
          </cell>
        </row>
        <row r="26">
          <cell r="A26">
            <v>102000</v>
          </cell>
          <cell r="B26" t="str">
            <v>ELECTROLIT</v>
          </cell>
          <cell r="C26" t="str">
            <v>Bebidas</v>
          </cell>
          <cell r="D26" t="str">
            <v>50202300 </v>
          </cell>
        </row>
        <row r="27">
          <cell r="A27">
            <v>102001</v>
          </cell>
          <cell r="B27" t="str">
            <v>ELECTROLIT FRESA</v>
          </cell>
        </row>
        <row r="28">
          <cell r="A28">
            <v>102002</v>
          </cell>
          <cell r="B28" t="str">
            <v>ELECTROLIT MANDARINA</v>
          </cell>
        </row>
        <row r="29">
          <cell r="A29">
            <v>102003</v>
          </cell>
          <cell r="B29" t="str">
            <v>ELECTROLIT FRESA KIWI</v>
          </cell>
        </row>
        <row r="30">
          <cell r="A30">
            <v>102004</v>
          </cell>
          <cell r="B30" t="str">
            <v>ELECTROLIT MORA AZUL</v>
          </cell>
        </row>
        <row r="36">
          <cell r="A36">
            <v>0</v>
          </cell>
          <cell r="D36" t="e">
            <v>#N/A</v>
          </cell>
        </row>
        <row r="37">
          <cell r="A37">
            <v>200000</v>
          </cell>
          <cell r="B37" t="str">
            <v>Pharmacy</v>
          </cell>
          <cell r="D37" t="e">
            <v>#N/A</v>
          </cell>
        </row>
        <row r="38">
          <cell r="A38">
            <v>200100</v>
          </cell>
          <cell r="B38" t="str">
            <v>Bloqueador</v>
          </cell>
          <cell r="C38" t="str">
            <v>Pharmacy</v>
          </cell>
          <cell r="D38" t="str">
            <v>IDENTIFICAR MANUAL</v>
          </cell>
        </row>
        <row r="39">
          <cell r="A39">
            <v>200200</v>
          </cell>
          <cell r="B39" t="str">
            <v>KIT DENTAL</v>
          </cell>
          <cell r="C39" t="str">
            <v>Pharmacy</v>
          </cell>
          <cell r="D39" t="str">
            <v>IDENTIFICAR MANUAL</v>
          </cell>
        </row>
        <row r="40">
          <cell r="A40">
            <v>200300</v>
          </cell>
          <cell r="C40" t="str">
            <v>Pharmacy</v>
          </cell>
          <cell r="D40" t="str">
            <v>IDENTIFICAR MANUAL</v>
          </cell>
        </row>
        <row r="41">
          <cell r="A41">
            <v>200400</v>
          </cell>
          <cell r="B41" t="str">
            <v>Alka seltzer</v>
          </cell>
          <cell r="C41" t="str">
            <v>Pharmacy</v>
          </cell>
          <cell r="D41" t="str">
            <v>IDENTIFICAR MANUAL</v>
          </cell>
        </row>
        <row r="42">
          <cell r="A42">
            <v>0</v>
          </cell>
          <cell r="D42" t="e">
            <v>#N/A</v>
          </cell>
        </row>
        <row r="43">
          <cell r="A43">
            <v>0</v>
          </cell>
          <cell r="D43" t="e">
            <v>#N/A</v>
          </cell>
        </row>
        <row r="44">
          <cell r="A44">
            <v>0</v>
          </cell>
          <cell r="D44" t="e">
            <v>#N/A</v>
          </cell>
        </row>
        <row r="45">
          <cell r="A45">
            <v>0</v>
          </cell>
          <cell r="D45" t="e">
            <v>#N/A</v>
          </cell>
        </row>
        <row r="46">
          <cell r="A46">
            <v>300000</v>
          </cell>
          <cell r="B46" t="str">
            <v>Snacks &amp; Dulces</v>
          </cell>
          <cell r="D46" t="e">
            <v>#N/A</v>
          </cell>
        </row>
        <row r="47">
          <cell r="A47">
            <v>300100</v>
          </cell>
          <cell r="B47" t="str">
            <v>Pelonetes</v>
          </cell>
          <cell r="C47" t="str">
            <v>Snacks &amp; Dulces</v>
          </cell>
          <cell r="D47" t="str">
            <v>50161800 </v>
          </cell>
        </row>
        <row r="48">
          <cell r="A48">
            <v>300200</v>
          </cell>
          <cell r="B48" t="str">
            <v>SKWINKLES</v>
          </cell>
          <cell r="C48" t="str">
            <v>Snacks &amp; Dulces</v>
          </cell>
          <cell r="D48" t="str">
            <v>50161800 </v>
          </cell>
        </row>
        <row r="49">
          <cell r="A49">
            <v>300300</v>
          </cell>
          <cell r="B49" t="str">
            <v>FRUIT FOOT</v>
          </cell>
          <cell r="C49" t="str">
            <v>Snacks &amp; Dulces</v>
          </cell>
          <cell r="D49" t="str">
            <v>50161800 </v>
          </cell>
        </row>
        <row r="50">
          <cell r="A50">
            <v>300400</v>
          </cell>
          <cell r="B50" t="str">
            <v>Welchs GOMITAS</v>
          </cell>
          <cell r="C50" t="str">
            <v>Snacks &amp; Dulces</v>
          </cell>
          <cell r="D50" t="str">
            <v>50161800 </v>
          </cell>
        </row>
        <row r="51">
          <cell r="A51">
            <v>300500</v>
          </cell>
          <cell r="B51" t="str">
            <v>Halls</v>
          </cell>
          <cell r="C51" t="str">
            <v>Snacks &amp; Dulces</v>
          </cell>
          <cell r="D51" t="str">
            <v>50161800 </v>
          </cell>
        </row>
        <row r="52">
          <cell r="A52">
            <v>300600</v>
          </cell>
          <cell r="B52" t="str">
            <v>NERDS GUMMY</v>
          </cell>
          <cell r="C52" t="str">
            <v>Snacks &amp; Dulces</v>
          </cell>
          <cell r="D52" t="str">
            <v>50161800 </v>
          </cell>
        </row>
        <row r="53">
          <cell r="A53">
            <v>300700</v>
          </cell>
          <cell r="B53" t="str">
            <v>ZUMBA GOMA</v>
          </cell>
          <cell r="C53" t="str">
            <v>Snacks &amp; Dulces</v>
          </cell>
          <cell r="D53" t="str">
            <v>50161800 </v>
          </cell>
        </row>
        <row r="54">
          <cell r="A54">
            <v>0</v>
          </cell>
          <cell r="D54" t="e">
            <v>#N/A</v>
          </cell>
        </row>
        <row r="55">
          <cell r="A55">
            <v>0</v>
          </cell>
          <cell r="D55" t="e">
            <v>#N/A</v>
          </cell>
        </row>
        <row r="56">
          <cell r="A56">
            <v>0</v>
          </cell>
          <cell r="D56" t="e">
            <v>#N/A</v>
          </cell>
        </row>
        <row r="57">
          <cell r="A57">
            <v>0</v>
          </cell>
          <cell r="D57" t="e">
            <v>#N/A</v>
          </cell>
        </row>
        <row r="58">
          <cell r="A58">
            <v>400000</v>
          </cell>
          <cell r="B58" t="str">
            <v>Cigarros</v>
          </cell>
          <cell r="D58" t="e">
            <v>#N/A</v>
          </cell>
        </row>
        <row r="59">
          <cell r="A59">
            <v>400100</v>
          </cell>
          <cell r="B59" t="str">
            <v>MARLBORO BLANCOS</v>
          </cell>
          <cell r="C59" t="str">
            <v>Cigarros</v>
          </cell>
          <cell r="D59" t="str">
            <v>N/A</v>
          </cell>
        </row>
        <row r="60">
          <cell r="A60">
            <v>400200</v>
          </cell>
          <cell r="B60" t="str">
            <v>MARLBORO ROJOS</v>
          </cell>
          <cell r="C60" t="str">
            <v>Cigarros</v>
          </cell>
          <cell r="D60" t="str">
            <v>N/A</v>
          </cell>
        </row>
        <row r="61">
          <cell r="A61">
            <v>0</v>
          </cell>
          <cell r="D61" t="e">
            <v>#N/A</v>
          </cell>
        </row>
        <row r="62">
          <cell r="A62">
            <v>0</v>
          </cell>
          <cell r="D62" t="e">
            <v>#N/A</v>
          </cell>
        </row>
        <row r="63">
          <cell r="A63">
            <v>500000</v>
          </cell>
          <cell r="B63" t="str">
            <v>Swimwear &amp; Accesorios</v>
          </cell>
          <cell r="D63" t="e">
            <v>#N/A</v>
          </cell>
        </row>
        <row r="64">
          <cell r="A64">
            <v>500100</v>
          </cell>
          <cell r="B64" t="str">
            <v>Trajes de baño</v>
          </cell>
          <cell r="C64" t="str">
            <v>SWIMWEAR</v>
          </cell>
          <cell r="D64" t="str">
            <v>53102800 </v>
          </cell>
        </row>
        <row r="65">
          <cell r="A65">
            <v>0</v>
          </cell>
          <cell r="D65" t="e">
            <v>#N/A</v>
          </cell>
        </row>
        <row r="66">
          <cell r="A66">
            <v>0</v>
          </cell>
          <cell r="D66" t="e">
            <v>#N/A</v>
          </cell>
        </row>
        <row r="67">
          <cell r="A67">
            <v>0</v>
          </cell>
          <cell r="D67" t="e">
            <v>#N/A</v>
          </cell>
        </row>
        <row r="68">
          <cell r="A68">
            <v>600000</v>
          </cell>
          <cell r="B68" t="str">
            <v>Papas fritas</v>
          </cell>
          <cell r="D68" t="e">
            <v>#N/A</v>
          </cell>
        </row>
        <row r="69">
          <cell r="A69">
            <v>600100</v>
          </cell>
          <cell r="B69" t="str">
            <v>PAPAS FRITAS BARCEL (G)</v>
          </cell>
          <cell r="C69" t="str">
            <v>Papas fritas</v>
          </cell>
          <cell r="D69" t="str">
            <v>50192109 </v>
          </cell>
        </row>
        <row r="70">
          <cell r="A70">
            <v>600101</v>
          </cell>
          <cell r="B70" t="str">
            <v>CHIPS VERDES</v>
          </cell>
          <cell r="C70" t="str">
            <v>Papas fritas</v>
          </cell>
          <cell r="D70" t="str">
            <v>50192109 </v>
          </cell>
        </row>
        <row r="71">
          <cell r="A71">
            <v>600102</v>
          </cell>
          <cell r="B71" t="str">
            <v>RUNNERS</v>
          </cell>
          <cell r="C71" t="str">
            <v>Papas fritas</v>
          </cell>
          <cell r="D71" t="str">
            <v>50192109 </v>
          </cell>
        </row>
        <row r="72">
          <cell r="A72">
            <v>600103</v>
          </cell>
          <cell r="B72" t="str">
            <v>CHIPS FUEGO</v>
          </cell>
          <cell r="C72" t="str">
            <v>Papas fritas</v>
          </cell>
          <cell r="D72" t="str">
            <v>50192109 </v>
          </cell>
        </row>
        <row r="73">
          <cell r="A73">
            <v>600200</v>
          </cell>
          <cell r="B73" t="str">
            <v>PAPAS FRITAS SABRITAS (CH)</v>
          </cell>
          <cell r="C73" t="str">
            <v>Papas fritas</v>
          </cell>
          <cell r="D73" t="str">
            <v>50192109 </v>
          </cell>
        </row>
        <row r="74">
          <cell r="A74">
            <v>600300</v>
          </cell>
          <cell r="B74" t="str">
            <v>TAKIS FUEGO</v>
          </cell>
          <cell r="C74" t="str">
            <v>Papas fritas</v>
          </cell>
          <cell r="D74" t="str">
            <v>50192109 </v>
          </cell>
        </row>
        <row r="75">
          <cell r="A75">
            <v>600400</v>
          </cell>
          <cell r="B75" t="str">
            <v>FRITOS (CHORIZO U OTROS)</v>
          </cell>
          <cell r="C75" t="str">
            <v>Papas fritas</v>
          </cell>
          <cell r="D75" t="str">
            <v>50192109 </v>
          </cell>
        </row>
        <row r="76">
          <cell r="A76">
            <v>600500</v>
          </cell>
          <cell r="B76" t="str">
            <v>SABRIMAYOREO</v>
          </cell>
          <cell r="C76" t="str">
            <v>Papas fritas</v>
          </cell>
          <cell r="D76" t="str">
            <v>50192109 </v>
          </cell>
        </row>
        <row r="77">
          <cell r="A77">
            <v>6005101</v>
          </cell>
          <cell r="B77" t="str">
            <v>SABRITAS AMARILLAS</v>
          </cell>
          <cell r="C77" t="str">
            <v>Papas fritas</v>
          </cell>
          <cell r="D77" t="str">
            <v>50192109 </v>
          </cell>
        </row>
        <row r="78">
          <cell r="A78">
            <v>6005102</v>
          </cell>
          <cell r="B78" t="str">
            <v>RUFFLES</v>
          </cell>
          <cell r="C78" t="str">
            <v>Papas fritas</v>
          </cell>
          <cell r="D78" t="str">
            <v>50192109 </v>
          </cell>
        </row>
        <row r="79">
          <cell r="A79">
            <v>6005103</v>
          </cell>
          <cell r="B79" t="str">
            <v>DORITOS ROJOS</v>
          </cell>
          <cell r="C79" t="str">
            <v>Papas fritas</v>
          </cell>
          <cell r="D79" t="str">
            <v>50192109 </v>
          </cell>
        </row>
        <row r="80">
          <cell r="A80">
            <v>6005104</v>
          </cell>
          <cell r="B80" t="str">
            <v>RANCHERITOS</v>
          </cell>
          <cell r="C80" t="str">
            <v>Papas fritas</v>
          </cell>
          <cell r="D80" t="str">
            <v>50192109 </v>
          </cell>
        </row>
        <row r="81">
          <cell r="A81">
            <v>600600</v>
          </cell>
          <cell r="B81" t="str">
            <v>CHICHARRON SURTIDO</v>
          </cell>
          <cell r="C81" t="str">
            <v>Papas fritas</v>
          </cell>
          <cell r="D81" t="str">
            <v>50192109 </v>
          </cell>
        </row>
        <row r="82">
          <cell r="A82">
            <v>0</v>
          </cell>
          <cell r="D82" t="e">
            <v>#N/A</v>
          </cell>
        </row>
        <row r="83">
          <cell r="A83">
            <v>0</v>
          </cell>
          <cell r="D83" t="e">
            <v>#N/A</v>
          </cell>
        </row>
        <row r="84">
          <cell r="A84">
            <v>0</v>
          </cell>
          <cell r="D84" t="e">
            <v>#N/A</v>
          </cell>
        </row>
        <row r="85">
          <cell r="A85">
            <v>0</v>
          </cell>
          <cell r="D85" t="e">
            <v>#N/A</v>
          </cell>
        </row>
        <row r="86">
          <cell r="A86">
            <v>700000</v>
          </cell>
          <cell r="B86" t="str">
            <v>CHOCOLATES</v>
          </cell>
          <cell r="D86" t="e">
            <v>#N/A</v>
          </cell>
        </row>
        <row r="87">
          <cell r="A87">
            <v>700100</v>
          </cell>
          <cell r="B87" t="str">
            <v>M&amp;M</v>
          </cell>
          <cell r="C87" t="str">
            <v>CHOCOLATES</v>
          </cell>
          <cell r="D87" t="str">
            <v>50161511 </v>
          </cell>
        </row>
        <row r="88">
          <cell r="A88">
            <v>700200</v>
          </cell>
          <cell r="B88" t="str">
            <v>Snickers</v>
          </cell>
          <cell r="C88" t="str">
            <v>CHOCOLATES</v>
          </cell>
          <cell r="D88" t="str">
            <v>50161511 </v>
          </cell>
        </row>
        <row r="89">
          <cell r="A89">
            <v>700300</v>
          </cell>
          <cell r="B89" t="str">
            <v>M&amp;M NEGROS</v>
          </cell>
          <cell r="C89" t="str">
            <v>CHOCOLATES</v>
          </cell>
          <cell r="D89" t="str">
            <v>50161511 </v>
          </cell>
        </row>
        <row r="90">
          <cell r="A90">
            <v>700400</v>
          </cell>
          <cell r="B90" t="str">
            <v>KIT KAT</v>
          </cell>
          <cell r="C90" t="str">
            <v>CHOCOLATES</v>
          </cell>
          <cell r="D90" t="str">
            <v>50161511 </v>
          </cell>
        </row>
        <row r="91">
          <cell r="A91">
            <v>700500</v>
          </cell>
          <cell r="B91" t="str">
            <v>HERSHEYS BLANCO</v>
          </cell>
          <cell r="C91" t="str">
            <v>CHOCOLATES</v>
          </cell>
          <cell r="D91" t="str">
            <v>50161511 </v>
          </cell>
        </row>
        <row r="92">
          <cell r="A92">
            <v>700600</v>
          </cell>
          <cell r="B92" t="str">
            <v>CHOCO MUIBÓN</v>
          </cell>
          <cell r="C92" t="str">
            <v>CHOCOLATES</v>
          </cell>
          <cell r="D92" t="str">
            <v>50161511 </v>
          </cell>
        </row>
        <row r="93">
          <cell r="A93">
            <v>700700</v>
          </cell>
          <cell r="B93" t="str">
            <v>Milkiway</v>
          </cell>
          <cell r="C93" t="str">
            <v>CHOCOLATES</v>
          </cell>
          <cell r="D93" t="str">
            <v>50161511 </v>
          </cell>
        </row>
        <row r="94">
          <cell r="A94">
            <v>700800</v>
          </cell>
          <cell r="B94" t="str">
            <v>Kinder delice</v>
          </cell>
          <cell r="C94" t="str">
            <v>CHOCOLATES</v>
          </cell>
          <cell r="D94" t="str">
            <v>50161511 </v>
          </cell>
        </row>
        <row r="95">
          <cell r="A95">
            <v>700900</v>
          </cell>
          <cell r="B95" t="str">
            <v>M&amp;M AMARILLOS</v>
          </cell>
          <cell r="C95" t="str">
            <v>CHOCOLATES</v>
          </cell>
          <cell r="D95" t="str">
            <v>50161511 </v>
          </cell>
        </row>
        <row r="96">
          <cell r="A96">
            <v>701000</v>
          </cell>
          <cell r="B96" t="str">
            <v>BUBULUBU</v>
          </cell>
          <cell r="C96" t="str">
            <v>CHOCOLATES</v>
          </cell>
          <cell r="D96" t="str">
            <v>50161511 </v>
          </cell>
        </row>
        <row r="97">
          <cell r="A97">
            <v>701100</v>
          </cell>
          <cell r="D97" t="e">
            <v>#N/A</v>
          </cell>
        </row>
        <row r="98">
          <cell r="A98">
            <v>0</v>
          </cell>
          <cell r="D98" t="e">
            <v>#N/A</v>
          </cell>
        </row>
        <row r="99">
          <cell r="A99">
            <v>0</v>
          </cell>
          <cell r="D99" t="e">
            <v>#N/A</v>
          </cell>
        </row>
        <row r="100">
          <cell r="A100">
            <v>800000</v>
          </cell>
          <cell r="B100" t="str">
            <v>GALLETAS Y PAN DULCE</v>
          </cell>
          <cell r="D100" t="e">
            <v>#N/A</v>
          </cell>
        </row>
        <row r="101">
          <cell r="A101">
            <v>800100</v>
          </cell>
          <cell r="B101" t="str">
            <v>MARINELA MIX (8 PZ)</v>
          </cell>
          <cell r="C101" t="str">
            <v>GALLETAS Y PAN DULCE</v>
          </cell>
          <cell r="D101" t="str">
            <v>50181900 </v>
          </cell>
        </row>
        <row r="102">
          <cell r="A102">
            <v>800200</v>
          </cell>
          <cell r="B102" t="str">
            <v>Príncipe (6 PZ-63 GR)</v>
          </cell>
          <cell r="C102" t="str">
            <v>GALLETAS Y PAN DULCE</v>
          </cell>
          <cell r="D102" t="str">
            <v>50181900 </v>
          </cell>
        </row>
        <row r="103">
          <cell r="A103">
            <v>800300</v>
          </cell>
          <cell r="B103" t="str">
            <v>Cereal barra</v>
          </cell>
          <cell r="C103" t="str">
            <v>GALLETAS Y PAN DULCE</v>
          </cell>
          <cell r="D103" t="str">
            <v>50181900 </v>
          </cell>
        </row>
        <row r="104">
          <cell r="A104">
            <v>800400</v>
          </cell>
          <cell r="B104" t="str">
            <v>Barritas FRESA</v>
          </cell>
          <cell r="C104" t="str">
            <v>GALLETAS Y PAN DULCE</v>
          </cell>
          <cell r="D104" t="str">
            <v>50181900 </v>
          </cell>
        </row>
        <row r="105">
          <cell r="A105">
            <v>800500</v>
          </cell>
          <cell r="B105" t="str">
            <v>RICE KRISPIES</v>
          </cell>
          <cell r="C105" t="str">
            <v>GALLETAS Y PAN DULCE</v>
          </cell>
          <cell r="D105" t="str">
            <v>50181900 </v>
          </cell>
        </row>
        <row r="106">
          <cell r="A106">
            <v>800600</v>
          </cell>
          <cell r="B106" t="str">
            <v>CREMAX</v>
          </cell>
          <cell r="C106" t="str">
            <v>GALLETAS Y PAN DULCE</v>
          </cell>
          <cell r="D106" t="str">
            <v>50181900 </v>
          </cell>
        </row>
        <row r="107">
          <cell r="A107">
            <v>800601</v>
          </cell>
          <cell r="B107" t="str">
            <v>CREMAX AZULES</v>
          </cell>
          <cell r="C107" t="str">
            <v>GALLETAS Y PAN DULCE</v>
          </cell>
          <cell r="D107" t="str">
            <v>50181900 </v>
          </cell>
        </row>
        <row r="108">
          <cell r="A108">
            <v>800602</v>
          </cell>
          <cell r="B108" t="str">
            <v>CREMAZ ROSAS</v>
          </cell>
          <cell r="C108" t="str">
            <v>GALLETAS Y PAN DULCE</v>
          </cell>
          <cell r="D108" t="str">
            <v>50181900 </v>
          </cell>
        </row>
        <row r="109">
          <cell r="A109">
            <v>800603</v>
          </cell>
          <cell r="B109" t="str">
            <v>CREMAX MORADAS</v>
          </cell>
          <cell r="C109" t="str">
            <v>GALLETAS Y PAN DULCE</v>
          </cell>
          <cell r="D109" t="str">
            <v>50181900 </v>
          </cell>
        </row>
        <row r="110">
          <cell r="A110">
            <v>800700</v>
          </cell>
          <cell r="B110" t="str">
            <v>BARRITAS PIÑA</v>
          </cell>
          <cell r="C110" t="str">
            <v>GALLETAS Y PAN DULCE</v>
          </cell>
          <cell r="D110" t="str">
            <v>50181900 </v>
          </cell>
        </row>
        <row r="111">
          <cell r="A111">
            <v>800800</v>
          </cell>
          <cell r="B111" t="str">
            <v>DORADITAS</v>
          </cell>
          <cell r="C111" t="str">
            <v>GALLETAS Y PAN DULCE</v>
          </cell>
          <cell r="D111" t="str">
            <v>50181900 </v>
          </cell>
        </row>
        <row r="112">
          <cell r="A112">
            <v>800900</v>
          </cell>
          <cell r="B112" t="str">
            <v>MANTECADAS</v>
          </cell>
          <cell r="C112" t="str">
            <v>GALLETAS Y PAN DULCE</v>
          </cell>
          <cell r="D112" t="str">
            <v>50181900 </v>
          </cell>
        </row>
        <row r="113">
          <cell r="A113">
            <v>801000</v>
          </cell>
          <cell r="B113" t="str">
            <v>BRAN FRUIT</v>
          </cell>
          <cell r="C113" t="str">
            <v>GALLETAS Y PAN DULCE</v>
          </cell>
          <cell r="D113" t="str">
            <v>50181900 </v>
          </cell>
        </row>
        <row r="114">
          <cell r="A114">
            <v>801100</v>
          </cell>
          <cell r="B114" t="str">
            <v>GALLETA ARCOÍRIS</v>
          </cell>
          <cell r="C114" t="str">
            <v>GALLETAS Y PAN DULCE</v>
          </cell>
          <cell r="D114" t="str">
            <v>50181900 </v>
          </cell>
        </row>
        <row r="115">
          <cell r="A115">
            <v>801200</v>
          </cell>
          <cell r="B115" t="str">
            <v>CANELITAS</v>
          </cell>
          <cell r="C115" t="str">
            <v>GALLETAS Y PAN DULCE</v>
          </cell>
          <cell r="D115" t="str">
            <v>50181900 </v>
          </cell>
        </row>
        <row r="116">
          <cell r="A116">
            <v>801300</v>
          </cell>
          <cell r="B116" t="str">
            <v>OREO GDE</v>
          </cell>
          <cell r="C116" t="str">
            <v>GALLETAS Y PAN DULCE</v>
          </cell>
          <cell r="D116" t="str">
            <v>50181900 </v>
          </cell>
        </row>
        <row r="117">
          <cell r="A117">
            <v>801400</v>
          </cell>
          <cell r="B117" t="str">
            <v>CHIPS AJOY</v>
          </cell>
          <cell r="C117" t="str">
            <v>GALLETAS Y PAN DULCE</v>
          </cell>
          <cell r="D117" t="str">
            <v>50181900 </v>
          </cell>
        </row>
        <row r="118">
          <cell r="A118">
            <v>801500</v>
          </cell>
          <cell r="B118" t="str">
            <v>VUALÁ BIG</v>
          </cell>
          <cell r="C118" t="str">
            <v>GALLETAS Y PAN DULCE</v>
          </cell>
          <cell r="D118" t="str">
            <v>50181900 </v>
          </cell>
        </row>
        <row r="119">
          <cell r="A119">
            <v>801600</v>
          </cell>
          <cell r="B119" t="str">
            <v>DONITAS BIMBO (ESPOLVOREADAS)</v>
          </cell>
          <cell r="C119" t="str">
            <v>GALLETAS Y PAN DULCE</v>
          </cell>
          <cell r="D119" t="str">
            <v>50181900 </v>
          </cell>
        </row>
        <row r="120">
          <cell r="A120">
            <v>801700</v>
          </cell>
        </row>
        <row r="121">
          <cell r="A121">
            <v>801800</v>
          </cell>
        </row>
        <row r="126">
          <cell r="A126">
            <v>0</v>
          </cell>
          <cell r="D126" t="e">
            <v>#N/A</v>
          </cell>
        </row>
        <row r="127">
          <cell r="A127">
            <v>900000</v>
          </cell>
          <cell r="B127" t="str">
            <v>OTROS</v>
          </cell>
          <cell r="D127" t="e">
            <v>#N/A</v>
          </cell>
        </row>
        <row r="128">
          <cell r="A128">
            <v>900100</v>
          </cell>
          <cell r="B128" t="str">
            <v>GOOGLES</v>
          </cell>
          <cell r="C128" t="str">
            <v>OTROS</v>
          </cell>
          <cell r="D128" t="str">
            <v>IDENTIFICAR MANUAL</v>
          </cell>
        </row>
        <row r="129">
          <cell r="A129">
            <v>900200</v>
          </cell>
          <cell r="B129" t="str">
            <v>KLEENEX</v>
          </cell>
          <cell r="C129" t="str">
            <v>OTROS</v>
          </cell>
          <cell r="D129" t="str">
            <v>IDENTIFICAR MANUAL</v>
          </cell>
        </row>
        <row r="130">
          <cell r="A130">
            <v>900300</v>
          </cell>
          <cell r="B130" t="str">
            <v>CHICLES TRIDENT</v>
          </cell>
          <cell r="C130" t="str">
            <v>OTROS</v>
          </cell>
          <cell r="D130">
            <v>50161815</v>
          </cell>
        </row>
        <row r="131">
          <cell r="A131">
            <v>900400</v>
          </cell>
          <cell r="D131" t="e">
            <v>#N/A</v>
          </cell>
        </row>
        <row r="132">
          <cell r="A132">
            <v>900500</v>
          </cell>
          <cell r="D132" t="e">
            <v>#N/A</v>
          </cell>
        </row>
        <row r="133">
          <cell r="A133">
            <v>900600</v>
          </cell>
          <cell r="D133" t="e">
            <v>#N/A</v>
          </cell>
        </row>
        <row r="134">
          <cell r="A134">
            <v>900700</v>
          </cell>
          <cell r="D134" t="e">
            <v>#N/A</v>
          </cell>
        </row>
        <row r="135">
          <cell r="D135" t="e">
            <v>#N/A</v>
          </cell>
        </row>
        <row r="136">
          <cell r="D136" t="e">
            <v>#N/A</v>
          </cell>
        </row>
      </sheetData>
      <sheetData sheetId="1">
        <row r="2">
          <cell r="B2">
            <v>100200</v>
          </cell>
          <cell r="D2">
            <v>5</v>
          </cell>
          <cell r="E2">
            <v>1</v>
          </cell>
          <cell r="F2">
            <v>20</v>
          </cell>
          <cell r="G2">
            <v>80</v>
          </cell>
          <cell r="H2">
            <v>0.84642857142857131</v>
          </cell>
          <cell r="J2">
            <v>11.285714285714285</v>
          </cell>
          <cell r="K2">
            <v>4.6666666666666661</v>
          </cell>
          <cell r="L2">
            <v>46029</v>
          </cell>
          <cell r="M2" t="str">
            <v>ECCE</v>
          </cell>
        </row>
        <row r="3">
          <cell r="B3">
            <v>100200</v>
          </cell>
          <cell r="D3">
            <v>5</v>
          </cell>
          <cell r="E3">
            <v>0</v>
          </cell>
          <cell r="F3">
            <v>20</v>
          </cell>
          <cell r="G3">
            <v>100</v>
          </cell>
          <cell r="H3">
            <v>0.84</v>
          </cell>
          <cell r="J3">
            <v>14</v>
          </cell>
          <cell r="K3">
            <v>5.8333333333333339</v>
          </cell>
          <cell r="L3">
            <v>46029</v>
          </cell>
          <cell r="M3" t="str">
            <v>ECCE</v>
          </cell>
        </row>
        <row r="4">
          <cell r="B4">
            <v>200200</v>
          </cell>
          <cell r="D4">
            <v>7</v>
          </cell>
          <cell r="E4">
            <v>5</v>
          </cell>
          <cell r="F4">
            <v>60</v>
          </cell>
          <cell r="G4">
            <v>120</v>
          </cell>
          <cell r="H4">
            <v>0.63</v>
          </cell>
          <cell r="J4">
            <v>12.6</v>
          </cell>
          <cell r="K4">
            <v>2.333333333333333</v>
          </cell>
          <cell r="L4">
            <v>46029</v>
          </cell>
          <cell r="M4" t="str">
            <v>ECCE</v>
          </cell>
        </row>
        <row r="5">
          <cell r="B5">
            <v>200100</v>
          </cell>
          <cell r="D5">
            <v>2</v>
          </cell>
          <cell r="E5">
            <v>1</v>
          </cell>
          <cell r="F5">
            <v>180</v>
          </cell>
          <cell r="G5">
            <v>180</v>
          </cell>
          <cell r="H5">
            <v>0.27</v>
          </cell>
          <cell r="J5">
            <v>8.1</v>
          </cell>
          <cell r="K5">
            <v>1.1666666666666665</v>
          </cell>
          <cell r="L5">
            <v>46029</v>
          </cell>
          <cell r="M5" t="str">
            <v>ECCE</v>
          </cell>
        </row>
        <row r="6">
          <cell r="B6">
            <v>100300</v>
          </cell>
          <cell r="D6">
            <v>6</v>
          </cell>
          <cell r="E6">
            <v>6</v>
          </cell>
          <cell r="F6">
            <v>25</v>
          </cell>
          <cell r="G6">
            <v>0</v>
          </cell>
          <cell r="H6">
            <v>0.35</v>
          </cell>
          <cell r="J6">
            <v>0</v>
          </cell>
          <cell r="K6">
            <v>0</v>
          </cell>
          <cell r="L6">
            <v>46029</v>
          </cell>
          <cell r="M6" t="str">
            <v>ECCE</v>
          </cell>
        </row>
        <row r="7">
          <cell r="B7">
            <v>800100</v>
          </cell>
          <cell r="D7">
            <v>10</v>
          </cell>
          <cell r="E7">
            <v>4</v>
          </cell>
          <cell r="F7">
            <v>25</v>
          </cell>
          <cell r="G7">
            <v>150</v>
          </cell>
          <cell r="H7">
            <v>0.56000000000000005</v>
          </cell>
          <cell r="J7">
            <v>14.000000000000002</v>
          </cell>
          <cell r="K7">
            <v>7</v>
          </cell>
          <cell r="L7">
            <v>46029</v>
          </cell>
          <cell r="M7" t="str">
            <v>ECCE</v>
          </cell>
        </row>
        <row r="8">
          <cell r="B8">
            <v>300200</v>
          </cell>
          <cell r="D8">
            <v>15</v>
          </cell>
          <cell r="E8">
            <v>13</v>
          </cell>
          <cell r="F8">
            <v>20</v>
          </cell>
          <cell r="G8">
            <v>40</v>
          </cell>
          <cell r="H8">
            <v>0.63</v>
          </cell>
          <cell r="J8">
            <v>4.2</v>
          </cell>
          <cell r="K8">
            <v>2.333333333333333</v>
          </cell>
          <cell r="L8">
            <v>46029</v>
          </cell>
          <cell r="M8" t="str">
            <v>ECCE</v>
          </cell>
        </row>
        <row r="9">
          <cell r="B9">
            <v>900300</v>
          </cell>
          <cell r="D9">
            <v>16</v>
          </cell>
          <cell r="E9">
            <v>10</v>
          </cell>
          <cell r="F9">
            <v>25</v>
          </cell>
          <cell r="G9">
            <v>150</v>
          </cell>
          <cell r="H9">
            <v>0.4</v>
          </cell>
          <cell r="J9">
            <v>10</v>
          </cell>
          <cell r="K9">
            <v>7</v>
          </cell>
          <cell r="L9">
            <v>46029</v>
          </cell>
          <cell r="M9" t="str">
            <v>ECCE</v>
          </cell>
        </row>
        <row r="10">
          <cell r="B10">
            <v>400200</v>
          </cell>
          <cell r="D10">
            <v>6</v>
          </cell>
          <cell r="E10">
            <v>5</v>
          </cell>
          <cell r="F10">
            <v>130</v>
          </cell>
          <cell r="G10">
            <v>130</v>
          </cell>
          <cell r="H10">
            <v>0.38</v>
          </cell>
          <cell r="J10">
            <v>8.2333333333333325</v>
          </cell>
          <cell r="K10">
            <v>1.1666666666666665</v>
          </cell>
          <cell r="L10">
            <v>46029</v>
          </cell>
          <cell r="M10" t="str">
            <v>ECCE</v>
          </cell>
        </row>
        <row r="11">
          <cell r="B11">
            <v>400100</v>
          </cell>
          <cell r="D11">
            <v>6</v>
          </cell>
          <cell r="E11">
            <v>5</v>
          </cell>
          <cell r="F11">
            <v>130</v>
          </cell>
          <cell r="G11">
            <v>130</v>
          </cell>
          <cell r="H11">
            <v>0.38</v>
          </cell>
          <cell r="J11">
            <v>8.2333333333333325</v>
          </cell>
          <cell r="K11">
            <v>1.1666666666666665</v>
          </cell>
          <cell r="L11">
            <v>46029</v>
          </cell>
          <cell r="M11" t="str">
            <v>ECCE</v>
          </cell>
        </row>
        <row r="12">
          <cell r="B12">
            <v>900100</v>
          </cell>
          <cell r="D12">
            <v>2</v>
          </cell>
          <cell r="E12">
            <v>0</v>
          </cell>
          <cell r="F12">
            <v>100</v>
          </cell>
          <cell r="G12">
            <v>200</v>
          </cell>
          <cell r="H12">
            <v>0.78</v>
          </cell>
          <cell r="J12">
            <v>26</v>
          </cell>
          <cell r="K12">
            <v>2.333333333333333</v>
          </cell>
          <cell r="L12">
            <v>46029</v>
          </cell>
          <cell r="M12" t="str">
            <v>ECCE</v>
          </cell>
        </row>
        <row r="13">
          <cell r="B13">
            <v>300500</v>
          </cell>
          <cell r="D13">
            <v>10</v>
          </cell>
          <cell r="E13">
            <v>10</v>
          </cell>
          <cell r="F13">
            <v>15</v>
          </cell>
          <cell r="G13">
            <v>0</v>
          </cell>
          <cell r="H13">
            <v>0.5</v>
          </cell>
          <cell r="J13">
            <v>0</v>
          </cell>
          <cell r="K13">
            <v>0</v>
          </cell>
          <cell r="L13">
            <v>46029</v>
          </cell>
          <cell r="M13" t="str">
            <v>ECCE</v>
          </cell>
        </row>
        <row r="14">
          <cell r="B14">
            <v>700700</v>
          </cell>
          <cell r="D14">
            <v>10</v>
          </cell>
          <cell r="E14">
            <v>8</v>
          </cell>
          <cell r="F14">
            <v>25</v>
          </cell>
          <cell r="G14">
            <v>50</v>
          </cell>
          <cell r="H14">
            <v>0.6</v>
          </cell>
          <cell r="J14">
            <v>5</v>
          </cell>
          <cell r="K14">
            <v>2.333333333333333</v>
          </cell>
          <cell r="L14">
            <v>46029</v>
          </cell>
          <cell r="M14" t="str">
            <v>ECCE</v>
          </cell>
        </row>
        <row r="15">
          <cell r="B15">
            <v>700800</v>
          </cell>
          <cell r="D15">
            <v>11</v>
          </cell>
          <cell r="E15">
            <v>10</v>
          </cell>
          <cell r="F15">
            <v>25</v>
          </cell>
          <cell r="G15">
            <v>25</v>
          </cell>
          <cell r="H15">
            <v>0.5</v>
          </cell>
          <cell r="J15">
            <v>2.0833333333333335</v>
          </cell>
          <cell r="K15">
            <v>1.1666666666666665</v>
          </cell>
          <cell r="L15">
            <v>46029</v>
          </cell>
          <cell r="M15" t="str">
            <v>ECCE</v>
          </cell>
        </row>
        <row r="16">
          <cell r="B16">
            <v>700200</v>
          </cell>
          <cell r="D16">
            <v>11</v>
          </cell>
          <cell r="E16">
            <v>7</v>
          </cell>
          <cell r="F16">
            <v>25</v>
          </cell>
          <cell r="G16">
            <v>100</v>
          </cell>
          <cell r="H16">
            <v>0.44</v>
          </cell>
          <cell r="J16">
            <v>7.333333333333333</v>
          </cell>
          <cell r="K16">
            <v>4.6666666666666661</v>
          </cell>
          <cell r="L16">
            <v>46029</v>
          </cell>
          <cell r="M16" t="str">
            <v>ECCE</v>
          </cell>
        </row>
        <row r="17">
          <cell r="B17">
            <v>700100</v>
          </cell>
          <cell r="D17">
            <v>17</v>
          </cell>
          <cell r="E17">
            <v>16</v>
          </cell>
          <cell r="F17">
            <v>30</v>
          </cell>
          <cell r="G17">
            <v>30</v>
          </cell>
          <cell r="H17">
            <v>0.56000000000000005</v>
          </cell>
          <cell r="J17">
            <v>2.8000000000000003</v>
          </cell>
          <cell r="K17">
            <v>1.1666666666666665</v>
          </cell>
          <cell r="L17">
            <v>46029</v>
          </cell>
          <cell r="M17" t="str">
            <v>ECCE</v>
          </cell>
        </row>
        <row r="18">
          <cell r="B18">
            <v>700400</v>
          </cell>
          <cell r="D18">
            <v>16</v>
          </cell>
          <cell r="E18">
            <v>14</v>
          </cell>
          <cell r="F18">
            <v>25</v>
          </cell>
          <cell r="G18">
            <v>50</v>
          </cell>
          <cell r="H18">
            <v>0.51875000000000004</v>
          </cell>
          <cell r="J18">
            <v>4.322916666666667</v>
          </cell>
          <cell r="K18">
            <v>2.333333333333333</v>
          </cell>
          <cell r="L18">
            <v>46029</v>
          </cell>
          <cell r="M18" t="str">
            <v>ECCE</v>
          </cell>
        </row>
        <row r="19">
          <cell r="B19">
            <v>700500</v>
          </cell>
          <cell r="D19">
            <v>6</v>
          </cell>
          <cell r="E19">
            <v>4</v>
          </cell>
          <cell r="F19">
            <v>15</v>
          </cell>
          <cell r="G19">
            <v>30</v>
          </cell>
          <cell r="H19">
            <v>0.62</v>
          </cell>
          <cell r="J19">
            <v>3.1</v>
          </cell>
          <cell r="K19">
            <v>2.333333333333333</v>
          </cell>
          <cell r="L19">
            <v>46029</v>
          </cell>
          <cell r="M19" t="str">
            <v>ECCE</v>
          </cell>
        </row>
        <row r="20">
          <cell r="B20">
            <v>500100</v>
          </cell>
          <cell r="D20">
            <v>5</v>
          </cell>
          <cell r="E20">
            <v>4</v>
          </cell>
          <cell r="F20">
            <v>250</v>
          </cell>
          <cell r="G20">
            <v>250</v>
          </cell>
          <cell r="H20">
            <v>0.53200000000000003</v>
          </cell>
          <cell r="J20">
            <v>22.166666666666668</v>
          </cell>
          <cell r="K20">
            <v>1.1666666666666665</v>
          </cell>
          <cell r="L20">
            <v>46029</v>
          </cell>
          <cell r="M20" t="str">
            <v>ECCE</v>
          </cell>
        </row>
        <row r="21">
          <cell r="B21">
            <v>100600</v>
          </cell>
          <cell r="D21">
            <v>6</v>
          </cell>
          <cell r="E21">
            <v>0</v>
          </cell>
          <cell r="F21">
            <v>20</v>
          </cell>
          <cell r="G21">
            <v>120</v>
          </cell>
          <cell r="H21">
            <v>0.46</v>
          </cell>
          <cell r="J21">
            <v>9.2000000000000011</v>
          </cell>
          <cell r="K21">
            <v>7</v>
          </cell>
          <cell r="L21">
            <v>46029</v>
          </cell>
          <cell r="M21" t="str">
            <v>ECCE</v>
          </cell>
        </row>
        <row r="22">
          <cell r="B22">
            <v>100600</v>
          </cell>
          <cell r="D22">
            <v>6</v>
          </cell>
          <cell r="E22">
            <v>0</v>
          </cell>
          <cell r="F22">
            <v>20</v>
          </cell>
          <cell r="G22">
            <v>120</v>
          </cell>
          <cell r="H22">
            <v>0.46</v>
          </cell>
          <cell r="J22">
            <v>9.2000000000000011</v>
          </cell>
          <cell r="K22">
            <v>7</v>
          </cell>
          <cell r="L22">
            <v>46029</v>
          </cell>
          <cell r="M22" t="str">
            <v>ECCE</v>
          </cell>
        </row>
        <row r="23">
          <cell r="B23">
            <v>800500</v>
          </cell>
          <cell r="D23">
            <v>11</v>
          </cell>
          <cell r="E23">
            <v>7</v>
          </cell>
          <cell r="F23">
            <v>10</v>
          </cell>
          <cell r="G23">
            <v>40</v>
          </cell>
          <cell r="H23">
            <v>0.7</v>
          </cell>
          <cell r="J23">
            <v>4.666666666666667</v>
          </cell>
          <cell r="K23">
            <v>4.6666666666666661</v>
          </cell>
          <cell r="L23">
            <v>46029</v>
          </cell>
          <cell r="M23" t="str">
            <v>ECCE</v>
          </cell>
        </row>
        <row r="24">
          <cell r="B24">
            <v>800600</v>
          </cell>
          <cell r="D24">
            <v>10</v>
          </cell>
          <cell r="E24">
            <v>10</v>
          </cell>
          <cell r="F24">
            <v>20</v>
          </cell>
          <cell r="G24">
            <v>0</v>
          </cell>
          <cell r="H24">
            <v>0.65</v>
          </cell>
          <cell r="J24">
            <v>0</v>
          </cell>
          <cell r="K24">
            <v>0</v>
          </cell>
          <cell r="L24">
            <v>46029</v>
          </cell>
          <cell r="M24" t="str">
            <v>ECCE</v>
          </cell>
        </row>
        <row r="25">
          <cell r="B25">
            <v>800200</v>
          </cell>
          <cell r="D25">
            <v>10</v>
          </cell>
          <cell r="E25">
            <v>0</v>
          </cell>
          <cell r="F25">
            <v>20</v>
          </cell>
          <cell r="G25">
            <v>200</v>
          </cell>
          <cell r="H25">
            <v>0.65</v>
          </cell>
          <cell r="J25">
            <v>21.666666666666668</v>
          </cell>
          <cell r="K25">
            <v>11.666666666666668</v>
          </cell>
          <cell r="L25">
            <v>46029</v>
          </cell>
          <cell r="M25" t="str">
            <v>ECCE</v>
          </cell>
        </row>
        <row r="26">
          <cell r="B26">
            <v>800800</v>
          </cell>
          <cell r="D26">
            <v>10</v>
          </cell>
          <cell r="E26">
            <v>7</v>
          </cell>
          <cell r="F26">
            <v>15</v>
          </cell>
          <cell r="G26">
            <v>45</v>
          </cell>
          <cell r="H26">
            <v>0.66</v>
          </cell>
          <cell r="J26">
            <v>4.95</v>
          </cell>
          <cell r="K26">
            <v>3.5</v>
          </cell>
          <cell r="L26">
            <v>46029</v>
          </cell>
          <cell r="M26" t="str">
            <v>ECCE</v>
          </cell>
        </row>
        <row r="27">
          <cell r="B27">
            <v>300300</v>
          </cell>
          <cell r="D27">
            <v>12</v>
          </cell>
          <cell r="E27">
            <v>10</v>
          </cell>
          <cell r="F27">
            <v>15</v>
          </cell>
          <cell r="G27">
            <v>30</v>
          </cell>
          <cell r="H27">
            <v>0.55000000000000004</v>
          </cell>
          <cell r="J27">
            <v>2.75</v>
          </cell>
          <cell r="K27">
            <v>2.333333333333333</v>
          </cell>
          <cell r="L27">
            <v>46029</v>
          </cell>
          <cell r="M27" t="str">
            <v>ECCE</v>
          </cell>
        </row>
        <row r="28">
          <cell r="B28">
            <v>600100</v>
          </cell>
          <cell r="D28">
            <v>7</v>
          </cell>
          <cell r="E28">
            <v>0</v>
          </cell>
          <cell r="F28">
            <v>25</v>
          </cell>
          <cell r="G28">
            <v>175</v>
          </cell>
          <cell r="H28">
            <v>0.44</v>
          </cell>
          <cell r="J28">
            <v>12.833333333333334</v>
          </cell>
          <cell r="K28">
            <v>8.1666666666666679</v>
          </cell>
          <cell r="L28">
            <v>46029</v>
          </cell>
          <cell r="M28" t="str">
            <v>ECCE</v>
          </cell>
        </row>
        <row r="29">
          <cell r="B29">
            <v>600500</v>
          </cell>
          <cell r="D29">
            <v>8</v>
          </cell>
          <cell r="E29">
            <v>0</v>
          </cell>
          <cell r="F29">
            <v>25</v>
          </cell>
          <cell r="G29">
            <v>200</v>
          </cell>
          <cell r="H29">
            <v>0.5</v>
          </cell>
          <cell r="J29">
            <v>16.666666666666668</v>
          </cell>
          <cell r="K29">
            <v>9.3333333333333321</v>
          </cell>
          <cell r="L29">
            <v>46029</v>
          </cell>
          <cell r="M29" t="str">
            <v>ECCE</v>
          </cell>
        </row>
        <row r="30">
          <cell r="B30">
            <v>300400</v>
          </cell>
          <cell r="D30">
            <v>16</v>
          </cell>
          <cell r="E30">
            <v>7</v>
          </cell>
          <cell r="F30">
            <v>10</v>
          </cell>
          <cell r="G30">
            <v>90</v>
          </cell>
          <cell r="H30">
            <v>0.4</v>
          </cell>
          <cell r="J30">
            <v>6</v>
          </cell>
          <cell r="K30">
            <v>10.5</v>
          </cell>
          <cell r="L30">
            <v>46029</v>
          </cell>
          <cell r="M30" t="str">
            <v>ECCE</v>
          </cell>
        </row>
        <row r="31">
          <cell r="B31">
            <v>300100</v>
          </cell>
          <cell r="D31">
            <v>8</v>
          </cell>
          <cell r="E31">
            <v>7</v>
          </cell>
          <cell r="F31">
            <v>15</v>
          </cell>
          <cell r="G31">
            <v>15</v>
          </cell>
          <cell r="H31">
            <v>0.56999999999999995</v>
          </cell>
          <cell r="J31">
            <v>1.4249999999999998</v>
          </cell>
          <cell r="K31">
            <v>1.1666666666666665</v>
          </cell>
          <cell r="L31">
            <v>46029</v>
          </cell>
          <cell r="M31" t="str">
            <v>ECCE</v>
          </cell>
        </row>
        <row r="32">
          <cell r="B32">
            <v>100400</v>
          </cell>
          <cell r="D32">
            <v>6</v>
          </cell>
          <cell r="E32">
            <v>5</v>
          </cell>
          <cell r="F32">
            <v>15</v>
          </cell>
          <cell r="G32">
            <v>15</v>
          </cell>
          <cell r="H32">
            <v>0.66</v>
          </cell>
          <cell r="J32">
            <v>1.6500000000000001</v>
          </cell>
          <cell r="K32">
            <v>1.1666666666666665</v>
          </cell>
          <cell r="L32">
            <v>46029</v>
          </cell>
          <cell r="M32" t="str">
            <v>ECCE</v>
          </cell>
        </row>
        <row r="33">
          <cell r="B33">
            <v>100400</v>
          </cell>
          <cell r="D33">
            <v>6</v>
          </cell>
          <cell r="E33">
            <v>6</v>
          </cell>
          <cell r="F33">
            <v>15</v>
          </cell>
          <cell r="G33">
            <v>0</v>
          </cell>
          <cell r="H33">
            <v>0.66</v>
          </cell>
          <cell r="J33">
            <v>0</v>
          </cell>
          <cell r="K33">
            <v>0</v>
          </cell>
          <cell r="L33">
            <v>46029</v>
          </cell>
          <cell r="M33" t="str">
            <v>ECCE</v>
          </cell>
        </row>
        <row r="34">
          <cell r="B34">
            <v>700600</v>
          </cell>
          <cell r="D34">
            <v>14</v>
          </cell>
          <cell r="E34">
            <v>15</v>
          </cell>
          <cell r="F34">
            <v>15</v>
          </cell>
          <cell r="G34">
            <v>-15</v>
          </cell>
          <cell r="H34">
            <v>0.66</v>
          </cell>
          <cell r="J34">
            <v>-1.6500000000000001</v>
          </cell>
          <cell r="K34">
            <v>-1.1666666666666665</v>
          </cell>
          <cell r="L34">
            <v>46029</v>
          </cell>
          <cell r="M34" t="str">
            <v>ECCE</v>
          </cell>
        </row>
        <row r="35">
          <cell r="B35">
            <v>800400</v>
          </cell>
          <cell r="D35">
            <v>10</v>
          </cell>
          <cell r="E35">
            <v>4</v>
          </cell>
          <cell r="F35">
            <v>20</v>
          </cell>
          <cell r="G35">
            <v>120</v>
          </cell>
          <cell r="H35">
            <v>0.55000000000000004</v>
          </cell>
          <cell r="J35">
            <v>11</v>
          </cell>
          <cell r="K35">
            <v>7</v>
          </cell>
          <cell r="L35">
            <v>46029</v>
          </cell>
          <cell r="M35" t="str">
            <v>ECCE</v>
          </cell>
        </row>
        <row r="36">
          <cell r="B36">
            <v>800700</v>
          </cell>
          <cell r="D36">
            <v>10</v>
          </cell>
          <cell r="E36">
            <v>9</v>
          </cell>
          <cell r="F36">
            <v>20</v>
          </cell>
          <cell r="G36">
            <v>20</v>
          </cell>
          <cell r="H36">
            <v>0.55000000000000004</v>
          </cell>
          <cell r="J36">
            <v>1.8333333333333333</v>
          </cell>
          <cell r="K36">
            <v>1.1666666666666665</v>
          </cell>
          <cell r="L36">
            <v>46029</v>
          </cell>
          <cell r="M36" t="str">
            <v>ECCE</v>
          </cell>
        </row>
        <row r="37">
          <cell r="B37">
            <v>701000</v>
          </cell>
          <cell r="D37">
            <v>13</v>
          </cell>
          <cell r="E37">
            <v>7</v>
          </cell>
          <cell r="F37">
            <v>13</v>
          </cell>
          <cell r="G37">
            <v>78</v>
          </cell>
          <cell r="H37">
            <v>0.46</v>
          </cell>
          <cell r="J37">
            <v>8.4500000000000011</v>
          </cell>
          <cell r="K37">
            <v>7</v>
          </cell>
          <cell r="L37">
            <v>46029</v>
          </cell>
          <cell r="M37" t="str">
            <v>ECCE</v>
          </cell>
        </row>
        <row r="38">
          <cell r="K38">
            <v>0</v>
          </cell>
        </row>
        <row r="39">
          <cell r="B39">
            <v>100200</v>
          </cell>
          <cell r="D39">
            <v>4</v>
          </cell>
          <cell r="E39">
            <v>0</v>
          </cell>
          <cell r="F39">
            <v>20</v>
          </cell>
          <cell r="G39">
            <v>80</v>
          </cell>
          <cell r="H39">
            <v>0.84642857142857131</v>
          </cell>
          <cell r="J39">
            <v>13.542857142857141</v>
          </cell>
          <cell r="K39">
            <v>5.6000000000000005</v>
          </cell>
          <cell r="L39">
            <v>46034</v>
          </cell>
          <cell r="M39" t="str">
            <v>ECCE</v>
          </cell>
        </row>
        <row r="40">
          <cell r="B40">
            <v>100800</v>
          </cell>
          <cell r="D40">
            <v>4</v>
          </cell>
          <cell r="E40">
            <v>1</v>
          </cell>
          <cell r="F40">
            <v>20</v>
          </cell>
          <cell r="G40">
            <v>60</v>
          </cell>
          <cell r="H40">
            <v>0.84</v>
          </cell>
          <cell r="J40">
            <v>10.08</v>
          </cell>
          <cell r="K40">
            <v>4.2</v>
          </cell>
          <cell r="L40">
            <v>46034</v>
          </cell>
          <cell r="M40" t="str">
            <v>ECCE</v>
          </cell>
        </row>
        <row r="41">
          <cell r="B41">
            <v>200200</v>
          </cell>
          <cell r="D41">
            <v>9</v>
          </cell>
          <cell r="E41">
            <v>6</v>
          </cell>
          <cell r="F41">
            <v>60</v>
          </cell>
          <cell r="G41">
            <v>180</v>
          </cell>
          <cell r="H41">
            <v>0.63</v>
          </cell>
          <cell r="J41">
            <v>22.68</v>
          </cell>
          <cell r="K41">
            <v>4.2</v>
          </cell>
          <cell r="L41">
            <v>46034</v>
          </cell>
          <cell r="M41" t="str">
            <v>ECCE</v>
          </cell>
        </row>
        <row r="42">
          <cell r="B42">
            <v>200100</v>
          </cell>
          <cell r="D42">
            <v>1</v>
          </cell>
          <cell r="E42">
            <v>1</v>
          </cell>
          <cell r="F42">
            <v>180</v>
          </cell>
          <cell r="G42">
            <v>0</v>
          </cell>
          <cell r="H42">
            <v>0.27</v>
          </cell>
          <cell r="J42">
            <v>0</v>
          </cell>
          <cell r="K42">
            <v>0</v>
          </cell>
          <cell r="L42">
            <v>46034</v>
          </cell>
          <cell r="M42" t="str">
            <v>ECCE</v>
          </cell>
        </row>
        <row r="43">
          <cell r="B43">
            <v>100300</v>
          </cell>
          <cell r="D43">
            <v>6</v>
          </cell>
          <cell r="E43">
            <v>6</v>
          </cell>
          <cell r="F43">
            <v>25</v>
          </cell>
          <cell r="G43">
            <v>0</v>
          </cell>
          <cell r="H43">
            <v>0.35</v>
          </cell>
          <cell r="J43">
            <v>0</v>
          </cell>
          <cell r="K43">
            <v>0</v>
          </cell>
          <cell r="L43">
            <v>46034</v>
          </cell>
          <cell r="M43" t="str">
            <v>ECCE</v>
          </cell>
        </row>
        <row r="44">
          <cell r="B44">
            <v>800100</v>
          </cell>
          <cell r="D44">
            <v>10</v>
          </cell>
          <cell r="E44">
            <v>8</v>
          </cell>
          <cell r="F44">
            <v>25</v>
          </cell>
          <cell r="G44">
            <v>50</v>
          </cell>
          <cell r="H44">
            <v>0.56000000000000005</v>
          </cell>
          <cell r="J44">
            <v>5.6000000000000005</v>
          </cell>
          <cell r="K44">
            <v>2.8000000000000003</v>
          </cell>
          <cell r="L44">
            <v>46034</v>
          </cell>
          <cell r="M44" t="str">
            <v>ECCE</v>
          </cell>
        </row>
        <row r="45">
          <cell r="B45">
            <v>300200</v>
          </cell>
          <cell r="D45">
            <v>13</v>
          </cell>
          <cell r="E45">
            <v>13</v>
          </cell>
          <cell r="F45">
            <v>20</v>
          </cell>
          <cell r="G45">
            <v>0</v>
          </cell>
          <cell r="H45">
            <v>0.63</v>
          </cell>
          <cell r="J45">
            <v>0</v>
          </cell>
          <cell r="K45">
            <v>0</v>
          </cell>
          <cell r="L45">
            <v>46034</v>
          </cell>
          <cell r="M45" t="str">
            <v>ECCE</v>
          </cell>
        </row>
        <row r="46">
          <cell r="B46">
            <v>900300</v>
          </cell>
          <cell r="D46">
            <v>12</v>
          </cell>
          <cell r="E46">
            <v>8</v>
          </cell>
          <cell r="F46">
            <v>25</v>
          </cell>
          <cell r="G46">
            <v>100</v>
          </cell>
          <cell r="H46">
            <v>0.4</v>
          </cell>
          <cell r="J46">
            <v>8</v>
          </cell>
          <cell r="K46">
            <v>5.6000000000000005</v>
          </cell>
          <cell r="L46">
            <v>46034</v>
          </cell>
          <cell r="M46" t="str">
            <v>ECCE</v>
          </cell>
        </row>
        <row r="47">
          <cell r="B47">
            <v>400200</v>
          </cell>
          <cell r="D47">
            <v>5</v>
          </cell>
          <cell r="E47">
            <v>4</v>
          </cell>
          <cell r="F47">
            <v>130</v>
          </cell>
          <cell r="G47">
            <v>130</v>
          </cell>
          <cell r="H47">
            <v>0.38</v>
          </cell>
          <cell r="J47">
            <v>9.879999999999999</v>
          </cell>
          <cell r="K47">
            <v>1.4000000000000001</v>
          </cell>
          <cell r="L47">
            <v>46034</v>
          </cell>
          <cell r="M47" t="str">
            <v>ECCE</v>
          </cell>
        </row>
        <row r="48">
          <cell r="B48">
            <v>400100</v>
          </cell>
          <cell r="D48">
            <v>5</v>
          </cell>
          <cell r="E48">
            <v>5</v>
          </cell>
          <cell r="F48">
            <v>130</v>
          </cell>
          <cell r="G48">
            <v>0</v>
          </cell>
          <cell r="H48">
            <v>0.38</v>
          </cell>
          <cell r="J48">
            <v>0</v>
          </cell>
          <cell r="K48">
            <v>0</v>
          </cell>
          <cell r="L48">
            <v>46034</v>
          </cell>
          <cell r="M48" t="str">
            <v>ECCE</v>
          </cell>
        </row>
        <row r="49">
          <cell r="B49">
            <v>300700</v>
          </cell>
          <cell r="D49">
            <v>12</v>
          </cell>
          <cell r="E49">
            <v>10</v>
          </cell>
          <cell r="F49">
            <v>10</v>
          </cell>
          <cell r="G49">
            <v>20</v>
          </cell>
          <cell r="H49">
            <v>0.78</v>
          </cell>
          <cell r="J49">
            <v>3.12</v>
          </cell>
          <cell r="K49">
            <v>2.8000000000000003</v>
          </cell>
          <cell r="L49">
            <v>46034</v>
          </cell>
          <cell r="M49" t="str">
            <v>ECCE</v>
          </cell>
        </row>
        <row r="50">
          <cell r="B50">
            <v>300500</v>
          </cell>
          <cell r="D50">
            <v>10</v>
          </cell>
          <cell r="E50">
            <v>10</v>
          </cell>
          <cell r="F50">
            <v>15</v>
          </cell>
          <cell r="G50">
            <v>0</v>
          </cell>
          <cell r="H50">
            <v>0.5</v>
          </cell>
          <cell r="J50">
            <v>0</v>
          </cell>
          <cell r="K50">
            <v>0</v>
          </cell>
          <cell r="L50">
            <v>46034</v>
          </cell>
          <cell r="M50" t="str">
            <v>ECCE</v>
          </cell>
        </row>
        <row r="51">
          <cell r="B51">
            <v>700700</v>
          </cell>
          <cell r="D51">
            <v>11</v>
          </cell>
          <cell r="E51">
            <v>10</v>
          </cell>
          <cell r="F51">
            <v>25</v>
          </cell>
          <cell r="G51">
            <v>25</v>
          </cell>
          <cell r="H51">
            <v>0.6</v>
          </cell>
          <cell r="J51">
            <v>3</v>
          </cell>
          <cell r="K51">
            <v>1.4000000000000001</v>
          </cell>
          <cell r="L51">
            <v>46034</v>
          </cell>
          <cell r="M51" t="str">
            <v>ECCE</v>
          </cell>
        </row>
        <row r="52">
          <cell r="B52">
            <v>700800</v>
          </cell>
          <cell r="D52">
            <v>11</v>
          </cell>
          <cell r="E52">
            <v>9</v>
          </cell>
          <cell r="F52">
            <v>25</v>
          </cell>
          <cell r="G52">
            <v>50</v>
          </cell>
          <cell r="H52">
            <v>0.5</v>
          </cell>
          <cell r="J52">
            <v>5</v>
          </cell>
          <cell r="K52">
            <v>2.8000000000000003</v>
          </cell>
          <cell r="L52">
            <v>46034</v>
          </cell>
          <cell r="M52" t="str">
            <v>ECCE</v>
          </cell>
        </row>
        <row r="53">
          <cell r="B53">
            <v>700200</v>
          </cell>
          <cell r="D53">
            <v>7</v>
          </cell>
          <cell r="E53">
            <v>6</v>
          </cell>
          <cell r="F53">
            <v>25</v>
          </cell>
          <cell r="G53">
            <v>25</v>
          </cell>
          <cell r="H53">
            <v>0.44</v>
          </cell>
          <cell r="J53">
            <v>2.2000000000000002</v>
          </cell>
          <cell r="K53">
            <v>1.4000000000000001</v>
          </cell>
          <cell r="L53">
            <v>46034</v>
          </cell>
          <cell r="M53" t="str">
            <v>ECCE</v>
          </cell>
        </row>
        <row r="54">
          <cell r="B54">
            <v>700100</v>
          </cell>
          <cell r="D54">
            <v>16</v>
          </cell>
          <cell r="E54">
            <v>16</v>
          </cell>
          <cell r="F54">
            <v>30</v>
          </cell>
          <cell r="G54">
            <v>0</v>
          </cell>
          <cell r="H54">
            <v>0.56000000000000005</v>
          </cell>
          <cell r="J54">
            <v>0</v>
          </cell>
          <cell r="K54">
            <v>0</v>
          </cell>
          <cell r="L54">
            <v>46034</v>
          </cell>
          <cell r="M54" t="str">
            <v>ECCE</v>
          </cell>
        </row>
        <row r="55">
          <cell r="B55">
            <v>700400</v>
          </cell>
          <cell r="D55">
            <v>14</v>
          </cell>
          <cell r="E55">
            <v>13</v>
          </cell>
          <cell r="F55">
            <v>25</v>
          </cell>
          <cell r="G55">
            <v>25</v>
          </cell>
          <cell r="H55">
            <v>0.51875000000000004</v>
          </cell>
          <cell r="J55">
            <v>2.5937500000000004</v>
          </cell>
          <cell r="K55">
            <v>1.4000000000000001</v>
          </cell>
          <cell r="L55">
            <v>46034</v>
          </cell>
          <cell r="M55" t="str">
            <v>ECCE</v>
          </cell>
        </row>
        <row r="56">
          <cell r="B56">
            <v>700500</v>
          </cell>
          <cell r="D56">
            <v>15</v>
          </cell>
          <cell r="E56">
            <v>15</v>
          </cell>
          <cell r="F56">
            <v>15</v>
          </cell>
          <cell r="G56">
            <v>0</v>
          </cell>
          <cell r="H56">
            <v>0.62</v>
          </cell>
          <cell r="J56">
            <v>0</v>
          </cell>
          <cell r="K56">
            <v>0</v>
          </cell>
          <cell r="L56">
            <v>46034</v>
          </cell>
          <cell r="M56" t="str">
            <v>ECCE</v>
          </cell>
        </row>
        <row r="57">
          <cell r="B57">
            <v>500100</v>
          </cell>
          <cell r="D57">
            <v>5</v>
          </cell>
          <cell r="E57">
            <v>5</v>
          </cell>
          <cell r="F57">
            <v>250</v>
          </cell>
          <cell r="G57">
            <v>0</v>
          </cell>
          <cell r="H57">
            <v>0.53200000000000003</v>
          </cell>
          <cell r="J57">
            <v>0</v>
          </cell>
          <cell r="K57">
            <v>0</v>
          </cell>
          <cell r="L57">
            <v>46034</v>
          </cell>
          <cell r="M57" t="str">
            <v>ECCE</v>
          </cell>
        </row>
        <row r="58">
          <cell r="B58">
            <v>100700</v>
          </cell>
          <cell r="D58">
            <v>6</v>
          </cell>
          <cell r="E58">
            <v>6</v>
          </cell>
          <cell r="F58">
            <v>20</v>
          </cell>
          <cell r="G58">
            <v>0</v>
          </cell>
          <cell r="H58">
            <v>0.46</v>
          </cell>
          <cell r="J58">
            <v>0</v>
          </cell>
          <cell r="K58">
            <v>0</v>
          </cell>
          <cell r="L58">
            <v>46034</v>
          </cell>
          <cell r="M58" t="str">
            <v>ECCE</v>
          </cell>
        </row>
        <row r="59">
          <cell r="B59">
            <v>100700</v>
          </cell>
          <cell r="D59">
            <v>6</v>
          </cell>
          <cell r="E59">
            <v>5</v>
          </cell>
          <cell r="F59">
            <v>20</v>
          </cell>
          <cell r="G59">
            <v>20</v>
          </cell>
          <cell r="H59">
            <v>0.46</v>
          </cell>
          <cell r="J59">
            <v>1.8400000000000003</v>
          </cell>
          <cell r="K59">
            <v>1.4000000000000001</v>
          </cell>
          <cell r="L59">
            <v>46034</v>
          </cell>
          <cell r="M59" t="str">
            <v>ECCE</v>
          </cell>
        </row>
        <row r="60">
          <cell r="B60">
            <v>800500</v>
          </cell>
          <cell r="D60">
            <v>13</v>
          </cell>
          <cell r="E60">
            <v>11</v>
          </cell>
          <cell r="F60">
            <v>10</v>
          </cell>
          <cell r="G60">
            <v>20</v>
          </cell>
          <cell r="H60">
            <v>0.7</v>
          </cell>
          <cell r="J60">
            <v>2.8</v>
          </cell>
          <cell r="K60">
            <v>2.8000000000000003</v>
          </cell>
          <cell r="L60">
            <v>46034</v>
          </cell>
          <cell r="M60" t="str">
            <v>ECCE</v>
          </cell>
        </row>
        <row r="61">
          <cell r="B61">
            <v>800600</v>
          </cell>
          <cell r="D61">
            <v>10</v>
          </cell>
          <cell r="E61">
            <v>10</v>
          </cell>
          <cell r="F61">
            <v>20</v>
          </cell>
          <cell r="G61">
            <v>0</v>
          </cell>
          <cell r="H61">
            <v>0.65</v>
          </cell>
          <cell r="J61">
            <v>0</v>
          </cell>
          <cell r="K61">
            <v>0</v>
          </cell>
          <cell r="L61">
            <v>46034</v>
          </cell>
          <cell r="M61" t="str">
            <v>ECCE</v>
          </cell>
        </row>
        <row r="62">
          <cell r="B62">
            <v>800200</v>
          </cell>
          <cell r="D62">
            <v>8</v>
          </cell>
          <cell r="E62">
            <v>0</v>
          </cell>
          <cell r="F62">
            <v>20</v>
          </cell>
          <cell r="G62">
            <v>160</v>
          </cell>
          <cell r="H62">
            <v>0.65</v>
          </cell>
          <cell r="J62">
            <v>20.8</v>
          </cell>
          <cell r="K62">
            <v>11.200000000000001</v>
          </cell>
          <cell r="L62">
            <v>46034</v>
          </cell>
          <cell r="M62" t="str">
            <v>ECCE</v>
          </cell>
        </row>
        <row r="63">
          <cell r="B63">
            <v>800800</v>
          </cell>
          <cell r="D63">
            <v>11</v>
          </cell>
          <cell r="E63">
            <v>7</v>
          </cell>
          <cell r="F63">
            <v>10</v>
          </cell>
          <cell r="G63">
            <v>40</v>
          </cell>
          <cell r="H63">
            <v>0.66</v>
          </cell>
          <cell r="J63">
            <v>5.28</v>
          </cell>
          <cell r="K63">
            <v>5.6000000000000005</v>
          </cell>
          <cell r="L63">
            <v>46034</v>
          </cell>
          <cell r="M63" t="str">
            <v>ECCE</v>
          </cell>
        </row>
        <row r="64">
          <cell r="B64">
            <v>300300</v>
          </cell>
          <cell r="D64">
            <v>10</v>
          </cell>
          <cell r="E64">
            <v>9</v>
          </cell>
          <cell r="F64">
            <v>15</v>
          </cell>
          <cell r="G64">
            <v>15</v>
          </cell>
          <cell r="H64">
            <v>0.55000000000000004</v>
          </cell>
          <cell r="J64">
            <v>1.65</v>
          </cell>
          <cell r="K64">
            <v>1.4000000000000001</v>
          </cell>
          <cell r="L64">
            <v>46034</v>
          </cell>
          <cell r="M64" t="str">
            <v>ECCE</v>
          </cell>
        </row>
        <row r="65">
          <cell r="B65">
            <v>600100</v>
          </cell>
          <cell r="D65">
            <v>6</v>
          </cell>
          <cell r="E65">
            <v>5</v>
          </cell>
          <cell r="F65">
            <v>25</v>
          </cell>
          <cell r="G65">
            <v>25</v>
          </cell>
          <cell r="H65">
            <v>0.44</v>
          </cell>
          <cell r="J65">
            <v>2.2000000000000002</v>
          </cell>
          <cell r="K65">
            <v>1.4000000000000001</v>
          </cell>
          <cell r="L65">
            <v>46034</v>
          </cell>
          <cell r="M65" t="str">
            <v>ECCE</v>
          </cell>
        </row>
        <row r="66">
          <cell r="B66">
            <v>600500</v>
          </cell>
          <cell r="D66">
            <v>7</v>
          </cell>
          <cell r="E66">
            <v>0</v>
          </cell>
          <cell r="F66">
            <v>25</v>
          </cell>
          <cell r="G66">
            <v>175</v>
          </cell>
          <cell r="H66">
            <v>0.5</v>
          </cell>
          <cell r="J66">
            <v>17.5</v>
          </cell>
          <cell r="K66">
            <v>9.7999999999999989</v>
          </cell>
          <cell r="L66">
            <v>46034</v>
          </cell>
          <cell r="M66" t="str">
            <v>ECCE</v>
          </cell>
        </row>
        <row r="67">
          <cell r="B67">
            <v>300400</v>
          </cell>
          <cell r="D67">
            <v>17</v>
          </cell>
          <cell r="E67">
            <v>9</v>
          </cell>
          <cell r="F67">
            <v>10</v>
          </cell>
          <cell r="G67">
            <v>80</v>
          </cell>
          <cell r="H67">
            <v>0.4</v>
          </cell>
          <cell r="J67">
            <v>6.4</v>
          </cell>
          <cell r="K67">
            <v>11.200000000000001</v>
          </cell>
          <cell r="L67">
            <v>46034</v>
          </cell>
          <cell r="M67" t="str">
            <v>ECCE</v>
          </cell>
        </row>
        <row r="68">
          <cell r="B68">
            <v>300100</v>
          </cell>
          <cell r="D68">
            <v>11</v>
          </cell>
          <cell r="E68">
            <v>11</v>
          </cell>
          <cell r="F68">
            <v>15</v>
          </cell>
          <cell r="G68">
            <v>0</v>
          </cell>
          <cell r="H68">
            <v>0.56999999999999995</v>
          </cell>
          <cell r="J68">
            <v>0</v>
          </cell>
          <cell r="K68">
            <v>0</v>
          </cell>
          <cell r="L68">
            <v>46034</v>
          </cell>
          <cell r="M68" t="str">
            <v>ECCE</v>
          </cell>
        </row>
        <row r="69">
          <cell r="B69">
            <v>100400</v>
          </cell>
          <cell r="D69">
            <v>5</v>
          </cell>
          <cell r="E69">
            <v>2</v>
          </cell>
          <cell r="F69">
            <v>15</v>
          </cell>
          <cell r="G69">
            <v>45</v>
          </cell>
          <cell r="H69">
            <v>0.66</v>
          </cell>
          <cell r="J69">
            <v>5.94</v>
          </cell>
          <cell r="K69">
            <v>4.2</v>
          </cell>
          <cell r="L69">
            <v>46034</v>
          </cell>
          <cell r="M69" t="str">
            <v>ECCE</v>
          </cell>
        </row>
        <row r="70">
          <cell r="B70">
            <v>100400</v>
          </cell>
          <cell r="D70">
            <v>6</v>
          </cell>
          <cell r="E70">
            <v>6</v>
          </cell>
          <cell r="F70">
            <v>15</v>
          </cell>
          <cell r="G70">
            <v>0</v>
          </cell>
          <cell r="H70">
            <v>0.66</v>
          </cell>
          <cell r="J70">
            <v>0</v>
          </cell>
          <cell r="K70">
            <v>0</v>
          </cell>
          <cell r="L70">
            <v>46034</v>
          </cell>
          <cell r="M70" t="str">
            <v>ECCE</v>
          </cell>
        </row>
        <row r="71">
          <cell r="B71">
            <v>700600</v>
          </cell>
          <cell r="D71">
            <v>15</v>
          </cell>
          <cell r="E71">
            <v>14</v>
          </cell>
          <cell r="F71">
            <v>15</v>
          </cell>
          <cell r="G71">
            <v>15</v>
          </cell>
          <cell r="H71">
            <v>0.66</v>
          </cell>
          <cell r="J71">
            <v>1.98</v>
          </cell>
          <cell r="K71">
            <v>1.4000000000000001</v>
          </cell>
          <cell r="L71">
            <v>46034</v>
          </cell>
          <cell r="M71" t="str">
            <v>ECCE</v>
          </cell>
        </row>
        <row r="72">
          <cell r="B72">
            <v>800400</v>
          </cell>
          <cell r="D72">
            <v>7</v>
          </cell>
          <cell r="E72">
            <v>2</v>
          </cell>
          <cell r="F72">
            <v>20</v>
          </cell>
          <cell r="G72">
            <v>100</v>
          </cell>
          <cell r="H72">
            <v>0.55000000000000004</v>
          </cell>
          <cell r="J72">
            <v>11.000000000000002</v>
          </cell>
          <cell r="K72">
            <v>7</v>
          </cell>
          <cell r="L72">
            <v>46034</v>
          </cell>
          <cell r="M72" t="str">
            <v>ECCE</v>
          </cell>
        </row>
        <row r="73">
          <cell r="B73">
            <v>800700</v>
          </cell>
          <cell r="D73">
            <v>11</v>
          </cell>
          <cell r="E73">
            <v>10</v>
          </cell>
          <cell r="F73">
            <v>20</v>
          </cell>
          <cell r="G73">
            <v>20</v>
          </cell>
          <cell r="H73">
            <v>0.55000000000000004</v>
          </cell>
          <cell r="J73">
            <v>2.2000000000000002</v>
          </cell>
          <cell r="K73">
            <v>1.4000000000000001</v>
          </cell>
          <cell r="L73">
            <v>46034</v>
          </cell>
          <cell r="M73" t="str">
            <v>ECCE</v>
          </cell>
        </row>
        <row r="74">
          <cell r="B74">
            <v>701000</v>
          </cell>
          <cell r="D74">
            <v>7</v>
          </cell>
          <cell r="E74">
            <v>5</v>
          </cell>
          <cell r="F74">
            <v>13</v>
          </cell>
          <cell r="G74">
            <v>26</v>
          </cell>
          <cell r="H74">
            <v>0.46</v>
          </cell>
          <cell r="J74">
            <v>2.3920000000000003</v>
          </cell>
          <cell r="K74">
            <v>2.8000000000000003</v>
          </cell>
          <cell r="L74">
            <v>46034</v>
          </cell>
          <cell r="M74" t="str">
            <v>ECCE</v>
          </cell>
        </row>
        <row r="75">
          <cell r="K75">
            <v>0</v>
          </cell>
        </row>
        <row r="76">
          <cell r="B76">
            <v>600300</v>
          </cell>
          <cell r="D76">
            <v>20</v>
          </cell>
          <cell r="E76">
            <v>13</v>
          </cell>
          <cell r="F76" t="str">
            <v xml:space="preserve"> $          25.00</v>
          </cell>
          <cell r="G76">
            <v>175</v>
          </cell>
          <cell r="H76">
            <v>0.59</v>
          </cell>
          <cell r="J76">
            <v>14.75</v>
          </cell>
          <cell r="K76">
            <v>7</v>
          </cell>
          <cell r="L76">
            <v>46015</v>
          </cell>
          <cell r="M76" t="str">
            <v>RIVULIS</v>
          </cell>
        </row>
        <row r="77">
          <cell r="B77">
            <v>6005101</v>
          </cell>
          <cell r="D77">
            <v>18</v>
          </cell>
          <cell r="E77">
            <v>12</v>
          </cell>
          <cell r="F77" t="str">
            <v xml:space="preserve"> $          25.00</v>
          </cell>
          <cell r="G77">
            <v>150</v>
          </cell>
          <cell r="H77">
            <v>0.66</v>
          </cell>
          <cell r="J77">
            <v>2.1514723459741389E-3</v>
          </cell>
          <cell r="K77">
            <v>6</v>
          </cell>
          <cell r="L77">
            <v>46015</v>
          </cell>
          <cell r="M77" t="str">
            <v>RIVULIS</v>
          </cell>
        </row>
        <row r="78">
          <cell r="B78">
            <v>6005102</v>
          </cell>
          <cell r="D78">
            <v>17</v>
          </cell>
          <cell r="E78">
            <v>11</v>
          </cell>
          <cell r="F78" t="str">
            <v xml:space="preserve"> $          25.00</v>
          </cell>
          <cell r="G78">
            <v>150</v>
          </cell>
          <cell r="H78">
            <v>0.66</v>
          </cell>
          <cell r="J78">
            <v>2.1514723459741389E-3</v>
          </cell>
          <cell r="K78">
            <v>6</v>
          </cell>
          <cell r="L78">
            <v>46015</v>
          </cell>
          <cell r="M78" t="str">
            <v>RIVULIS</v>
          </cell>
        </row>
        <row r="79">
          <cell r="B79">
            <v>6005103</v>
          </cell>
          <cell r="D79">
            <v>19</v>
          </cell>
          <cell r="E79">
            <v>12</v>
          </cell>
          <cell r="F79" t="str">
            <v xml:space="preserve"> $          25.00</v>
          </cell>
          <cell r="G79">
            <v>175</v>
          </cell>
          <cell r="H79">
            <v>0.66</v>
          </cell>
          <cell r="J79">
            <v>2.5100510703031619E-3</v>
          </cell>
          <cell r="K79">
            <v>7</v>
          </cell>
          <cell r="L79">
            <v>46015</v>
          </cell>
          <cell r="M79" t="str">
            <v>RIVULIS</v>
          </cell>
        </row>
        <row r="80">
          <cell r="B80">
            <v>600101</v>
          </cell>
          <cell r="D80">
            <v>14</v>
          </cell>
          <cell r="E80">
            <v>10</v>
          </cell>
          <cell r="F80" t="str">
            <v xml:space="preserve"> $          25.00</v>
          </cell>
          <cell r="G80">
            <v>100</v>
          </cell>
          <cell r="H80">
            <v>0.64</v>
          </cell>
          <cell r="J80">
            <v>1.3908508095186352E-3</v>
          </cell>
          <cell r="K80">
            <v>4</v>
          </cell>
          <cell r="L80">
            <v>46015</v>
          </cell>
          <cell r="M80" t="str">
            <v>RIVULIS</v>
          </cell>
        </row>
        <row r="81">
          <cell r="B81">
            <v>600102</v>
          </cell>
          <cell r="D81">
            <v>13</v>
          </cell>
          <cell r="E81">
            <v>11</v>
          </cell>
          <cell r="F81" t="str">
            <v xml:space="preserve"> $          25.00</v>
          </cell>
          <cell r="G81">
            <v>50</v>
          </cell>
          <cell r="H81">
            <v>0.64</v>
          </cell>
          <cell r="J81">
            <v>6.9542540475931759E-4</v>
          </cell>
          <cell r="K81">
            <v>2</v>
          </cell>
          <cell r="L81">
            <v>46015</v>
          </cell>
          <cell r="M81" t="str">
            <v>RIVULIS</v>
          </cell>
        </row>
        <row r="82">
          <cell r="B82">
            <v>6005104</v>
          </cell>
          <cell r="D82">
            <v>12</v>
          </cell>
          <cell r="E82">
            <v>9</v>
          </cell>
          <cell r="F82" t="str">
            <v xml:space="preserve"> $          25.00</v>
          </cell>
          <cell r="G82">
            <v>75</v>
          </cell>
          <cell r="H82">
            <v>0.66</v>
          </cell>
          <cell r="J82">
            <v>1.0757361729870694E-3</v>
          </cell>
          <cell r="K82">
            <v>3</v>
          </cell>
          <cell r="L82">
            <v>46015</v>
          </cell>
          <cell r="M82" t="str">
            <v>RIVULIS</v>
          </cell>
        </row>
        <row r="83">
          <cell r="B83">
            <v>600600</v>
          </cell>
          <cell r="D83">
            <v>17</v>
          </cell>
          <cell r="E83">
            <v>12</v>
          </cell>
          <cell r="F83" t="str">
            <v xml:space="preserve"> $          25.00</v>
          </cell>
          <cell r="G83">
            <v>125</v>
          </cell>
          <cell r="H83">
            <v>0.53</v>
          </cell>
          <cell r="J83">
            <v>1.4397479082907747E-3</v>
          </cell>
          <cell r="K83">
            <v>5</v>
          </cell>
          <cell r="L83">
            <v>46015</v>
          </cell>
          <cell r="M83" t="str">
            <v>RIVULIS</v>
          </cell>
        </row>
        <row r="84">
          <cell r="B84">
            <v>600500</v>
          </cell>
          <cell r="D84">
            <v>9</v>
          </cell>
          <cell r="E84">
            <v>8</v>
          </cell>
          <cell r="F84" t="str">
            <v xml:space="preserve"> $          25.00</v>
          </cell>
          <cell r="G84">
            <v>25</v>
          </cell>
          <cell r="H84">
            <v>0.66</v>
          </cell>
          <cell r="J84">
            <v>3.5857872432902316E-4</v>
          </cell>
          <cell r="K84">
            <v>1</v>
          </cell>
          <cell r="L84">
            <v>46015</v>
          </cell>
          <cell r="M84" t="str">
            <v>RIVULIS</v>
          </cell>
        </row>
        <row r="85">
          <cell r="B85">
            <v>600400</v>
          </cell>
          <cell r="D85">
            <v>17</v>
          </cell>
          <cell r="E85">
            <v>12</v>
          </cell>
          <cell r="F85" t="str">
            <v xml:space="preserve"> $          20.00</v>
          </cell>
          <cell r="G85">
            <v>100</v>
          </cell>
          <cell r="H85">
            <v>0.59</v>
          </cell>
          <cell r="J85">
            <v>1.2821905900249919E-3</v>
          </cell>
          <cell r="K85">
            <v>5</v>
          </cell>
          <cell r="L85">
            <v>46015</v>
          </cell>
          <cell r="M85" t="str">
            <v>RIVULIS</v>
          </cell>
        </row>
        <row r="86">
          <cell r="B86">
            <v>100400</v>
          </cell>
          <cell r="D86">
            <v>10</v>
          </cell>
          <cell r="E86">
            <v>9</v>
          </cell>
          <cell r="F86" t="str">
            <v xml:space="preserve"> $          15.00</v>
          </cell>
          <cell r="G86">
            <v>15</v>
          </cell>
          <cell r="H86">
            <v>0.5</v>
          </cell>
          <cell r="J86">
            <v>1.6299032924046506E-4</v>
          </cell>
          <cell r="K86">
            <v>1</v>
          </cell>
          <cell r="L86">
            <v>46015</v>
          </cell>
          <cell r="M86" t="str">
            <v>RIVULIS</v>
          </cell>
        </row>
        <row r="87">
          <cell r="B87">
            <v>100400</v>
          </cell>
          <cell r="D87">
            <v>10</v>
          </cell>
          <cell r="E87">
            <v>9</v>
          </cell>
          <cell r="F87" t="str">
            <v xml:space="preserve"> $          15.00</v>
          </cell>
          <cell r="G87">
            <v>15</v>
          </cell>
          <cell r="H87">
            <v>0.5</v>
          </cell>
          <cell r="J87">
            <v>1.6299032924046506E-4</v>
          </cell>
          <cell r="K87">
            <v>1</v>
          </cell>
          <cell r="L87">
            <v>46015</v>
          </cell>
          <cell r="M87" t="str">
            <v>RIVULIS</v>
          </cell>
        </row>
        <row r="88">
          <cell r="B88">
            <v>100600</v>
          </cell>
          <cell r="D88">
            <v>13</v>
          </cell>
          <cell r="E88">
            <v>9</v>
          </cell>
          <cell r="F88" t="str">
            <v xml:space="preserve"> $          15.00</v>
          </cell>
          <cell r="G88">
            <v>60</v>
          </cell>
          <cell r="H88">
            <v>0.43</v>
          </cell>
          <cell r="J88">
            <v>5.606867325871998E-4</v>
          </cell>
          <cell r="K88">
            <v>4</v>
          </cell>
          <cell r="L88">
            <v>46015</v>
          </cell>
          <cell r="M88" t="str">
            <v>RIVULIS</v>
          </cell>
        </row>
        <row r="89">
          <cell r="B89">
            <v>100600</v>
          </cell>
          <cell r="D89">
            <v>10</v>
          </cell>
          <cell r="E89">
            <v>9</v>
          </cell>
          <cell r="F89" t="str">
            <v xml:space="preserve"> $          15.00</v>
          </cell>
          <cell r="G89">
            <v>15</v>
          </cell>
          <cell r="H89">
            <v>0.43</v>
          </cell>
          <cell r="J89">
            <v>1.4017168314679995E-4</v>
          </cell>
          <cell r="K89">
            <v>1</v>
          </cell>
          <cell r="L89">
            <v>46015</v>
          </cell>
          <cell r="M89" t="str">
            <v>RIVULIS</v>
          </cell>
        </row>
        <row r="90">
          <cell r="B90">
            <v>800900</v>
          </cell>
          <cell r="D90">
            <v>17</v>
          </cell>
          <cell r="E90">
            <v>11</v>
          </cell>
          <cell r="F90" t="str">
            <v xml:space="preserve"> $          20.00</v>
          </cell>
          <cell r="G90">
            <v>120</v>
          </cell>
          <cell r="H90">
            <v>0.51</v>
          </cell>
          <cell r="J90">
            <v>1.330001086602195E-3</v>
          </cell>
          <cell r="K90">
            <v>6</v>
          </cell>
          <cell r="L90">
            <v>46015</v>
          </cell>
          <cell r="M90" t="str">
            <v>RIVULIS</v>
          </cell>
        </row>
        <row r="91">
          <cell r="B91">
            <v>300700</v>
          </cell>
          <cell r="D91">
            <v>10</v>
          </cell>
          <cell r="E91">
            <v>8</v>
          </cell>
          <cell r="F91" t="str">
            <v xml:space="preserve"> $          10.00</v>
          </cell>
          <cell r="G91">
            <v>20</v>
          </cell>
          <cell r="H91">
            <v>0.71</v>
          </cell>
          <cell r="J91">
            <v>3.0859502336194719E-4</v>
          </cell>
          <cell r="K91">
            <v>2</v>
          </cell>
          <cell r="L91">
            <v>46015</v>
          </cell>
          <cell r="M91" t="str">
            <v>RIVULIS</v>
          </cell>
        </row>
        <row r="92">
          <cell r="B92">
            <v>300200</v>
          </cell>
          <cell r="D92">
            <v>22</v>
          </cell>
          <cell r="E92">
            <v>20</v>
          </cell>
          <cell r="F92" t="str">
            <v xml:space="preserve"> $          20.00</v>
          </cell>
          <cell r="G92">
            <v>40</v>
          </cell>
          <cell r="H92">
            <v>0.62</v>
          </cell>
          <cell r="J92">
            <v>5.3895468868847118E-4</v>
          </cell>
          <cell r="K92">
            <v>2</v>
          </cell>
          <cell r="L92">
            <v>46015</v>
          </cell>
          <cell r="M92" t="str">
            <v>RIVULIS</v>
          </cell>
        </row>
        <row r="93">
          <cell r="B93">
            <v>300100</v>
          </cell>
          <cell r="D93">
            <v>24</v>
          </cell>
          <cell r="E93">
            <v>17</v>
          </cell>
          <cell r="F93" t="str">
            <v xml:space="preserve"> $          15.00</v>
          </cell>
          <cell r="G93">
            <v>105</v>
          </cell>
          <cell r="H93">
            <v>0.56999999999999995</v>
          </cell>
          <cell r="J93">
            <v>1.3006628273389111E-3</v>
          </cell>
          <cell r="K93">
            <v>7</v>
          </cell>
          <cell r="L93">
            <v>46015</v>
          </cell>
          <cell r="M93" t="str">
            <v>RIVULIS</v>
          </cell>
        </row>
        <row r="94">
          <cell r="B94">
            <v>900300</v>
          </cell>
          <cell r="D94">
            <v>12</v>
          </cell>
          <cell r="E94">
            <v>8</v>
          </cell>
          <cell r="F94" t="str">
            <v xml:space="preserve"> $          25.00</v>
          </cell>
          <cell r="G94">
            <v>100</v>
          </cell>
          <cell r="H94">
            <v>0.4</v>
          </cell>
          <cell r="J94">
            <v>8.6928175594914699E-4</v>
          </cell>
          <cell r="K94">
            <v>4</v>
          </cell>
          <cell r="L94">
            <v>46015</v>
          </cell>
          <cell r="M94" t="str">
            <v>RIVULIS</v>
          </cell>
        </row>
        <row r="95">
          <cell r="B95">
            <v>300400</v>
          </cell>
          <cell r="D95">
            <v>28</v>
          </cell>
          <cell r="E95">
            <v>22</v>
          </cell>
          <cell r="F95" t="str">
            <v xml:space="preserve"> $          10.00</v>
          </cell>
          <cell r="G95">
            <v>60</v>
          </cell>
          <cell r="H95">
            <v>0.4</v>
          </cell>
          <cell r="J95">
            <v>5.2156905356948819E-4</v>
          </cell>
          <cell r="K95">
            <v>6</v>
          </cell>
          <cell r="L95">
            <v>46015</v>
          </cell>
          <cell r="M95" t="str">
            <v>RIVULIS</v>
          </cell>
        </row>
        <row r="96">
          <cell r="B96">
            <v>700500</v>
          </cell>
          <cell r="D96">
            <v>19</v>
          </cell>
          <cell r="E96">
            <v>17</v>
          </cell>
          <cell r="F96" t="str">
            <v xml:space="preserve"> $          15.00</v>
          </cell>
          <cell r="G96">
            <v>30</v>
          </cell>
          <cell r="H96">
            <v>0.56999999999999995</v>
          </cell>
          <cell r="J96">
            <v>3.7161795066826029E-4</v>
          </cell>
          <cell r="K96">
            <v>2</v>
          </cell>
          <cell r="L96">
            <v>46015</v>
          </cell>
          <cell r="M96" t="str">
            <v>RIVULIS</v>
          </cell>
        </row>
        <row r="97">
          <cell r="B97">
            <v>700400</v>
          </cell>
          <cell r="D97">
            <v>15</v>
          </cell>
          <cell r="E97">
            <v>14</v>
          </cell>
          <cell r="F97" t="str">
            <v xml:space="preserve"> $          25.00</v>
          </cell>
          <cell r="G97">
            <v>25</v>
          </cell>
          <cell r="H97">
            <v>0.48</v>
          </cell>
          <cell r="J97">
            <v>2.607845267847441E-4</v>
          </cell>
          <cell r="K97">
            <v>1</v>
          </cell>
          <cell r="L97">
            <v>46015</v>
          </cell>
          <cell r="M97" t="str">
            <v>RIVULIS</v>
          </cell>
        </row>
        <row r="98">
          <cell r="B98">
            <v>700800</v>
          </cell>
          <cell r="D98">
            <v>17</v>
          </cell>
          <cell r="E98">
            <v>12</v>
          </cell>
          <cell r="F98" t="str">
            <v xml:space="preserve"> $          20.00</v>
          </cell>
          <cell r="G98">
            <v>100</v>
          </cell>
          <cell r="H98">
            <v>0.38</v>
          </cell>
          <cell r="J98">
            <v>8.2581766815168964E-4</v>
          </cell>
          <cell r="K98">
            <v>5</v>
          </cell>
          <cell r="L98">
            <v>46015</v>
          </cell>
          <cell r="M98" t="str">
            <v>RIVULIS</v>
          </cell>
        </row>
        <row r="99">
          <cell r="B99">
            <v>700700</v>
          </cell>
          <cell r="D99">
            <v>12</v>
          </cell>
          <cell r="E99">
            <v>12</v>
          </cell>
          <cell r="F99" t="str">
            <v xml:space="preserve"> $          25.00</v>
          </cell>
          <cell r="G99">
            <v>0</v>
          </cell>
          <cell r="H99">
            <v>0.44</v>
          </cell>
          <cell r="J99">
            <v>0</v>
          </cell>
          <cell r="K99">
            <v>0</v>
          </cell>
          <cell r="L99">
            <v>46015</v>
          </cell>
          <cell r="M99" t="str">
            <v>RIVULIS</v>
          </cell>
        </row>
        <row r="100">
          <cell r="B100">
            <v>700200</v>
          </cell>
          <cell r="D100">
            <v>13</v>
          </cell>
          <cell r="E100">
            <v>13</v>
          </cell>
          <cell r="F100" t="str">
            <v xml:space="preserve"> $          25.00</v>
          </cell>
          <cell r="G100">
            <v>0</v>
          </cell>
          <cell r="H100">
            <v>0.44</v>
          </cell>
          <cell r="J100">
            <v>0</v>
          </cell>
          <cell r="K100">
            <v>0</v>
          </cell>
          <cell r="L100">
            <v>46015</v>
          </cell>
          <cell r="M100" t="str">
            <v>RIVULIS</v>
          </cell>
        </row>
        <row r="101">
          <cell r="B101">
            <v>800500</v>
          </cell>
          <cell r="D101">
            <v>19</v>
          </cell>
          <cell r="E101">
            <v>16</v>
          </cell>
          <cell r="F101" t="str">
            <v xml:space="preserve"> $          10.00</v>
          </cell>
          <cell r="G101">
            <v>30</v>
          </cell>
          <cell r="H101">
            <v>0.7</v>
          </cell>
          <cell r="J101">
            <v>4.5637292187330217E-4</v>
          </cell>
          <cell r="K101">
            <v>3</v>
          </cell>
          <cell r="L101">
            <v>46015</v>
          </cell>
          <cell r="M101" t="str">
            <v>RIVULIS</v>
          </cell>
        </row>
        <row r="102">
          <cell r="B102">
            <v>800700</v>
          </cell>
          <cell r="D102">
            <v>18</v>
          </cell>
          <cell r="E102">
            <v>17</v>
          </cell>
          <cell r="F102" t="str">
            <v xml:space="preserve"> $          20.00</v>
          </cell>
          <cell r="G102">
            <v>20</v>
          </cell>
          <cell r="H102">
            <v>0.55000000000000004</v>
          </cell>
          <cell r="J102">
            <v>2.3905248288601542E-4</v>
          </cell>
          <cell r="K102">
            <v>1</v>
          </cell>
          <cell r="L102">
            <v>46015</v>
          </cell>
          <cell r="M102" t="str">
            <v>RIVULIS</v>
          </cell>
        </row>
        <row r="103">
          <cell r="B103">
            <v>800400</v>
          </cell>
          <cell r="D103">
            <v>17</v>
          </cell>
          <cell r="E103">
            <v>17</v>
          </cell>
          <cell r="F103" t="str">
            <v xml:space="preserve"> $          20.00</v>
          </cell>
          <cell r="G103">
            <v>0</v>
          </cell>
          <cell r="H103">
            <v>0.55000000000000004</v>
          </cell>
          <cell r="J103">
            <v>0</v>
          </cell>
          <cell r="K103">
            <v>0</v>
          </cell>
          <cell r="L103">
            <v>46015</v>
          </cell>
          <cell r="M103" t="str">
            <v>RIVULIS</v>
          </cell>
        </row>
        <row r="104">
          <cell r="B104">
            <v>800601</v>
          </cell>
          <cell r="D104">
            <v>14</v>
          </cell>
          <cell r="E104">
            <v>11</v>
          </cell>
          <cell r="F104" t="str">
            <v xml:space="preserve"> $          15.00</v>
          </cell>
          <cell r="G104">
            <v>45</v>
          </cell>
          <cell r="H104">
            <v>0.55000000000000004</v>
          </cell>
          <cell r="J104">
            <v>5.3786808649353482E-4</v>
          </cell>
          <cell r="K104">
            <v>3</v>
          </cell>
          <cell r="L104">
            <v>46015</v>
          </cell>
          <cell r="M104" t="str">
            <v>RIVULIS</v>
          </cell>
        </row>
        <row r="105">
          <cell r="B105">
            <v>800600</v>
          </cell>
          <cell r="D105">
            <v>16</v>
          </cell>
          <cell r="E105">
            <v>14</v>
          </cell>
          <cell r="F105" t="str">
            <v xml:space="preserve"> $          15.00</v>
          </cell>
          <cell r="G105">
            <v>30</v>
          </cell>
          <cell r="H105">
            <v>0.55000000000000004</v>
          </cell>
          <cell r="J105">
            <v>3.5857872432902316E-4</v>
          </cell>
          <cell r="K105">
            <v>2</v>
          </cell>
          <cell r="L105">
            <v>46015</v>
          </cell>
          <cell r="M105" t="str">
            <v>RIVULIS</v>
          </cell>
        </row>
        <row r="106">
          <cell r="B106">
            <v>800800</v>
          </cell>
          <cell r="D106">
            <v>16</v>
          </cell>
          <cell r="E106">
            <v>16</v>
          </cell>
          <cell r="F106" t="str">
            <v xml:space="preserve"> $          15.00</v>
          </cell>
          <cell r="G106">
            <v>0</v>
          </cell>
          <cell r="H106">
            <v>0.35</v>
          </cell>
          <cell r="J106">
            <v>0</v>
          </cell>
          <cell r="K106">
            <v>0</v>
          </cell>
          <cell r="L106">
            <v>46015</v>
          </cell>
          <cell r="M106" t="str">
            <v>RIVULIS</v>
          </cell>
        </row>
        <row r="107">
          <cell r="B107">
            <v>801000</v>
          </cell>
          <cell r="D107">
            <v>16</v>
          </cell>
          <cell r="E107">
            <v>15</v>
          </cell>
          <cell r="F107" t="str">
            <v xml:space="preserve"> $          15.00</v>
          </cell>
          <cell r="G107">
            <v>15</v>
          </cell>
          <cell r="H107">
            <v>0.4</v>
          </cell>
          <cell r="J107">
            <v>1.3039226339237205E-4</v>
          </cell>
          <cell r="K107">
            <v>1</v>
          </cell>
          <cell r="L107">
            <v>46015</v>
          </cell>
          <cell r="M107" t="str">
            <v>RIVULIS</v>
          </cell>
        </row>
        <row r="108">
          <cell r="B108">
            <v>801100</v>
          </cell>
          <cell r="D108">
            <v>23</v>
          </cell>
          <cell r="E108">
            <v>14</v>
          </cell>
          <cell r="F108" t="str">
            <v xml:space="preserve"> $          20.00</v>
          </cell>
          <cell r="G108">
            <v>180</v>
          </cell>
          <cell r="H108">
            <v>0.55000000000000004</v>
          </cell>
          <cell r="J108">
            <v>2.1514723459741393E-3</v>
          </cell>
          <cell r="K108">
            <v>9</v>
          </cell>
          <cell r="L108">
            <v>46015</v>
          </cell>
          <cell r="M108" t="str">
            <v>RIVULIS</v>
          </cell>
        </row>
        <row r="109">
          <cell r="B109">
            <v>801200</v>
          </cell>
          <cell r="D109">
            <v>19</v>
          </cell>
          <cell r="E109">
            <v>13</v>
          </cell>
          <cell r="F109" t="str">
            <v xml:space="preserve"> $          20.00</v>
          </cell>
          <cell r="G109">
            <v>120</v>
          </cell>
          <cell r="H109">
            <v>0.55000000000000004</v>
          </cell>
          <cell r="J109">
            <v>1.4343148973160926E-3</v>
          </cell>
          <cell r="K109">
            <v>6</v>
          </cell>
          <cell r="L109">
            <v>46015</v>
          </cell>
          <cell r="M109" t="str">
            <v>RIVULIS</v>
          </cell>
        </row>
        <row r="110">
          <cell r="B110">
            <v>800200</v>
          </cell>
          <cell r="D110">
            <v>16</v>
          </cell>
          <cell r="E110">
            <v>13</v>
          </cell>
          <cell r="F110" t="str">
            <v xml:space="preserve"> $          20.00</v>
          </cell>
          <cell r="G110">
            <v>60</v>
          </cell>
          <cell r="H110">
            <v>0.65</v>
          </cell>
          <cell r="J110">
            <v>8.4754971205041837E-4</v>
          </cell>
          <cell r="K110">
            <v>3</v>
          </cell>
          <cell r="L110">
            <v>46015</v>
          </cell>
          <cell r="M110" t="str">
            <v>RIVULIS</v>
          </cell>
        </row>
        <row r="111">
          <cell r="B111">
            <v>100200</v>
          </cell>
          <cell r="D111">
            <v>6</v>
          </cell>
          <cell r="E111">
            <v>6</v>
          </cell>
          <cell r="F111" t="str">
            <v xml:space="preserve"> $          15.00</v>
          </cell>
          <cell r="G111">
            <v>0</v>
          </cell>
          <cell r="H111">
            <v>0.8</v>
          </cell>
          <cell r="J111">
            <v>0</v>
          </cell>
          <cell r="K111">
            <v>0</v>
          </cell>
          <cell r="L111">
            <v>46015</v>
          </cell>
          <cell r="M111" t="str">
            <v>RIVULIS</v>
          </cell>
        </row>
        <row r="112">
          <cell r="B112">
            <v>100200</v>
          </cell>
          <cell r="D112">
            <v>7</v>
          </cell>
          <cell r="E112">
            <v>6</v>
          </cell>
          <cell r="F112" t="str">
            <v xml:space="preserve"> $          15.00</v>
          </cell>
          <cell r="G112">
            <v>15</v>
          </cell>
          <cell r="H112">
            <v>0.8</v>
          </cell>
          <cell r="J112">
            <v>2.607845267847441E-4</v>
          </cell>
          <cell r="K112">
            <v>1</v>
          </cell>
          <cell r="L112">
            <v>46015</v>
          </cell>
          <cell r="M112" t="str">
            <v>RIVULIS</v>
          </cell>
        </row>
        <row r="113">
          <cell r="B113">
            <v>100900</v>
          </cell>
          <cell r="D113">
            <v>10</v>
          </cell>
          <cell r="E113">
            <v>6</v>
          </cell>
          <cell r="F113" t="str">
            <v xml:space="preserve"> $          20.00</v>
          </cell>
          <cell r="G113">
            <v>80</v>
          </cell>
          <cell r="H113">
            <v>0.4</v>
          </cell>
          <cell r="J113">
            <v>6.9542540475931759E-4</v>
          </cell>
          <cell r="K113">
            <v>4</v>
          </cell>
          <cell r="L113">
            <v>46015</v>
          </cell>
          <cell r="M113" t="str">
            <v>RIVULIS</v>
          </cell>
        </row>
        <row r="114">
          <cell r="B114">
            <v>100300</v>
          </cell>
          <cell r="D114">
            <v>7</v>
          </cell>
          <cell r="E114">
            <v>6</v>
          </cell>
          <cell r="F114" t="str">
            <v xml:space="preserve"> $          25.00</v>
          </cell>
          <cell r="G114">
            <v>25</v>
          </cell>
          <cell r="H114">
            <v>0.5</v>
          </cell>
          <cell r="J114">
            <v>2.7165054873410846E-4</v>
          </cell>
          <cell r="K114">
            <v>1</v>
          </cell>
          <cell r="L114">
            <v>46015</v>
          </cell>
          <cell r="M114" t="str">
            <v>RIVULIS</v>
          </cell>
        </row>
        <row r="115">
          <cell r="B115">
            <v>100800</v>
          </cell>
          <cell r="D115">
            <v>6</v>
          </cell>
          <cell r="E115">
            <v>6</v>
          </cell>
          <cell r="F115" t="str">
            <v xml:space="preserve"> $          18.00</v>
          </cell>
          <cell r="G115">
            <v>0</v>
          </cell>
          <cell r="H115">
            <v>0.81</v>
          </cell>
          <cell r="J115">
            <v>0</v>
          </cell>
          <cell r="K115">
            <v>0</v>
          </cell>
          <cell r="L115">
            <v>46015</v>
          </cell>
          <cell r="M115" t="str">
            <v>RIVULIS</v>
          </cell>
        </row>
        <row r="116">
          <cell r="B116">
            <v>801300</v>
          </cell>
          <cell r="D116">
            <v>16</v>
          </cell>
          <cell r="E116">
            <v>11</v>
          </cell>
          <cell r="F116" t="str">
            <v xml:space="preserve"> $          30.00</v>
          </cell>
          <cell r="G116">
            <v>150</v>
          </cell>
          <cell r="H116">
            <v>0.5</v>
          </cell>
          <cell r="J116">
            <v>1.6299032924046507E-3</v>
          </cell>
          <cell r="K116">
            <v>5</v>
          </cell>
          <cell r="L116">
            <v>46015</v>
          </cell>
          <cell r="M116" t="str">
            <v>RIVULIS</v>
          </cell>
        </row>
        <row r="117">
          <cell r="K117">
            <v>0</v>
          </cell>
        </row>
        <row r="118">
          <cell r="B118">
            <v>600300</v>
          </cell>
          <cell r="D118">
            <v>13</v>
          </cell>
          <cell r="E118">
            <v>12</v>
          </cell>
          <cell r="F118" t="str">
            <v xml:space="preserve"> $          25.00</v>
          </cell>
          <cell r="G118">
            <v>25</v>
          </cell>
          <cell r="H118">
            <v>0.59</v>
          </cell>
          <cell r="J118">
            <v>1.84375</v>
          </cell>
          <cell r="K118">
            <v>0.875</v>
          </cell>
          <cell r="L118">
            <v>46024</v>
          </cell>
          <cell r="M118" t="str">
            <v>RIVULIS</v>
          </cell>
        </row>
        <row r="119">
          <cell r="B119">
            <v>6005101</v>
          </cell>
          <cell r="D119">
            <v>12</v>
          </cell>
          <cell r="E119">
            <v>12</v>
          </cell>
          <cell r="F119" t="str">
            <v xml:space="preserve"> $          25.00</v>
          </cell>
          <cell r="G119">
            <v>0</v>
          </cell>
          <cell r="H119">
            <v>0.66</v>
          </cell>
          <cell r="J119">
            <v>0</v>
          </cell>
          <cell r="K119">
            <v>0</v>
          </cell>
          <cell r="L119">
            <v>46024</v>
          </cell>
          <cell r="M119" t="str">
            <v>RIVULIS</v>
          </cell>
        </row>
        <row r="120">
          <cell r="B120">
            <v>6005102</v>
          </cell>
          <cell r="D120">
            <v>11</v>
          </cell>
          <cell r="E120">
            <v>10</v>
          </cell>
          <cell r="F120" t="str">
            <v xml:space="preserve"> $          25.00</v>
          </cell>
          <cell r="G120">
            <v>25</v>
          </cell>
          <cell r="H120">
            <v>0.66</v>
          </cell>
          <cell r="J120">
            <v>2.0625</v>
          </cell>
          <cell r="K120">
            <v>0.875</v>
          </cell>
          <cell r="L120">
            <v>46024</v>
          </cell>
          <cell r="M120" t="str">
            <v>RIVULIS</v>
          </cell>
        </row>
        <row r="121">
          <cell r="B121">
            <v>6005103</v>
          </cell>
          <cell r="D121">
            <v>12</v>
          </cell>
          <cell r="E121">
            <v>10</v>
          </cell>
          <cell r="F121" t="str">
            <v xml:space="preserve"> $          25.00</v>
          </cell>
          <cell r="G121">
            <v>50</v>
          </cell>
          <cell r="H121">
            <v>0.66</v>
          </cell>
          <cell r="J121">
            <v>4.125</v>
          </cell>
          <cell r="K121">
            <v>1.75</v>
          </cell>
          <cell r="L121">
            <v>46024</v>
          </cell>
          <cell r="M121" t="str">
            <v>RIVULIS</v>
          </cell>
        </row>
        <row r="122">
          <cell r="B122">
            <v>600101</v>
          </cell>
          <cell r="D122">
            <v>10</v>
          </cell>
          <cell r="E122">
            <v>10</v>
          </cell>
          <cell r="F122" t="str">
            <v xml:space="preserve"> $          25.00</v>
          </cell>
          <cell r="G122">
            <v>0</v>
          </cell>
          <cell r="H122">
            <v>0.64</v>
          </cell>
          <cell r="J122">
            <v>0</v>
          </cell>
          <cell r="K122">
            <v>0</v>
          </cell>
          <cell r="L122">
            <v>46024</v>
          </cell>
          <cell r="M122" t="str">
            <v>RIVULIS</v>
          </cell>
        </row>
        <row r="123">
          <cell r="B123">
            <v>600102</v>
          </cell>
          <cell r="D123">
            <v>11</v>
          </cell>
          <cell r="E123">
            <v>11</v>
          </cell>
          <cell r="F123" t="str">
            <v xml:space="preserve"> $          25.00</v>
          </cell>
          <cell r="G123">
            <v>0</v>
          </cell>
          <cell r="H123">
            <v>0.64</v>
          </cell>
          <cell r="J123">
            <v>0</v>
          </cell>
          <cell r="K123">
            <v>0</v>
          </cell>
          <cell r="L123">
            <v>46024</v>
          </cell>
          <cell r="M123" t="str">
            <v>RIVULIS</v>
          </cell>
        </row>
        <row r="124">
          <cell r="B124">
            <v>6005104</v>
          </cell>
          <cell r="D124">
            <v>9</v>
          </cell>
          <cell r="E124">
            <v>8</v>
          </cell>
          <cell r="F124" t="str">
            <v xml:space="preserve"> $          25.00</v>
          </cell>
          <cell r="G124">
            <v>25</v>
          </cell>
          <cell r="H124">
            <v>0.66</v>
          </cell>
          <cell r="J124">
            <v>2.0625</v>
          </cell>
          <cell r="K124">
            <v>0.875</v>
          </cell>
          <cell r="L124">
            <v>46024</v>
          </cell>
          <cell r="M124" t="str">
            <v>RIVULIS</v>
          </cell>
        </row>
        <row r="125">
          <cell r="B125">
            <v>600600</v>
          </cell>
          <cell r="D125">
            <v>12</v>
          </cell>
          <cell r="E125">
            <v>9</v>
          </cell>
          <cell r="F125" t="str">
            <v xml:space="preserve"> $          25.00</v>
          </cell>
          <cell r="G125">
            <v>75</v>
          </cell>
          <cell r="H125">
            <v>0.53</v>
          </cell>
          <cell r="J125">
            <v>4.96875</v>
          </cell>
          <cell r="K125">
            <v>2.625</v>
          </cell>
          <cell r="L125">
            <v>46024</v>
          </cell>
          <cell r="M125" t="str">
            <v>RIVULIS</v>
          </cell>
        </row>
        <row r="126">
          <cell r="B126">
            <v>600500</v>
          </cell>
          <cell r="D126">
            <v>8</v>
          </cell>
          <cell r="E126">
            <v>8</v>
          </cell>
          <cell r="F126" t="str">
            <v xml:space="preserve"> $          25.00</v>
          </cell>
          <cell r="G126">
            <v>0</v>
          </cell>
          <cell r="H126">
            <v>0.66</v>
          </cell>
          <cell r="J126">
            <v>0</v>
          </cell>
          <cell r="K126">
            <v>0</v>
          </cell>
          <cell r="L126">
            <v>46024</v>
          </cell>
          <cell r="M126" t="str">
            <v>RIVULIS</v>
          </cell>
        </row>
        <row r="127">
          <cell r="B127">
            <v>600400</v>
          </cell>
          <cell r="D127">
            <v>12</v>
          </cell>
          <cell r="E127">
            <v>11</v>
          </cell>
          <cell r="F127" t="str">
            <v xml:space="preserve"> $          20.00</v>
          </cell>
          <cell r="G127">
            <v>20</v>
          </cell>
          <cell r="H127">
            <v>0.59</v>
          </cell>
          <cell r="J127">
            <v>1.4749999999999999</v>
          </cell>
          <cell r="K127">
            <v>0.875</v>
          </cell>
          <cell r="L127">
            <v>46024</v>
          </cell>
          <cell r="M127" t="str">
            <v>RIVULIS</v>
          </cell>
        </row>
        <row r="128">
          <cell r="B128">
            <v>100400</v>
          </cell>
          <cell r="D128">
            <v>9</v>
          </cell>
          <cell r="E128">
            <v>7</v>
          </cell>
          <cell r="F128" t="str">
            <v xml:space="preserve"> $          15.00</v>
          </cell>
          <cell r="G128">
            <v>30</v>
          </cell>
          <cell r="H128">
            <v>0.5</v>
          </cell>
          <cell r="J128">
            <v>1.875</v>
          </cell>
          <cell r="K128">
            <v>1.75</v>
          </cell>
          <cell r="L128">
            <v>46024</v>
          </cell>
          <cell r="M128" t="str">
            <v>RIVULIS</v>
          </cell>
        </row>
        <row r="129">
          <cell r="B129">
            <v>100400</v>
          </cell>
          <cell r="D129">
            <v>9</v>
          </cell>
          <cell r="E129">
            <v>9</v>
          </cell>
          <cell r="F129" t="str">
            <v xml:space="preserve"> $          15.00</v>
          </cell>
          <cell r="G129">
            <v>0</v>
          </cell>
          <cell r="H129">
            <v>0.5</v>
          </cell>
          <cell r="J129">
            <v>0</v>
          </cell>
          <cell r="K129">
            <v>0</v>
          </cell>
          <cell r="L129">
            <v>46024</v>
          </cell>
          <cell r="M129" t="str">
            <v>RIVULIS</v>
          </cell>
        </row>
        <row r="130">
          <cell r="B130">
            <v>100600</v>
          </cell>
          <cell r="D130">
            <v>9</v>
          </cell>
          <cell r="E130">
            <v>8</v>
          </cell>
          <cell r="F130" t="str">
            <v xml:space="preserve"> $          15.00</v>
          </cell>
          <cell r="G130">
            <v>15</v>
          </cell>
          <cell r="H130">
            <v>0.43</v>
          </cell>
          <cell r="J130">
            <v>0.80625000000000002</v>
          </cell>
          <cell r="K130">
            <v>0.875</v>
          </cell>
          <cell r="L130">
            <v>46024</v>
          </cell>
          <cell r="M130" t="str">
            <v>RIVULIS</v>
          </cell>
        </row>
        <row r="131">
          <cell r="B131">
            <v>100600</v>
          </cell>
          <cell r="D131">
            <v>9</v>
          </cell>
          <cell r="E131">
            <v>8</v>
          </cell>
          <cell r="F131" t="str">
            <v xml:space="preserve"> $          15.00</v>
          </cell>
          <cell r="G131">
            <v>15</v>
          </cell>
          <cell r="H131">
            <v>0.43</v>
          </cell>
          <cell r="J131">
            <v>0.80625000000000002</v>
          </cell>
          <cell r="K131">
            <v>0.875</v>
          </cell>
          <cell r="L131">
            <v>46024</v>
          </cell>
          <cell r="M131" t="str">
            <v>RIVULIS</v>
          </cell>
        </row>
        <row r="132">
          <cell r="B132">
            <v>800900</v>
          </cell>
          <cell r="D132">
            <v>11</v>
          </cell>
          <cell r="E132">
            <v>10</v>
          </cell>
          <cell r="F132" t="str">
            <v xml:space="preserve"> $          20.00</v>
          </cell>
          <cell r="G132">
            <v>20</v>
          </cell>
          <cell r="H132">
            <v>0.51</v>
          </cell>
          <cell r="J132">
            <v>1.2749999999999999</v>
          </cell>
          <cell r="K132">
            <v>0.875</v>
          </cell>
          <cell r="L132">
            <v>46024</v>
          </cell>
          <cell r="M132" t="str">
            <v>RIVULIS</v>
          </cell>
        </row>
        <row r="133">
          <cell r="B133">
            <v>300700</v>
          </cell>
          <cell r="D133">
            <v>8</v>
          </cell>
          <cell r="E133">
            <v>8</v>
          </cell>
          <cell r="F133" t="str">
            <v xml:space="preserve"> $          10.00</v>
          </cell>
          <cell r="G133">
            <v>0</v>
          </cell>
          <cell r="H133">
            <v>0.71</v>
          </cell>
          <cell r="J133">
            <v>0</v>
          </cell>
          <cell r="K133">
            <v>0</v>
          </cell>
          <cell r="L133">
            <v>46024</v>
          </cell>
          <cell r="M133" t="str">
            <v>RIVULIS</v>
          </cell>
        </row>
        <row r="134">
          <cell r="B134">
            <v>300200</v>
          </cell>
          <cell r="D134">
            <v>20</v>
          </cell>
          <cell r="E134">
            <v>20</v>
          </cell>
          <cell r="F134" t="str">
            <v xml:space="preserve"> $          20.00</v>
          </cell>
          <cell r="G134">
            <v>0</v>
          </cell>
          <cell r="H134">
            <v>0.62</v>
          </cell>
          <cell r="J134">
            <v>0</v>
          </cell>
          <cell r="K134">
            <v>0</v>
          </cell>
          <cell r="L134">
            <v>46024</v>
          </cell>
          <cell r="M134" t="str">
            <v>RIVULIS</v>
          </cell>
        </row>
        <row r="135">
          <cell r="B135">
            <v>300100</v>
          </cell>
          <cell r="D135">
            <v>17</v>
          </cell>
          <cell r="E135">
            <v>16</v>
          </cell>
          <cell r="F135" t="str">
            <v xml:space="preserve"> $          15.00</v>
          </cell>
          <cell r="G135">
            <v>15</v>
          </cell>
          <cell r="H135">
            <v>0.56999999999999995</v>
          </cell>
          <cell r="J135">
            <v>1.0687499999999999</v>
          </cell>
          <cell r="K135">
            <v>0.875</v>
          </cell>
          <cell r="L135">
            <v>46024</v>
          </cell>
          <cell r="M135" t="str">
            <v>RIVULIS</v>
          </cell>
        </row>
        <row r="136">
          <cell r="B136">
            <v>900300</v>
          </cell>
          <cell r="D136">
            <v>8</v>
          </cell>
          <cell r="E136">
            <v>8</v>
          </cell>
          <cell r="F136" t="str">
            <v xml:space="preserve"> $          25.00</v>
          </cell>
          <cell r="G136">
            <v>0</v>
          </cell>
          <cell r="H136">
            <v>0.4</v>
          </cell>
          <cell r="J136">
            <v>0</v>
          </cell>
          <cell r="K136">
            <v>0</v>
          </cell>
          <cell r="L136">
            <v>46024</v>
          </cell>
          <cell r="M136" t="str">
            <v>RIVULIS</v>
          </cell>
        </row>
        <row r="137">
          <cell r="B137">
            <v>300400</v>
          </cell>
          <cell r="D137">
            <v>22</v>
          </cell>
          <cell r="E137">
            <v>21</v>
          </cell>
          <cell r="F137" t="str">
            <v xml:space="preserve"> $          10.00</v>
          </cell>
          <cell r="G137">
            <v>10</v>
          </cell>
          <cell r="H137">
            <v>0.4</v>
          </cell>
          <cell r="J137">
            <v>0.5</v>
          </cell>
          <cell r="K137">
            <v>0.875</v>
          </cell>
          <cell r="L137">
            <v>46024</v>
          </cell>
          <cell r="M137" t="str">
            <v>RIVULIS</v>
          </cell>
        </row>
        <row r="138">
          <cell r="B138">
            <v>700500</v>
          </cell>
          <cell r="D138">
            <v>17</v>
          </cell>
          <cell r="E138">
            <v>16</v>
          </cell>
          <cell r="F138" t="str">
            <v xml:space="preserve"> $          15.00</v>
          </cell>
          <cell r="G138">
            <v>15</v>
          </cell>
          <cell r="H138">
            <v>0.56999999999999995</v>
          </cell>
          <cell r="J138">
            <v>1.0687499999999999</v>
          </cell>
          <cell r="K138">
            <v>0.875</v>
          </cell>
          <cell r="L138">
            <v>46024</v>
          </cell>
          <cell r="M138" t="str">
            <v>RIVULIS</v>
          </cell>
        </row>
        <row r="139">
          <cell r="B139">
            <v>700400</v>
          </cell>
          <cell r="D139">
            <v>14</v>
          </cell>
          <cell r="E139">
            <v>14</v>
          </cell>
          <cell r="F139" t="str">
            <v xml:space="preserve"> $          25.00</v>
          </cell>
          <cell r="G139">
            <v>0</v>
          </cell>
          <cell r="H139">
            <v>0.48</v>
          </cell>
          <cell r="J139">
            <v>0</v>
          </cell>
          <cell r="K139">
            <v>0</v>
          </cell>
          <cell r="L139">
            <v>46024</v>
          </cell>
          <cell r="M139" t="str">
            <v>RIVULIS</v>
          </cell>
        </row>
        <row r="140">
          <cell r="B140">
            <v>700800</v>
          </cell>
          <cell r="D140">
            <v>12</v>
          </cell>
          <cell r="E140">
            <v>11</v>
          </cell>
          <cell r="F140" t="str">
            <v xml:space="preserve"> $          20.00</v>
          </cell>
          <cell r="G140">
            <v>20</v>
          </cell>
          <cell r="H140">
            <v>0.38</v>
          </cell>
          <cell r="J140">
            <v>0.95</v>
          </cell>
          <cell r="K140">
            <v>0.875</v>
          </cell>
          <cell r="L140">
            <v>46024</v>
          </cell>
          <cell r="M140" t="str">
            <v>RIVULIS</v>
          </cell>
        </row>
        <row r="141">
          <cell r="B141">
            <v>700700</v>
          </cell>
          <cell r="D141">
            <v>12</v>
          </cell>
          <cell r="E141">
            <v>12</v>
          </cell>
          <cell r="F141" t="str">
            <v xml:space="preserve"> $          25.00</v>
          </cell>
          <cell r="G141">
            <v>0</v>
          </cell>
          <cell r="H141">
            <v>0.44</v>
          </cell>
          <cell r="J141">
            <v>0</v>
          </cell>
          <cell r="K141">
            <v>0</v>
          </cell>
          <cell r="L141">
            <v>46024</v>
          </cell>
          <cell r="M141" t="str">
            <v>RIVULIS</v>
          </cell>
        </row>
        <row r="142">
          <cell r="B142">
            <v>700200</v>
          </cell>
          <cell r="D142">
            <v>13</v>
          </cell>
          <cell r="E142">
            <v>10</v>
          </cell>
          <cell r="F142" t="str">
            <v xml:space="preserve"> $          25.00</v>
          </cell>
          <cell r="G142">
            <v>75</v>
          </cell>
          <cell r="H142">
            <v>0.44</v>
          </cell>
          <cell r="J142">
            <v>4.125</v>
          </cell>
          <cell r="K142">
            <v>2.625</v>
          </cell>
          <cell r="L142">
            <v>46024</v>
          </cell>
          <cell r="M142" t="str">
            <v>RIVULIS</v>
          </cell>
        </row>
        <row r="143">
          <cell r="B143">
            <v>800500</v>
          </cell>
          <cell r="D143">
            <v>16</v>
          </cell>
          <cell r="E143">
            <v>15</v>
          </cell>
          <cell r="F143" t="str">
            <v xml:space="preserve"> $          10.00</v>
          </cell>
          <cell r="G143">
            <v>10</v>
          </cell>
          <cell r="H143">
            <v>0.7</v>
          </cell>
          <cell r="J143">
            <v>0.875</v>
          </cell>
          <cell r="K143">
            <v>0.875</v>
          </cell>
          <cell r="L143">
            <v>46024</v>
          </cell>
          <cell r="M143" t="str">
            <v>RIVULIS</v>
          </cell>
        </row>
        <row r="144">
          <cell r="B144">
            <v>800700</v>
          </cell>
          <cell r="D144">
            <v>17</v>
          </cell>
          <cell r="E144">
            <v>16</v>
          </cell>
          <cell r="F144" t="str">
            <v xml:space="preserve"> $          20.00</v>
          </cell>
          <cell r="G144">
            <v>20</v>
          </cell>
          <cell r="H144">
            <v>0.55000000000000004</v>
          </cell>
          <cell r="J144">
            <v>1.375</v>
          </cell>
          <cell r="K144">
            <v>0.875</v>
          </cell>
          <cell r="L144">
            <v>46024</v>
          </cell>
          <cell r="M144" t="str">
            <v>RIVULIS</v>
          </cell>
        </row>
        <row r="145">
          <cell r="B145">
            <v>800400</v>
          </cell>
          <cell r="D145">
            <v>17</v>
          </cell>
          <cell r="E145">
            <v>16</v>
          </cell>
          <cell r="F145" t="str">
            <v xml:space="preserve"> $          20.00</v>
          </cell>
          <cell r="G145">
            <v>20</v>
          </cell>
          <cell r="H145">
            <v>0.55000000000000004</v>
          </cell>
          <cell r="J145">
            <v>1.375</v>
          </cell>
          <cell r="K145">
            <v>0.875</v>
          </cell>
          <cell r="L145">
            <v>46024</v>
          </cell>
          <cell r="M145" t="str">
            <v>RIVULIS</v>
          </cell>
        </row>
        <row r="146">
          <cell r="B146">
            <v>800601</v>
          </cell>
          <cell r="D146">
            <v>11</v>
          </cell>
          <cell r="E146">
            <v>10</v>
          </cell>
          <cell r="F146" t="str">
            <v xml:space="preserve"> $          15.00</v>
          </cell>
          <cell r="G146">
            <v>15</v>
          </cell>
          <cell r="H146">
            <v>0.55000000000000004</v>
          </cell>
          <cell r="J146">
            <v>1.03125</v>
          </cell>
          <cell r="K146">
            <v>0.875</v>
          </cell>
          <cell r="L146">
            <v>46024</v>
          </cell>
          <cell r="M146" t="str">
            <v>RIVULIS</v>
          </cell>
        </row>
        <row r="147">
          <cell r="B147">
            <v>800600</v>
          </cell>
          <cell r="D147">
            <v>14</v>
          </cell>
          <cell r="E147">
            <v>14</v>
          </cell>
          <cell r="F147" t="str">
            <v xml:space="preserve"> $          15.00</v>
          </cell>
          <cell r="G147">
            <v>0</v>
          </cell>
          <cell r="H147">
            <v>0.55000000000000004</v>
          </cell>
          <cell r="J147">
            <v>0</v>
          </cell>
          <cell r="K147">
            <v>0</v>
          </cell>
          <cell r="L147">
            <v>46024</v>
          </cell>
          <cell r="M147" t="str">
            <v>RIVULIS</v>
          </cell>
        </row>
        <row r="148">
          <cell r="B148">
            <v>800800</v>
          </cell>
          <cell r="D148">
            <v>16</v>
          </cell>
          <cell r="E148">
            <v>15</v>
          </cell>
          <cell r="F148" t="str">
            <v xml:space="preserve"> $          15.00</v>
          </cell>
          <cell r="G148">
            <v>15</v>
          </cell>
          <cell r="H148">
            <v>0.35</v>
          </cell>
          <cell r="J148">
            <v>0.65625</v>
          </cell>
          <cell r="K148">
            <v>0.875</v>
          </cell>
          <cell r="L148">
            <v>46024</v>
          </cell>
          <cell r="M148" t="str">
            <v>RIVULIS</v>
          </cell>
        </row>
        <row r="149">
          <cell r="B149">
            <v>801000</v>
          </cell>
          <cell r="D149">
            <v>15</v>
          </cell>
          <cell r="E149">
            <v>14</v>
          </cell>
          <cell r="F149" t="str">
            <v xml:space="preserve"> $          15.00</v>
          </cell>
          <cell r="G149">
            <v>15</v>
          </cell>
          <cell r="H149">
            <v>0.4</v>
          </cell>
          <cell r="J149">
            <v>0.75</v>
          </cell>
          <cell r="K149">
            <v>0.875</v>
          </cell>
          <cell r="L149">
            <v>46024</v>
          </cell>
          <cell r="M149" t="str">
            <v>RIVULIS</v>
          </cell>
        </row>
        <row r="150">
          <cell r="B150">
            <v>801100</v>
          </cell>
          <cell r="D150">
            <v>14</v>
          </cell>
          <cell r="E150">
            <v>11</v>
          </cell>
          <cell r="F150" t="str">
            <v xml:space="preserve"> $          20.00</v>
          </cell>
          <cell r="G150">
            <v>60</v>
          </cell>
          <cell r="H150">
            <v>0.55000000000000004</v>
          </cell>
          <cell r="J150">
            <v>4.125</v>
          </cell>
          <cell r="K150">
            <v>2.625</v>
          </cell>
          <cell r="L150">
            <v>46024</v>
          </cell>
          <cell r="M150" t="str">
            <v>RIVULIS</v>
          </cell>
        </row>
        <row r="151">
          <cell r="B151">
            <v>801200</v>
          </cell>
          <cell r="D151">
            <v>13</v>
          </cell>
          <cell r="E151">
            <v>13</v>
          </cell>
          <cell r="F151" t="str">
            <v xml:space="preserve"> $          20.00</v>
          </cell>
          <cell r="G151">
            <v>0</v>
          </cell>
          <cell r="H151">
            <v>0.55000000000000004</v>
          </cell>
          <cell r="J151">
            <v>0</v>
          </cell>
          <cell r="K151">
            <v>0</v>
          </cell>
          <cell r="L151">
            <v>46024</v>
          </cell>
          <cell r="M151" t="str">
            <v>RIVULIS</v>
          </cell>
        </row>
        <row r="152">
          <cell r="B152">
            <v>800200</v>
          </cell>
          <cell r="D152">
            <v>13</v>
          </cell>
          <cell r="E152">
            <v>13</v>
          </cell>
          <cell r="F152" t="str">
            <v xml:space="preserve"> $          20.00</v>
          </cell>
          <cell r="G152">
            <v>0</v>
          </cell>
          <cell r="H152">
            <v>0.65</v>
          </cell>
          <cell r="J152">
            <v>0</v>
          </cell>
          <cell r="K152">
            <v>0</v>
          </cell>
          <cell r="L152">
            <v>46024</v>
          </cell>
          <cell r="M152" t="str">
            <v>RIVULIS</v>
          </cell>
        </row>
        <row r="153">
          <cell r="B153">
            <v>100200</v>
          </cell>
          <cell r="D153">
            <v>6</v>
          </cell>
          <cell r="E153">
            <v>6</v>
          </cell>
          <cell r="F153" t="str">
            <v xml:space="preserve"> $          15.00</v>
          </cell>
          <cell r="G153">
            <v>0</v>
          </cell>
          <cell r="H153">
            <v>0.8</v>
          </cell>
          <cell r="J153">
            <v>0</v>
          </cell>
          <cell r="K153">
            <v>0</v>
          </cell>
          <cell r="L153">
            <v>46024</v>
          </cell>
          <cell r="M153" t="str">
            <v>RIVULIS</v>
          </cell>
        </row>
        <row r="154">
          <cell r="B154">
            <v>100200</v>
          </cell>
          <cell r="D154">
            <v>6</v>
          </cell>
          <cell r="E154">
            <v>5</v>
          </cell>
          <cell r="F154" t="str">
            <v xml:space="preserve"> $          15.00</v>
          </cell>
          <cell r="G154">
            <v>15</v>
          </cell>
          <cell r="H154">
            <v>0.8</v>
          </cell>
          <cell r="J154">
            <v>1.5</v>
          </cell>
          <cell r="K154">
            <v>0.875</v>
          </cell>
          <cell r="L154">
            <v>46024</v>
          </cell>
          <cell r="M154" t="str">
            <v>RIVULIS</v>
          </cell>
        </row>
        <row r="155">
          <cell r="B155">
            <v>100900</v>
          </cell>
          <cell r="D155">
            <v>6</v>
          </cell>
          <cell r="E155">
            <v>6</v>
          </cell>
          <cell r="F155" t="str">
            <v xml:space="preserve"> $          20.00</v>
          </cell>
          <cell r="G155">
            <v>0</v>
          </cell>
          <cell r="H155">
            <v>0.3</v>
          </cell>
          <cell r="J155">
            <v>0</v>
          </cell>
          <cell r="K155">
            <v>0</v>
          </cell>
          <cell r="L155">
            <v>46024</v>
          </cell>
          <cell r="M155" t="str">
            <v>RIVULIS</v>
          </cell>
        </row>
        <row r="156">
          <cell r="B156">
            <v>100300</v>
          </cell>
          <cell r="D156">
            <v>6</v>
          </cell>
          <cell r="E156">
            <v>6</v>
          </cell>
          <cell r="F156" t="str">
            <v xml:space="preserve"> $          25.00</v>
          </cell>
          <cell r="G156">
            <v>0</v>
          </cell>
          <cell r="H156">
            <v>0.36</v>
          </cell>
          <cell r="J156">
            <v>0</v>
          </cell>
          <cell r="K156">
            <v>0</v>
          </cell>
          <cell r="L156">
            <v>46024</v>
          </cell>
          <cell r="M156" t="str">
            <v>RIVULIS</v>
          </cell>
        </row>
        <row r="157">
          <cell r="B157">
            <v>100800</v>
          </cell>
          <cell r="D157">
            <v>6</v>
          </cell>
          <cell r="E157">
            <v>6</v>
          </cell>
          <cell r="F157" t="str">
            <v xml:space="preserve"> $          18.00</v>
          </cell>
          <cell r="G157">
            <v>0</v>
          </cell>
          <cell r="H157">
            <v>0.81</v>
          </cell>
          <cell r="J157">
            <v>0</v>
          </cell>
          <cell r="K157">
            <v>0</v>
          </cell>
          <cell r="L157">
            <v>46024</v>
          </cell>
          <cell r="M157" t="str">
            <v>RIVULIS</v>
          </cell>
        </row>
        <row r="158">
          <cell r="B158">
            <v>801300</v>
          </cell>
          <cell r="D158">
            <v>11</v>
          </cell>
          <cell r="E158">
            <v>8</v>
          </cell>
          <cell r="F158" t="str">
            <v xml:space="preserve"> $          30.00</v>
          </cell>
          <cell r="G158">
            <v>90</v>
          </cell>
          <cell r="H158">
            <v>0.5</v>
          </cell>
          <cell r="J158">
            <v>5.625</v>
          </cell>
          <cell r="K158">
            <v>2.625</v>
          </cell>
          <cell r="L158">
            <v>46024</v>
          </cell>
          <cell r="M158" t="str">
            <v>RIVULIS</v>
          </cell>
        </row>
        <row r="159">
          <cell r="K159">
            <v>0</v>
          </cell>
        </row>
        <row r="160">
          <cell r="B160">
            <v>600300</v>
          </cell>
          <cell r="D160">
            <v>14</v>
          </cell>
          <cell r="E160">
            <v>2</v>
          </cell>
          <cell r="F160" t="str">
            <v xml:space="preserve"> $          25.00</v>
          </cell>
          <cell r="G160">
            <v>300</v>
          </cell>
          <cell r="H160">
            <v>0.59</v>
          </cell>
          <cell r="J160">
            <v>35.4</v>
          </cell>
          <cell r="K160">
            <v>16.8</v>
          </cell>
          <cell r="L160">
            <v>46029</v>
          </cell>
          <cell r="M160" t="str">
            <v>RIVULIS</v>
          </cell>
        </row>
        <row r="161">
          <cell r="B161">
            <v>6005101</v>
          </cell>
          <cell r="D161">
            <v>12</v>
          </cell>
          <cell r="E161">
            <v>10</v>
          </cell>
          <cell r="F161" t="str">
            <v xml:space="preserve"> $          25.00</v>
          </cell>
          <cell r="G161">
            <v>50</v>
          </cell>
          <cell r="H161">
            <v>0.66</v>
          </cell>
          <cell r="J161">
            <v>6.6</v>
          </cell>
          <cell r="K161">
            <v>2.8000000000000003</v>
          </cell>
          <cell r="L161">
            <v>46029</v>
          </cell>
          <cell r="M161" t="str">
            <v>RIVULIS</v>
          </cell>
        </row>
        <row r="162">
          <cell r="B162">
            <v>6005102</v>
          </cell>
          <cell r="D162">
            <v>12</v>
          </cell>
          <cell r="E162">
            <v>10</v>
          </cell>
          <cell r="F162" t="str">
            <v xml:space="preserve"> $          25.00</v>
          </cell>
          <cell r="G162">
            <v>50</v>
          </cell>
          <cell r="H162">
            <v>0.66</v>
          </cell>
          <cell r="J162">
            <v>6.6</v>
          </cell>
          <cell r="K162">
            <v>2.8000000000000003</v>
          </cell>
          <cell r="L162">
            <v>46029</v>
          </cell>
          <cell r="M162" t="str">
            <v>RIVULIS</v>
          </cell>
        </row>
        <row r="163">
          <cell r="B163">
            <v>6005103</v>
          </cell>
          <cell r="D163">
            <v>12</v>
          </cell>
          <cell r="E163">
            <v>9</v>
          </cell>
          <cell r="F163" t="str">
            <v xml:space="preserve"> $          25.00</v>
          </cell>
          <cell r="G163">
            <v>75</v>
          </cell>
          <cell r="H163">
            <v>0.66</v>
          </cell>
          <cell r="J163">
            <v>9.9</v>
          </cell>
          <cell r="K163">
            <v>4.2</v>
          </cell>
          <cell r="L163">
            <v>46029</v>
          </cell>
          <cell r="M163" t="str">
            <v>RIVULIS</v>
          </cell>
        </row>
        <row r="164">
          <cell r="B164">
            <v>600101</v>
          </cell>
          <cell r="D164">
            <v>10</v>
          </cell>
          <cell r="E164">
            <v>5</v>
          </cell>
          <cell r="F164" t="str">
            <v xml:space="preserve"> $          25.00</v>
          </cell>
          <cell r="G164">
            <v>125</v>
          </cell>
          <cell r="H164">
            <v>0.64</v>
          </cell>
          <cell r="J164">
            <v>16</v>
          </cell>
          <cell r="K164">
            <v>7</v>
          </cell>
          <cell r="L164">
            <v>46029</v>
          </cell>
          <cell r="M164" t="str">
            <v>RIVULIS</v>
          </cell>
        </row>
        <row r="165">
          <cell r="B165">
            <v>600102</v>
          </cell>
          <cell r="D165">
            <v>11</v>
          </cell>
          <cell r="E165">
            <v>11</v>
          </cell>
          <cell r="F165" t="str">
            <v xml:space="preserve"> $          25.00</v>
          </cell>
          <cell r="G165">
            <v>0</v>
          </cell>
          <cell r="H165">
            <v>0.64</v>
          </cell>
          <cell r="J165">
            <v>0</v>
          </cell>
          <cell r="K165">
            <v>0</v>
          </cell>
          <cell r="L165">
            <v>46029</v>
          </cell>
          <cell r="M165" t="str">
            <v>RIVULIS</v>
          </cell>
        </row>
        <row r="166">
          <cell r="B166">
            <v>6005104</v>
          </cell>
          <cell r="D166">
            <v>10</v>
          </cell>
          <cell r="E166">
            <v>6</v>
          </cell>
          <cell r="F166" t="str">
            <v xml:space="preserve"> $          25.00</v>
          </cell>
          <cell r="G166">
            <v>100</v>
          </cell>
          <cell r="H166">
            <v>0.66</v>
          </cell>
          <cell r="J166">
            <v>13.2</v>
          </cell>
          <cell r="K166">
            <v>5.6000000000000005</v>
          </cell>
          <cell r="L166">
            <v>46029</v>
          </cell>
          <cell r="M166" t="str">
            <v>RIVULIS</v>
          </cell>
        </row>
        <row r="167">
          <cell r="B167">
            <v>600600</v>
          </cell>
          <cell r="D167">
            <v>12</v>
          </cell>
          <cell r="E167">
            <v>8</v>
          </cell>
          <cell r="F167" t="str">
            <v xml:space="preserve"> $          25.00</v>
          </cell>
          <cell r="G167">
            <v>100</v>
          </cell>
          <cell r="H167">
            <v>0.53</v>
          </cell>
          <cell r="J167">
            <v>10.6</v>
          </cell>
          <cell r="K167">
            <v>5.6000000000000005</v>
          </cell>
          <cell r="L167">
            <v>46029</v>
          </cell>
          <cell r="M167" t="str">
            <v>RIVULIS</v>
          </cell>
        </row>
        <row r="168">
          <cell r="B168">
            <v>600500</v>
          </cell>
          <cell r="D168">
            <v>8</v>
          </cell>
          <cell r="E168">
            <v>8</v>
          </cell>
          <cell r="F168" t="str">
            <v xml:space="preserve"> $          25.00</v>
          </cell>
          <cell r="G168">
            <v>0</v>
          </cell>
          <cell r="H168">
            <v>0.66</v>
          </cell>
          <cell r="J168">
            <v>0</v>
          </cell>
          <cell r="K168">
            <v>0</v>
          </cell>
          <cell r="L168">
            <v>46029</v>
          </cell>
          <cell r="M168" t="str">
            <v>RIVULIS</v>
          </cell>
        </row>
        <row r="169">
          <cell r="B169">
            <v>600400</v>
          </cell>
          <cell r="D169">
            <v>11</v>
          </cell>
          <cell r="E169">
            <v>5</v>
          </cell>
          <cell r="F169" t="str">
            <v xml:space="preserve"> $          20.00</v>
          </cell>
          <cell r="G169">
            <v>120</v>
          </cell>
          <cell r="H169">
            <v>0.59</v>
          </cell>
          <cell r="J169">
            <v>14.16</v>
          </cell>
          <cell r="K169">
            <v>8.4</v>
          </cell>
          <cell r="L169">
            <v>46029</v>
          </cell>
          <cell r="M169" t="str">
            <v>RIVULIS</v>
          </cell>
        </row>
        <row r="170">
          <cell r="B170">
            <v>100400</v>
          </cell>
          <cell r="D170">
            <v>9</v>
          </cell>
          <cell r="E170">
            <v>8</v>
          </cell>
          <cell r="F170" t="str">
            <v xml:space="preserve"> $          15.00</v>
          </cell>
          <cell r="G170">
            <v>15</v>
          </cell>
          <cell r="H170">
            <v>0.5</v>
          </cell>
          <cell r="J170">
            <v>1.5</v>
          </cell>
          <cell r="K170">
            <v>1.4000000000000001</v>
          </cell>
          <cell r="L170">
            <v>46029</v>
          </cell>
          <cell r="M170" t="str">
            <v>RIVULIS</v>
          </cell>
        </row>
        <row r="171">
          <cell r="B171">
            <v>100400</v>
          </cell>
          <cell r="D171">
            <v>9</v>
          </cell>
          <cell r="E171">
            <v>8</v>
          </cell>
          <cell r="F171" t="str">
            <v xml:space="preserve"> $          15.00</v>
          </cell>
          <cell r="G171">
            <v>15</v>
          </cell>
          <cell r="H171">
            <v>0.5</v>
          </cell>
          <cell r="J171">
            <v>1.5</v>
          </cell>
          <cell r="K171">
            <v>1.4000000000000001</v>
          </cell>
          <cell r="L171">
            <v>46029</v>
          </cell>
          <cell r="M171" t="str">
            <v>RIVULIS</v>
          </cell>
        </row>
        <row r="172">
          <cell r="B172">
            <v>100600</v>
          </cell>
          <cell r="D172">
            <v>9</v>
          </cell>
          <cell r="E172">
            <v>8</v>
          </cell>
          <cell r="F172" t="str">
            <v xml:space="preserve"> $          15.00</v>
          </cell>
          <cell r="G172">
            <v>15</v>
          </cell>
          <cell r="H172">
            <v>0.43</v>
          </cell>
          <cell r="J172">
            <v>1.29</v>
          </cell>
          <cell r="K172">
            <v>1.4000000000000001</v>
          </cell>
          <cell r="L172">
            <v>46029</v>
          </cell>
          <cell r="M172" t="str">
            <v>RIVULIS</v>
          </cell>
        </row>
        <row r="173">
          <cell r="B173">
            <v>100600</v>
          </cell>
          <cell r="D173">
            <v>10</v>
          </cell>
          <cell r="E173">
            <v>2</v>
          </cell>
          <cell r="F173" t="str">
            <v xml:space="preserve"> $          15.00</v>
          </cell>
          <cell r="G173">
            <v>120</v>
          </cell>
          <cell r="H173">
            <v>0.43</v>
          </cell>
          <cell r="J173">
            <v>10.32</v>
          </cell>
          <cell r="K173">
            <v>11.200000000000001</v>
          </cell>
          <cell r="L173">
            <v>46029</v>
          </cell>
          <cell r="M173" t="str">
            <v>RIVULIS</v>
          </cell>
        </row>
        <row r="174">
          <cell r="B174">
            <v>800900</v>
          </cell>
          <cell r="D174">
            <v>10</v>
          </cell>
          <cell r="E174">
            <v>8</v>
          </cell>
          <cell r="F174" t="str">
            <v xml:space="preserve"> $          20.00</v>
          </cell>
          <cell r="G174">
            <v>40</v>
          </cell>
          <cell r="H174">
            <v>0.51</v>
          </cell>
          <cell r="J174">
            <v>4.08</v>
          </cell>
          <cell r="K174">
            <v>2.8000000000000003</v>
          </cell>
          <cell r="L174">
            <v>46029</v>
          </cell>
          <cell r="M174" t="str">
            <v>RIVULIS</v>
          </cell>
        </row>
        <row r="175">
          <cell r="B175">
            <v>300700</v>
          </cell>
          <cell r="D175">
            <v>8</v>
          </cell>
          <cell r="E175">
            <v>6</v>
          </cell>
          <cell r="F175" t="str">
            <v xml:space="preserve"> $          10.00</v>
          </cell>
          <cell r="G175">
            <v>20</v>
          </cell>
          <cell r="H175">
            <v>0.71</v>
          </cell>
          <cell r="J175">
            <v>2.84</v>
          </cell>
          <cell r="K175">
            <v>2.8000000000000003</v>
          </cell>
          <cell r="L175">
            <v>46029</v>
          </cell>
          <cell r="M175" t="str">
            <v>RIVULIS</v>
          </cell>
        </row>
        <row r="176">
          <cell r="B176">
            <v>300200</v>
          </cell>
          <cell r="D176">
            <v>20</v>
          </cell>
          <cell r="E176">
            <v>20</v>
          </cell>
          <cell r="F176" t="str">
            <v xml:space="preserve"> $          20.00</v>
          </cell>
          <cell r="G176">
            <v>0</v>
          </cell>
          <cell r="H176">
            <v>0.62</v>
          </cell>
          <cell r="J176">
            <v>0</v>
          </cell>
          <cell r="K176">
            <v>0</v>
          </cell>
          <cell r="L176">
            <v>46029</v>
          </cell>
          <cell r="M176" t="str">
            <v>RIVULIS</v>
          </cell>
        </row>
        <row r="177">
          <cell r="B177">
            <v>300100</v>
          </cell>
          <cell r="D177">
            <v>16</v>
          </cell>
          <cell r="E177">
            <v>15</v>
          </cell>
          <cell r="F177" t="str">
            <v xml:space="preserve"> $          15.00</v>
          </cell>
          <cell r="G177">
            <v>15</v>
          </cell>
          <cell r="H177">
            <v>0.56999999999999995</v>
          </cell>
          <cell r="J177">
            <v>1.7099999999999997</v>
          </cell>
          <cell r="K177">
            <v>1.4000000000000001</v>
          </cell>
          <cell r="L177">
            <v>46029</v>
          </cell>
          <cell r="M177" t="str">
            <v>RIVULIS</v>
          </cell>
        </row>
        <row r="178">
          <cell r="B178">
            <v>900300</v>
          </cell>
          <cell r="D178">
            <v>15</v>
          </cell>
          <cell r="E178">
            <v>14</v>
          </cell>
          <cell r="F178" t="str">
            <v xml:space="preserve"> $          25.00</v>
          </cell>
          <cell r="G178">
            <v>25</v>
          </cell>
          <cell r="H178">
            <v>0.4</v>
          </cell>
          <cell r="J178">
            <v>2</v>
          </cell>
          <cell r="K178">
            <v>1.4000000000000001</v>
          </cell>
          <cell r="L178">
            <v>46029</v>
          </cell>
          <cell r="M178" t="str">
            <v>RIVULIS</v>
          </cell>
        </row>
        <row r="179">
          <cell r="B179">
            <v>300400</v>
          </cell>
          <cell r="D179">
            <v>21</v>
          </cell>
          <cell r="E179">
            <v>19</v>
          </cell>
          <cell r="F179" t="str">
            <v xml:space="preserve"> $          10.00</v>
          </cell>
          <cell r="G179">
            <v>20</v>
          </cell>
          <cell r="H179">
            <v>0.4</v>
          </cell>
          <cell r="J179">
            <v>1.6</v>
          </cell>
          <cell r="K179">
            <v>2.8000000000000003</v>
          </cell>
          <cell r="L179">
            <v>46029</v>
          </cell>
          <cell r="M179" t="str">
            <v>RIVULIS</v>
          </cell>
        </row>
        <row r="180">
          <cell r="B180">
            <v>700500</v>
          </cell>
          <cell r="D180">
            <v>16</v>
          </cell>
          <cell r="E180">
            <v>13</v>
          </cell>
          <cell r="F180" t="str">
            <v xml:space="preserve"> $          15.00</v>
          </cell>
          <cell r="G180">
            <v>45</v>
          </cell>
          <cell r="H180">
            <v>0.56999999999999995</v>
          </cell>
          <cell r="J180">
            <v>5.13</v>
          </cell>
          <cell r="K180">
            <v>4.2</v>
          </cell>
          <cell r="L180">
            <v>46029</v>
          </cell>
          <cell r="M180" t="str">
            <v>RIVULIS</v>
          </cell>
        </row>
        <row r="181">
          <cell r="B181">
            <v>700400</v>
          </cell>
          <cell r="D181">
            <v>14</v>
          </cell>
          <cell r="E181">
            <v>13</v>
          </cell>
          <cell r="F181" t="str">
            <v xml:space="preserve"> $          25.00</v>
          </cell>
          <cell r="G181">
            <v>25</v>
          </cell>
          <cell r="H181">
            <v>0.48</v>
          </cell>
          <cell r="J181">
            <v>2.4</v>
          </cell>
          <cell r="K181">
            <v>1.4000000000000001</v>
          </cell>
          <cell r="L181">
            <v>46029</v>
          </cell>
          <cell r="M181" t="str">
            <v>RIVULIS</v>
          </cell>
        </row>
        <row r="182">
          <cell r="B182">
            <v>700800</v>
          </cell>
          <cell r="D182">
            <v>13</v>
          </cell>
          <cell r="E182">
            <v>10</v>
          </cell>
          <cell r="F182" t="str">
            <v xml:space="preserve"> $          20.00</v>
          </cell>
          <cell r="G182">
            <v>60</v>
          </cell>
          <cell r="H182">
            <v>0.38</v>
          </cell>
          <cell r="J182">
            <v>4.5600000000000005</v>
          </cell>
          <cell r="K182">
            <v>4.2</v>
          </cell>
          <cell r="L182">
            <v>46029</v>
          </cell>
          <cell r="M182" t="str">
            <v>RIVULIS</v>
          </cell>
        </row>
        <row r="183">
          <cell r="B183">
            <v>700700</v>
          </cell>
          <cell r="D183">
            <v>16</v>
          </cell>
          <cell r="E183">
            <v>13</v>
          </cell>
          <cell r="F183" t="str">
            <v xml:space="preserve"> $          25.00</v>
          </cell>
          <cell r="G183">
            <v>75</v>
          </cell>
          <cell r="H183">
            <v>0.44</v>
          </cell>
          <cell r="J183">
            <v>6.6</v>
          </cell>
          <cell r="K183">
            <v>4.2</v>
          </cell>
          <cell r="L183">
            <v>46029</v>
          </cell>
          <cell r="M183" t="str">
            <v>RIVULIS</v>
          </cell>
        </row>
        <row r="184">
          <cell r="B184">
            <v>700200</v>
          </cell>
          <cell r="D184">
            <v>15</v>
          </cell>
          <cell r="E184">
            <v>11</v>
          </cell>
          <cell r="F184" t="str">
            <v xml:space="preserve"> $          25.00</v>
          </cell>
          <cell r="G184">
            <v>100</v>
          </cell>
          <cell r="H184">
            <v>0.44</v>
          </cell>
          <cell r="J184">
            <v>8.8000000000000007</v>
          </cell>
          <cell r="K184">
            <v>5.6000000000000005</v>
          </cell>
          <cell r="L184">
            <v>46029</v>
          </cell>
          <cell r="M184" t="str">
            <v>RIVULIS</v>
          </cell>
        </row>
        <row r="185">
          <cell r="B185">
            <v>800500</v>
          </cell>
          <cell r="D185">
            <v>15</v>
          </cell>
          <cell r="E185">
            <v>13</v>
          </cell>
          <cell r="F185" t="str">
            <v xml:space="preserve"> $          10.00</v>
          </cell>
          <cell r="G185">
            <v>20</v>
          </cell>
          <cell r="H185">
            <v>0.7</v>
          </cell>
          <cell r="J185">
            <v>2.8</v>
          </cell>
          <cell r="K185">
            <v>2.8000000000000003</v>
          </cell>
          <cell r="L185">
            <v>46029</v>
          </cell>
          <cell r="M185" t="str">
            <v>RIVULIS</v>
          </cell>
        </row>
        <row r="186">
          <cell r="B186">
            <v>800700</v>
          </cell>
          <cell r="D186">
            <v>16</v>
          </cell>
          <cell r="E186">
            <v>16</v>
          </cell>
          <cell r="F186" t="str">
            <v xml:space="preserve"> $          20.00</v>
          </cell>
          <cell r="G186">
            <v>0</v>
          </cell>
          <cell r="H186">
            <v>0.55000000000000004</v>
          </cell>
          <cell r="J186">
            <v>0</v>
          </cell>
          <cell r="K186">
            <v>0</v>
          </cell>
          <cell r="L186">
            <v>46029</v>
          </cell>
          <cell r="M186" t="str">
            <v>RIVULIS</v>
          </cell>
        </row>
        <row r="187">
          <cell r="B187">
            <v>800400</v>
          </cell>
          <cell r="D187">
            <v>16</v>
          </cell>
          <cell r="E187">
            <v>16</v>
          </cell>
          <cell r="F187" t="str">
            <v xml:space="preserve"> $          20.00</v>
          </cell>
          <cell r="G187">
            <v>0</v>
          </cell>
          <cell r="H187">
            <v>0.55000000000000004</v>
          </cell>
          <cell r="J187">
            <v>0</v>
          </cell>
          <cell r="K187">
            <v>0</v>
          </cell>
          <cell r="L187">
            <v>46029</v>
          </cell>
          <cell r="M187" t="str">
            <v>RIVULIS</v>
          </cell>
        </row>
        <row r="188">
          <cell r="B188">
            <v>800601</v>
          </cell>
          <cell r="D188">
            <v>10</v>
          </cell>
          <cell r="E188">
            <v>10</v>
          </cell>
          <cell r="F188" t="str">
            <v xml:space="preserve"> $          15.00</v>
          </cell>
          <cell r="G188">
            <v>0</v>
          </cell>
          <cell r="H188">
            <v>0.55000000000000004</v>
          </cell>
          <cell r="J188">
            <v>0</v>
          </cell>
          <cell r="K188">
            <v>0</v>
          </cell>
          <cell r="L188">
            <v>46029</v>
          </cell>
          <cell r="M188" t="str">
            <v>RIVULIS</v>
          </cell>
        </row>
        <row r="189">
          <cell r="B189">
            <v>800600</v>
          </cell>
          <cell r="D189">
            <v>14</v>
          </cell>
          <cell r="E189">
            <v>11</v>
          </cell>
          <cell r="F189" t="str">
            <v xml:space="preserve"> $          15.00</v>
          </cell>
          <cell r="G189">
            <v>45</v>
          </cell>
          <cell r="H189">
            <v>0.55000000000000004</v>
          </cell>
          <cell r="J189">
            <v>4.9500000000000011</v>
          </cell>
          <cell r="K189">
            <v>4.2</v>
          </cell>
          <cell r="L189">
            <v>46029</v>
          </cell>
          <cell r="M189" t="str">
            <v>RIVULIS</v>
          </cell>
        </row>
        <row r="190">
          <cell r="B190">
            <v>800800</v>
          </cell>
          <cell r="D190">
            <v>15</v>
          </cell>
          <cell r="E190">
            <v>14</v>
          </cell>
          <cell r="F190" t="str">
            <v xml:space="preserve"> $          15.00</v>
          </cell>
          <cell r="G190">
            <v>15</v>
          </cell>
          <cell r="H190">
            <v>0.35</v>
          </cell>
          <cell r="J190">
            <v>1.05</v>
          </cell>
          <cell r="K190">
            <v>1.4000000000000001</v>
          </cell>
          <cell r="L190">
            <v>46029</v>
          </cell>
          <cell r="M190" t="str">
            <v>RIVULIS</v>
          </cell>
        </row>
        <row r="191">
          <cell r="B191">
            <v>801000</v>
          </cell>
          <cell r="D191">
            <v>14</v>
          </cell>
          <cell r="E191">
            <v>11</v>
          </cell>
          <cell r="F191" t="str">
            <v xml:space="preserve"> $          15.00</v>
          </cell>
          <cell r="G191">
            <v>45</v>
          </cell>
          <cell r="H191">
            <v>0.4</v>
          </cell>
          <cell r="J191">
            <v>3.6</v>
          </cell>
          <cell r="K191">
            <v>4.2</v>
          </cell>
          <cell r="L191">
            <v>46029</v>
          </cell>
          <cell r="M191" t="str">
            <v>RIVULIS</v>
          </cell>
        </row>
        <row r="192">
          <cell r="B192">
            <v>801100</v>
          </cell>
          <cell r="D192">
            <v>11</v>
          </cell>
          <cell r="E192">
            <v>9</v>
          </cell>
          <cell r="F192" t="str">
            <v xml:space="preserve"> $          20.00</v>
          </cell>
          <cell r="G192">
            <v>40</v>
          </cell>
          <cell r="H192">
            <v>0.55000000000000004</v>
          </cell>
          <cell r="J192">
            <v>4.4000000000000004</v>
          </cell>
          <cell r="K192">
            <v>2.8000000000000003</v>
          </cell>
          <cell r="L192">
            <v>46029</v>
          </cell>
          <cell r="M192" t="str">
            <v>RIVULIS</v>
          </cell>
        </row>
        <row r="193">
          <cell r="B193">
            <v>801200</v>
          </cell>
          <cell r="D193">
            <v>16</v>
          </cell>
          <cell r="E193">
            <v>13</v>
          </cell>
          <cell r="F193" t="str">
            <v xml:space="preserve"> $          20.00</v>
          </cell>
          <cell r="G193">
            <v>60</v>
          </cell>
          <cell r="H193">
            <v>0.55000000000000004</v>
          </cell>
          <cell r="J193">
            <v>6.6</v>
          </cell>
          <cell r="K193">
            <v>4.2</v>
          </cell>
          <cell r="L193">
            <v>46029</v>
          </cell>
          <cell r="M193" t="str">
            <v>RIVULIS</v>
          </cell>
        </row>
        <row r="194">
          <cell r="B194">
            <v>800200</v>
          </cell>
          <cell r="D194">
            <v>13</v>
          </cell>
          <cell r="E194">
            <v>10</v>
          </cell>
          <cell r="F194" t="str">
            <v xml:space="preserve"> $          20.00</v>
          </cell>
          <cell r="G194">
            <v>60</v>
          </cell>
          <cell r="H194">
            <v>0.65</v>
          </cell>
          <cell r="J194">
            <v>7.8</v>
          </cell>
          <cell r="K194">
            <v>4.2</v>
          </cell>
          <cell r="L194">
            <v>46029</v>
          </cell>
          <cell r="M194" t="str">
            <v>RIVULIS</v>
          </cell>
        </row>
        <row r="195">
          <cell r="B195">
            <v>100200</v>
          </cell>
          <cell r="D195">
            <v>6</v>
          </cell>
          <cell r="E195">
            <v>5</v>
          </cell>
          <cell r="F195" t="str">
            <v xml:space="preserve"> $          15.00</v>
          </cell>
          <cell r="G195">
            <v>15</v>
          </cell>
          <cell r="H195">
            <v>0.8</v>
          </cell>
          <cell r="J195">
            <v>2.4</v>
          </cell>
          <cell r="K195">
            <v>1.4000000000000001</v>
          </cell>
          <cell r="L195">
            <v>46029</v>
          </cell>
          <cell r="M195" t="str">
            <v>RIVULIS</v>
          </cell>
        </row>
        <row r="196">
          <cell r="B196">
            <v>100200</v>
          </cell>
          <cell r="D196">
            <v>5</v>
          </cell>
          <cell r="E196">
            <v>2</v>
          </cell>
          <cell r="F196" t="str">
            <v xml:space="preserve"> $          15.00</v>
          </cell>
          <cell r="G196">
            <v>45</v>
          </cell>
          <cell r="H196">
            <v>0.8</v>
          </cell>
          <cell r="J196">
            <v>7.2</v>
          </cell>
          <cell r="K196">
            <v>4.2</v>
          </cell>
          <cell r="L196">
            <v>46029</v>
          </cell>
          <cell r="M196" t="str">
            <v>RIVULIS</v>
          </cell>
        </row>
        <row r="197">
          <cell r="B197">
            <v>100900</v>
          </cell>
          <cell r="D197">
            <v>6</v>
          </cell>
          <cell r="E197">
            <v>3</v>
          </cell>
          <cell r="F197" t="str">
            <v xml:space="preserve"> $          20.00</v>
          </cell>
          <cell r="G197">
            <v>60</v>
          </cell>
          <cell r="H197">
            <v>0.3</v>
          </cell>
          <cell r="J197">
            <v>3.6</v>
          </cell>
          <cell r="K197">
            <v>4.2</v>
          </cell>
          <cell r="L197">
            <v>46029</v>
          </cell>
          <cell r="M197" t="str">
            <v>RIVULIS</v>
          </cell>
        </row>
        <row r="198">
          <cell r="B198">
            <v>100300</v>
          </cell>
          <cell r="D198">
            <v>6</v>
          </cell>
          <cell r="E198">
            <v>4</v>
          </cell>
          <cell r="F198" t="str">
            <v xml:space="preserve"> $          25.00</v>
          </cell>
          <cell r="G198">
            <v>50</v>
          </cell>
          <cell r="H198">
            <v>0.36</v>
          </cell>
          <cell r="J198">
            <v>3.6</v>
          </cell>
          <cell r="K198">
            <v>2.8000000000000003</v>
          </cell>
          <cell r="L198">
            <v>46029</v>
          </cell>
          <cell r="M198" t="str">
            <v>RIVULIS</v>
          </cell>
        </row>
        <row r="199">
          <cell r="B199">
            <v>100800</v>
          </cell>
          <cell r="D199">
            <v>6</v>
          </cell>
          <cell r="E199">
            <v>5</v>
          </cell>
          <cell r="F199" t="str">
            <v xml:space="preserve"> $          18.00</v>
          </cell>
          <cell r="G199">
            <v>18</v>
          </cell>
          <cell r="H199">
            <v>0.81</v>
          </cell>
          <cell r="J199">
            <v>2.9160000000000004</v>
          </cell>
          <cell r="K199">
            <v>1.4000000000000001</v>
          </cell>
          <cell r="L199">
            <v>46029</v>
          </cell>
          <cell r="M199" t="str">
            <v>RIVULIS</v>
          </cell>
        </row>
        <row r="200">
          <cell r="B200">
            <v>801300</v>
          </cell>
          <cell r="D200">
            <v>8</v>
          </cell>
          <cell r="E200">
            <v>1</v>
          </cell>
          <cell r="F200" t="str">
            <v xml:space="preserve"> $          30.00</v>
          </cell>
          <cell r="G200">
            <v>210</v>
          </cell>
          <cell r="H200">
            <v>0.5</v>
          </cell>
          <cell r="J200">
            <v>21</v>
          </cell>
          <cell r="K200">
            <v>9.7999999999999989</v>
          </cell>
          <cell r="L200">
            <v>46029</v>
          </cell>
          <cell r="M200" t="str">
            <v>RIVULIS</v>
          </cell>
        </row>
        <row r="201">
          <cell r="K201">
            <v>0</v>
          </cell>
        </row>
        <row r="202">
          <cell r="B202">
            <v>600300</v>
          </cell>
          <cell r="D202">
            <v>12</v>
          </cell>
          <cell r="E202">
            <v>0</v>
          </cell>
          <cell r="F202" t="str">
            <v xml:space="preserve"> $          25.00</v>
          </cell>
          <cell r="G202">
            <v>300</v>
          </cell>
          <cell r="H202">
            <v>0.59</v>
          </cell>
          <cell r="J202">
            <v>35.4</v>
          </cell>
          <cell r="K202">
            <v>16.8</v>
          </cell>
          <cell r="L202">
            <v>46034</v>
          </cell>
          <cell r="M202" t="str">
            <v>RIVULIS</v>
          </cell>
        </row>
        <row r="203">
          <cell r="B203">
            <v>6005101</v>
          </cell>
          <cell r="D203">
            <v>12</v>
          </cell>
          <cell r="E203">
            <v>6</v>
          </cell>
          <cell r="F203" t="str">
            <v xml:space="preserve"> $          25.00</v>
          </cell>
          <cell r="G203">
            <v>150</v>
          </cell>
          <cell r="H203">
            <v>0.66</v>
          </cell>
          <cell r="J203">
            <v>19.8</v>
          </cell>
          <cell r="K203">
            <v>8.4</v>
          </cell>
          <cell r="L203">
            <v>46034</v>
          </cell>
          <cell r="M203" t="str">
            <v>RIVULIS</v>
          </cell>
        </row>
        <row r="204">
          <cell r="B204">
            <v>6005102</v>
          </cell>
          <cell r="D204">
            <v>12</v>
          </cell>
          <cell r="E204">
            <v>7</v>
          </cell>
          <cell r="F204" t="str">
            <v xml:space="preserve"> $          25.00</v>
          </cell>
          <cell r="G204">
            <v>125</v>
          </cell>
          <cell r="H204">
            <v>0.66</v>
          </cell>
          <cell r="J204">
            <v>16.5</v>
          </cell>
          <cell r="K204">
            <v>7</v>
          </cell>
          <cell r="L204">
            <v>46034</v>
          </cell>
          <cell r="M204" t="str">
            <v>RIVULIS</v>
          </cell>
        </row>
        <row r="205">
          <cell r="B205">
            <v>6005103</v>
          </cell>
          <cell r="D205">
            <v>12</v>
          </cell>
          <cell r="E205">
            <v>9</v>
          </cell>
          <cell r="F205" t="str">
            <v xml:space="preserve"> $          25.00</v>
          </cell>
          <cell r="G205">
            <v>75</v>
          </cell>
          <cell r="H205">
            <v>0.66</v>
          </cell>
          <cell r="J205">
            <v>9.9</v>
          </cell>
          <cell r="K205">
            <v>4.2</v>
          </cell>
          <cell r="L205">
            <v>46034</v>
          </cell>
          <cell r="M205" t="str">
            <v>RIVULIS</v>
          </cell>
        </row>
        <row r="206">
          <cell r="B206">
            <v>600101</v>
          </cell>
          <cell r="D206">
            <v>11</v>
          </cell>
          <cell r="E206">
            <v>9</v>
          </cell>
          <cell r="F206" t="str">
            <v xml:space="preserve"> $          25.00</v>
          </cell>
          <cell r="G206">
            <v>50</v>
          </cell>
          <cell r="H206">
            <v>0.64</v>
          </cell>
          <cell r="J206">
            <v>6.4</v>
          </cell>
          <cell r="K206">
            <v>2.8000000000000003</v>
          </cell>
          <cell r="L206">
            <v>46034</v>
          </cell>
          <cell r="M206" t="str">
            <v>RIVULIS</v>
          </cell>
        </row>
        <row r="207">
          <cell r="B207">
            <v>600102</v>
          </cell>
          <cell r="D207">
            <v>11</v>
          </cell>
          <cell r="E207">
            <v>9</v>
          </cell>
          <cell r="F207" t="str">
            <v xml:space="preserve"> $          25.00</v>
          </cell>
          <cell r="G207">
            <v>50</v>
          </cell>
          <cell r="H207">
            <v>0.64</v>
          </cell>
          <cell r="J207">
            <v>6.4</v>
          </cell>
          <cell r="K207">
            <v>2.8000000000000003</v>
          </cell>
          <cell r="L207">
            <v>46034</v>
          </cell>
          <cell r="M207" t="str">
            <v>RIVULIS</v>
          </cell>
        </row>
        <row r="208">
          <cell r="B208">
            <v>6005104</v>
          </cell>
          <cell r="D208">
            <v>10</v>
          </cell>
          <cell r="E208">
            <v>9</v>
          </cell>
          <cell r="F208" t="str">
            <v xml:space="preserve"> $          25.00</v>
          </cell>
          <cell r="G208">
            <v>25</v>
          </cell>
          <cell r="H208">
            <v>0.66</v>
          </cell>
          <cell r="J208">
            <v>3.3</v>
          </cell>
          <cell r="K208">
            <v>1.4000000000000001</v>
          </cell>
          <cell r="L208">
            <v>46034</v>
          </cell>
          <cell r="M208" t="str">
            <v>RIVULIS</v>
          </cell>
        </row>
        <row r="209">
          <cell r="B209">
            <v>600600</v>
          </cell>
          <cell r="D209">
            <v>12</v>
          </cell>
          <cell r="E209">
            <v>10</v>
          </cell>
          <cell r="F209" t="str">
            <v xml:space="preserve"> $          25.00</v>
          </cell>
          <cell r="G209">
            <v>50</v>
          </cell>
          <cell r="H209">
            <v>0.53</v>
          </cell>
          <cell r="J209">
            <v>5.3</v>
          </cell>
          <cell r="K209">
            <v>2.8000000000000003</v>
          </cell>
          <cell r="L209">
            <v>46034</v>
          </cell>
          <cell r="M209" t="str">
            <v>RIVULIS</v>
          </cell>
        </row>
        <row r="210">
          <cell r="B210">
            <v>600500</v>
          </cell>
          <cell r="D210">
            <v>9</v>
          </cell>
          <cell r="E210">
            <v>9</v>
          </cell>
          <cell r="F210" t="str">
            <v xml:space="preserve"> $          25.00</v>
          </cell>
          <cell r="G210">
            <v>0</v>
          </cell>
          <cell r="H210">
            <v>0.66</v>
          </cell>
          <cell r="J210">
            <v>0</v>
          </cell>
          <cell r="K210">
            <v>0</v>
          </cell>
          <cell r="L210">
            <v>46034</v>
          </cell>
          <cell r="M210" t="str">
            <v>RIVULIS</v>
          </cell>
        </row>
        <row r="211">
          <cell r="B211">
            <v>600400</v>
          </cell>
          <cell r="D211">
            <v>12</v>
          </cell>
          <cell r="E211">
            <v>6</v>
          </cell>
          <cell r="F211" t="str">
            <v xml:space="preserve"> $          20.00</v>
          </cell>
          <cell r="G211">
            <v>120</v>
          </cell>
          <cell r="H211">
            <v>0.59</v>
          </cell>
          <cell r="J211">
            <v>14.16</v>
          </cell>
          <cell r="K211">
            <v>8.4</v>
          </cell>
          <cell r="L211">
            <v>46034</v>
          </cell>
          <cell r="M211" t="str">
            <v>RIVULIS</v>
          </cell>
        </row>
        <row r="212">
          <cell r="B212">
            <v>100400</v>
          </cell>
          <cell r="D212">
            <v>8</v>
          </cell>
          <cell r="E212">
            <v>6</v>
          </cell>
          <cell r="F212" t="str">
            <v xml:space="preserve"> $          15.00</v>
          </cell>
          <cell r="G212">
            <v>30</v>
          </cell>
          <cell r="H212">
            <v>0.5</v>
          </cell>
          <cell r="J212">
            <v>3</v>
          </cell>
          <cell r="K212">
            <v>2.8000000000000003</v>
          </cell>
          <cell r="L212">
            <v>46034</v>
          </cell>
          <cell r="M212" t="str">
            <v>RIVULIS</v>
          </cell>
        </row>
        <row r="213">
          <cell r="B213">
            <v>100400</v>
          </cell>
          <cell r="D213">
            <v>8</v>
          </cell>
          <cell r="E213">
            <v>6</v>
          </cell>
          <cell r="F213" t="str">
            <v xml:space="preserve"> $          15.00</v>
          </cell>
          <cell r="G213">
            <v>30</v>
          </cell>
          <cell r="H213">
            <v>0.5</v>
          </cell>
          <cell r="J213">
            <v>3</v>
          </cell>
          <cell r="K213">
            <v>2.8000000000000003</v>
          </cell>
          <cell r="L213">
            <v>46034</v>
          </cell>
          <cell r="M213" t="str">
            <v>RIVULIS</v>
          </cell>
        </row>
        <row r="214">
          <cell r="B214">
            <v>100600</v>
          </cell>
          <cell r="D214">
            <v>5</v>
          </cell>
          <cell r="E214">
            <v>4</v>
          </cell>
          <cell r="F214" t="str">
            <v xml:space="preserve"> $          15.00</v>
          </cell>
          <cell r="G214">
            <v>15</v>
          </cell>
          <cell r="H214">
            <v>0.43</v>
          </cell>
          <cell r="J214">
            <v>1.29</v>
          </cell>
          <cell r="K214">
            <v>1.4000000000000001</v>
          </cell>
          <cell r="L214">
            <v>46034</v>
          </cell>
          <cell r="M214" t="str">
            <v>RIVULIS</v>
          </cell>
        </row>
        <row r="215">
          <cell r="B215">
            <v>100600</v>
          </cell>
          <cell r="D215">
            <v>5</v>
          </cell>
          <cell r="E215">
            <v>3</v>
          </cell>
          <cell r="F215" t="str">
            <v xml:space="preserve"> $          15.00</v>
          </cell>
          <cell r="G215">
            <v>30</v>
          </cell>
          <cell r="H215">
            <v>0.43</v>
          </cell>
          <cell r="J215">
            <v>2.58</v>
          </cell>
          <cell r="K215">
            <v>2.8000000000000003</v>
          </cell>
          <cell r="L215">
            <v>46034</v>
          </cell>
          <cell r="M215" t="str">
            <v>RIVULIS</v>
          </cell>
        </row>
        <row r="216">
          <cell r="B216">
            <v>800900</v>
          </cell>
          <cell r="D216">
            <v>12</v>
          </cell>
          <cell r="E216">
            <v>9</v>
          </cell>
          <cell r="F216" t="str">
            <v xml:space="preserve"> $          20.00</v>
          </cell>
          <cell r="G216">
            <v>60</v>
          </cell>
          <cell r="H216">
            <v>0.51</v>
          </cell>
          <cell r="J216">
            <v>6.12</v>
          </cell>
          <cell r="K216">
            <v>4.2</v>
          </cell>
          <cell r="L216">
            <v>46034</v>
          </cell>
          <cell r="M216" t="str">
            <v>RIVULIS</v>
          </cell>
        </row>
        <row r="217">
          <cell r="B217">
            <v>300700</v>
          </cell>
          <cell r="D217">
            <v>14</v>
          </cell>
          <cell r="E217">
            <v>9</v>
          </cell>
          <cell r="F217" t="str">
            <v xml:space="preserve"> $          10.00</v>
          </cell>
          <cell r="G217">
            <v>50</v>
          </cell>
          <cell r="H217">
            <v>0.71</v>
          </cell>
          <cell r="J217">
            <v>7.1</v>
          </cell>
          <cell r="K217">
            <v>7</v>
          </cell>
          <cell r="L217">
            <v>46034</v>
          </cell>
          <cell r="M217" t="str">
            <v>RIVULIS</v>
          </cell>
        </row>
        <row r="218">
          <cell r="B218">
            <v>300200</v>
          </cell>
          <cell r="D218">
            <v>20</v>
          </cell>
          <cell r="E218">
            <v>20</v>
          </cell>
          <cell r="F218" t="str">
            <v xml:space="preserve"> $          20.00</v>
          </cell>
          <cell r="G218">
            <v>0</v>
          </cell>
          <cell r="H218">
            <v>0.62</v>
          </cell>
          <cell r="J218">
            <v>0</v>
          </cell>
          <cell r="K218">
            <v>0</v>
          </cell>
          <cell r="L218">
            <v>46034</v>
          </cell>
          <cell r="M218" t="str">
            <v>RIVULIS</v>
          </cell>
        </row>
        <row r="219">
          <cell r="B219">
            <v>300100</v>
          </cell>
          <cell r="D219">
            <v>15</v>
          </cell>
          <cell r="E219">
            <v>12</v>
          </cell>
          <cell r="F219" t="str">
            <v xml:space="preserve"> $          15.00</v>
          </cell>
          <cell r="G219">
            <v>45</v>
          </cell>
          <cell r="H219">
            <v>0.56999999999999995</v>
          </cell>
          <cell r="J219">
            <v>5.13</v>
          </cell>
          <cell r="K219">
            <v>4.2</v>
          </cell>
          <cell r="L219">
            <v>46034</v>
          </cell>
          <cell r="M219" t="str">
            <v>RIVULIS</v>
          </cell>
        </row>
        <row r="220">
          <cell r="B220">
            <v>900300</v>
          </cell>
          <cell r="D220">
            <v>17</v>
          </cell>
          <cell r="E220">
            <v>16</v>
          </cell>
          <cell r="F220" t="str">
            <v xml:space="preserve"> $          25.00</v>
          </cell>
          <cell r="G220">
            <v>25</v>
          </cell>
          <cell r="H220">
            <v>0.4</v>
          </cell>
          <cell r="J220">
            <v>2</v>
          </cell>
          <cell r="K220">
            <v>1.4000000000000001</v>
          </cell>
          <cell r="L220">
            <v>46034</v>
          </cell>
          <cell r="M220" t="str">
            <v>RIVULIS</v>
          </cell>
        </row>
        <row r="221">
          <cell r="B221">
            <v>300400</v>
          </cell>
          <cell r="D221">
            <v>19</v>
          </cell>
          <cell r="E221">
            <v>16</v>
          </cell>
          <cell r="F221" t="str">
            <v xml:space="preserve"> $          10.00</v>
          </cell>
          <cell r="G221">
            <v>30</v>
          </cell>
          <cell r="H221">
            <v>0.4</v>
          </cell>
          <cell r="J221">
            <v>2.4</v>
          </cell>
          <cell r="K221">
            <v>4.2</v>
          </cell>
          <cell r="L221">
            <v>46034</v>
          </cell>
          <cell r="M221" t="str">
            <v>RIVULIS</v>
          </cell>
        </row>
        <row r="222">
          <cell r="B222">
            <v>700500</v>
          </cell>
          <cell r="D222">
            <v>20</v>
          </cell>
          <cell r="E222">
            <v>16</v>
          </cell>
          <cell r="F222" t="str">
            <v xml:space="preserve"> $          15.00</v>
          </cell>
          <cell r="G222">
            <v>60</v>
          </cell>
          <cell r="H222">
            <v>0.56999999999999995</v>
          </cell>
          <cell r="J222">
            <v>6.839999999999999</v>
          </cell>
          <cell r="K222">
            <v>5.6000000000000005</v>
          </cell>
          <cell r="L222">
            <v>46034</v>
          </cell>
          <cell r="M222" t="str">
            <v>RIVULIS</v>
          </cell>
        </row>
        <row r="223">
          <cell r="B223">
            <v>700400</v>
          </cell>
          <cell r="D223">
            <v>13</v>
          </cell>
          <cell r="E223">
            <v>13</v>
          </cell>
          <cell r="F223" t="str">
            <v xml:space="preserve"> $          25.00</v>
          </cell>
          <cell r="G223">
            <v>0</v>
          </cell>
          <cell r="H223">
            <v>0.48</v>
          </cell>
          <cell r="J223">
            <v>0</v>
          </cell>
          <cell r="K223">
            <v>0</v>
          </cell>
          <cell r="L223">
            <v>46034</v>
          </cell>
          <cell r="M223" t="str">
            <v>RIVULIS</v>
          </cell>
        </row>
        <row r="224">
          <cell r="B224">
            <v>700800</v>
          </cell>
          <cell r="D224">
            <v>13</v>
          </cell>
          <cell r="E224">
            <v>10</v>
          </cell>
          <cell r="F224" t="str">
            <v xml:space="preserve"> $          20.00</v>
          </cell>
          <cell r="G224">
            <v>60</v>
          </cell>
          <cell r="H224">
            <v>0.38</v>
          </cell>
          <cell r="J224">
            <v>4.5600000000000005</v>
          </cell>
          <cell r="K224">
            <v>4.2</v>
          </cell>
          <cell r="L224">
            <v>46034</v>
          </cell>
          <cell r="M224" t="str">
            <v>RIVULIS</v>
          </cell>
        </row>
        <row r="225">
          <cell r="B225">
            <v>700700</v>
          </cell>
          <cell r="D225">
            <v>16</v>
          </cell>
          <cell r="E225">
            <v>15</v>
          </cell>
          <cell r="F225" t="str">
            <v xml:space="preserve"> $          25.00</v>
          </cell>
          <cell r="G225">
            <v>25</v>
          </cell>
          <cell r="H225">
            <v>0.44</v>
          </cell>
          <cell r="J225">
            <v>2.2000000000000002</v>
          </cell>
          <cell r="K225">
            <v>1.4000000000000001</v>
          </cell>
          <cell r="L225">
            <v>46034</v>
          </cell>
          <cell r="M225" t="str">
            <v>RIVULIS</v>
          </cell>
        </row>
        <row r="226">
          <cell r="B226">
            <v>700200</v>
          </cell>
          <cell r="D226">
            <v>14</v>
          </cell>
          <cell r="E226">
            <v>14</v>
          </cell>
          <cell r="F226" t="str">
            <v xml:space="preserve"> $          25.00</v>
          </cell>
          <cell r="G226">
            <v>0</v>
          </cell>
          <cell r="H226">
            <v>0.44</v>
          </cell>
          <cell r="J226">
            <v>0</v>
          </cell>
          <cell r="K226">
            <v>0</v>
          </cell>
          <cell r="L226">
            <v>46034</v>
          </cell>
          <cell r="M226" t="str">
            <v>RIVULIS</v>
          </cell>
        </row>
        <row r="227">
          <cell r="B227">
            <v>800500</v>
          </cell>
          <cell r="D227">
            <v>17</v>
          </cell>
          <cell r="E227">
            <v>16</v>
          </cell>
          <cell r="F227" t="str">
            <v xml:space="preserve"> $          10.00</v>
          </cell>
          <cell r="G227">
            <v>10</v>
          </cell>
          <cell r="H227">
            <v>0.7</v>
          </cell>
          <cell r="J227">
            <v>1.4</v>
          </cell>
          <cell r="K227">
            <v>1.4000000000000001</v>
          </cell>
          <cell r="L227">
            <v>46034</v>
          </cell>
          <cell r="M227" t="str">
            <v>RIVULIS</v>
          </cell>
        </row>
        <row r="228">
          <cell r="B228">
            <v>800700</v>
          </cell>
          <cell r="D228">
            <v>16</v>
          </cell>
          <cell r="E228">
            <v>13</v>
          </cell>
          <cell r="F228" t="str">
            <v xml:space="preserve"> $          20.00</v>
          </cell>
          <cell r="G228">
            <v>60</v>
          </cell>
          <cell r="H228">
            <v>0.55000000000000004</v>
          </cell>
          <cell r="J228">
            <v>6.6</v>
          </cell>
          <cell r="K228">
            <v>4.2</v>
          </cell>
          <cell r="L228">
            <v>46034</v>
          </cell>
          <cell r="M228" t="str">
            <v>RIVULIS</v>
          </cell>
        </row>
        <row r="229">
          <cell r="B229">
            <v>800400</v>
          </cell>
          <cell r="D229">
            <v>16</v>
          </cell>
          <cell r="E229">
            <v>15</v>
          </cell>
          <cell r="F229" t="str">
            <v xml:space="preserve"> $          20.00</v>
          </cell>
          <cell r="G229">
            <v>20</v>
          </cell>
          <cell r="H229">
            <v>0.55000000000000004</v>
          </cell>
          <cell r="J229">
            <v>2.2000000000000002</v>
          </cell>
          <cell r="K229">
            <v>1.4000000000000001</v>
          </cell>
          <cell r="L229">
            <v>46034</v>
          </cell>
          <cell r="M229" t="str">
            <v>RIVULIS</v>
          </cell>
        </row>
        <row r="230">
          <cell r="B230">
            <v>800601</v>
          </cell>
          <cell r="D230">
            <v>10</v>
          </cell>
          <cell r="E230">
            <v>10</v>
          </cell>
          <cell r="F230" t="str">
            <v xml:space="preserve"> $          15.00</v>
          </cell>
          <cell r="G230">
            <v>0</v>
          </cell>
          <cell r="H230">
            <v>0.55000000000000004</v>
          </cell>
          <cell r="J230">
            <v>0</v>
          </cell>
          <cell r="K230">
            <v>0</v>
          </cell>
          <cell r="L230">
            <v>46034</v>
          </cell>
          <cell r="M230" t="str">
            <v>RIVULIS</v>
          </cell>
        </row>
        <row r="231">
          <cell r="B231">
            <v>800600</v>
          </cell>
          <cell r="D231">
            <v>15</v>
          </cell>
          <cell r="E231">
            <v>14</v>
          </cell>
          <cell r="F231" t="str">
            <v xml:space="preserve"> $          15.00</v>
          </cell>
          <cell r="G231">
            <v>15</v>
          </cell>
          <cell r="H231">
            <v>0.55000000000000004</v>
          </cell>
          <cell r="J231">
            <v>1.65</v>
          </cell>
          <cell r="K231">
            <v>1.4000000000000001</v>
          </cell>
          <cell r="L231">
            <v>46034</v>
          </cell>
          <cell r="M231" t="str">
            <v>RIVULIS</v>
          </cell>
        </row>
        <row r="232">
          <cell r="B232">
            <v>800800</v>
          </cell>
          <cell r="D232">
            <v>16</v>
          </cell>
          <cell r="E232">
            <v>10</v>
          </cell>
          <cell r="F232" t="str">
            <v xml:space="preserve"> $          15.00</v>
          </cell>
          <cell r="G232">
            <v>90</v>
          </cell>
          <cell r="H232">
            <v>0.35</v>
          </cell>
          <cell r="J232">
            <v>6.2999999999999989</v>
          </cell>
          <cell r="K232">
            <v>8.4</v>
          </cell>
          <cell r="L232">
            <v>46034</v>
          </cell>
          <cell r="M232" t="str">
            <v>RIVULIS</v>
          </cell>
        </row>
        <row r="233">
          <cell r="B233">
            <v>801000</v>
          </cell>
          <cell r="D233">
            <v>11</v>
          </cell>
          <cell r="E233">
            <v>5</v>
          </cell>
          <cell r="F233" t="str">
            <v xml:space="preserve"> $          15.00</v>
          </cell>
          <cell r="G233">
            <v>90</v>
          </cell>
          <cell r="H233">
            <v>0.4</v>
          </cell>
          <cell r="J233">
            <v>7.2</v>
          </cell>
          <cell r="K233">
            <v>8.4</v>
          </cell>
          <cell r="L233">
            <v>46034</v>
          </cell>
          <cell r="M233" t="str">
            <v>RIVULIS</v>
          </cell>
        </row>
        <row r="234">
          <cell r="B234">
            <v>801100</v>
          </cell>
          <cell r="D234">
            <v>9</v>
          </cell>
          <cell r="E234">
            <v>4</v>
          </cell>
          <cell r="F234" t="str">
            <v xml:space="preserve"> $          20.00</v>
          </cell>
          <cell r="G234">
            <v>100</v>
          </cell>
          <cell r="H234">
            <v>0.55000000000000004</v>
          </cell>
          <cell r="J234">
            <v>11.000000000000002</v>
          </cell>
          <cell r="K234">
            <v>7</v>
          </cell>
          <cell r="L234">
            <v>46034</v>
          </cell>
          <cell r="M234" t="str">
            <v>RIVULIS</v>
          </cell>
        </row>
        <row r="235">
          <cell r="B235">
            <v>801200</v>
          </cell>
          <cell r="D235">
            <v>17</v>
          </cell>
          <cell r="E235">
            <v>11</v>
          </cell>
          <cell r="F235" t="str">
            <v xml:space="preserve"> $          20.00</v>
          </cell>
          <cell r="G235">
            <v>120</v>
          </cell>
          <cell r="H235">
            <v>0.55000000000000004</v>
          </cell>
          <cell r="J235">
            <v>13.2</v>
          </cell>
          <cell r="K235">
            <v>8.4</v>
          </cell>
          <cell r="L235">
            <v>46034</v>
          </cell>
          <cell r="M235" t="str">
            <v>RIVULIS</v>
          </cell>
        </row>
        <row r="236">
          <cell r="B236">
            <v>800200</v>
          </cell>
          <cell r="D236">
            <v>14</v>
          </cell>
          <cell r="E236">
            <v>10</v>
          </cell>
          <cell r="F236" t="str">
            <v xml:space="preserve"> $          20.00</v>
          </cell>
          <cell r="G236">
            <v>80</v>
          </cell>
          <cell r="H236">
            <v>0.65</v>
          </cell>
          <cell r="J236">
            <v>10.4</v>
          </cell>
          <cell r="K236">
            <v>5.6000000000000005</v>
          </cell>
          <cell r="L236">
            <v>46034</v>
          </cell>
          <cell r="M236" t="str">
            <v>RIVULIS</v>
          </cell>
        </row>
        <row r="237">
          <cell r="B237">
            <v>100200</v>
          </cell>
          <cell r="D237">
            <v>6</v>
          </cell>
          <cell r="E237">
            <v>6</v>
          </cell>
          <cell r="F237" t="str">
            <v xml:space="preserve"> $          15.00</v>
          </cell>
          <cell r="G237">
            <v>0</v>
          </cell>
          <cell r="H237">
            <v>0.8</v>
          </cell>
          <cell r="J237">
            <v>0</v>
          </cell>
          <cell r="K237">
            <v>0</v>
          </cell>
          <cell r="L237">
            <v>46034</v>
          </cell>
          <cell r="M237" t="str">
            <v>RIVULIS</v>
          </cell>
        </row>
        <row r="238">
          <cell r="B238">
            <v>100200</v>
          </cell>
          <cell r="D238">
            <v>6</v>
          </cell>
          <cell r="E238">
            <v>5</v>
          </cell>
          <cell r="F238" t="str">
            <v xml:space="preserve"> $          15.00</v>
          </cell>
          <cell r="G238">
            <v>15</v>
          </cell>
          <cell r="H238">
            <v>0.8</v>
          </cell>
          <cell r="J238">
            <v>2.4</v>
          </cell>
          <cell r="K238">
            <v>1.4000000000000001</v>
          </cell>
          <cell r="L238">
            <v>46034</v>
          </cell>
          <cell r="M238" t="str">
            <v>RIVULIS</v>
          </cell>
        </row>
        <row r="239">
          <cell r="B239">
            <v>100900</v>
          </cell>
          <cell r="D239">
            <v>6</v>
          </cell>
          <cell r="E239">
            <v>4</v>
          </cell>
          <cell r="F239" t="str">
            <v xml:space="preserve"> $          20.00</v>
          </cell>
          <cell r="G239">
            <v>40</v>
          </cell>
          <cell r="H239">
            <v>0.3</v>
          </cell>
          <cell r="J239">
            <v>2.4</v>
          </cell>
          <cell r="K239">
            <v>2.8000000000000003</v>
          </cell>
          <cell r="L239">
            <v>46034</v>
          </cell>
          <cell r="M239" t="str">
            <v>RIVULIS</v>
          </cell>
        </row>
        <row r="240">
          <cell r="B240">
            <v>100300</v>
          </cell>
          <cell r="D240">
            <v>6</v>
          </cell>
          <cell r="E240">
            <v>3</v>
          </cell>
          <cell r="F240" t="str">
            <v xml:space="preserve"> $          25.00</v>
          </cell>
          <cell r="G240">
            <v>75</v>
          </cell>
          <cell r="H240">
            <v>0.36</v>
          </cell>
          <cell r="J240">
            <v>5.4</v>
          </cell>
          <cell r="K240">
            <v>4.2</v>
          </cell>
          <cell r="L240">
            <v>46034</v>
          </cell>
          <cell r="M240" t="str">
            <v>RIVULIS</v>
          </cell>
        </row>
        <row r="241">
          <cell r="B241">
            <v>100800</v>
          </cell>
          <cell r="D241">
            <v>6</v>
          </cell>
          <cell r="E241">
            <v>1</v>
          </cell>
          <cell r="F241" t="str">
            <v xml:space="preserve"> $          18.00</v>
          </cell>
          <cell r="G241">
            <v>90</v>
          </cell>
          <cell r="H241">
            <v>0.81</v>
          </cell>
          <cell r="J241">
            <v>14.580000000000002</v>
          </cell>
          <cell r="K241">
            <v>7</v>
          </cell>
          <cell r="L241">
            <v>46034</v>
          </cell>
          <cell r="M241" t="str">
            <v>RIVULIS</v>
          </cell>
        </row>
        <row r="242">
          <cell r="B242">
            <v>801300</v>
          </cell>
          <cell r="D242">
            <v>12</v>
          </cell>
          <cell r="E242">
            <v>7</v>
          </cell>
          <cell r="F242" t="str">
            <v xml:space="preserve"> $          30.00</v>
          </cell>
          <cell r="G242">
            <v>150</v>
          </cell>
          <cell r="H242">
            <v>0.5</v>
          </cell>
          <cell r="J242">
            <v>15</v>
          </cell>
          <cell r="K242">
            <v>7</v>
          </cell>
          <cell r="L242">
            <v>46034</v>
          </cell>
          <cell r="M242" t="str">
            <v>RIVULIS</v>
          </cell>
        </row>
        <row r="244">
          <cell r="B244">
            <v>600300</v>
          </cell>
          <cell r="D244">
            <v>17</v>
          </cell>
          <cell r="E244">
            <v>12</v>
          </cell>
          <cell r="F244">
            <v>25</v>
          </cell>
          <cell r="G244">
            <v>125</v>
          </cell>
          <cell r="H244">
            <v>0.59</v>
          </cell>
          <cell r="J244">
            <v>10.535714285714286</v>
          </cell>
          <cell r="K244">
            <v>5</v>
          </cell>
          <cell r="L244">
            <v>46041</v>
          </cell>
          <cell r="M244" t="str">
            <v>RIVULIS</v>
          </cell>
        </row>
        <row r="245">
          <cell r="B245">
            <v>6005101</v>
          </cell>
          <cell r="D245">
            <v>12</v>
          </cell>
          <cell r="E245">
            <v>7</v>
          </cell>
          <cell r="F245">
            <v>25</v>
          </cell>
          <cell r="G245">
            <v>125</v>
          </cell>
          <cell r="H245">
            <v>0.66</v>
          </cell>
          <cell r="J245">
            <v>11.785714285714286</v>
          </cell>
          <cell r="K245">
            <v>5</v>
          </cell>
          <cell r="L245">
            <v>46041</v>
          </cell>
          <cell r="M245" t="str">
            <v>RIVULIS</v>
          </cell>
        </row>
        <row r="246">
          <cell r="B246">
            <v>6005102</v>
          </cell>
          <cell r="D246">
            <v>14</v>
          </cell>
          <cell r="E246">
            <v>12</v>
          </cell>
          <cell r="F246">
            <v>25</v>
          </cell>
          <cell r="G246">
            <v>50</v>
          </cell>
          <cell r="H246">
            <v>0.66</v>
          </cell>
          <cell r="J246">
            <v>4.7142857142857144</v>
          </cell>
          <cell r="K246">
            <v>2</v>
          </cell>
          <cell r="L246">
            <v>46041</v>
          </cell>
          <cell r="M246" t="str">
            <v>RIVULIS</v>
          </cell>
        </row>
        <row r="247">
          <cell r="B247">
            <v>6005103</v>
          </cell>
          <cell r="D247">
            <v>12</v>
          </cell>
          <cell r="E247">
            <v>11</v>
          </cell>
          <cell r="F247">
            <v>25</v>
          </cell>
          <cell r="G247">
            <v>25</v>
          </cell>
          <cell r="H247">
            <v>0.66</v>
          </cell>
          <cell r="J247">
            <v>2.3571428571428572</v>
          </cell>
          <cell r="K247">
            <v>1</v>
          </cell>
          <cell r="L247">
            <v>46041</v>
          </cell>
          <cell r="M247" t="str">
            <v>RIVULIS</v>
          </cell>
        </row>
        <row r="248">
          <cell r="B248">
            <v>600101</v>
          </cell>
          <cell r="D248">
            <v>14</v>
          </cell>
          <cell r="E248">
            <v>9</v>
          </cell>
          <cell r="F248">
            <v>25</v>
          </cell>
          <cell r="G248">
            <v>125</v>
          </cell>
          <cell r="H248">
            <v>0.64</v>
          </cell>
          <cell r="J248">
            <v>11.428571428571429</v>
          </cell>
          <cell r="K248">
            <v>5</v>
          </cell>
          <cell r="L248">
            <v>46041</v>
          </cell>
          <cell r="M248" t="str">
            <v>RIVULIS</v>
          </cell>
        </row>
        <row r="249">
          <cell r="B249">
            <v>600102</v>
          </cell>
          <cell r="D249">
            <v>12</v>
          </cell>
          <cell r="E249">
            <v>9</v>
          </cell>
          <cell r="F249">
            <v>25</v>
          </cell>
          <cell r="G249">
            <v>75</v>
          </cell>
          <cell r="H249">
            <v>0.64</v>
          </cell>
          <cell r="J249">
            <v>6.8571428571428568</v>
          </cell>
          <cell r="K249">
            <v>3</v>
          </cell>
          <cell r="L249">
            <v>46041</v>
          </cell>
          <cell r="M249" t="str">
            <v>RIVULIS</v>
          </cell>
        </row>
        <row r="250">
          <cell r="B250">
            <v>6005104</v>
          </cell>
          <cell r="D250">
            <v>11</v>
          </cell>
          <cell r="E250">
            <v>10</v>
          </cell>
          <cell r="F250">
            <v>25</v>
          </cell>
          <cell r="G250">
            <v>25</v>
          </cell>
          <cell r="H250">
            <v>0.66</v>
          </cell>
          <cell r="J250">
            <v>2.3571428571428572</v>
          </cell>
          <cell r="K250">
            <v>1</v>
          </cell>
          <cell r="L250">
            <v>46041</v>
          </cell>
          <cell r="M250" t="str">
            <v>RIVULIS</v>
          </cell>
        </row>
        <row r="251">
          <cell r="B251">
            <v>600600</v>
          </cell>
          <cell r="D251">
            <v>14</v>
          </cell>
          <cell r="E251">
            <v>10</v>
          </cell>
          <cell r="F251">
            <v>25</v>
          </cell>
          <cell r="G251">
            <v>100</v>
          </cell>
          <cell r="H251">
            <v>0.53</v>
          </cell>
          <cell r="J251">
            <v>7.5714285714285712</v>
          </cell>
          <cell r="K251">
            <v>4</v>
          </cell>
          <cell r="L251">
            <v>46041</v>
          </cell>
          <cell r="M251" t="str">
            <v>RIVULIS</v>
          </cell>
        </row>
        <row r="252">
          <cell r="B252">
            <v>600500</v>
          </cell>
          <cell r="D252">
            <v>11</v>
          </cell>
          <cell r="E252">
            <v>9</v>
          </cell>
          <cell r="F252">
            <v>25</v>
          </cell>
          <cell r="G252">
            <v>50</v>
          </cell>
          <cell r="H252">
            <v>0.66</v>
          </cell>
          <cell r="J252">
            <v>4.7142857142857144</v>
          </cell>
          <cell r="K252">
            <v>2</v>
          </cell>
          <cell r="L252">
            <v>46041</v>
          </cell>
          <cell r="M252" t="str">
            <v>RIVULIS</v>
          </cell>
        </row>
        <row r="253">
          <cell r="B253">
            <v>600400</v>
          </cell>
          <cell r="D253">
            <v>15</v>
          </cell>
          <cell r="E253">
            <v>11</v>
          </cell>
          <cell r="F253">
            <v>20</v>
          </cell>
          <cell r="G253">
            <v>80</v>
          </cell>
          <cell r="H253">
            <v>0.59</v>
          </cell>
          <cell r="J253">
            <v>6.742857142857142</v>
          </cell>
          <cell r="K253">
            <v>4</v>
          </cell>
          <cell r="L253">
            <v>46041</v>
          </cell>
          <cell r="M253" t="str">
            <v>RIVULIS</v>
          </cell>
        </row>
        <row r="254">
          <cell r="B254">
            <v>100400</v>
          </cell>
          <cell r="D254">
            <v>8</v>
          </cell>
          <cell r="E254">
            <v>4</v>
          </cell>
          <cell r="F254">
            <v>15</v>
          </cell>
          <cell r="G254">
            <v>60</v>
          </cell>
          <cell r="H254">
            <v>0.5</v>
          </cell>
          <cell r="J254">
            <v>4.2857142857142856</v>
          </cell>
          <cell r="K254">
            <v>4</v>
          </cell>
          <cell r="L254">
            <v>46041</v>
          </cell>
          <cell r="M254" t="str">
            <v>RIVULIS</v>
          </cell>
        </row>
        <row r="255">
          <cell r="B255">
            <v>100400</v>
          </cell>
          <cell r="D255">
            <v>8</v>
          </cell>
          <cell r="E255">
            <v>4</v>
          </cell>
          <cell r="F255">
            <v>15</v>
          </cell>
          <cell r="G255">
            <v>60</v>
          </cell>
          <cell r="H255">
            <v>0.5</v>
          </cell>
          <cell r="J255">
            <v>4.2857142857142856</v>
          </cell>
          <cell r="K255">
            <v>4</v>
          </cell>
          <cell r="L255">
            <v>46041</v>
          </cell>
          <cell r="M255" t="str">
            <v>RIVULIS</v>
          </cell>
        </row>
        <row r="256">
          <cell r="B256">
            <v>100600</v>
          </cell>
          <cell r="D256">
            <v>10</v>
          </cell>
          <cell r="E256">
            <v>1</v>
          </cell>
          <cell r="F256">
            <v>15</v>
          </cell>
          <cell r="G256">
            <v>135</v>
          </cell>
          <cell r="H256">
            <v>0.43</v>
          </cell>
          <cell r="J256">
            <v>8.2928571428571427</v>
          </cell>
          <cell r="K256">
            <v>9</v>
          </cell>
          <cell r="L256">
            <v>46041</v>
          </cell>
          <cell r="M256" t="str">
            <v>RIVULIS</v>
          </cell>
        </row>
        <row r="257">
          <cell r="B257">
            <v>100600</v>
          </cell>
          <cell r="D257">
            <v>9</v>
          </cell>
          <cell r="E257">
            <v>5</v>
          </cell>
          <cell r="F257">
            <v>15</v>
          </cell>
          <cell r="G257">
            <v>60</v>
          </cell>
          <cell r="H257">
            <v>0.43</v>
          </cell>
          <cell r="J257">
            <v>3.6857142857142859</v>
          </cell>
          <cell r="K257">
            <v>4</v>
          </cell>
          <cell r="L257">
            <v>46041</v>
          </cell>
          <cell r="M257" t="str">
            <v>RIVULIS</v>
          </cell>
        </row>
        <row r="258">
          <cell r="B258">
            <v>800900</v>
          </cell>
          <cell r="D258">
            <v>17</v>
          </cell>
          <cell r="E258">
            <v>6</v>
          </cell>
          <cell r="F258">
            <v>20</v>
          </cell>
          <cell r="G258">
            <v>220</v>
          </cell>
          <cell r="H258">
            <v>0.51</v>
          </cell>
          <cell r="J258">
            <v>16.028571428571428</v>
          </cell>
          <cell r="K258">
            <v>11</v>
          </cell>
          <cell r="L258">
            <v>46041</v>
          </cell>
          <cell r="M258" t="str">
            <v>RIVULIS</v>
          </cell>
        </row>
        <row r="259">
          <cell r="B259">
            <v>300700</v>
          </cell>
          <cell r="D259">
            <v>13</v>
          </cell>
          <cell r="E259">
            <v>12</v>
          </cell>
          <cell r="F259">
            <v>10</v>
          </cell>
          <cell r="G259">
            <v>10</v>
          </cell>
          <cell r="H259">
            <v>0.71</v>
          </cell>
          <cell r="J259">
            <v>1.0142857142857142</v>
          </cell>
          <cell r="K259">
            <v>1</v>
          </cell>
          <cell r="L259">
            <v>46041</v>
          </cell>
          <cell r="M259" t="str">
            <v>RIVULIS</v>
          </cell>
        </row>
        <row r="260">
          <cell r="B260">
            <v>300200</v>
          </cell>
          <cell r="D260">
            <v>20</v>
          </cell>
          <cell r="E260">
            <v>20</v>
          </cell>
          <cell r="F260">
            <v>20</v>
          </cell>
          <cell r="G260">
            <v>0</v>
          </cell>
          <cell r="H260">
            <v>0.62</v>
          </cell>
          <cell r="J260">
            <v>0</v>
          </cell>
          <cell r="K260">
            <v>0</v>
          </cell>
          <cell r="L260">
            <v>46041</v>
          </cell>
          <cell r="M260" t="str">
            <v>RIVULIS</v>
          </cell>
        </row>
        <row r="261">
          <cell r="B261">
            <v>300100</v>
          </cell>
          <cell r="D261">
            <v>12</v>
          </cell>
          <cell r="E261">
            <v>11</v>
          </cell>
          <cell r="F261">
            <v>15</v>
          </cell>
          <cell r="G261">
            <v>15</v>
          </cell>
          <cell r="H261">
            <v>0.56999999999999995</v>
          </cell>
          <cell r="J261">
            <v>1.2214285714285713</v>
          </cell>
          <cell r="K261">
            <v>1</v>
          </cell>
          <cell r="L261">
            <v>46041</v>
          </cell>
          <cell r="M261" t="str">
            <v>RIVULIS</v>
          </cell>
        </row>
        <row r="262">
          <cell r="B262">
            <v>900300</v>
          </cell>
          <cell r="D262">
            <v>16</v>
          </cell>
          <cell r="E262">
            <v>15</v>
          </cell>
          <cell r="F262">
            <v>25</v>
          </cell>
          <cell r="G262">
            <v>25</v>
          </cell>
          <cell r="H262">
            <v>0.4</v>
          </cell>
          <cell r="J262">
            <v>1.4285714285714286</v>
          </cell>
          <cell r="K262">
            <v>1</v>
          </cell>
          <cell r="L262">
            <v>46041</v>
          </cell>
          <cell r="M262" t="str">
            <v>RIVULIS</v>
          </cell>
        </row>
        <row r="263">
          <cell r="B263">
            <v>300400</v>
          </cell>
          <cell r="D263">
            <v>16</v>
          </cell>
          <cell r="E263">
            <v>14</v>
          </cell>
          <cell r="F263">
            <v>10</v>
          </cell>
          <cell r="G263">
            <v>20</v>
          </cell>
          <cell r="H263">
            <v>0.4</v>
          </cell>
          <cell r="J263">
            <v>1.1428571428571428</v>
          </cell>
          <cell r="K263">
            <v>2</v>
          </cell>
          <cell r="L263">
            <v>46041</v>
          </cell>
          <cell r="M263" t="str">
            <v>RIVULIS</v>
          </cell>
        </row>
        <row r="264">
          <cell r="B264">
            <v>700500</v>
          </cell>
          <cell r="D264">
            <v>16</v>
          </cell>
          <cell r="E264">
            <v>15</v>
          </cell>
          <cell r="F264">
            <v>15</v>
          </cell>
          <cell r="G264">
            <v>15</v>
          </cell>
          <cell r="H264">
            <v>0.56999999999999995</v>
          </cell>
          <cell r="J264">
            <v>1.2214285714285713</v>
          </cell>
          <cell r="K264">
            <v>1</v>
          </cell>
          <cell r="L264">
            <v>46041</v>
          </cell>
          <cell r="M264" t="str">
            <v>RIVULIS</v>
          </cell>
        </row>
        <row r="265">
          <cell r="B265">
            <v>700400</v>
          </cell>
          <cell r="D265">
            <v>13</v>
          </cell>
          <cell r="E265">
            <v>11</v>
          </cell>
          <cell r="F265">
            <v>25</v>
          </cell>
          <cell r="G265">
            <v>50</v>
          </cell>
          <cell r="H265">
            <v>0.48</v>
          </cell>
          <cell r="J265">
            <v>3.4285714285714284</v>
          </cell>
          <cell r="K265">
            <v>2</v>
          </cell>
          <cell r="L265">
            <v>46041</v>
          </cell>
          <cell r="M265" t="str">
            <v>RIVULIS</v>
          </cell>
        </row>
        <row r="266">
          <cell r="B266">
            <v>700800</v>
          </cell>
          <cell r="D266">
            <v>14</v>
          </cell>
          <cell r="E266">
            <v>6</v>
          </cell>
          <cell r="F266">
            <v>20</v>
          </cell>
          <cell r="G266">
            <v>160</v>
          </cell>
          <cell r="H266">
            <v>0.38</v>
          </cell>
          <cell r="J266">
            <v>8.6857142857142851</v>
          </cell>
          <cell r="K266">
            <v>8</v>
          </cell>
          <cell r="L266">
            <v>46041</v>
          </cell>
          <cell r="M266" t="str">
            <v>RIVULIS</v>
          </cell>
        </row>
        <row r="267">
          <cell r="B267">
            <v>700700</v>
          </cell>
          <cell r="D267">
            <v>15</v>
          </cell>
          <cell r="E267">
            <v>15</v>
          </cell>
          <cell r="F267">
            <v>25</v>
          </cell>
          <cell r="G267">
            <v>0</v>
          </cell>
          <cell r="H267">
            <v>0.44</v>
          </cell>
          <cell r="J267">
            <v>0</v>
          </cell>
          <cell r="K267">
            <v>0</v>
          </cell>
          <cell r="L267">
            <v>46041</v>
          </cell>
          <cell r="M267" t="str">
            <v>RIVULIS</v>
          </cell>
        </row>
        <row r="268">
          <cell r="B268">
            <v>700200</v>
          </cell>
          <cell r="D268">
            <v>14</v>
          </cell>
          <cell r="E268">
            <v>14</v>
          </cell>
          <cell r="F268">
            <v>25</v>
          </cell>
          <cell r="G268">
            <v>0</v>
          </cell>
          <cell r="H268">
            <v>0.44</v>
          </cell>
          <cell r="J268">
            <v>0</v>
          </cell>
          <cell r="K268">
            <v>0</v>
          </cell>
          <cell r="L268">
            <v>46041</v>
          </cell>
          <cell r="M268" t="str">
            <v>RIVULIS</v>
          </cell>
        </row>
        <row r="269">
          <cell r="B269">
            <v>800500</v>
          </cell>
          <cell r="D269">
            <v>17</v>
          </cell>
          <cell r="E269">
            <v>13</v>
          </cell>
          <cell r="F269">
            <v>10</v>
          </cell>
          <cell r="G269">
            <v>40</v>
          </cell>
          <cell r="H269">
            <v>0.7</v>
          </cell>
          <cell r="J269">
            <v>4</v>
          </cell>
          <cell r="K269">
            <v>4</v>
          </cell>
          <cell r="L269">
            <v>46041</v>
          </cell>
          <cell r="M269" t="str">
            <v>RIVULIS</v>
          </cell>
        </row>
        <row r="270">
          <cell r="B270">
            <v>800700</v>
          </cell>
          <cell r="D270">
            <v>16</v>
          </cell>
          <cell r="E270">
            <v>15</v>
          </cell>
          <cell r="F270">
            <v>20</v>
          </cell>
          <cell r="G270">
            <v>20</v>
          </cell>
          <cell r="H270">
            <v>0.55000000000000004</v>
          </cell>
          <cell r="J270">
            <v>1.5714285714285714</v>
          </cell>
          <cell r="K270">
            <v>1</v>
          </cell>
          <cell r="L270">
            <v>46041</v>
          </cell>
          <cell r="M270" t="str">
            <v>RIVULIS</v>
          </cell>
        </row>
        <row r="271">
          <cell r="B271">
            <v>800400</v>
          </cell>
          <cell r="D271">
            <v>17</v>
          </cell>
          <cell r="E271">
            <v>16</v>
          </cell>
          <cell r="F271">
            <v>20</v>
          </cell>
          <cell r="G271">
            <v>20</v>
          </cell>
          <cell r="H271">
            <v>0.55000000000000004</v>
          </cell>
          <cell r="J271">
            <v>1.5714285714285714</v>
          </cell>
          <cell r="K271">
            <v>1</v>
          </cell>
          <cell r="L271">
            <v>46041</v>
          </cell>
          <cell r="M271" t="str">
            <v>RIVULIS</v>
          </cell>
        </row>
        <row r="272">
          <cell r="B272">
            <v>800601</v>
          </cell>
          <cell r="D272">
            <v>10</v>
          </cell>
          <cell r="E272">
            <v>7</v>
          </cell>
          <cell r="F272">
            <v>15</v>
          </cell>
          <cell r="G272">
            <v>45</v>
          </cell>
          <cell r="H272">
            <v>0.55000000000000004</v>
          </cell>
          <cell r="J272">
            <v>3.535714285714286</v>
          </cell>
          <cell r="K272">
            <v>3</v>
          </cell>
          <cell r="L272">
            <v>46041</v>
          </cell>
          <cell r="M272" t="str">
            <v>RIVULIS</v>
          </cell>
        </row>
        <row r="273">
          <cell r="B273">
            <v>800600</v>
          </cell>
          <cell r="D273">
            <v>17</v>
          </cell>
          <cell r="E273">
            <v>16</v>
          </cell>
          <cell r="F273">
            <v>15</v>
          </cell>
          <cell r="G273">
            <v>15</v>
          </cell>
          <cell r="H273">
            <v>0.55000000000000004</v>
          </cell>
          <cell r="J273">
            <v>1.1785714285714286</v>
          </cell>
          <cell r="K273">
            <v>1</v>
          </cell>
          <cell r="L273">
            <v>46041</v>
          </cell>
          <cell r="M273" t="str">
            <v>RIVULIS</v>
          </cell>
        </row>
        <row r="274">
          <cell r="B274">
            <v>800800</v>
          </cell>
          <cell r="D274">
            <v>16</v>
          </cell>
          <cell r="E274">
            <v>15</v>
          </cell>
          <cell r="F274">
            <v>15</v>
          </cell>
          <cell r="G274">
            <v>15</v>
          </cell>
          <cell r="H274">
            <v>0.35</v>
          </cell>
          <cell r="J274">
            <v>0.75</v>
          </cell>
          <cell r="K274">
            <v>1</v>
          </cell>
          <cell r="L274">
            <v>46041</v>
          </cell>
          <cell r="M274" t="str">
            <v>RIVULIS</v>
          </cell>
        </row>
        <row r="275">
          <cell r="B275">
            <v>801000</v>
          </cell>
          <cell r="D275">
            <v>12</v>
          </cell>
          <cell r="E275">
            <v>6</v>
          </cell>
          <cell r="F275">
            <v>15</v>
          </cell>
          <cell r="G275">
            <v>90</v>
          </cell>
          <cell r="H275">
            <v>0.4</v>
          </cell>
          <cell r="J275">
            <v>5.1428571428571432</v>
          </cell>
          <cell r="K275">
            <v>6</v>
          </cell>
          <cell r="L275">
            <v>46041</v>
          </cell>
          <cell r="M275" t="str">
            <v>RIVULIS</v>
          </cell>
        </row>
        <row r="276">
          <cell r="B276">
            <v>801100</v>
          </cell>
          <cell r="D276">
            <v>13</v>
          </cell>
          <cell r="E276">
            <v>8</v>
          </cell>
          <cell r="F276">
            <v>20</v>
          </cell>
          <cell r="G276">
            <v>100</v>
          </cell>
          <cell r="H276">
            <v>0.5</v>
          </cell>
          <cell r="J276">
            <v>7.1428571428571432</v>
          </cell>
          <cell r="K276">
            <v>5</v>
          </cell>
          <cell r="L276">
            <v>46041</v>
          </cell>
          <cell r="M276" t="str">
            <v>RIVULIS</v>
          </cell>
        </row>
        <row r="277">
          <cell r="B277">
            <v>801200</v>
          </cell>
          <cell r="D277">
            <v>16</v>
          </cell>
          <cell r="E277">
            <v>9</v>
          </cell>
          <cell r="F277">
            <v>20</v>
          </cell>
          <cell r="G277">
            <v>140</v>
          </cell>
          <cell r="H277">
            <v>0.55000000000000004</v>
          </cell>
          <cell r="J277">
            <v>11</v>
          </cell>
          <cell r="K277">
            <v>7</v>
          </cell>
          <cell r="L277">
            <v>46041</v>
          </cell>
          <cell r="M277" t="str">
            <v>RIVULIS</v>
          </cell>
        </row>
        <row r="278">
          <cell r="B278">
            <v>800200</v>
          </cell>
          <cell r="D278">
            <v>15</v>
          </cell>
          <cell r="E278">
            <v>7</v>
          </cell>
          <cell r="F278">
            <v>20</v>
          </cell>
          <cell r="G278">
            <v>160</v>
          </cell>
          <cell r="H278">
            <v>0.65</v>
          </cell>
          <cell r="J278">
            <v>14.857142857142858</v>
          </cell>
          <cell r="K278">
            <v>8</v>
          </cell>
          <cell r="L278">
            <v>46041</v>
          </cell>
          <cell r="M278" t="str">
            <v>RIVULIS</v>
          </cell>
        </row>
        <row r="279">
          <cell r="B279">
            <v>100200</v>
          </cell>
          <cell r="D279">
            <v>6</v>
          </cell>
          <cell r="E279">
            <v>5</v>
          </cell>
          <cell r="F279">
            <v>15</v>
          </cell>
          <cell r="G279">
            <v>15</v>
          </cell>
          <cell r="H279">
            <v>0.8</v>
          </cell>
          <cell r="J279">
            <v>1.7142857142857142</v>
          </cell>
          <cell r="K279">
            <v>1</v>
          </cell>
          <cell r="L279">
            <v>46041</v>
          </cell>
          <cell r="M279" t="str">
            <v>RIVULIS</v>
          </cell>
        </row>
        <row r="280">
          <cell r="B280">
            <v>100200</v>
          </cell>
          <cell r="D280">
            <v>6</v>
          </cell>
          <cell r="E280">
            <v>4</v>
          </cell>
          <cell r="F280">
            <v>15</v>
          </cell>
          <cell r="G280">
            <v>30</v>
          </cell>
          <cell r="H280">
            <v>0.8</v>
          </cell>
          <cell r="J280">
            <v>3.4285714285714284</v>
          </cell>
          <cell r="K280">
            <v>2</v>
          </cell>
          <cell r="L280">
            <v>46041</v>
          </cell>
          <cell r="M280" t="str">
            <v>RIVULIS</v>
          </cell>
        </row>
        <row r="281">
          <cell r="B281">
            <v>100900</v>
          </cell>
          <cell r="D281">
            <v>7</v>
          </cell>
          <cell r="E281">
            <v>6</v>
          </cell>
          <cell r="F281">
            <v>20</v>
          </cell>
          <cell r="G281">
            <v>20</v>
          </cell>
          <cell r="H281">
            <v>0.3</v>
          </cell>
          <cell r="J281">
            <v>0.8571428571428571</v>
          </cell>
          <cell r="K281">
            <v>1</v>
          </cell>
          <cell r="L281">
            <v>46041</v>
          </cell>
          <cell r="M281" t="str">
            <v>RIVULIS</v>
          </cell>
        </row>
        <row r="282">
          <cell r="B282">
            <v>100300</v>
          </cell>
          <cell r="D282">
            <v>7</v>
          </cell>
          <cell r="E282">
            <v>5</v>
          </cell>
          <cell r="F282">
            <v>25</v>
          </cell>
          <cell r="G282">
            <v>50</v>
          </cell>
          <cell r="H282">
            <v>0.36</v>
          </cell>
          <cell r="J282">
            <v>2.5714285714285716</v>
          </cell>
          <cell r="K282">
            <v>2</v>
          </cell>
          <cell r="L282">
            <v>46041</v>
          </cell>
          <cell r="M282" t="str">
            <v>RIVULIS</v>
          </cell>
        </row>
        <row r="283">
          <cell r="B283">
            <v>100800</v>
          </cell>
          <cell r="D283">
            <v>8</v>
          </cell>
          <cell r="E283">
            <v>4</v>
          </cell>
          <cell r="F283">
            <v>18</v>
          </cell>
          <cell r="G283">
            <v>72</v>
          </cell>
          <cell r="H283">
            <v>0.81</v>
          </cell>
          <cell r="J283">
            <v>8.3314285714285727</v>
          </cell>
          <cell r="K283">
            <v>4</v>
          </cell>
          <cell r="L283">
            <v>46041</v>
          </cell>
          <cell r="M283" t="str">
            <v>RIVULIS</v>
          </cell>
        </row>
        <row r="284">
          <cell r="B284">
            <v>801300</v>
          </cell>
          <cell r="D284">
            <v>7</v>
          </cell>
          <cell r="E284">
            <v>0</v>
          </cell>
          <cell r="F284">
            <v>30</v>
          </cell>
          <cell r="G284">
            <v>210</v>
          </cell>
          <cell r="H284">
            <v>0.5</v>
          </cell>
          <cell r="J284">
            <v>15</v>
          </cell>
          <cell r="K284">
            <v>7</v>
          </cell>
          <cell r="L284">
            <v>46041</v>
          </cell>
          <cell r="M284" t="str">
            <v>RIVULIS</v>
          </cell>
        </row>
        <row r="286">
          <cell r="B286">
            <v>100200</v>
          </cell>
          <cell r="D286">
            <v>6</v>
          </cell>
          <cell r="E286">
            <v>5</v>
          </cell>
          <cell r="F286">
            <v>20</v>
          </cell>
          <cell r="G286">
            <v>20</v>
          </cell>
          <cell r="H286">
            <v>0.84642857142857131</v>
          </cell>
          <cell r="J286">
            <v>2.4183673469387754</v>
          </cell>
          <cell r="K286">
            <v>1</v>
          </cell>
          <cell r="L286">
            <v>46041</v>
          </cell>
          <cell r="M286" t="str">
            <v>ECCE</v>
          </cell>
        </row>
        <row r="287">
          <cell r="B287">
            <v>100800</v>
          </cell>
          <cell r="D287">
            <v>5</v>
          </cell>
          <cell r="E287">
            <v>5</v>
          </cell>
          <cell r="F287">
            <v>20</v>
          </cell>
          <cell r="G287">
            <v>0</v>
          </cell>
          <cell r="H287">
            <v>0.84</v>
          </cell>
          <cell r="J287">
            <v>0</v>
          </cell>
          <cell r="K287">
            <v>0</v>
          </cell>
          <cell r="L287">
            <v>46041</v>
          </cell>
          <cell r="M287" t="str">
            <v>ECCE</v>
          </cell>
        </row>
        <row r="288">
          <cell r="B288">
            <v>200200</v>
          </cell>
          <cell r="D288">
            <v>12</v>
          </cell>
          <cell r="E288">
            <v>8</v>
          </cell>
          <cell r="F288">
            <v>60</v>
          </cell>
          <cell r="G288">
            <v>240</v>
          </cell>
          <cell r="H288">
            <v>0.63</v>
          </cell>
          <cell r="J288">
            <v>21.599999999999998</v>
          </cell>
          <cell r="K288">
            <v>4</v>
          </cell>
          <cell r="L288">
            <v>46041</v>
          </cell>
          <cell r="M288" t="str">
            <v>ECCE</v>
          </cell>
        </row>
        <row r="289">
          <cell r="B289">
            <v>200100</v>
          </cell>
          <cell r="D289">
            <v>1</v>
          </cell>
          <cell r="E289">
            <v>1</v>
          </cell>
          <cell r="F289">
            <v>180</v>
          </cell>
          <cell r="G289">
            <v>0</v>
          </cell>
          <cell r="H289">
            <v>0.27</v>
          </cell>
          <cell r="J289">
            <v>0</v>
          </cell>
          <cell r="K289">
            <v>0</v>
          </cell>
          <cell r="L289">
            <v>46041</v>
          </cell>
          <cell r="M289" t="str">
            <v>ECCE</v>
          </cell>
        </row>
        <row r="290">
          <cell r="B290">
            <v>100300</v>
          </cell>
          <cell r="D290">
            <v>8</v>
          </cell>
          <cell r="E290">
            <v>1</v>
          </cell>
          <cell r="F290">
            <v>25</v>
          </cell>
          <cell r="G290">
            <v>175</v>
          </cell>
          <cell r="H290">
            <v>0.35</v>
          </cell>
          <cell r="J290">
            <v>8.7499999999999982</v>
          </cell>
          <cell r="K290">
            <v>7</v>
          </cell>
          <cell r="L290">
            <v>46041</v>
          </cell>
          <cell r="M290" t="str">
            <v>ECCE</v>
          </cell>
        </row>
        <row r="291">
          <cell r="B291">
            <v>800100</v>
          </cell>
          <cell r="D291">
            <v>15</v>
          </cell>
          <cell r="E291">
            <v>8</v>
          </cell>
          <cell r="F291">
            <v>25</v>
          </cell>
          <cell r="G291">
            <v>175</v>
          </cell>
          <cell r="H291">
            <v>0.56000000000000005</v>
          </cell>
          <cell r="J291">
            <v>14.000000000000002</v>
          </cell>
          <cell r="K291">
            <v>7</v>
          </cell>
          <cell r="L291">
            <v>46041</v>
          </cell>
          <cell r="M291" t="str">
            <v>ECCE</v>
          </cell>
        </row>
        <row r="292">
          <cell r="B292">
            <v>300200</v>
          </cell>
          <cell r="D292">
            <v>13</v>
          </cell>
          <cell r="E292">
            <v>9</v>
          </cell>
          <cell r="F292">
            <v>20</v>
          </cell>
          <cell r="G292">
            <v>80</v>
          </cell>
          <cell r="H292">
            <v>0.63</v>
          </cell>
          <cell r="J292">
            <v>7.2</v>
          </cell>
          <cell r="K292">
            <v>4</v>
          </cell>
          <cell r="L292">
            <v>46041</v>
          </cell>
          <cell r="M292" t="str">
            <v>ECCE</v>
          </cell>
        </row>
        <row r="293">
          <cell r="B293">
            <v>900300</v>
          </cell>
          <cell r="D293">
            <v>15</v>
          </cell>
          <cell r="E293">
            <v>10</v>
          </cell>
          <cell r="F293">
            <v>25</v>
          </cell>
          <cell r="G293">
            <v>125</v>
          </cell>
          <cell r="H293">
            <v>0.4</v>
          </cell>
          <cell r="J293">
            <v>7.1428571428571432</v>
          </cell>
          <cell r="K293">
            <v>5</v>
          </cell>
          <cell r="L293">
            <v>46041</v>
          </cell>
          <cell r="M293" t="str">
            <v>ECCE</v>
          </cell>
        </row>
        <row r="294">
          <cell r="B294">
            <v>400200</v>
          </cell>
          <cell r="D294">
            <v>6</v>
          </cell>
          <cell r="E294">
            <v>3</v>
          </cell>
          <cell r="F294">
            <v>160</v>
          </cell>
          <cell r="G294">
            <v>480</v>
          </cell>
          <cell r="H294">
            <v>0.38</v>
          </cell>
          <cell r="J294">
            <v>26.057142857142857</v>
          </cell>
          <cell r="K294">
            <v>3</v>
          </cell>
          <cell r="L294">
            <v>46041</v>
          </cell>
          <cell r="M294" t="str">
            <v>ECCE</v>
          </cell>
        </row>
        <row r="295">
          <cell r="B295">
            <v>400100</v>
          </cell>
          <cell r="D295">
            <v>5</v>
          </cell>
          <cell r="E295">
            <v>5</v>
          </cell>
          <cell r="F295">
            <v>160</v>
          </cell>
          <cell r="G295">
            <v>0</v>
          </cell>
          <cell r="H295">
            <v>0.38</v>
          </cell>
          <cell r="J295">
            <v>0</v>
          </cell>
          <cell r="K295">
            <v>0</v>
          </cell>
          <cell r="L295">
            <v>46041</v>
          </cell>
          <cell r="M295" t="str">
            <v>ECCE</v>
          </cell>
        </row>
        <row r="296">
          <cell r="B296">
            <v>300700</v>
          </cell>
          <cell r="D296">
            <v>12</v>
          </cell>
          <cell r="E296">
            <v>12</v>
          </cell>
          <cell r="F296">
            <v>10</v>
          </cell>
          <cell r="G296">
            <v>0</v>
          </cell>
          <cell r="H296">
            <v>0.78</v>
          </cell>
          <cell r="J296">
            <v>0</v>
          </cell>
          <cell r="K296">
            <v>0</v>
          </cell>
          <cell r="L296">
            <v>46041</v>
          </cell>
          <cell r="M296" t="str">
            <v>ECCE</v>
          </cell>
        </row>
        <row r="297">
          <cell r="B297">
            <v>300500</v>
          </cell>
          <cell r="D297">
            <v>10</v>
          </cell>
          <cell r="E297">
            <v>8</v>
          </cell>
          <cell r="F297">
            <v>15</v>
          </cell>
          <cell r="G297">
            <v>30</v>
          </cell>
          <cell r="H297">
            <v>0.5</v>
          </cell>
          <cell r="J297">
            <v>2.1428571428571428</v>
          </cell>
          <cell r="K297">
            <v>2</v>
          </cell>
          <cell r="L297">
            <v>46041</v>
          </cell>
          <cell r="M297" t="str">
            <v>ECCE</v>
          </cell>
        </row>
        <row r="298">
          <cell r="B298">
            <v>700700</v>
          </cell>
          <cell r="D298">
            <v>10</v>
          </cell>
          <cell r="E298">
            <v>9</v>
          </cell>
          <cell r="F298">
            <v>25</v>
          </cell>
          <cell r="G298">
            <v>25</v>
          </cell>
          <cell r="H298">
            <v>0.6</v>
          </cell>
          <cell r="J298">
            <v>2.1428571428571428</v>
          </cell>
          <cell r="K298">
            <v>1</v>
          </cell>
          <cell r="L298">
            <v>46041</v>
          </cell>
          <cell r="M298" t="str">
            <v>ECCE</v>
          </cell>
        </row>
        <row r="299">
          <cell r="B299">
            <v>700800</v>
          </cell>
          <cell r="D299">
            <v>9</v>
          </cell>
          <cell r="E299">
            <v>7</v>
          </cell>
          <cell r="F299">
            <v>25</v>
          </cell>
          <cell r="G299">
            <v>50</v>
          </cell>
          <cell r="H299">
            <v>0.5</v>
          </cell>
          <cell r="J299">
            <v>3.5714285714285716</v>
          </cell>
          <cell r="K299">
            <v>2</v>
          </cell>
          <cell r="L299">
            <v>46041</v>
          </cell>
          <cell r="M299" t="str">
            <v>ECCE</v>
          </cell>
        </row>
        <row r="300">
          <cell r="B300">
            <v>700200</v>
          </cell>
          <cell r="D300">
            <v>14</v>
          </cell>
          <cell r="E300">
            <v>10</v>
          </cell>
          <cell r="F300">
            <v>25</v>
          </cell>
          <cell r="G300">
            <v>100</v>
          </cell>
          <cell r="H300">
            <v>0.44</v>
          </cell>
          <cell r="J300">
            <v>6.2857142857142856</v>
          </cell>
          <cell r="K300">
            <v>4</v>
          </cell>
          <cell r="L300">
            <v>46041</v>
          </cell>
          <cell r="M300" t="str">
            <v>ECCE</v>
          </cell>
        </row>
        <row r="301">
          <cell r="B301">
            <v>700100</v>
          </cell>
          <cell r="D301">
            <v>16</v>
          </cell>
          <cell r="E301">
            <v>14</v>
          </cell>
          <cell r="F301">
            <v>30</v>
          </cell>
          <cell r="G301">
            <v>60</v>
          </cell>
          <cell r="H301">
            <v>0.56000000000000005</v>
          </cell>
          <cell r="J301">
            <v>4.8</v>
          </cell>
          <cell r="K301">
            <v>2</v>
          </cell>
          <cell r="L301">
            <v>46041</v>
          </cell>
          <cell r="M301" t="str">
            <v>ECCE</v>
          </cell>
        </row>
        <row r="302">
          <cell r="B302">
            <v>700400</v>
          </cell>
          <cell r="D302">
            <v>13</v>
          </cell>
          <cell r="E302">
            <v>13</v>
          </cell>
          <cell r="F302">
            <v>25</v>
          </cell>
          <cell r="G302">
            <v>0</v>
          </cell>
          <cell r="H302">
            <v>0.51875000000000004</v>
          </cell>
          <cell r="J302">
            <v>0</v>
          </cell>
          <cell r="K302">
            <v>0</v>
          </cell>
          <cell r="L302">
            <v>46041</v>
          </cell>
          <cell r="M302" t="str">
            <v>ECCE</v>
          </cell>
        </row>
        <row r="303">
          <cell r="B303">
            <v>700500</v>
          </cell>
          <cell r="D303">
            <v>15</v>
          </cell>
          <cell r="E303">
            <v>12</v>
          </cell>
          <cell r="F303">
            <v>15</v>
          </cell>
          <cell r="G303">
            <v>45</v>
          </cell>
          <cell r="H303">
            <v>0.62</v>
          </cell>
          <cell r="J303">
            <v>3.9857142857142853</v>
          </cell>
          <cell r="K303">
            <v>3</v>
          </cell>
          <cell r="L303">
            <v>46041</v>
          </cell>
          <cell r="M303" t="str">
            <v>ECCE</v>
          </cell>
        </row>
        <row r="304">
          <cell r="B304">
            <v>500100</v>
          </cell>
          <cell r="D304">
            <v>5</v>
          </cell>
          <cell r="E304">
            <v>5</v>
          </cell>
          <cell r="F304">
            <v>250</v>
          </cell>
          <cell r="G304">
            <v>0</v>
          </cell>
          <cell r="H304">
            <v>0.53200000000000003</v>
          </cell>
          <cell r="J304">
            <v>0</v>
          </cell>
          <cell r="K304">
            <v>0</v>
          </cell>
          <cell r="L304">
            <v>46041</v>
          </cell>
          <cell r="M304" t="str">
            <v>ECCE</v>
          </cell>
        </row>
        <row r="305">
          <cell r="B305">
            <v>100600</v>
          </cell>
          <cell r="D305">
            <v>6</v>
          </cell>
          <cell r="E305">
            <v>2</v>
          </cell>
          <cell r="F305">
            <v>20</v>
          </cell>
          <cell r="G305">
            <v>80</v>
          </cell>
          <cell r="H305">
            <v>0.46</v>
          </cell>
          <cell r="J305">
            <v>5.257142857142858</v>
          </cell>
          <cell r="K305">
            <v>4</v>
          </cell>
          <cell r="L305">
            <v>46041</v>
          </cell>
          <cell r="M305" t="str">
            <v>ECCE</v>
          </cell>
        </row>
        <row r="306">
          <cell r="B306">
            <v>100600</v>
          </cell>
          <cell r="D306">
            <v>6</v>
          </cell>
          <cell r="E306">
            <v>4</v>
          </cell>
          <cell r="F306">
            <v>20</v>
          </cell>
          <cell r="G306">
            <v>40</v>
          </cell>
          <cell r="H306">
            <v>0.46</v>
          </cell>
          <cell r="J306">
            <v>2.628571428571429</v>
          </cell>
          <cell r="K306">
            <v>2</v>
          </cell>
          <cell r="L306">
            <v>46041</v>
          </cell>
          <cell r="M306" t="str">
            <v>ECCE</v>
          </cell>
        </row>
        <row r="307">
          <cell r="B307">
            <v>800500</v>
          </cell>
          <cell r="D307">
            <v>11</v>
          </cell>
          <cell r="E307">
            <v>11</v>
          </cell>
          <cell r="F307">
            <v>10</v>
          </cell>
          <cell r="G307">
            <v>0</v>
          </cell>
          <cell r="H307">
            <v>0.7</v>
          </cell>
          <cell r="J307">
            <v>0</v>
          </cell>
          <cell r="K307">
            <v>0</v>
          </cell>
          <cell r="L307">
            <v>46041</v>
          </cell>
          <cell r="M307" t="str">
            <v>ECCE</v>
          </cell>
        </row>
        <row r="308">
          <cell r="B308">
            <v>800600</v>
          </cell>
          <cell r="D308">
            <v>10</v>
          </cell>
          <cell r="E308">
            <v>6</v>
          </cell>
          <cell r="F308">
            <v>20</v>
          </cell>
          <cell r="G308">
            <v>80</v>
          </cell>
          <cell r="H308">
            <v>0.65</v>
          </cell>
          <cell r="J308">
            <v>4.5714285714285712</v>
          </cell>
          <cell r="K308">
            <v>4</v>
          </cell>
          <cell r="L308">
            <v>46041</v>
          </cell>
          <cell r="M308" t="str">
            <v>ECCE</v>
          </cell>
        </row>
        <row r="309">
          <cell r="B309">
            <v>800200</v>
          </cell>
          <cell r="D309">
            <v>18</v>
          </cell>
          <cell r="E309">
            <v>8</v>
          </cell>
          <cell r="F309">
            <v>20</v>
          </cell>
          <cell r="G309">
            <v>200</v>
          </cell>
          <cell r="H309">
            <v>0.65</v>
          </cell>
          <cell r="J309">
            <v>18.571428571428573</v>
          </cell>
          <cell r="K309">
            <v>10</v>
          </cell>
          <cell r="L309">
            <v>46041</v>
          </cell>
          <cell r="M309" t="str">
            <v>ECCE</v>
          </cell>
        </row>
        <row r="310">
          <cell r="B310">
            <v>800800</v>
          </cell>
          <cell r="D310">
            <v>12</v>
          </cell>
          <cell r="E310">
            <v>4</v>
          </cell>
          <cell r="F310">
            <v>10</v>
          </cell>
          <cell r="G310">
            <v>80</v>
          </cell>
          <cell r="H310">
            <v>0.66</v>
          </cell>
          <cell r="J310">
            <v>7.5428571428571436</v>
          </cell>
          <cell r="K310">
            <v>8</v>
          </cell>
          <cell r="L310">
            <v>46041</v>
          </cell>
          <cell r="M310" t="str">
            <v>ECCE</v>
          </cell>
        </row>
        <row r="311">
          <cell r="B311">
            <v>300300</v>
          </cell>
          <cell r="D311">
            <v>9</v>
          </cell>
          <cell r="E311">
            <v>8</v>
          </cell>
          <cell r="F311">
            <v>15</v>
          </cell>
          <cell r="G311">
            <v>15</v>
          </cell>
          <cell r="H311">
            <v>0.55000000000000004</v>
          </cell>
          <cell r="J311">
            <v>1.1785714285714286</v>
          </cell>
          <cell r="K311">
            <v>1</v>
          </cell>
          <cell r="L311">
            <v>46041</v>
          </cell>
          <cell r="M311" t="str">
            <v>ECCE</v>
          </cell>
        </row>
        <row r="312">
          <cell r="B312">
            <v>600100</v>
          </cell>
          <cell r="D312">
            <v>13</v>
          </cell>
          <cell r="E312">
            <v>4</v>
          </cell>
          <cell r="F312">
            <v>25</v>
          </cell>
          <cell r="G312">
            <v>225</v>
          </cell>
          <cell r="H312">
            <v>0.44</v>
          </cell>
          <cell r="J312">
            <v>14.142857142857142</v>
          </cell>
          <cell r="K312">
            <v>9</v>
          </cell>
          <cell r="L312">
            <v>46041</v>
          </cell>
          <cell r="M312" t="str">
            <v>ECCE</v>
          </cell>
        </row>
        <row r="313">
          <cell r="B313">
            <v>600500</v>
          </cell>
          <cell r="D313">
            <v>18</v>
          </cell>
          <cell r="E313">
            <v>5</v>
          </cell>
          <cell r="F313">
            <v>25</v>
          </cell>
          <cell r="G313">
            <v>325</v>
          </cell>
          <cell r="H313">
            <v>0.5</v>
          </cell>
          <cell r="J313">
            <v>23.214285714285715</v>
          </cell>
          <cell r="K313">
            <v>13</v>
          </cell>
          <cell r="L313">
            <v>46041</v>
          </cell>
          <cell r="M313" t="str">
            <v>ECCE</v>
          </cell>
        </row>
        <row r="314">
          <cell r="B314">
            <v>300400</v>
          </cell>
          <cell r="D314">
            <v>17</v>
          </cell>
          <cell r="E314">
            <v>16</v>
          </cell>
          <cell r="F314">
            <v>10</v>
          </cell>
          <cell r="G314">
            <v>10</v>
          </cell>
          <cell r="H314">
            <v>0.4</v>
          </cell>
          <cell r="J314">
            <v>0.5714285714285714</v>
          </cell>
          <cell r="K314">
            <v>1</v>
          </cell>
          <cell r="L314">
            <v>46041</v>
          </cell>
          <cell r="M314" t="str">
            <v>ECCE</v>
          </cell>
        </row>
        <row r="315">
          <cell r="B315">
            <v>300100</v>
          </cell>
          <cell r="D315">
            <v>11</v>
          </cell>
          <cell r="E315">
            <v>11</v>
          </cell>
          <cell r="F315">
            <v>15</v>
          </cell>
          <cell r="G315">
            <v>0</v>
          </cell>
          <cell r="H315">
            <v>0.56999999999999995</v>
          </cell>
          <cell r="J315">
            <v>0</v>
          </cell>
          <cell r="K315">
            <v>0</v>
          </cell>
          <cell r="L315">
            <v>46041</v>
          </cell>
          <cell r="M315" t="str">
            <v>ECCE</v>
          </cell>
        </row>
        <row r="316">
          <cell r="B316">
            <v>100400</v>
          </cell>
          <cell r="D316">
            <v>7</v>
          </cell>
          <cell r="E316">
            <v>6</v>
          </cell>
          <cell r="F316">
            <v>15</v>
          </cell>
          <cell r="G316">
            <v>15</v>
          </cell>
          <cell r="H316">
            <v>0.66</v>
          </cell>
          <cell r="J316">
            <v>1.4142857142857144</v>
          </cell>
          <cell r="K316">
            <v>1</v>
          </cell>
          <cell r="L316">
            <v>46041</v>
          </cell>
          <cell r="M316" t="str">
            <v>ECCE</v>
          </cell>
        </row>
        <row r="317">
          <cell r="B317">
            <v>100400</v>
          </cell>
          <cell r="D317">
            <v>7</v>
          </cell>
          <cell r="E317">
            <v>6</v>
          </cell>
          <cell r="F317">
            <v>15</v>
          </cell>
          <cell r="G317">
            <v>15</v>
          </cell>
          <cell r="H317">
            <v>0.66</v>
          </cell>
          <cell r="J317">
            <v>1.4142857142857144</v>
          </cell>
          <cell r="K317">
            <v>1</v>
          </cell>
          <cell r="L317">
            <v>46041</v>
          </cell>
          <cell r="M317" t="str">
            <v>ECCE</v>
          </cell>
        </row>
        <row r="318">
          <cell r="B318">
            <v>700600</v>
          </cell>
          <cell r="D318">
            <v>14</v>
          </cell>
          <cell r="E318">
            <v>13</v>
          </cell>
          <cell r="F318">
            <v>15</v>
          </cell>
          <cell r="G318">
            <v>15</v>
          </cell>
          <cell r="H318">
            <v>0.66</v>
          </cell>
          <cell r="J318">
            <v>1.4142857142857144</v>
          </cell>
          <cell r="K318">
            <v>1</v>
          </cell>
          <cell r="L318">
            <v>46041</v>
          </cell>
          <cell r="M318" t="str">
            <v>ECCE</v>
          </cell>
        </row>
        <row r="319">
          <cell r="B319">
            <v>800400</v>
          </cell>
          <cell r="D319">
            <v>16</v>
          </cell>
          <cell r="E319">
            <v>6</v>
          </cell>
          <cell r="F319">
            <v>20</v>
          </cell>
          <cell r="G319">
            <v>200</v>
          </cell>
          <cell r="H319">
            <v>0.55000000000000004</v>
          </cell>
          <cell r="J319">
            <v>15.714285714285717</v>
          </cell>
          <cell r="K319">
            <v>10</v>
          </cell>
          <cell r="L319">
            <v>46041</v>
          </cell>
          <cell r="M319" t="str">
            <v>ECCE</v>
          </cell>
        </row>
        <row r="320">
          <cell r="B320">
            <v>800700</v>
          </cell>
          <cell r="D320">
            <v>13</v>
          </cell>
          <cell r="E320">
            <v>13</v>
          </cell>
          <cell r="F320">
            <v>20</v>
          </cell>
          <cell r="G320">
            <v>0</v>
          </cell>
          <cell r="H320">
            <v>0.55000000000000004</v>
          </cell>
          <cell r="J320">
            <v>0</v>
          </cell>
          <cell r="K320">
            <v>0</v>
          </cell>
          <cell r="L320">
            <v>46041</v>
          </cell>
          <cell r="M320" t="str">
            <v>ECCE</v>
          </cell>
        </row>
        <row r="321">
          <cell r="B321">
            <v>701000</v>
          </cell>
          <cell r="D321">
            <v>5</v>
          </cell>
          <cell r="E321">
            <v>1</v>
          </cell>
          <cell r="F321">
            <v>13</v>
          </cell>
          <cell r="G321">
            <v>52</v>
          </cell>
          <cell r="H321">
            <v>0.46</v>
          </cell>
          <cell r="J321">
            <v>4.8285714285714292</v>
          </cell>
          <cell r="K321">
            <v>4</v>
          </cell>
          <cell r="L321">
            <v>46041</v>
          </cell>
          <cell r="M321" t="str">
            <v>ECCE</v>
          </cell>
        </row>
        <row r="323">
          <cell r="B323">
            <v>100200</v>
          </cell>
          <cell r="D323">
            <v>8</v>
          </cell>
          <cell r="E323">
            <v>5</v>
          </cell>
          <cell r="F323">
            <v>20</v>
          </cell>
          <cell r="G323">
            <v>60</v>
          </cell>
          <cell r="H323">
            <v>0.84642857142857131</v>
          </cell>
          <cell r="J323">
            <v>10.157142857142855</v>
          </cell>
          <cell r="K323">
            <v>4.2</v>
          </cell>
          <cell r="L323">
            <v>46046</v>
          </cell>
          <cell r="M323" t="str">
            <v>ECCE</v>
          </cell>
        </row>
        <row r="324">
          <cell r="B324">
            <v>100200</v>
          </cell>
          <cell r="D324">
            <v>5</v>
          </cell>
          <cell r="E324">
            <v>4</v>
          </cell>
          <cell r="F324">
            <v>20</v>
          </cell>
          <cell r="G324">
            <v>20</v>
          </cell>
          <cell r="H324">
            <v>0.84</v>
          </cell>
          <cell r="J324">
            <v>3.3600000000000003</v>
          </cell>
          <cell r="K324">
            <v>1.4000000000000001</v>
          </cell>
          <cell r="L324">
            <v>46046</v>
          </cell>
          <cell r="M324" t="str">
            <v>ECCE</v>
          </cell>
        </row>
        <row r="325">
          <cell r="B325">
            <v>200200</v>
          </cell>
          <cell r="D325">
            <v>8</v>
          </cell>
          <cell r="E325">
            <v>8</v>
          </cell>
          <cell r="F325">
            <v>60</v>
          </cell>
          <cell r="G325">
            <v>0</v>
          </cell>
          <cell r="H325">
            <v>0.63</v>
          </cell>
          <cell r="J325">
            <v>0</v>
          </cell>
          <cell r="K325">
            <v>0</v>
          </cell>
          <cell r="L325">
            <v>46046</v>
          </cell>
          <cell r="M325" t="str">
            <v>ECCE</v>
          </cell>
        </row>
        <row r="326">
          <cell r="B326">
            <v>200100</v>
          </cell>
          <cell r="D326">
            <v>1</v>
          </cell>
          <cell r="E326">
            <v>1</v>
          </cell>
          <cell r="F326">
            <v>180</v>
          </cell>
          <cell r="G326">
            <v>0</v>
          </cell>
          <cell r="H326">
            <v>0.27</v>
          </cell>
          <cell r="J326">
            <v>0</v>
          </cell>
          <cell r="K326">
            <v>0</v>
          </cell>
          <cell r="L326">
            <v>46046</v>
          </cell>
          <cell r="M326" t="str">
            <v>ECCE</v>
          </cell>
        </row>
        <row r="327">
          <cell r="B327">
            <v>100300</v>
          </cell>
          <cell r="D327">
            <v>4</v>
          </cell>
          <cell r="E327">
            <v>4</v>
          </cell>
          <cell r="F327">
            <v>25</v>
          </cell>
          <cell r="G327">
            <v>0</v>
          </cell>
          <cell r="H327">
            <v>0.35</v>
          </cell>
          <cell r="J327">
            <v>0</v>
          </cell>
          <cell r="K327">
            <v>0</v>
          </cell>
          <cell r="L327">
            <v>46046</v>
          </cell>
          <cell r="M327" t="str">
            <v>ECCE</v>
          </cell>
        </row>
        <row r="328">
          <cell r="B328">
            <v>800100</v>
          </cell>
          <cell r="D328">
            <v>11</v>
          </cell>
          <cell r="E328">
            <v>10</v>
          </cell>
          <cell r="F328">
            <v>25</v>
          </cell>
          <cell r="G328">
            <v>25</v>
          </cell>
          <cell r="H328">
            <v>0.56000000000000005</v>
          </cell>
          <cell r="J328">
            <v>2.8000000000000003</v>
          </cell>
          <cell r="K328">
            <v>1.4000000000000001</v>
          </cell>
          <cell r="L328">
            <v>46046</v>
          </cell>
          <cell r="M328" t="str">
            <v>ECCE</v>
          </cell>
        </row>
        <row r="329">
          <cell r="B329">
            <v>300200</v>
          </cell>
          <cell r="D329">
            <v>9</v>
          </cell>
          <cell r="E329">
            <v>9</v>
          </cell>
          <cell r="F329">
            <v>20</v>
          </cell>
          <cell r="G329">
            <v>0</v>
          </cell>
          <cell r="H329">
            <v>0.63</v>
          </cell>
          <cell r="J329">
            <v>0</v>
          </cell>
          <cell r="K329">
            <v>0</v>
          </cell>
          <cell r="L329">
            <v>46046</v>
          </cell>
          <cell r="M329" t="str">
            <v>ECCE</v>
          </cell>
        </row>
        <row r="330">
          <cell r="B330">
            <v>900300</v>
          </cell>
          <cell r="D330">
            <v>10</v>
          </cell>
          <cell r="E330">
            <v>8</v>
          </cell>
          <cell r="F330">
            <v>25</v>
          </cell>
          <cell r="G330">
            <v>50</v>
          </cell>
          <cell r="H330">
            <v>0.4</v>
          </cell>
          <cell r="J330">
            <v>4</v>
          </cell>
          <cell r="K330">
            <v>2.8000000000000003</v>
          </cell>
          <cell r="L330">
            <v>46046</v>
          </cell>
          <cell r="M330" t="str">
            <v>ECCE</v>
          </cell>
        </row>
        <row r="331">
          <cell r="B331">
            <v>400200</v>
          </cell>
          <cell r="D331">
            <v>3</v>
          </cell>
          <cell r="E331">
            <v>2</v>
          </cell>
          <cell r="F331">
            <v>160</v>
          </cell>
          <cell r="G331">
            <v>160</v>
          </cell>
          <cell r="H331">
            <v>0.38</v>
          </cell>
          <cell r="J331">
            <v>12.16</v>
          </cell>
          <cell r="K331">
            <v>1.4000000000000001</v>
          </cell>
          <cell r="L331">
            <v>46046</v>
          </cell>
          <cell r="M331" t="str">
            <v>ECCE</v>
          </cell>
        </row>
        <row r="332">
          <cell r="B332">
            <v>400100</v>
          </cell>
          <cell r="D332">
            <v>5</v>
          </cell>
          <cell r="E332">
            <v>5</v>
          </cell>
          <cell r="F332">
            <v>160</v>
          </cell>
          <cell r="G332">
            <v>0</v>
          </cell>
          <cell r="H332">
            <v>0.38</v>
          </cell>
          <cell r="J332">
            <v>0</v>
          </cell>
          <cell r="K332">
            <v>0</v>
          </cell>
          <cell r="L332">
            <v>46046</v>
          </cell>
          <cell r="M332" t="str">
            <v>ECCE</v>
          </cell>
        </row>
        <row r="333">
          <cell r="B333">
            <v>300700</v>
          </cell>
          <cell r="D333">
            <v>12</v>
          </cell>
          <cell r="E333">
            <v>10</v>
          </cell>
          <cell r="F333">
            <v>10</v>
          </cell>
          <cell r="G333">
            <v>20</v>
          </cell>
          <cell r="H333">
            <v>0.78</v>
          </cell>
          <cell r="J333">
            <v>3.12</v>
          </cell>
          <cell r="K333">
            <v>2.8000000000000003</v>
          </cell>
          <cell r="L333">
            <v>46046</v>
          </cell>
          <cell r="M333" t="str">
            <v>ECCE</v>
          </cell>
        </row>
        <row r="334">
          <cell r="B334">
            <v>300500</v>
          </cell>
          <cell r="D334">
            <v>8</v>
          </cell>
          <cell r="E334">
            <v>8</v>
          </cell>
          <cell r="F334">
            <v>15</v>
          </cell>
          <cell r="G334">
            <v>0</v>
          </cell>
          <cell r="H334">
            <v>0.5</v>
          </cell>
          <cell r="J334">
            <v>0</v>
          </cell>
          <cell r="K334">
            <v>0</v>
          </cell>
          <cell r="L334">
            <v>46046</v>
          </cell>
          <cell r="M334" t="str">
            <v>ECCE</v>
          </cell>
        </row>
        <row r="335">
          <cell r="B335">
            <v>700700</v>
          </cell>
          <cell r="D335">
            <v>9</v>
          </cell>
          <cell r="E335">
            <v>9</v>
          </cell>
          <cell r="F335">
            <v>25</v>
          </cell>
          <cell r="G335">
            <v>0</v>
          </cell>
          <cell r="H335">
            <v>0.6</v>
          </cell>
          <cell r="J335">
            <v>0</v>
          </cell>
          <cell r="K335">
            <v>0</v>
          </cell>
          <cell r="L335">
            <v>46046</v>
          </cell>
          <cell r="M335" t="str">
            <v>ECCE</v>
          </cell>
        </row>
        <row r="336">
          <cell r="B336">
            <v>700800</v>
          </cell>
          <cell r="D336">
            <v>11</v>
          </cell>
          <cell r="E336">
            <v>10</v>
          </cell>
          <cell r="F336">
            <v>25</v>
          </cell>
          <cell r="G336">
            <v>25</v>
          </cell>
          <cell r="H336">
            <v>0.5</v>
          </cell>
          <cell r="J336">
            <v>2.5</v>
          </cell>
          <cell r="K336">
            <v>1.4000000000000001</v>
          </cell>
          <cell r="L336">
            <v>46046</v>
          </cell>
          <cell r="M336" t="str">
            <v>ECCE</v>
          </cell>
        </row>
        <row r="337">
          <cell r="B337">
            <v>700200</v>
          </cell>
          <cell r="D337">
            <v>10</v>
          </cell>
          <cell r="E337">
            <v>10</v>
          </cell>
          <cell r="F337">
            <v>25</v>
          </cell>
          <cell r="G337">
            <v>0</v>
          </cell>
          <cell r="H337">
            <v>0.44</v>
          </cell>
          <cell r="J337">
            <v>0</v>
          </cell>
          <cell r="K337">
            <v>0</v>
          </cell>
          <cell r="L337">
            <v>46046</v>
          </cell>
          <cell r="M337" t="str">
            <v>ECCE</v>
          </cell>
        </row>
        <row r="338">
          <cell r="B338">
            <v>700100</v>
          </cell>
          <cell r="D338">
            <v>14</v>
          </cell>
          <cell r="E338">
            <v>14</v>
          </cell>
          <cell r="F338">
            <v>30</v>
          </cell>
          <cell r="G338">
            <v>0</v>
          </cell>
          <cell r="H338">
            <v>0.56000000000000005</v>
          </cell>
          <cell r="J338">
            <v>0</v>
          </cell>
          <cell r="K338">
            <v>0</v>
          </cell>
          <cell r="L338">
            <v>46046</v>
          </cell>
          <cell r="M338" t="str">
            <v>ECCE</v>
          </cell>
        </row>
        <row r="339">
          <cell r="B339">
            <v>700400</v>
          </cell>
          <cell r="D339">
            <v>13</v>
          </cell>
          <cell r="E339">
            <v>12</v>
          </cell>
          <cell r="F339">
            <v>25</v>
          </cell>
          <cell r="G339">
            <v>25</v>
          </cell>
          <cell r="H339">
            <v>0.51875000000000004</v>
          </cell>
          <cell r="J339">
            <v>2.5937500000000004</v>
          </cell>
          <cell r="K339">
            <v>1.4000000000000001</v>
          </cell>
          <cell r="L339">
            <v>46046</v>
          </cell>
          <cell r="M339" t="str">
            <v>ECCE</v>
          </cell>
        </row>
        <row r="340">
          <cell r="B340">
            <v>700500</v>
          </cell>
          <cell r="D340">
            <v>12</v>
          </cell>
          <cell r="E340">
            <v>12</v>
          </cell>
          <cell r="F340">
            <v>15</v>
          </cell>
          <cell r="G340">
            <v>0</v>
          </cell>
          <cell r="H340">
            <v>0.62</v>
          </cell>
          <cell r="J340">
            <v>0</v>
          </cell>
          <cell r="K340">
            <v>0</v>
          </cell>
          <cell r="L340">
            <v>46046</v>
          </cell>
          <cell r="M340" t="str">
            <v>ECCE</v>
          </cell>
        </row>
        <row r="341">
          <cell r="B341">
            <v>500100</v>
          </cell>
          <cell r="D341">
            <v>5</v>
          </cell>
          <cell r="E341">
            <v>3</v>
          </cell>
          <cell r="F341">
            <v>250</v>
          </cell>
          <cell r="G341">
            <v>500</v>
          </cell>
          <cell r="H341">
            <v>0.53200000000000003</v>
          </cell>
          <cell r="J341">
            <v>53.2</v>
          </cell>
          <cell r="K341">
            <v>2.8000000000000003</v>
          </cell>
          <cell r="L341">
            <v>46046</v>
          </cell>
          <cell r="M341" t="str">
            <v>ECCE</v>
          </cell>
        </row>
        <row r="342">
          <cell r="B342">
            <v>100600</v>
          </cell>
          <cell r="D342">
            <v>7</v>
          </cell>
          <cell r="E342">
            <v>4</v>
          </cell>
          <cell r="F342">
            <v>20</v>
          </cell>
          <cell r="G342">
            <v>60</v>
          </cell>
          <cell r="H342">
            <v>0.46</v>
          </cell>
          <cell r="J342">
            <v>5.5200000000000005</v>
          </cell>
          <cell r="K342">
            <v>4.2</v>
          </cell>
          <cell r="L342">
            <v>46046</v>
          </cell>
          <cell r="M342" t="str">
            <v>ECCE</v>
          </cell>
        </row>
        <row r="343">
          <cell r="B343">
            <v>100600</v>
          </cell>
          <cell r="D343">
            <v>7</v>
          </cell>
          <cell r="E343">
            <v>5</v>
          </cell>
          <cell r="F343">
            <v>20</v>
          </cell>
          <cell r="G343">
            <v>40</v>
          </cell>
          <cell r="H343">
            <v>0.46</v>
          </cell>
          <cell r="J343">
            <v>3.6800000000000006</v>
          </cell>
          <cell r="K343">
            <v>2.8000000000000003</v>
          </cell>
          <cell r="L343">
            <v>46046</v>
          </cell>
          <cell r="M343" t="str">
            <v>ECCE</v>
          </cell>
        </row>
        <row r="344">
          <cell r="B344">
            <v>800500</v>
          </cell>
          <cell r="D344">
            <v>11</v>
          </cell>
          <cell r="E344">
            <v>8</v>
          </cell>
          <cell r="F344">
            <v>10</v>
          </cell>
          <cell r="G344">
            <v>30</v>
          </cell>
          <cell r="H344">
            <v>0.7</v>
          </cell>
          <cell r="J344">
            <v>4.2</v>
          </cell>
          <cell r="K344">
            <v>4.2</v>
          </cell>
          <cell r="L344">
            <v>46046</v>
          </cell>
          <cell r="M344" t="str">
            <v>ECCE</v>
          </cell>
        </row>
        <row r="345">
          <cell r="B345">
            <v>800600</v>
          </cell>
          <cell r="D345">
            <v>9</v>
          </cell>
          <cell r="E345">
            <v>7</v>
          </cell>
          <cell r="F345">
            <v>20</v>
          </cell>
          <cell r="G345">
            <v>40</v>
          </cell>
          <cell r="H345">
            <v>0.65</v>
          </cell>
          <cell r="J345">
            <v>3.2</v>
          </cell>
          <cell r="K345">
            <v>2.8000000000000003</v>
          </cell>
          <cell r="L345">
            <v>46046</v>
          </cell>
          <cell r="M345" t="str">
            <v>ECCE</v>
          </cell>
        </row>
        <row r="346">
          <cell r="B346">
            <v>800200</v>
          </cell>
          <cell r="D346">
            <v>10</v>
          </cell>
          <cell r="E346">
            <v>9</v>
          </cell>
          <cell r="F346">
            <v>20</v>
          </cell>
          <cell r="G346">
            <v>20</v>
          </cell>
          <cell r="H346">
            <v>0.65</v>
          </cell>
          <cell r="J346">
            <v>2.6</v>
          </cell>
          <cell r="K346">
            <v>1.4000000000000001</v>
          </cell>
          <cell r="L346">
            <v>46046</v>
          </cell>
          <cell r="M346" t="str">
            <v>ECCE</v>
          </cell>
        </row>
        <row r="347">
          <cell r="B347">
            <v>800800</v>
          </cell>
          <cell r="D347">
            <v>13</v>
          </cell>
          <cell r="E347">
            <v>9</v>
          </cell>
          <cell r="F347">
            <v>10</v>
          </cell>
          <cell r="G347">
            <v>40</v>
          </cell>
          <cell r="H347">
            <v>0.66</v>
          </cell>
          <cell r="J347">
            <v>5.28</v>
          </cell>
          <cell r="K347">
            <v>5.6000000000000005</v>
          </cell>
          <cell r="L347">
            <v>46046</v>
          </cell>
          <cell r="M347" t="str">
            <v>ECCE</v>
          </cell>
        </row>
        <row r="348">
          <cell r="B348">
            <v>300300</v>
          </cell>
          <cell r="D348">
            <v>12</v>
          </cell>
          <cell r="E348">
            <v>11</v>
          </cell>
          <cell r="F348">
            <v>15</v>
          </cell>
          <cell r="G348">
            <v>15</v>
          </cell>
          <cell r="H348">
            <v>0.55000000000000004</v>
          </cell>
          <cell r="J348">
            <v>1.65</v>
          </cell>
          <cell r="K348">
            <v>1.4000000000000001</v>
          </cell>
          <cell r="L348">
            <v>46046</v>
          </cell>
          <cell r="M348" t="str">
            <v>ECCE</v>
          </cell>
        </row>
        <row r="349">
          <cell r="B349">
            <v>600100</v>
          </cell>
          <cell r="D349">
            <v>9</v>
          </cell>
          <cell r="E349">
            <v>5</v>
          </cell>
          <cell r="F349">
            <v>25</v>
          </cell>
          <cell r="G349">
            <v>100</v>
          </cell>
          <cell r="H349">
            <v>0.44</v>
          </cell>
          <cell r="J349">
            <v>8.8000000000000007</v>
          </cell>
          <cell r="K349">
            <v>5.6000000000000005</v>
          </cell>
          <cell r="L349">
            <v>46046</v>
          </cell>
          <cell r="M349" t="str">
            <v>ECCE</v>
          </cell>
        </row>
        <row r="350">
          <cell r="B350">
            <v>600500</v>
          </cell>
          <cell r="D350">
            <v>8</v>
          </cell>
          <cell r="E350">
            <v>6</v>
          </cell>
          <cell r="F350">
            <v>25</v>
          </cell>
          <cell r="G350">
            <v>50</v>
          </cell>
          <cell r="H350">
            <v>0.5</v>
          </cell>
          <cell r="J350">
            <v>5</v>
          </cell>
          <cell r="K350">
            <v>2.8000000000000003</v>
          </cell>
          <cell r="L350">
            <v>46046</v>
          </cell>
          <cell r="M350" t="str">
            <v>ECCE</v>
          </cell>
        </row>
        <row r="351">
          <cell r="B351">
            <v>300400</v>
          </cell>
          <cell r="D351">
            <v>16</v>
          </cell>
          <cell r="E351">
            <v>14</v>
          </cell>
          <cell r="F351">
            <v>10</v>
          </cell>
          <cell r="G351">
            <v>20</v>
          </cell>
          <cell r="H351">
            <v>0.4</v>
          </cell>
          <cell r="J351">
            <v>1.6</v>
          </cell>
          <cell r="K351">
            <v>2.8000000000000003</v>
          </cell>
          <cell r="L351">
            <v>46046</v>
          </cell>
          <cell r="M351" t="str">
            <v>ECCE</v>
          </cell>
        </row>
        <row r="352">
          <cell r="B352">
            <v>300100</v>
          </cell>
          <cell r="D352">
            <v>11</v>
          </cell>
          <cell r="E352">
            <v>10</v>
          </cell>
          <cell r="F352">
            <v>15</v>
          </cell>
          <cell r="G352">
            <v>15</v>
          </cell>
          <cell r="H352">
            <v>0.56999999999999995</v>
          </cell>
          <cell r="J352">
            <v>1.7099999999999997</v>
          </cell>
          <cell r="K352">
            <v>1.4000000000000001</v>
          </cell>
          <cell r="L352">
            <v>46046</v>
          </cell>
          <cell r="M352" t="str">
            <v>ECCE</v>
          </cell>
        </row>
        <row r="353">
          <cell r="B353">
            <v>100400</v>
          </cell>
          <cell r="D353">
            <v>7</v>
          </cell>
          <cell r="E353">
            <v>6</v>
          </cell>
          <cell r="F353">
            <v>15</v>
          </cell>
          <cell r="G353">
            <v>15</v>
          </cell>
          <cell r="H353">
            <v>0.66</v>
          </cell>
          <cell r="J353">
            <v>1.98</v>
          </cell>
          <cell r="K353">
            <v>1.4000000000000001</v>
          </cell>
          <cell r="L353">
            <v>46046</v>
          </cell>
          <cell r="M353" t="str">
            <v>ECCE</v>
          </cell>
        </row>
        <row r="354">
          <cell r="B354">
            <v>100400</v>
          </cell>
          <cell r="D354">
            <v>9</v>
          </cell>
          <cell r="E354">
            <v>6</v>
          </cell>
          <cell r="F354">
            <v>15</v>
          </cell>
          <cell r="G354">
            <v>45</v>
          </cell>
          <cell r="H354">
            <v>0.66</v>
          </cell>
          <cell r="J354">
            <v>5.94</v>
          </cell>
          <cell r="K354">
            <v>4.2</v>
          </cell>
          <cell r="L354">
            <v>46046</v>
          </cell>
          <cell r="M354" t="str">
            <v>ECCE</v>
          </cell>
        </row>
        <row r="355">
          <cell r="B355">
            <v>700600</v>
          </cell>
          <cell r="D355">
            <v>13</v>
          </cell>
          <cell r="E355">
            <v>9</v>
          </cell>
          <cell r="F355">
            <v>15</v>
          </cell>
          <cell r="G355">
            <v>60</v>
          </cell>
          <cell r="H355">
            <v>0.66</v>
          </cell>
          <cell r="J355">
            <v>7.92</v>
          </cell>
          <cell r="K355">
            <v>5.6000000000000005</v>
          </cell>
          <cell r="L355">
            <v>46046</v>
          </cell>
          <cell r="M355" t="str">
            <v>ECCE</v>
          </cell>
        </row>
        <row r="356">
          <cell r="B356">
            <v>800400</v>
          </cell>
          <cell r="D356">
            <v>15</v>
          </cell>
          <cell r="E356">
            <v>9</v>
          </cell>
          <cell r="F356">
            <v>20</v>
          </cell>
          <cell r="G356">
            <v>120</v>
          </cell>
          <cell r="H356">
            <v>0.55000000000000004</v>
          </cell>
          <cell r="J356">
            <v>13.2</v>
          </cell>
          <cell r="K356">
            <v>8.4</v>
          </cell>
          <cell r="L356">
            <v>46046</v>
          </cell>
          <cell r="M356" t="str">
            <v>ECCE</v>
          </cell>
        </row>
        <row r="357">
          <cell r="B357">
            <v>800700</v>
          </cell>
          <cell r="D357">
            <v>12</v>
          </cell>
          <cell r="E357">
            <v>9</v>
          </cell>
          <cell r="F357">
            <v>20</v>
          </cell>
          <cell r="G357">
            <v>60</v>
          </cell>
          <cell r="H357">
            <v>0.55000000000000004</v>
          </cell>
          <cell r="J357">
            <v>6.6</v>
          </cell>
          <cell r="K357">
            <v>4.2</v>
          </cell>
          <cell r="L357">
            <v>46046</v>
          </cell>
          <cell r="M357" t="str">
            <v>ECCE</v>
          </cell>
        </row>
        <row r="358">
          <cell r="B358">
            <v>701000</v>
          </cell>
          <cell r="D358">
            <v>13</v>
          </cell>
          <cell r="E358">
            <v>10</v>
          </cell>
          <cell r="F358">
            <v>13</v>
          </cell>
          <cell r="G358">
            <v>39</v>
          </cell>
          <cell r="H358">
            <v>0.46</v>
          </cell>
          <cell r="J358">
            <v>5.07</v>
          </cell>
          <cell r="K358">
            <v>4.2</v>
          </cell>
          <cell r="L358">
            <v>46046</v>
          </cell>
          <cell r="M358" t="str">
            <v>ECCE</v>
          </cell>
        </row>
        <row r="360">
          <cell r="B360">
            <v>100200</v>
          </cell>
          <cell r="D360">
            <v>7</v>
          </cell>
          <cell r="E360">
            <v>0</v>
          </cell>
          <cell r="F360">
            <v>20</v>
          </cell>
          <cell r="G360">
            <v>140</v>
          </cell>
          <cell r="H360">
            <v>0.84642857142857131</v>
          </cell>
          <cell r="J360">
            <v>14.812499999999998</v>
          </cell>
          <cell r="K360">
            <v>6.125</v>
          </cell>
          <cell r="L360">
            <v>46055</v>
          </cell>
          <cell r="M360" t="str">
            <v>ECCE 2 SECCIÓN</v>
          </cell>
        </row>
        <row r="361">
          <cell r="B361">
            <v>100200</v>
          </cell>
          <cell r="D361">
            <v>6</v>
          </cell>
          <cell r="E361">
            <v>5</v>
          </cell>
          <cell r="F361">
            <v>20</v>
          </cell>
          <cell r="G361">
            <v>20</v>
          </cell>
          <cell r="H361">
            <v>0.84</v>
          </cell>
          <cell r="J361">
            <v>2.1</v>
          </cell>
          <cell r="K361">
            <v>0.875</v>
          </cell>
          <cell r="L361">
            <v>46055</v>
          </cell>
          <cell r="M361" t="str">
            <v>ECCE 2 SECCIÓN</v>
          </cell>
        </row>
        <row r="362">
          <cell r="B362">
            <v>200200</v>
          </cell>
          <cell r="D362">
            <v>2</v>
          </cell>
          <cell r="E362">
            <v>0</v>
          </cell>
          <cell r="F362">
            <v>60</v>
          </cell>
          <cell r="G362">
            <v>120</v>
          </cell>
          <cell r="H362">
            <v>0.63</v>
          </cell>
          <cell r="J362">
            <v>9.4499999999999993</v>
          </cell>
          <cell r="K362">
            <v>1.75</v>
          </cell>
          <cell r="L362">
            <v>46055</v>
          </cell>
          <cell r="M362" t="str">
            <v>ECCE 2 SECCIÓN</v>
          </cell>
        </row>
        <row r="363">
          <cell r="B363">
            <v>200100</v>
          </cell>
          <cell r="F363">
            <v>180</v>
          </cell>
          <cell r="G363">
            <v>0</v>
          </cell>
          <cell r="H363">
            <v>0.27</v>
          </cell>
          <cell r="J363">
            <v>0</v>
          </cell>
          <cell r="K363">
            <v>0</v>
          </cell>
          <cell r="L363">
            <v>46055</v>
          </cell>
          <cell r="M363" t="str">
            <v>ECCE 2 SECCIÓN</v>
          </cell>
        </row>
        <row r="364">
          <cell r="B364">
            <v>100300</v>
          </cell>
          <cell r="D364">
            <v>7</v>
          </cell>
          <cell r="E364">
            <v>0</v>
          </cell>
          <cell r="F364">
            <v>25</v>
          </cell>
          <cell r="G364">
            <v>175</v>
          </cell>
          <cell r="H364">
            <v>0.35</v>
          </cell>
          <cell r="J364">
            <v>7.6562499999999991</v>
          </cell>
          <cell r="K364">
            <v>6.125</v>
          </cell>
          <cell r="L364">
            <v>46055</v>
          </cell>
          <cell r="M364" t="str">
            <v>ECCE 2 SECCIÓN</v>
          </cell>
        </row>
        <row r="365">
          <cell r="D365">
            <v>7</v>
          </cell>
          <cell r="E365">
            <v>2</v>
          </cell>
          <cell r="F365">
            <v>25</v>
          </cell>
          <cell r="G365">
            <v>125</v>
          </cell>
          <cell r="H365">
            <v>0.56000000000000005</v>
          </cell>
          <cell r="J365">
            <v>8.75</v>
          </cell>
          <cell r="K365">
            <v>4.375</v>
          </cell>
          <cell r="L365">
            <v>46055</v>
          </cell>
          <cell r="M365" t="str">
            <v>ECCE 2 SECCIÓN</v>
          </cell>
        </row>
        <row r="366">
          <cell r="D366">
            <v>0</v>
          </cell>
          <cell r="F366">
            <v>20</v>
          </cell>
          <cell r="G366">
            <v>0</v>
          </cell>
          <cell r="H366">
            <v>0.63</v>
          </cell>
          <cell r="J366">
            <v>0</v>
          </cell>
          <cell r="K366">
            <v>0</v>
          </cell>
          <cell r="L366">
            <v>46055</v>
          </cell>
          <cell r="M366" t="str">
            <v>ECCE 2 SECCIÓN</v>
          </cell>
        </row>
        <row r="367">
          <cell r="B367">
            <v>900300</v>
          </cell>
          <cell r="D367">
            <v>8</v>
          </cell>
          <cell r="E367">
            <v>7</v>
          </cell>
          <cell r="F367">
            <v>25</v>
          </cell>
          <cell r="G367">
            <v>25</v>
          </cell>
          <cell r="H367">
            <v>0.4</v>
          </cell>
          <cell r="J367">
            <v>1.25</v>
          </cell>
          <cell r="K367">
            <v>0.875</v>
          </cell>
          <cell r="L367">
            <v>46055</v>
          </cell>
          <cell r="M367" t="str">
            <v>ECCE 2 SECCIÓN</v>
          </cell>
        </row>
        <row r="368">
          <cell r="B368">
            <v>400200</v>
          </cell>
          <cell r="D368">
            <v>3</v>
          </cell>
          <cell r="E368">
            <v>1</v>
          </cell>
          <cell r="F368">
            <v>160</v>
          </cell>
          <cell r="G368">
            <v>320</v>
          </cell>
          <cell r="H368">
            <v>0.31</v>
          </cell>
          <cell r="J368">
            <v>12.4</v>
          </cell>
          <cell r="K368">
            <v>1.75</v>
          </cell>
          <cell r="L368">
            <v>46055</v>
          </cell>
          <cell r="M368" t="str">
            <v>ECCE 2 SECCIÓN</v>
          </cell>
        </row>
        <row r="369">
          <cell r="B369">
            <v>400100</v>
          </cell>
          <cell r="D369">
            <v>3</v>
          </cell>
          <cell r="E369">
            <v>1</v>
          </cell>
          <cell r="F369">
            <v>160</v>
          </cell>
          <cell r="G369">
            <v>320</v>
          </cell>
          <cell r="H369">
            <v>0.31</v>
          </cell>
          <cell r="J369">
            <v>12.4</v>
          </cell>
          <cell r="K369">
            <v>1.75</v>
          </cell>
          <cell r="L369">
            <v>46055</v>
          </cell>
          <cell r="M369" t="str">
            <v>ECCE 2 SECCIÓN</v>
          </cell>
        </row>
        <row r="370">
          <cell r="B370">
            <v>300400</v>
          </cell>
          <cell r="D370">
            <v>6</v>
          </cell>
          <cell r="E370">
            <v>0</v>
          </cell>
          <cell r="F370">
            <v>10</v>
          </cell>
          <cell r="G370">
            <v>60</v>
          </cell>
          <cell r="H370">
            <v>0.78</v>
          </cell>
          <cell r="J370">
            <v>5.8500000000000005</v>
          </cell>
          <cell r="K370">
            <v>5.25</v>
          </cell>
          <cell r="L370">
            <v>46055</v>
          </cell>
          <cell r="M370" t="str">
            <v>ECCE 2 SECCIÓN</v>
          </cell>
        </row>
        <row r="371">
          <cell r="F371">
            <v>15</v>
          </cell>
          <cell r="G371">
            <v>0</v>
          </cell>
          <cell r="H371">
            <v>0.5</v>
          </cell>
          <cell r="J371">
            <v>0</v>
          </cell>
          <cell r="K371">
            <v>0</v>
          </cell>
          <cell r="L371">
            <v>46055</v>
          </cell>
          <cell r="M371" t="str">
            <v>ECCE 2 SECCIÓN</v>
          </cell>
        </row>
        <row r="372">
          <cell r="B372">
            <v>700800</v>
          </cell>
          <cell r="D372">
            <v>11</v>
          </cell>
          <cell r="E372">
            <v>0</v>
          </cell>
          <cell r="F372">
            <v>25</v>
          </cell>
          <cell r="G372">
            <v>275</v>
          </cell>
          <cell r="H372">
            <v>0.6</v>
          </cell>
          <cell r="J372">
            <v>20.625</v>
          </cell>
          <cell r="K372">
            <v>9.625</v>
          </cell>
          <cell r="L372">
            <v>46055</v>
          </cell>
          <cell r="M372" t="str">
            <v>ECCE 2 SECCIÓN</v>
          </cell>
        </row>
        <row r="373">
          <cell r="B373">
            <v>700700</v>
          </cell>
          <cell r="D373">
            <v>6</v>
          </cell>
          <cell r="E373">
            <v>4</v>
          </cell>
          <cell r="F373">
            <v>27</v>
          </cell>
          <cell r="G373">
            <v>54</v>
          </cell>
          <cell r="H373">
            <v>0.5</v>
          </cell>
          <cell r="J373">
            <v>3.375</v>
          </cell>
          <cell r="K373">
            <v>1.75</v>
          </cell>
          <cell r="L373">
            <v>46055</v>
          </cell>
          <cell r="M373" t="str">
            <v>ECCE 2 SECCIÓN</v>
          </cell>
        </row>
        <row r="374">
          <cell r="B374">
            <v>700200</v>
          </cell>
          <cell r="D374">
            <v>4</v>
          </cell>
          <cell r="E374">
            <v>0</v>
          </cell>
          <cell r="F374">
            <v>27</v>
          </cell>
          <cell r="G374">
            <v>108</v>
          </cell>
          <cell r="H374">
            <v>0.44</v>
          </cell>
          <cell r="J374">
            <v>5.94</v>
          </cell>
          <cell r="K374">
            <v>3.5</v>
          </cell>
          <cell r="L374">
            <v>46055</v>
          </cell>
          <cell r="M374" t="str">
            <v>ECCE 2 SECCIÓN</v>
          </cell>
        </row>
        <row r="375">
          <cell r="F375">
            <v>30</v>
          </cell>
          <cell r="G375">
            <v>0</v>
          </cell>
          <cell r="H375">
            <v>0.56000000000000005</v>
          </cell>
          <cell r="J375">
            <v>0</v>
          </cell>
          <cell r="K375">
            <v>0</v>
          </cell>
          <cell r="L375">
            <v>46055</v>
          </cell>
          <cell r="M375" t="str">
            <v>ECCE 2 SECCIÓN</v>
          </cell>
        </row>
        <row r="376">
          <cell r="B376">
            <v>700400</v>
          </cell>
          <cell r="D376">
            <v>5</v>
          </cell>
          <cell r="E376">
            <v>0</v>
          </cell>
          <cell r="F376">
            <v>25</v>
          </cell>
          <cell r="G376">
            <v>125</v>
          </cell>
          <cell r="H376">
            <v>0.51875000000000004</v>
          </cell>
          <cell r="J376">
            <v>8.10546875</v>
          </cell>
          <cell r="K376">
            <v>4.375</v>
          </cell>
          <cell r="L376">
            <v>46055</v>
          </cell>
          <cell r="M376" t="str">
            <v>ECCE 2 SECCIÓN</v>
          </cell>
        </row>
        <row r="377">
          <cell r="D377">
            <v>13</v>
          </cell>
          <cell r="E377">
            <v>9</v>
          </cell>
          <cell r="F377">
            <v>10</v>
          </cell>
          <cell r="G377">
            <v>40</v>
          </cell>
          <cell r="H377">
            <v>0.62</v>
          </cell>
          <cell r="J377">
            <v>3.1</v>
          </cell>
          <cell r="K377">
            <v>3.5</v>
          </cell>
          <cell r="L377">
            <v>46055</v>
          </cell>
          <cell r="M377" t="str">
            <v>ECCE 2 SECCIÓN</v>
          </cell>
        </row>
        <row r="378">
          <cell r="F378">
            <v>250</v>
          </cell>
          <cell r="G378">
            <v>0</v>
          </cell>
          <cell r="H378">
            <v>0.53200000000000003</v>
          </cell>
          <cell r="J378">
            <v>0</v>
          </cell>
          <cell r="K378">
            <v>0</v>
          </cell>
          <cell r="L378">
            <v>46055</v>
          </cell>
          <cell r="M378" t="str">
            <v>ECCE 2 SECCIÓN</v>
          </cell>
        </row>
        <row r="379">
          <cell r="D379">
            <v>6</v>
          </cell>
          <cell r="E379">
            <v>1</v>
          </cell>
          <cell r="F379">
            <v>20</v>
          </cell>
          <cell r="G379">
            <v>100</v>
          </cell>
          <cell r="H379">
            <v>0.46</v>
          </cell>
          <cell r="J379">
            <v>5.75</v>
          </cell>
          <cell r="K379">
            <v>4.375</v>
          </cell>
          <cell r="L379">
            <v>46055</v>
          </cell>
          <cell r="M379" t="str">
            <v>ECCE 2 SECCIÓN</v>
          </cell>
        </row>
        <row r="380">
          <cell r="D380">
            <v>4</v>
          </cell>
          <cell r="E380">
            <v>0</v>
          </cell>
          <cell r="F380">
            <v>20</v>
          </cell>
          <cell r="G380">
            <v>80</v>
          </cell>
          <cell r="H380">
            <v>0.46</v>
          </cell>
          <cell r="J380">
            <v>4.6000000000000005</v>
          </cell>
          <cell r="K380">
            <v>3.5</v>
          </cell>
          <cell r="L380">
            <v>46055</v>
          </cell>
          <cell r="M380" t="str">
            <v>ECCE 2 SECCIÓN</v>
          </cell>
        </row>
        <row r="381">
          <cell r="B381">
            <v>800400</v>
          </cell>
          <cell r="D381">
            <v>6</v>
          </cell>
          <cell r="E381">
            <v>0</v>
          </cell>
          <cell r="F381">
            <v>20</v>
          </cell>
          <cell r="G381">
            <v>120</v>
          </cell>
          <cell r="H381">
            <v>0.7</v>
          </cell>
          <cell r="J381">
            <v>10.5</v>
          </cell>
          <cell r="K381">
            <v>5.25</v>
          </cell>
          <cell r="L381">
            <v>46055</v>
          </cell>
          <cell r="M381" t="str">
            <v>ECCE 2 SECCIÓN</v>
          </cell>
        </row>
        <row r="382">
          <cell r="B382">
            <v>800700</v>
          </cell>
          <cell r="D382">
            <v>4</v>
          </cell>
          <cell r="E382">
            <v>0</v>
          </cell>
          <cell r="F382">
            <v>20</v>
          </cell>
          <cell r="G382">
            <v>80</v>
          </cell>
          <cell r="H382">
            <v>0.65</v>
          </cell>
          <cell r="J382">
            <v>4</v>
          </cell>
          <cell r="K382">
            <v>3.5</v>
          </cell>
          <cell r="L382">
            <v>46055</v>
          </cell>
          <cell r="M382" t="str">
            <v>ECCE 2 SECCIÓN</v>
          </cell>
        </row>
        <row r="383">
          <cell r="B383">
            <v>800800</v>
          </cell>
          <cell r="D383">
            <v>5</v>
          </cell>
          <cell r="E383">
            <v>0</v>
          </cell>
          <cell r="F383">
            <v>20</v>
          </cell>
          <cell r="G383">
            <v>100</v>
          </cell>
          <cell r="H383">
            <v>0.65</v>
          </cell>
          <cell r="J383">
            <v>8.125</v>
          </cell>
          <cell r="K383">
            <v>4.375</v>
          </cell>
          <cell r="L383">
            <v>46055</v>
          </cell>
          <cell r="M383" t="str">
            <v>ECCE 2 SECCIÓN</v>
          </cell>
        </row>
        <row r="384">
          <cell r="D384">
            <v>7</v>
          </cell>
          <cell r="E384">
            <v>0</v>
          </cell>
          <cell r="F384">
            <v>10</v>
          </cell>
          <cell r="G384">
            <v>70</v>
          </cell>
          <cell r="H384">
            <v>0.66</v>
          </cell>
          <cell r="J384">
            <v>5.7750000000000004</v>
          </cell>
          <cell r="K384">
            <v>6.125</v>
          </cell>
          <cell r="L384">
            <v>46055</v>
          </cell>
          <cell r="M384" t="str">
            <v>ECCE 2 SECCIÓN</v>
          </cell>
        </row>
        <row r="385">
          <cell r="F385">
            <v>15</v>
          </cell>
          <cell r="G385">
            <v>0</v>
          </cell>
          <cell r="H385">
            <v>0.55000000000000004</v>
          </cell>
          <cell r="J385">
            <v>0</v>
          </cell>
          <cell r="K385">
            <v>0</v>
          </cell>
          <cell r="L385">
            <v>46055</v>
          </cell>
          <cell r="M385" t="str">
            <v>ECCE 2 SECCIÓN</v>
          </cell>
        </row>
        <row r="386">
          <cell r="B386">
            <v>600100</v>
          </cell>
          <cell r="D386">
            <v>7</v>
          </cell>
          <cell r="E386">
            <v>2</v>
          </cell>
          <cell r="F386">
            <v>25</v>
          </cell>
          <cell r="G386">
            <v>125</v>
          </cell>
          <cell r="H386">
            <v>0.44</v>
          </cell>
          <cell r="J386">
            <v>6.875</v>
          </cell>
          <cell r="K386">
            <v>4.375</v>
          </cell>
          <cell r="L386">
            <v>46055</v>
          </cell>
          <cell r="M386" t="str">
            <v>ECCE 2 SECCIÓN</v>
          </cell>
        </row>
        <row r="387">
          <cell r="B387">
            <v>600500</v>
          </cell>
          <cell r="D387">
            <v>11</v>
          </cell>
          <cell r="E387">
            <v>0</v>
          </cell>
          <cell r="F387">
            <v>25</v>
          </cell>
          <cell r="G387">
            <v>275</v>
          </cell>
          <cell r="H387">
            <v>0.5</v>
          </cell>
          <cell r="J387">
            <v>17.1875</v>
          </cell>
          <cell r="K387">
            <v>9.625</v>
          </cell>
          <cell r="L387">
            <v>46055</v>
          </cell>
          <cell r="M387" t="str">
            <v>ECCE 2 SECCIÓN</v>
          </cell>
        </row>
        <row r="388">
          <cell r="F388">
            <v>10</v>
          </cell>
          <cell r="G388">
            <v>0</v>
          </cell>
          <cell r="H388">
            <v>0.4</v>
          </cell>
          <cell r="J388">
            <v>0</v>
          </cell>
          <cell r="K388">
            <v>0</v>
          </cell>
          <cell r="L388">
            <v>46055</v>
          </cell>
          <cell r="M388" t="str">
            <v>ECCE 2 SECCIÓN</v>
          </cell>
        </row>
        <row r="389">
          <cell r="D389">
            <v>2</v>
          </cell>
          <cell r="E389">
            <v>0</v>
          </cell>
          <cell r="F389">
            <v>20</v>
          </cell>
          <cell r="G389">
            <v>40</v>
          </cell>
          <cell r="H389">
            <v>0.56999999999999995</v>
          </cell>
          <cell r="J389">
            <v>2.8499999999999996</v>
          </cell>
          <cell r="K389">
            <v>1.75</v>
          </cell>
          <cell r="L389">
            <v>46055</v>
          </cell>
          <cell r="M389" t="str">
            <v>ECCE 2 SECCIÓN</v>
          </cell>
        </row>
        <row r="390">
          <cell r="B390">
            <v>100400</v>
          </cell>
          <cell r="D390">
            <v>5</v>
          </cell>
          <cell r="E390">
            <v>4</v>
          </cell>
          <cell r="F390">
            <v>15</v>
          </cell>
          <cell r="G390">
            <v>15</v>
          </cell>
          <cell r="H390">
            <v>0.66</v>
          </cell>
          <cell r="J390">
            <v>1.2375</v>
          </cell>
          <cell r="K390">
            <v>0.875</v>
          </cell>
          <cell r="L390">
            <v>46055</v>
          </cell>
          <cell r="M390" t="str">
            <v>ECCE 2 SECCIÓN</v>
          </cell>
        </row>
        <row r="391">
          <cell r="B391">
            <v>100400</v>
          </cell>
          <cell r="D391">
            <v>7</v>
          </cell>
          <cell r="E391">
            <v>3</v>
          </cell>
          <cell r="F391">
            <v>15</v>
          </cell>
          <cell r="G391">
            <v>60</v>
          </cell>
          <cell r="H391">
            <v>0.66</v>
          </cell>
          <cell r="J391">
            <v>4.95</v>
          </cell>
          <cell r="K391">
            <v>3.5</v>
          </cell>
          <cell r="L391">
            <v>46055</v>
          </cell>
          <cell r="M391" t="str">
            <v>ECCE 2 SECCIÓN</v>
          </cell>
        </row>
        <row r="392">
          <cell r="D392">
            <v>5</v>
          </cell>
          <cell r="E392">
            <v>0</v>
          </cell>
          <cell r="F392">
            <v>20</v>
          </cell>
          <cell r="G392">
            <v>100</v>
          </cell>
          <cell r="H392">
            <v>0.66</v>
          </cell>
          <cell r="J392">
            <v>8.25</v>
          </cell>
          <cell r="K392">
            <v>4.375</v>
          </cell>
          <cell r="L392">
            <v>46055</v>
          </cell>
          <cell r="M392" t="str">
            <v>ECCE 2 SECCIÓN</v>
          </cell>
        </row>
        <row r="393">
          <cell r="D393">
            <v>6</v>
          </cell>
          <cell r="E393">
            <v>0</v>
          </cell>
          <cell r="F393">
            <v>20</v>
          </cell>
          <cell r="G393">
            <v>120</v>
          </cell>
          <cell r="H393">
            <v>0.55000000000000004</v>
          </cell>
          <cell r="J393">
            <v>8.25</v>
          </cell>
          <cell r="K393">
            <v>5.25</v>
          </cell>
          <cell r="L393">
            <v>46055</v>
          </cell>
          <cell r="M393" t="str">
            <v>ECCE 2 SECCIÓN</v>
          </cell>
        </row>
        <row r="394">
          <cell r="F394">
            <v>20</v>
          </cell>
          <cell r="G394">
            <v>0</v>
          </cell>
          <cell r="H394">
            <v>0.55000000000000004</v>
          </cell>
          <cell r="J394">
            <v>0</v>
          </cell>
          <cell r="K394">
            <v>0</v>
          </cell>
          <cell r="L394">
            <v>46055</v>
          </cell>
          <cell r="M394" t="str">
            <v>ECCE 2 SECCIÓN</v>
          </cell>
        </row>
        <row r="395">
          <cell r="F395">
            <v>13</v>
          </cell>
          <cell r="G395">
            <v>0</v>
          </cell>
          <cell r="H395">
            <v>0.46</v>
          </cell>
          <cell r="J395">
            <v>0</v>
          </cell>
          <cell r="K395">
            <v>0</v>
          </cell>
          <cell r="L395">
            <v>46055</v>
          </cell>
          <cell r="M395" t="str">
            <v>ECCE 2 SECCIÓN</v>
          </cell>
        </row>
        <row r="397">
          <cell r="B397">
            <v>6005103</v>
          </cell>
          <cell r="D397">
            <v>10</v>
          </cell>
          <cell r="E397">
            <v>3</v>
          </cell>
          <cell r="F397">
            <v>25</v>
          </cell>
          <cell r="G397">
            <v>175</v>
          </cell>
          <cell r="H397">
            <v>0.69</v>
          </cell>
          <cell r="J397">
            <v>15.093749999999998</v>
          </cell>
          <cell r="K397">
            <v>6.125</v>
          </cell>
          <cell r="L397">
            <v>46055</v>
          </cell>
          <cell r="M397" t="str">
            <v>ECCE RECEPCIÓN</v>
          </cell>
        </row>
        <row r="398">
          <cell r="B398">
            <v>600300</v>
          </cell>
          <cell r="D398">
            <v>10</v>
          </cell>
          <cell r="E398">
            <v>5</v>
          </cell>
          <cell r="F398">
            <v>25</v>
          </cell>
          <cell r="G398">
            <v>125</v>
          </cell>
          <cell r="H398">
            <v>0.59148000000000001</v>
          </cell>
          <cell r="J398">
            <v>9.2418750000000003</v>
          </cell>
          <cell r="K398">
            <v>4.375</v>
          </cell>
          <cell r="L398">
            <v>46055</v>
          </cell>
          <cell r="M398" t="str">
            <v>ECCE RECEPCIÓN</v>
          </cell>
        </row>
        <row r="399">
          <cell r="B399">
            <v>600500</v>
          </cell>
          <cell r="D399">
            <v>7</v>
          </cell>
          <cell r="E399">
            <v>3</v>
          </cell>
          <cell r="F399">
            <v>25</v>
          </cell>
          <cell r="G399">
            <v>100</v>
          </cell>
          <cell r="H399">
            <v>0.69</v>
          </cell>
          <cell r="J399">
            <v>8.625</v>
          </cell>
          <cell r="K399">
            <v>3.5</v>
          </cell>
          <cell r="L399">
            <v>46055</v>
          </cell>
          <cell r="M399" t="str">
            <v>ECCE RECEPCIÓN</v>
          </cell>
        </row>
        <row r="400">
          <cell r="B400">
            <v>600500</v>
          </cell>
          <cell r="D400">
            <v>10</v>
          </cell>
          <cell r="E400">
            <v>7</v>
          </cell>
          <cell r="F400">
            <v>25</v>
          </cell>
          <cell r="G400">
            <v>75</v>
          </cell>
          <cell r="H400">
            <v>0.69</v>
          </cell>
          <cell r="J400">
            <v>6.4687499999999991</v>
          </cell>
          <cell r="K400">
            <v>2.625</v>
          </cell>
          <cell r="L400">
            <v>46055</v>
          </cell>
          <cell r="M400" t="str">
            <v>ECCE RECEPCIÓN</v>
          </cell>
        </row>
        <row r="401">
          <cell r="B401">
            <v>600500</v>
          </cell>
          <cell r="D401">
            <v>8</v>
          </cell>
          <cell r="E401">
            <v>2</v>
          </cell>
          <cell r="F401">
            <v>25</v>
          </cell>
          <cell r="G401">
            <v>150</v>
          </cell>
          <cell r="H401">
            <v>0.69</v>
          </cell>
          <cell r="J401">
            <v>12.937499999999998</v>
          </cell>
          <cell r="K401">
            <v>5.25</v>
          </cell>
          <cell r="L401">
            <v>46055</v>
          </cell>
          <cell r="M401" t="str">
            <v>ECCE RECEPCIÓN</v>
          </cell>
        </row>
        <row r="402">
          <cell r="B402">
            <v>600500</v>
          </cell>
          <cell r="D402">
            <v>8</v>
          </cell>
          <cell r="E402">
            <v>4</v>
          </cell>
          <cell r="F402">
            <v>20</v>
          </cell>
          <cell r="G402">
            <v>80</v>
          </cell>
          <cell r="H402">
            <v>0.69</v>
          </cell>
          <cell r="J402">
            <v>6.8999999999999995</v>
          </cell>
          <cell r="K402">
            <v>3.5</v>
          </cell>
          <cell r="L402">
            <v>46055</v>
          </cell>
          <cell r="M402" t="str">
            <v>ECCE RECEPCIÓN</v>
          </cell>
        </row>
        <row r="403">
          <cell r="B403">
            <v>600500</v>
          </cell>
          <cell r="D403">
            <v>4</v>
          </cell>
          <cell r="E403">
            <v>0</v>
          </cell>
          <cell r="F403">
            <v>25</v>
          </cell>
          <cell r="G403">
            <v>100</v>
          </cell>
          <cell r="H403">
            <v>0.69</v>
          </cell>
          <cell r="J403">
            <v>8.625</v>
          </cell>
          <cell r="K403">
            <v>3.5</v>
          </cell>
          <cell r="L403">
            <v>46055</v>
          </cell>
          <cell r="M403" t="str">
            <v>ECCE RECEPCIÓN</v>
          </cell>
        </row>
        <row r="404">
          <cell r="B404">
            <v>600400</v>
          </cell>
          <cell r="D404">
            <v>8</v>
          </cell>
          <cell r="E404">
            <v>2</v>
          </cell>
          <cell r="F404">
            <v>20</v>
          </cell>
          <cell r="G404">
            <v>120</v>
          </cell>
          <cell r="H404">
            <v>0.59099999999999997</v>
          </cell>
          <cell r="J404">
            <v>8.8650000000000002</v>
          </cell>
          <cell r="K404">
            <v>5.25</v>
          </cell>
          <cell r="L404">
            <v>46055</v>
          </cell>
          <cell r="M404" t="str">
            <v>ECCE RECEPCIÓN</v>
          </cell>
        </row>
        <row r="405">
          <cell r="B405">
            <v>600500</v>
          </cell>
          <cell r="D405">
            <v>11</v>
          </cell>
          <cell r="E405">
            <v>3</v>
          </cell>
          <cell r="F405">
            <v>20</v>
          </cell>
          <cell r="G405">
            <v>160</v>
          </cell>
          <cell r="H405">
            <v>0.69</v>
          </cell>
          <cell r="J405">
            <v>13.799999999999999</v>
          </cell>
          <cell r="K405">
            <v>7</v>
          </cell>
          <cell r="L405">
            <v>46055</v>
          </cell>
          <cell r="M405" t="str">
            <v>ECCE RECEPCIÓN</v>
          </cell>
        </row>
        <row r="406">
          <cell r="B406">
            <v>800900</v>
          </cell>
          <cell r="D406">
            <v>10</v>
          </cell>
          <cell r="E406">
            <v>8</v>
          </cell>
          <cell r="F406">
            <v>20</v>
          </cell>
          <cell r="G406">
            <v>40</v>
          </cell>
          <cell r="H406">
            <v>0.51408333333333334</v>
          </cell>
          <cell r="J406">
            <v>2.5704166666666666</v>
          </cell>
          <cell r="K406">
            <v>1.75</v>
          </cell>
          <cell r="L406">
            <v>46055</v>
          </cell>
          <cell r="M406" t="str">
            <v>ECCE RECEPCIÓN</v>
          </cell>
        </row>
        <row r="407">
          <cell r="B407">
            <v>300200</v>
          </cell>
          <cell r="D407">
            <v>9</v>
          </cell>
          <cell r="E407">
            <v>7</v>
          </cell>
          <cell r="F407">
            <v>20</v>
          </cell>
          <cell r="G407">
            <v>40</v>
          </cell>
          <cell r="H407">
            <v>0.63983333333333337</v>
          </cell>
          <cell r="J407">
            <v>3.1991666666666667</v>
          </cell>
          <cell r="K407">
            <v>1.75</v>
          </cell>
          <cell r="L407">
            <v>46055</v>
          </cell>
          <cell r="M407" t="str">
            <v>ECCE RECEPCIÓN</v>
          </cell>
        </row>
        <row r="408">
          <cell r="B408">
            <v>900200</v>
          </cell>
          <cell r="D408">
            <v>8</v>
          </cell>
          <cell r="E408">
            <v>7</v>
          </cell>
          <cell r="F408">
            <v>18</v>
          </cell>
          <cell r="G408">
            <v>18</v>
          </cell>
          <cell r="H408">
            <v>0.73850000000000005</v>
          </cell>
          <cell r="J408">
            <v>1.6616250000000001</v>
          </cell>
          <cell r="K408">
            <v>0.875</v>
          </cell>
          <cell r="L408">
            <v>46055</v>
          </cell>
          <cell r="M408" t="str">
            <v>ECCE RECEPCIÓN</v>
          </cell>
        </row>
        <row r="409">
          <cell r="B409">
            <v>300100</v>
          </cell>
          <cell r="D409">
            <v>10</v>
          </cell>
          <cell r="E409">
            <v>10</v>
          </cell>
          <cell r="F409">
            <v>15</v>
          </cell>
          <cell r="G409">
            <v>0</v>
          </cell>
          <cell r="H409">
            <v>0.5642962962962963</v>
          </cell>
          <cell r="J409">
            <v>0</v>
          </cell>
          <cell r="K409">
            <v>0</v>
          </cell>
          <cell r="L409">
            <v>46055</v>
          </cell>
          <cell r="M409" t="str">
            <v>ECCE RECEPCIÓN</v>
          </cell>
        </row>
        <row r="410">
          <cell r="B410">
            <v>500100</v>
          </cell>
          <cell r="D410">
            <v>5</v>
          </cell>
          <cell r="E410">
            <v>4</v>
          </cell>
          <cell r="F410">
            <v>290</v>
          </cell>
          <cell r="G410">
            <v>290</v>
          </cell>
          <cell r="H410">
            <v>0.5</v>
          </cell>
          <cell r="J410">
            <v>18.125</v>
          </cell>
          <cell r="K410">
            <v>0.875</v>
          </cell>
          <cell r="L410">
            <v>46055</v>
          </cell>
          <cell r="M410" t="str">
            <v>ECCE RECEPCIÓN</v>
          </cell>
        </row>
        <row r="411">
          <cell r="B411">
            <v>900300</v>
          </cell>
          <cell r="D411">
            <v>13</v>
          </cell>
          <cell r="E411">
            <v>8</v>
          </cell>
          <cell r="F411">
            <v>25</v>
          </cell>
          <cell r="G411">
            <v>125</v>
          </cell>
          <cell r="H411">
            <v>0.4714666666666667</v>
          </cell>
          <cell r="J411">
            <v>7.3666666666666671</v>
          </cell>
          <cell r="K411">
            <v>4.375</v>
          </cell>
          <cell r="L411">
            <v>46055</v>
          </cell>
          <cell r="M411" t="str">
            <v>ECCE RECEPCIÓN</v>
          </cell>
        </row>
        <row r="412">
          <cell r="B412">
            <v>400200</v>
          </cell>
          <cell r="D412">
            <v>2</v>
          </cell>
          <cell r="E412">
            <v>2</v>
          </cell>
          <cell r="F412">
            <v>160</v>
          </cell>
          <cell r="G412">
            <v>0</v>
          </cell>
          <cell r="H412">
            <v>0.31</v>
          </cell>
          <cell r="J412">
            <v>0</v>
          </cell>
          <cell r="K412">
            <v>0</v>
          </cell>
          <cell r="L412">
            <v>46055</v>
          </cell>
          <cell r="M412" t="str">
            <v>ECCE RECEPCIÓN</v>
          </cell>
        </row>
        <row r="413">
          <cell r="B413">
            <v>400100</v>
          </cell>
          <cell r="D413">
            <v>3</v>
          </cell>
          <cell r="E413">
            <v>3</v>
          </cell>
          <cell r="F413">
            <v>160</v>
          </cell>
          <cell r="G413">
            <v>0</v>
          </cell>
          <cell r="H413">
            <v>0.31</v>
          </cell>
          <cell r="J413">
            <v>0</v>
          </cell>
          <cell r="K413">
            <v>0</v>
          </cell>
          <cell r="L413">
            <v>46055</v>
          </cell>
          <cell r="M413" t="str">
            <v>ECCE RECEPCIÓN</v>
          </cell>
        </row>
        <row r="414">
          <cell r="B414">
            <v>300700</v>
          </cell>
          <cell r="D414">
            <v>15</v>
          </cell>
          <cell r="E414">
            <v>9</v>
          </cell>
          <cell r="F414">
            <v>10</v>
          </cell>
          <cell r="G414">
            <v>60</v>
          </cell>
          <cell r="H414">
            <v>0.70587500000000003</v>
          </cell>
          <cell r="J414">
            <v>5.2940624999999999</v>
          </cell>
          <cell r="K414">
            <v>5.25</v>
          </cell>
          <cell r="L414">
            <v>46055</v>
          </cell>
          <cell r="M414" t="str">
            <v>ECCE RECEPCIÓN</v>
          </cell>
        </row>
        <row r="415">
          <cell r="B415">
            <v>300300</v>
          </cell>
          <cell r="D415">
            <v>11</v>
          </cell>
          <cell r="E415">
            <v>10</v>
          </cell>
          <cell r="F415">
            <v>15</v>
          </cell>
          <cell r="G415">
            <v>15</v>
          </cell>
          <cell r="H415">
            <v>0.46</v>
          </cell>
          <cell r="J415">
            <v>0.86250000000000004</v>
          </cell>
          <cell r="K415">
            <v>0.875</v>
          </cell>
          <cell r="L415">
            <v>46055</v>
          </cell>
          <cell r="M415" t="str">
            <v>ECCE RECEPCIÓN</v>
          </cell>
        </row>
        <row r="416">
          <cell r="B416">
            <v>300500</v>
          </cell>
          <cell r="D416">
            <v>8</v>
          </cell>
          <cell r="E416">
            <v>6</v>
          </cell>
          <cell r="F416">
            <v>15</v>
          </cell>
          <cell r="G416">
            <v>30</v>
          </cell>
          <cell r="H416">
            <v>0.60218518518518516</v>
          </cell>
          <cell r="J416">
            <v>2.2581944444444444</v>
          </cell>
          <cell r="K416">
            <v>1.75</v>
          </cell>
          <cell r="L416">
            <v>46055</v>
          </cell>
          <cell r="M416" t="str">
            <v>ECCE RECEPCIÓN</v>
          </cell>
        </row>
        <row r="417">
          <cell r="B417">
            <v>300400</v>
          </cell>
          <cell r="D417">
            <v>14</v>
          </cell>
          <cell r="E417">
            <v>9</v>
          </cell>
          <cell r="F417">
            <v>10</v>
          </cell>
          <cell r="G417">
            <v>50</v>
          </cell>
          <cell r="H417">
            <v>0.56754545454545446</v>
          </cell>
          <cell r="J417">
            <v>3.5471590909090902</v>
          </cell>
          <cell r="K417">
            <v>4.375</v>
          </cell>
          <cell r="L417">
            <v>46055</v>
          </cell>
          <cell r="M417" t="str">
            <v>ECCE RECEPCIÓN</v>
          </cell>
        </row>
        <row r="418">
          <cell r="B418">
            <v>800300</v>
          </cell>
          <cell r="D418">
            <v>9</v>
          </cell>
          <cell r="E418">
            <v>8</v>
          </cell>
          <cell r="F418">
            <v>15</v>
          </cell>
          <cell r="G418">
            <v>15</v>
          </cell>
          <cell r="H418">
            <v>0.56754545454545446</v>
          </cell>
          <cell r="J418">
            <v>1.0641477272727271</v>
          </cell>
          <cell r="K418">
            <v>0.875</v>
          </cell>
          <cell r="L418">
            <v>46055</v>
          </cell>
          <cell r="M418" t="str">
            <v>ECCE RECEPCIÓN</v>
          </cell>
        </row>
        <row r="419">
          <cell r="B419">
            <v>700700</v>
          </cell>
          <cell r="D419">
            <v>9</v>
          </cell>
          <cell r="E419">
            <v>9</v>
          </cell>
          <cell r="F419">
            <v>27</v>
          </cell>
          <cell r="G419">
            <v>0</v>
          </cell>
          <cell r="H419">
            <v>0.48</v>
          </cell>
          <cell r="J419">
            <v>0</v>
          </cell>
          <cell r="K419">
            <v>0</v>
          </cell>
          <cell r="L419">
            <v>46055</v>
          </cell>
          <cell r="M419" t="str">
            <v>ECCE RECEPCIÓN</v>
          </cell>
        </row>
        <row r="420">
          <cell r="B420">
            <v>700200</v>
          </cell>
          <cell r="D420">
            <v>10</v>
          </cell>
          <cell r="E420">
            <v>6</v>
          </cell>
          <cell r="F420">
            <v>27</v>
          </cell>
          <cell r="G420">
            <v>108</v>
          </cell>
          <cell r="H420">
            <v>0.48</v>
          </cell>
          <cell r="J420">
            <v>6.4799999999999995</v>
          </cell>
          <cell r="K420">
            <v>3.5</v>
          </cell>
          <cell r="L420">
            <v>46055</v>
          </cell>
          <cell r="M420" t="str">
            <v>ECCE RECEPCIÓN</v>
          </cell>
        </row>
        <row r="421">
          <cell r="B421">
            <v>700900</v>
          </cell>
          <cell r="D421">
            <v>14</v>
          </cell>
          <cell r="E421">
            <v>14</v>
          </cell>
          <cell r="F421">
            <v>30</v>
          </cell>
          <cell r="G421">
            <v>0</v>
          </cell>
          <cell r="H421">
            <v>0.5</v>
          </cell>
          <cell r="J421">
            <v>0</v>
          </cell>
          <cell r="K421">
            <v>0</v>
          </cell>
          <cell r="L421">
            <v>46055</v>
          </cell>
          <cell r="M421" t="str">
            <v>ECCE RECEPCIÓN</v>
          </cell>
        </row>
        <row r="422">
          <cell r="B422">
            <v>700800</v>
          </cell>
          <cell r="D422">
            <v>10</v>
          </cell>
          <cell r="E422">
            <v>6</v>
          </cell>
          <cell r="F422">
            <v>25</v>
          </cell>
          <cell r="G422">
            <v>100</v>
          </cell>
          <cell r="H422">
            <v>0.49808000000000002</v>
          </cell>
          <cell r="J422">
            <v>6.226</v>
          </cell>
          <cell r="K422">
            <v>3.5</v>
          </cell>
          <cell r="L422">
            <v>46055</v>
          </cell>
          <cell r="M422" t="str">
            <v>ECCE RECEPCIÓN</v>
          </cell>
        </row>
        <row r="423">
          <cell r="B423">
            <v>700400</v>
          </cell>
          <cell r="D423">
            <v>12</v>
          </cell>
          <cell r="E423">
            <v>8</v>
          </cell>
          <cell r="F423">
            <v>25</v>
          </cell>
          <cell r="G423">
            <v>100</v>
          </cell>
          <cell r="H423">
            <v>0.49873333333333336</v>
          </cell>
          <cell r="J423">
            <v>6.2341666666666669</v>
          </cell>
          <cell r="K423">
            <v>3.5</v>
          </cell>
          <cell r="L423">
            <v>46055</v>
          </cell>
          <cell r="M423" t="str">
            <v>ECCE RECEPCIÓN</v>
          </cell>
        </row>
        <row r="424">
          <cell r="B424">
            <v>701000</v>
          </cell>
          <cell r="D424">
            <v>13</v>
          </cell>
          <cell r="E424">
            <v>5</v>
          </cell>
          <cell r="F424">
            <v>13</v>
          </cell>
          <cell r="G424">
            <v>104</v>
          </cell>
          <cell r="H424">
            <v>0.65</v>
          </cell>
          <cell r="J424">
            <v>8.4500000000000011</v>
          </cell>
          <cell r="K424">
            <v>7</v>
          </cell>
          <cell r="L424">
            <v>46055</v>
          </cell>
          <cell r="M424" t="str">
            <v>ECCE RECEPCIÓN</v>
          </cell>
        </row>
        <row r="425">
          <cell r="B425">
            <v>800500</v>
          </cell>
          <cell r="D425">
            <v>11</v>
          </cell>
          <cell r="E425">
            <v>0</v>
          </cell>
          <cell r="F425">
            <v>10</v>
          </cell>
          <cell r="G425">
            <v>110</v>
          </cell>
          <cell r="H425">
            <v>0.52682499999999999</v>
          </cell>
          <cell r="J425">
            <v>7.2438437499999999</v>
          </cell>
          <cell r="K425">
            <v>9.625</v>
          </cell>
          <cell r="L425">
            <v>46055</v>
          </cell>
          <cell r="M425" t="str">
            <v>ECCE RECEPCIÓN</v>
          </cell>
        </row>
        <row r="426">
          <cell r="B426">
            <v>700600</v>
          </cell>
          <cell r="D426">
            <v>9</v>
          </cell>
          <cell r="E426">
            <v>8</v>
          </cell>
          <cell r="F426">
            <v>10</v>
          </cell>
          <cell r="G426">
            <v>10</v>
          </cell>
          <cell r="H426">
            <v>0.65</v>
          </cell>
          <cell r="J426">
            <v>0.8125</v>
          </cell>
          <cell r="K426">
            <v>0.875</v>
          </cell>
          <cell r="L426">
            <v>46055</v>
          </cell>
          <cell r="M426" t="str">
            <v>ECCE RECEPCIÓN</v>
          </cell>
        </row>
        <row r="427">
          <cell r="B427">
            <v>700500</v>
          </cell>
          <cell r="D427">
            <v>12</v>
          </cell>
          <cell r="E427">
            <v>8</v>
          </cell>
          <cell r="F427">
            <v>15</v>
          </cell>
          <cell r="G427">
            <v>60</v>
          </cell>
          <cell r="H427">
            <v>0.53</v>
          </cell>
          <cell r="J427">
            <v>3.9750000000000001</v>
          </cell>
          <cell r="K427">
            <v>3.5</v>
          </cell>
          <cell r="L427">
            <v>46055</v>
          </cell>
          <cell r="M427" t="str">
            <v>ECCE RECEPCIÓN</v>
          </cell>
        </row>
        <row r="428">
          <cell r="F428">
            <v>0</v>
          </cell>
          <cell r="G428">
            <v>0</v>
          </cell>
          <cell r="J428">
            <v>0</v>
          </cell>
          <cell r="K428">
            <v>0</v>
          </cell>
          <cell r="L428">
            <v>46055</v>
          </cell>
          <cell r="M428" t="str">
            <v>ECCE RECEPCIÓN</v>
          </cell>
        </row>
        <row r="429">
          <cell r="F429">
            <v>0</v>
          </cell>
          <cell r="G429">
            <v>0</v>
          </cell>
          <cell r="J429">
            <v>0</v>
          </cell>
          <cell r="K429">
            <v>0</v>
          </cell>
          <cell r="L429">
            <v>46055</v>
          </cell>
          <cell r="M429" t="str">
            <v>ECCE RECEPCIÓN</v>
          </cell>
        </row>
        <row r="430">
          <cell r="F430">
            <v>0</v>
          </cell>
          <cell r="G430">
            <v>0</v>
          </cell>
          <cell r="J430">
            <v>0</v>
          </cell>
          <cell r="K430">
            <v>0</v>
          </cell>
          <cell r="L430">
            <v>46055</v>
          </cell>
          <cell r="M430" t="str">
            <v>ECCE RECEPCIÓN</v>
          </cell>
        </row>
        <row r="431">
          <cell r="F431">
            <v>0</v>
          </cell>
          <cell r="G431">
            <v>0</v>
          </cell>
          <cell r="J431">
            <v>0</v>
          </cell>
          <cell r="K431">
            <v>0</v>
          </cell>
          <cell r="L431">
            <v>46055</v>
          </cell>
          <cell r="M431" t="str">
            <v>ECCE RECEPCIÓN</v>
          </cell>
        </row>
        <row r="432">
          <cell r="B432">
            <v>800800</v>
          </cell>
          <cell r="D432">
            <v>12</v>
          </cell>
          <cell r="E432">
            <v>12</v>
          </cell>
          <cell r="F432">
            <v>20</v>
          </cell>
          <cell r="G432">
            <v>0</v>
          </cell>
          <cell r="H432">
            <v>0.5</v>
          </cell>
          <cell r="J432">
            <v>0</v>
          </cell>
          <cell r="K432">
            <v>0</v>
          </cell>
          <cell r="L432">
            <v>46055</v>
          </cell>
          <cell r="M432" t="str">
            <v>ECCE RECEPCIÓN</v>
          </cell>
        </row>
        <row r="433">
          <cell r="B433">
            <v>800600</v>
          </cell>
          <cell r="D433">
            <v>11</v>
          </cell>
          <cell r="E433">
            <v>10</v>
          </cell>
          <cell r="F433">
            <v>20</v>
          </cell>
          <cell r="G433">
            <v>20</v>
          </cell>
          <cell r="H433">
            <v>0.65</v>
          </cell>
          <cell r="J433">
            <v>1.625</v>
          </cell>
          <cell r="K433">
            <v>0.875</v>
          </cell>
          <cell r="L433">
            <v>46055</v>
          </cell>
          <cell r="M433" t="str">
            <v>ECCE RECEPCIÓN</v>
          </cell>
        </row>
        <row r="434">
          <cell r="B434">
            <v>801400</v>
          </cell>
          <cell r="D434">
            <v>8</v>
          </cell>
          <cell r="E434">
            <v>6</v>
          </cell>
          <cell r="F434">
            <v>20</v>
          </cell>
          <cell r="G434">
            <v>40</v>
          </cell>
          <cell r="H434">
            <v>0.60500000000000009</v>
          </cell>
          <cell r="J434">
            <v>3.0250000000000004</v>
          </cell>
          <cell r="K434">
            <v>1.75</v>
          </cell>
          <cell r="L434">
            <v>46055</v>
          </cell>
          <cell r="M434" t="str">
            <v>ECCE RECEPCIÓN</v>
          </cell>
        </row>
        <row r="435">
          <cell r="B435">
            <v>800400</v>
          </cell>
          <cell r="D435">
            <v>13</v>
          </cell>
          <cell r="E435">
            <v>8</v>
          </cell>
          <cell r="F435">
            <v>20</v>
          </cell>
          <cell r="G435">
            <v>100</v>
          </cell>
          <cell r="H435">
            <v>0.6707291666666666</v>
          </cell>
          <cell r="J435">
            <v>8.3841145833333321</v>
          </cell>
          <cell r="K435">
            <v>4.375</v>
          </cell>
          <cell r="L435">
            <v>46055</v>
          </cell>
          <cell r="M435" t="str">
            <v>ECCE RECEPCIÓN</v>
          </cell>
        </row>
        <row r="436">
          <cell r="B436">
            <v>800700</v>
          </cell>
          <cell r="D436">
            <v>9</v>
          </cell>
          <cell r="E436">
            <v>8</v>
          </cell>
          <cell r="F436">
            <v>20</v>
          </cell>
          <cell r="G436">
            <v>20</v>
          </cell>
          <cell r="H436">
            <v>0.6707291666666666</v>
          </cell>
          <cell r="J436">
            <v>1.6768229166666666</v>
          </cell>
          <cell r="K436">
            <v>0.875</v>
          </cell>
          <cell r="L436">
            <v>46055</v>
          </cell>
          <cell r="M436" t="str">
            <v>ECCE RECEPCIÓN</v>
          </cell>
        </row>
        <row r="437">
          <cell r="B437">
            <v>800200</v>
          </cell>
          <cell r="D437">
            <v>11</v>
          </cell>
          <cell r="E437">
            <v>5</v>
          </cell>
          <cell r="F437">
            <v>20</v>
          </cell>
          <cell r="G437">
            <v>120</v>
          </cell>
          <cell r="H437">
            <v>0.64194444444444443</v>
          </cell>
          <cell r="J437">
            <v>9.6291666666666664</v>
          </cell>
          <cell r="K437">
            <v>5.25</v>
          </cell>
          <cell r="L437">
            <v>46055</v>
          </cell>
          <cell r="M437" t="str">
            <v>ECCE RECEPCIÓN</v>
          </cell>
        </row>
        <row r="438">
          <cell r="B438">
            <v>100200</v>
          </cell>
          <cell r="D438">
            <v>6</v>
          </cell>
          <cell r="E438">
            <v>2</v>
          </cell>
          <cell r="F438">
            <v>20</v>
          </cell>
          <cell r="G438">
            <v>80</v>
          </cell>
          <cell r="H438">
            <v>0.83783703703703705</v>
          </cell>
          <cell r="J438">
            <v>8.3783703703703711</v>
          </cell>
          <cell r="K438">
            <v>3.5</v>
          </cell>
          <cell r="L438">
            <v>46055</v>
          </cell>
          <cell r="M438" t="str">
            <v>ECCE RECEPCIÓN</v>
          </cell>
        </row>
        <row r="439">
          <cell r="B439">
            <v>100200</v>
          </cell>
          <cell r="D439">
            <v>7</v>
          </cell>
          <cell r="E439">
            <v>4</v>
          </cell>
          <cell r="F439">
            <v>20</v>
          </cell>
          <cell r="G439">
            <v>60</v>
          </cell>
          <cell r="H439">
            <v>0.83783703703703705</v>
          </cell>
          <cell r="J439">
            <v>6.2837777777777779</v>
          </cell>
          <cell r="K439">
            <v>2.625</v>
          </cell>
          <cell r="L439">
            <v>46055</v>
          </cell>
          <cell r="M439" t="str">
            <v>ECCE RECEPCIÓN</v>
          </cell>
        </row>
        <row r="440">
          <cell r="B440">
            <v>101000</v>
          </cell>
          <cell r="D440">
            <v>9</v>
          </cell>
          <cell r="E440">
            <v>0</v>
          </cell>
          <cell r="F440">
            <v>30</v>
          </cell>
          <cell r="G440">
            <v>270</v>
          </cell>
          <cell r="H440">
            <v>0.49099999999999999</v>
          </cell>
          <cell r="J440">
            <v>16.571249999999999</v>
          </cell>
          <cell r="K440">
            <v>7.875</v>
          </cell>
          <cell r="L440">
            <v>46055</v>
          </cell>
          <cell r="M440" t="str">
            <v>ECCE RECEPCIÓN</v>
          </cell>
        </row>
        <row r="441">
          <cell r="B441">
            <v>100800</v>
          </cell>
          <cell r="D441">
            <v>8</v>
          </cell>
          <cell r="E441">
            <v>0</v>
          </cell>
          <cell r="F441">
            <v>22</v>
          </cell>
          <cell r="G441">
            <v>176</v>
          </cell>
          <cell r="H441">
            <v>0.55000000000000004</v>
          </cell>
          <cell r="J441">
            <v>12.100000000000001</v>
          </cell>
          <cell r="K441">
            <v>7</v>
          </cell>
          <cell r="L441">
            <v>46055</v>
          </cell>
          <cell r="M441" t="str">
            <v>ECCE RECEPCIÓN</v>
          </cell>
        </row>
        <row r="442">
          <cell r="B442">
            <v>801300</v>
          </cell>
          <cell r="D442">
            <v>0</v>
          </cell>
          <cell r="E442">
            <v>0</v>
          </cell>
          <cell r="F442">
            <v>25</v>
          </cell>
          <cell r="G442">
            <v>0</v>
          </cell>
          <cell r="H442">
            <v>0.53875000000000006</v>
          </cell>
          <cell r="J442">
            <v>0</v>
          </cell>
          <cell r="K442">
            <v>0</v>
          </cell>
          <cell r="L442">
            <v>46055</v>
          </cell>
          <cell r="M442" t="str">
            <v>ECCE RECEPCIÓN</v>
          </cell>
        </row>
        <row r="443">
          <cell r="B443">
            <v>200200</v>
          </cell>
          <cell r="D443">
            <v>6</v>
          </cell>
          <cell r="E443">
            <v>1</v>
          </cell>
          <cell r="F443">
            <v>60</v>
          </cell>
          <cell r="G443">
            <v>300</v>
          </cell>
          <cell r="H443">
            <v>0.5</v>
          </cell>
          <cell r="J443">
            <v>18.75</v>
          </cell>
          <cell r="K443">
            <v>4.375</v>
          </cell>
          <cell r="L443">
            <v>46055</v>
          </cell>
          <cell r="M443" t="str">
            <v>ECCE RECEPCIÓN</v>
          </cell>
        </row>
        <row r="444">
          <cell r="B444">
            <v>100900</v>
          </cell>
          <cell r="D444">
            <v>3</v>
          </cell>
          <cell r="E444">
            <v>2</v>
          </cell>
          <cell r="F444">
            <v>30</v>
          </cell>
          <cell r="G444">
            <v>30</v>
          </cell>
          <cell r="H444">
            <v>0.5</v>
          </cell>
          <cell r="J444">
            <v>1.875</v>
          </cell>
          <cell r="K444">
            <v>0.875</v>
          </cell>
          <cell r="L444">
            <v>46055</v>
          </cell>
          <cell r="M444" t="str">
            <v>ECCE RECEPCIÓN</v>
          </cell>
        </row>
        <row r="446">
          <cell r="B446">
            <v>600300</v>
          </cell>
          <cell r="D446">
            <v>18</v>
          </cell>
          <cell r="E446">
            <v>13</v>
          </cell>
          <cell r="F446">
            <v>25</v>
          </cell>
          <cell r="G446">
            <v>125</v>
          </cell>
          <cell r="H446">
            <v>0.59</v>
          </cell>
          <cell r="J446">
            <v>10.535714285714286</v>
          </cell>
          <cell r="K446">
            <v>5</v>
          </cell>
          <cell r="L446">
            <v>46048</v>
          </cell>
          <cell r="M446" t="str">
            <v>RIVULIS</v>
          </cell>
        </row>
        <row r="447">
          <cell r="B447">
            <v>6005101</v>
          </cell>
          <cell r="D447">
            <v>13</v>
          </cell>
          <cell r="E447">
            <v>10</v>
          </cell>
          <cell r="F447">
            <v>25</v>
          </cell>
          <cell r="G447">
            <v>75</v>
          </cell>
          <cell r="H447">
            <v>0.66</v>
          </cell>
          <cell r="J447">
            <v>7.0714285714285712</v>
          </cell>
          <cell r="K447">
            <v>3</v>
          </cell>
          <cell r="L447">
            <v>46048</v>
          </cell>
          <cell r="M447" t="str">
            <v>RIVULIS</v>
          </cell>
        </row>
        <row r="448">
          <cell r="B448">
            <v>6005102</v>
          </cell>
          <cell r="D448">
            <v>13</v>
          </cell>
          <cell r="E448">
            <v>8</v>
          </cell>
          <cell r="F448">
            <v>25</v>
          </cell>
          <cell r="G448">
            <v>125</v>
          </cell>
          <cell r="H448">
            <v>0.66</v>
          </cell>
          <cell r="J448">
            <v>11.785714285714286</v>
          </cell>
          <cell r="K448">
            <v>5</v>
          </cell>
          <cell r="L448">
            <v>46048</v>
          </cell>
          <cell r="M448" t="str">
            <v>RIVULIS</v>
          </cell>
        </row>
        <row r="449">
          <cell r="B449">
            <v>6005103</v>
          </cell>
          <cell r="D449">
            <v>12</v>
          </cell>
          <cell r="E449">
            <v>9</v>
          </cell>
          <cell r="F449">
            <v>25</v>
          </cell>
          <cell r="G449">
            <v>75</v>
          </cell>
          <cell r="H449">
            <v>0.66</v>
          </cell>
          <cell r="J449">
            <v>7.0714285714285712</v>
          </cell>
          <cell r="K449">
            <v>3</v>
          </cell>
          <cell r="L449">
            <v>46048</v>
          </cell>
          <cell r="M449" t="str">
            <v>RIVULIS</v>
          </cell>
        </row>
        <row r="450">
          <cell r="B450">
            <v>600101</v>
          </cell>
          <cell r="D450">
            <v>10</v>
          </cell>
          <cell r="E450">
            <v>6</v>
          </cell>
          <cell r="F450">
            <v>25</v>
          </cell>
          <cell r="G450">
            <v>100</v>
          </cell>
          <cell r="H450">
            <v>0.64</v>
          </cell>
          <cell r="J450">
            <v>9.1428571428571423</v>
          </cell>
          <cell r="K450">
            <v>4</v>
          </cell>
          <cell r="L450">
            <v>46048</v>
          </cell>
          <cell r="M450" t="str">
            <v>RIVULIS</v>
          </cell>
        </row>
        <row r="451">
          <cell r="B451">
            <v>600102</v>
          </cell>
          <cell r="D451">
            <v>12</v>
          </cell>
          <cell r="E451">
            <v>5</v>
          </cell>
          <cell r="F451">
            <v>25</v>
          </cell>
          <cell r="G451">
            <v>175</v>
          </cell>
          <cell r="H451">
            <v>0.64</v>
          </cell>
          <cell r="J451">
            <v>16</v>
          </cell>
          <cell r="K451">
            <v>7</v>
          </cell>
          <cell r="L451">
            <v>46048</v>
          </cell>
          <cell r="M451" t="str">
            <v>RIVULIS</v>
          </cell>
        </row>
        <row r="452">
          <cell r="B452">
            <v>6005104</v>
          </cell>
          <cell r="D452">
            <v>12</v>
          </cell>
          <cell r="E452">
            <v>9</v>
          </cell>
          <cell r="F452">
            <v>25</v>
          </cell>
          <cell r="G452">
            <v>75</v>
          </cell>
          <cell r="H452">
            <v>0.66</v>
          </cell>
          <cell r="J452">
            <v>7.0714285714285712</v>
          </cell>
          <cell r="K452">
            <v>3</v>
          </cell>
          <cell r="L452">
            <v>46048</v>
          </cell>
          <cell r="M452" t="str">
            <v>RIVULIS</v>
          </cell>
        </row>
        <row r="453">
          <cell r="B453">
            <v>600600</v>
          </cell>
          <cell r="D453">
            <v>13</v>
          </cell>
          <cell r="E453">
            <v>8</v>
          </cell>
          <cell r="F453">
            <v>25</v>
          </cell>
          <cell r="G453">
            <v>125</v>
          </cell>
          <cell r="H453">
            <v>0.53</v>
          </cell>
          <cell r="J453">
            <v>9.4642857142857135</v>
          </cell>
          <cell r="K453">
            <v>5</v>
          </cell>
          <cell r="L453">
            <v>46048</v>
          </cell>
          <cell r="M453" t="str">
            <v>RIVULIS</v>
          </cell>
        </row>
        <row r="454">
          <cell r="B454">
            <v>600500</v>
          </cell>
          <cell r="D454">
            <v>11</v>
          </cell>
          <cell r="E454">
            <v>9</v>
          </cell>
          <cell r="F454">
            <v>25</v>
          </cell>
          <cell r="G454">
            <v>50</v>
          </cell>
          <cell r="H454">
            <v>0.66</v>
          </cell>
          <cell r="J454">
            <v>4.7142857142857144</v>
          </cell>
          <cell r="K454">
            <v>2</v>
          </cell>
          <cell r="L454">
            <v>46048</v>
          </cell>
          <cell r="M454" t="str">
            <v>RIVULIS</v>
          </cell>
        </row>
        <row r="455">
          <cell r="B455">
            <v>600400</v>
          </cell>
          <cell r="D455">
            <v>18</v>
          </cell>
          <cell r="E455">
            <v>9</v>
          </cell>
          <cell r="F455">
            <v>20</v>
          </cell>
          <cell r="G455">
            <v>180</v>
          </cell>
          <cell r="H455">
            <v>0.59</v>
          </cell>
          <cell r="J455">
            <v>15.171428571428569</v>
          </cell>
          <cell r="K455">
            <v>9</v>
          </cell>
          <cell r="L455">
            <v>46048</v>
          </cell>
          <cell r="M455" t="str">
            <v>RIVULIS</v>
          </cell>
        </row>
        <row r="456">
          <cell r="B456">
            <v>100400</v>
          </cell>
          <cell r="D456">
            <v>7</v>
          </cell>
          <cell r="E456">
            <v>6</v>
          </cell>
          <cell r="F456">
            <v>15</v>
          </cell>
          <cell r="G456">
            <v>15</v>
          </cell>
          <cell r="H456">
            <v>0.5</v>
          </cell>
          <cell r="J456">
            <v>1.0714285714285714</v>
          </cell>
          <cell r="K456">
            <v>1</v>
          </cell>
          <cell r="L456">
            <v>46048</v>
          </cell>
          <cell r="M456" t="str">
            <v>RIVULIS</v>
          </cell>
        </row>
        <row r="457">
          <cell r="B457">
            <v>100400</v>
          </cell>
          <cell r="D457">
            <v>12</v>
          </cell>
          <cell r="E457">
            <v>4</v>
          </cell>
          <cell r="F457">
            <v>15</v>
          </cell>
          <cell r="G457">
            <v>120</v>
          </cell>
          <cell r="H457">
            <v>0.5</v>
          </cell>
          <cell r="J457">
            <v>8.5714285714285712</v>
          </cell>
          <cell r="K457">
            <v>8</v>
          </cell>
          <cell r="L457">
            <v>46048</v>
          </cell>
          <cell r="M457" t="str">
            <v>RIVULIS</v>
          </cell>
        </row>
        <row r="458">
          <cell r="B458">
            <v>100600</v>
          </cell>
          <cell r="D458">
            <v>8</v>
          </cell>
          <cell r="E458">
            <v>4</v>
          </cell>
          <cell r="F458">
            <v>15</v>
          </cell>
          <cell r="G458">
            <v>60</v>
          </cell>
          <cell r="H458">
            <v>0.43</v>
          </cell>
          <cell r="J458">
            <v>3.6857142857142859</v>
          </cell>
          <cell r="K458">
            <v>4</v>
          </cell>
          <cell r="L458">
            <v>46048</v>
          </cell>
          <cell r="M458" t="str">
            <v>RIVULIS</v>
          </cell>
        </row>
        <row r="459">
          <cell r="B459">
            <v>100600</v>
          </cell>
          <cell r="D459">
            <v>10</v>
          </cell>
          <cell r="E459">
            <v>3</v>
          </cell>
          <cell r="F459">
            <v>15</v>
          </cell>
          <cell r="G459">
            <v>105</v>
          </cell>
          <cell r="H459">
            <v>0.43</v>
          </cell>
          <cell r="J459">
            <v>6.45</v>
          </cell>
          <cell r="K459">
            <v>7</v>
          </cell>
          <cell r="L459">
            <v>46048</v>
          </cell>
          <cell r="M459" t="str">
            <v>RIVULIS</v>
          </cell>
        </row>
        <row r="460">
          <cell r="B460">
            <v>800900</v>
          </cell>
          <cell r="D460">
            <v>11</v>
          </cell>
          <cell r="E460">
            <v>8</v>
          </cell>
          <cell r="F460">
            <v>20</v>
          </cell>
          <cell r="G460">
            <v>60</v>
          </cell>
          <cell r="H460">
            <v>0.51</v>
          </cell>
          <cell r="J460">
            <v>4.3714285714285719</v>
          </cell>
          <cell r="K460">
            <v>3</v>
          </cell>
          <cell r="L460">
            <v>46048</v>
          </cell>
          <cell r="M460" t="str">
            <v>RIVULIS</v>
          </cell>
        </row>
        <row r="461">
          <cell r="B461">
            <v>300700</v>
          </cell>
          <cell r="D461">
            <v>12</v>
          </cell>
          <cell r="E461">
            <v>9</v>
          </cell>
          <cell r="F461">
            <v>10</v>
          </cell>
          <cell r="G461">
            <v>30</v>
          </cell>
          <cell r="H461">
            <v>0.71</v>
          </cell>
          <cell r="J461">
            <v>3.0428571428571423</v>
          </cell>
          <cell r="K461">
            <v>3</v>
          </cell>
          <cell r="L461">
            <v>46048</v>
          </cell>
          <cell r="M461" t="str">
            <v>RIVULIS</v>
          </cell>
        </row>
        <row r="462">
          <cell r="B462">
            <v>300200</v>
          </cell>
          <cell r="D462">
            <v>20</v>
          </cell>
          <cell r="E462">
            <v>20</v>
          </cell>
          <cell r="F462">
            <v>20</v>
          </cell>
          <cell r="G462">
            <v>0</v>
          </cell>
          <cell r="H462">
            <v>0.62</v>
          </cell>
          <cell r="J462">
            <v>0</v>
          </cell>
          <cell r="K462">
            <v>0</v>
          </cell>
          <cell r="L462">
            <v>46048</v>
          </cell>
          <cell r="M462" t="str">
            <v>RIVULIS</v>
          </cell>
        </row>
        <row r="463">
          <cell r="B463">
            <v>300100</v>
          </cell>
          <cell r="D463">
            <v>11</v>
          </cell>
          <cell r="E463">
            <v>8</v>
          </cell>
          <cell r="F463">
            <v>15</v>
          </cell>
          <cell r="G463">
            <v>45</v>
          </cell>
          <cell r="H463">
            <v>0.56999999999999995</v>
          </cell>
          <cell r="J463">
            <v>3.6642857142857141</v>
          </cell>
          <cell r="K463">
            <v>3</v>
          </cell>
          <cell r="L463">
            <v>46048</v>
          </cell>
          <cell r="M463" t="str">
            <v>RIVULIS</v>
          </cell>
        </row>
        <row r="464">
          <cell r="B464">
            <v>900300</v>
          </cell>
          <cell r="D464">
            <v>15</v>
          </cell>
          <cell r="E464">
            <v>9</v>
          </cell>
          <cell r="F464">
            <v>25</v>
          </cell>
          <cell r="G464">
            <v>150</v>
          </cell>
          <cell r="H464">
            <v>0.4</v>
          </cell>
          <cell r="J464">
            <v>8.5714285714285712</v>
          </cell>
          <cell r="K464">
            <v>6</v>
          </cell>
          <cell r="L464">
            <v>46048</v>
          </cell>
          <cell r="M464" t="str">
            <v>RIVULIS</v>
          </cell>
        </row>
        <row r="465">
          <cell r="B465">
            <v>300400</v>
          </cell>
          <cell r="D465">
            <v>14</v>
          </cell>
          <cell r="E465">
            <v>12</v>
          </cell>
          <cell r="F465">
            <v>10</v>
          </cell>
          <cell r="G465">
            <v>20</v>
          </cell>
          <cell r="H465">
            <v>0.4</v>
          </cell>
          <cell r="J465">
            <v>1.1428571428571428</v>
          </cell>
          <cell r="K465">
            <v>2</v>
          </cell>
          <cell r="L465">
            <v>46048</v>
          </cell>
          <cell r="M465" t="str">
            <v>RIVULIS</v>
          </cell>
        </row>
        <row r="466">
          <cell r="B466">
            <v>700500</v>
          </cell>
          <cell r="D466">
            <v>15</v>
          </cell>
          <cell r="E466">
            <v>7</v>
          </cell>
          <cell r="F466">
            <v>15</v>
          </cell>
          <cell r="G466">
            <v>120</v>
          </cell>
          <cell r="H466">
            <v>0.56999999999999995</v>
          </cell>
          <cell r="J466">
            <v>9.7714285714285705</v>
          </cell>
          <cell r="K466">
            <v>8</v>
          </cell>
          <cell r="L466">
            <v>46048</v>
          </cell>
          <cell r="M466" t="str">
            <v>RIVULIS</v>
          </cell>
        </row>
        <row r="467">
          <cell r="B467">
            <v>700400</v>
          </cell>
          <cell r="D467">
            <v>11</v>
          </cell>
          <cell r="E467">
            <v>9</v>
          </cell>
          <cell r="F467">
            <v>25</v>
          </cell>
          <cell r="G467">
            <v>50</v>
          </cell>
          <cell r="H467">
            <v>0.48</v>
          </cell>
          <cell r="J467">
            <v>3.4285714285714284</v>
          </cell>
          <cell r="K467">
            <v>2</v>
          </cell>
          <cell r="L467">
            <v>46048</v>
          </cell>
          <cell r="M467" t="str">
            <v>RIVULIS</v>
          </cell>
        </row>
        <row r="468">
          <cell r="B468">
            <v>700800</v>
          </cell>
          <cell r="D468">
            <v>15</v>
          </cell>
          <cell r="E468">
            <v>8</v>
          </cell>
          <cell r="F468">
            <v>20</v>
          </cell>
          <cell r="G468">
            <v>140</v>
          </cell>
          <cell r="H468">
            <v>0.38</v>
          </cell>
          <cell r="J468">
            <v>7.6000000000000005</v>
          </cell>
          <cell r="K468">
            <v>7</v>
          </cell>
          <cell r="L468">
            <v>46048</v>
          </cell>
          <cell r="M468" t="str">
            <v>RIVULIS</v>
          </cell>
        </row>
        <row r="469">
          <cell r="B469">
            <v>700700</v>
          </cell>
          <cell r="D469">
            <v>15</v>
          </cell>
          <cell r="E469">
            <v>15</v>
          </cell>
          <cell r="F469">
            <v>25</v>
          </cell>
          <cell r="G469">
            <v>0</v>
          </cell>
          <cell r="H469">
            <v>0.44</v>
          </cell>
          <cell r="J469">
            <v>0</v>
          </cell>
          <cell r="K469">
            <v>0</v>
          </cell>
          <cell r="L469">
            <v>46048</v>
          </cell>
          <cell r="M469" t="str">
            <v>RIVULIS</v>
          </cell>
        </row>
        <row r="470">
          <cell r="B470">
            <v>700200</v>
          </cell>
          <cell r="D470">
            <v>14</v>
          </cell>
          <cell r="E470">
            <v>14</v>
          </cell>
          <cell r="F470">
            <v>25</v>
          </cell>
          <cell r="G470">
            <v>0</v>
          </cell>
          <cell r="H470">
            <v>0.44</v>
          </cell>
          <cell r="J470">
            <v>0</v>
          </cell>
          <cell r="K470">
            <v>0</v>
          </cell>
          <cell r="L470">
            <v>46048</v>
          </cell>
          <cell r="M470" t="str">
            <v>RIVULIS</v>
          </cell>
        </row>
        <row r="471">
          <cell r="B471">
            <v>800500</v>
          </cell>
          <cell r="D471">
            <v>13</v>
          </cell>
          <cell r="E471">
            <v>12</v>
          </cell>
          <cell r="F471">
            <v>10</v>
          </cell>
          <cell r="G471">
            <v>10</v>
          </cell>
          <cell r="H471">
            <v>0.7</v>
          </cell>
          <cell r="J471">
            <v>1</v>
          </cell>
          <cell r="K471">
            <v>1</v>
          </cell>
          <cell r="L471">
            <v>46048</v>
          </cell>
          <cell r="M471" t="str">
            <v>RIVULIS</v>
          </cell>
        </row>
        <row r="472">
          <cell r="B472">
            <v>800700</v>
          </cell>
          <cell r="D472">
            <v>15</v>
          </cell>
          <cell r="E472">
            <v>15</v>
          </cell>
          <cell r="F472">
            <v>20</v>
          </cell>
          <cell r="G472">
            <v>0</v>
          </cell>
          <cell r="H472">
            <v>0.55000000000000004</v>
          </cell>
          <cell r="J472">
            <v>0</v>
          </cell>
          <cell r="K472">
            <v>0</v>
          </cell>
          <cell r="L472">
            <v>46048</v>
          </cell>
          <cell r="M472" t="str">
            <v>RIVULIS</v>
          </cell>
        </row>
        <row r="473">
          <cell r="B473">
            <v>800400</v>
          </cell>
          <cell r="D473">
            <v>18</v>
          </cell>
          <cell r="E473">
            <v>14</v>
          </cell>
          <cell r="F473">
            <v>20</v>
          </cell>
          <cell r="G473">
            <v>80</v>
          </cell>
          <cell r="H473">
            <v>0.55000000000000004</v>
          </cell>
          <cell r="J473">
            <v>6.2857142857142856</v>
          </cell>
          <cell r="K473">
            <v>4</v>
          </cell>
          <cell r="L473">
            <v>46048</v>
          </cell>
          <cell r="M473" t="str">
            <v>RIVULIS</v>
          </cell>
        </row>
        <row r="474">
          <cell r="B474">
            <v>800601</v>
          </cell>
          <cell r="D474">
            <v>10</v>
          </cell>
          <cell r="E474">
            <v>7</v>
          </cell>
          <cell r="F474">
            <v>15</v>
          </cell>
          <cell r="G474">
            <v>45</v>
          </cell>
          <cell r="H474">
            <v>0.55000000000000004</v>
          </cell>
          <cell r="J474">
            <v>3.535714285714286</v>
          </cell>
          <cell r="K474">
            <v>3</v>
          </cell>
          <cell r="L474">
            <v>46048</v>
          </cell>
          <cell r="M474" t="str">
            <v>RIVULIS</v>
          </cell>
        </row>
        <row r="475">
          <cell r="B475">
            <v>800600</v>
          </cell>
          <cell r="D475">
            <v>21</v>
          </cell>
          <cell r="E475">
            <v>12</v>
          </cell>
          <cell r="F475">
            <v>15</v>
          </cell>
          <cell r="G475">
            <v>135</v>
          </cell>
          <cell r="H475">
            <v>0.55000000000000004</v>
          </cell>
          <cell r="J475">
            <v>10.607142857142858</v>
          </cell>
          <cell r="K475">
            <v>9</v>
          </cell>
          <cell r="L475">
            <v>46048</v>
          </cell>
          <cell r="M475" t="str">
            <v>RIVULIS</v>
          </cell>
        </row>
        <row r="476">
          <cell r="B476">
            <v>800800</v>
          </cell>
          <cell r="D476">
            <v>17</v>
          </cell>
          <cell r="E476">
            <v>15</v>
          </cell>
          <cell r="F476">
            <v>15</v>
          </cell>
          <cell r="G476">
            <v>30</v>
          </cell>
          <cell r="H476">
            <v>0.35</v>
          </cell>
          <cell r="J476">
            <v>1.5</v>
          </cell>
          <cell r="K476">
            <v>2</v>
          </cell>
          <cell r="L476">
            <v>46048</v>
          </cell>
          <cell r="M476" t="str">
            <v>RIVULIS</v>
          </cell>
        </row>
        <row r="477">
          <cell r="B477">
            <v>801000</v>
          </cell>
          <cell r="D477">
            <v>16</v>
          </cell>
          <cell r="E477">
            <v>11</v>
          </cell>
          <cell r="F477">
            <v>15</v>
          </cell>
          <cell r="G477">
            <v>75</v>
          </cell>
          <cell r="H477">
            <v>0.4</v>
          </cell>
          <cell r="J477">
            <v>4.2857142857142856</v>
          </cell>
          <cell r="K477">
            <v>5</v>
          </cell>
          <cell r="L477">
            <v>46048</v>
          </cell>
          <cell r="M477" t="str">
            <v>RIVULIS</v>
          </cell>
        </row>
        <row r="478">
          <cell r="B478">
            <v>801100</v>
          </cell>
          <cell r="D478">
            <v>17</v>
          </cell>
          <cell r="E478">
            <v>7</v>
          </cell>
          <cell r="F478">
            <v>20</v>
          </cell>
          <cell r="G478">
            <v>200</v>
          </cell>
          <cell r="H478">
            <v>0.5</v>
          </cell>
          <cell r="J478">
            <v>14.285714285714286</v>
          </cell>
          <cell r="K478">
            <v>10</v>
          </cell>
          <cell r="L478">
            <v>46048</v>
          </cell>
          <cell r="M478" t="str">
            <v>RIVULIS</v>
          </cell>
        </row>
        <row r="479">
          <cell r="B479">
            <v>801200</v>
          </cell>
          <cell r="D479">
            <v>13</v>
          </cell>
          <cell r="E479">
            <v>1</v>
          </cell>
          <cell r="F479">
            <v>20</v>
          </cell>
          <cell r="G479">
            <v>240</v>
          </cell>
          <cell r="H479">
            <v>0.55000000000000004</v>
          </cell>
          <cell r="J479">
            <v>18.857142857142858</v>
          </cell>
          <cell r="K479">
            <v>12</v>
          </cell>
          <cell r="L479">
            <v>46048</v>
          </cell>
          <cell r="M479" t="str">
            <v>RIVULIS</v>
          </cell>
        </row>
        <row r="480">
          <cell r="B480">
            <v>800200</v>
          </cell>
          <cell r="D480">
            <v>19</v>
          </cell>
          <cell r="E480">
            <v>5</v>
          </cell>
          <cell r="F480">
            <v>20</v>
          </cell>
          <cell r="G480">
            <v>280</v>
          </cell>
          <cell r="H480">
            <v>0.65</v>
          </cell>
          <cell r="J480">
            <v>26</v>
          </cell>
          <cell r="K480">
            <v>14</v>
          </cell>
          <cell r="L480">
            <v>46048</v>
          </cell>
          <cell r="M480" t="str">
            <v>RIVULIS</v>
          </cell>
        </row>
        <row r="481">
          <cell r="B481">
            <v>100200</v>
          </cell>
          <cell r="D481">
            <v>7</v>
          </cell>
          <cell r="E481">
            <v>6</v>
          </cell>
          <cell r="F481">
            <v>15</v>
          </cell>
          <cell r="G481">
            <v>15</v>
          </cell>
          <cell r="H481">
            <v>0.8</v>
          </cell>
          <cell r="J481">
            <v>1.7142857142857142</v>
          </cell>
          <cell r="K481">
            <v>1</v>
          </cell>
          <cell r="L481">
            <v>46048</v>
          </cell>
          <cell r="M481" t="str">
            <v>RIVULIS</v>
          </cell>
        </row>
        <row r="482">
          <cell r="B482">
            <v>100200</v>
          </cell>
          <cell r="D482">
            <v>6</v>
          </cell>
          <cell r="E482">
            <v>6</v>
          </cell>
          <cell r="F482">
            <v>15</v>
          </cell>
          <cell r="G482">
            <v>0</v>
          </cell>
          <cell r="H482">
            <v>0.8</v>
          </cell>
          <cell r="J482">
            <v>0</v>
          </cell>
          <cell r="K482">
            <v>0</v>
          </cell>
          <cell r="L482">
            <v>46048</v>
          </cell>
          <cell r="M482" t="str">
            <v>RIVULIS</v>
          </cell>
        </row>
        <row r="483">
          <cell r="B483">
            <v>100900</v>
          </cell>
          <cell r="D483">
            <v>8</v>
          </cell>
          <cell r="E483">
            <v>6</v>
          </cell>
          <cell r="F483">
            <v>20</v>
          </cell>
          <cell r="G483">
            <v>40</v>
          </cell>
          <cell r="H483">
            <v>0.3</v>
          </cell>
          <cell r="J483">
            <v>1.7142857142857142</v>
          </cell>
          <cell r="K483">
            <v>2</v>
          </cell>
          <cell r="L483">
            <v>46048</v>
          </cell>
          <cell r="M483" t="str">
            <v>RIVULIS</v>
          </cell>
        </row>
        <row r="484">
          <cell r="B484">
            <v>100300</v>
          </cell>
          <cell r="D484">
            <v>9</v>
          </cell>
          <cell r="E484">
            <v>6</v>
          </cell>
          <cell r="F484">
            <v>25</v>
          </cell>
          <cell r="G484">
            <v>75</v>
          </cell>
          <cell r="H484">
            <v>0.36</v>
          </cell>
          <cell r="J484">
            <v>3.8571428571428572</v>
          </cell>
          <cell r="K484">
            <v>3</v>
          </cell>
          <cell r="L484">
            <v>46048</v>
          </cell>
          <cell r="M484" t="str">
            <v>RIVULIS</v>
          </cell>
        </row>
        <row r="485">
          <cell r="B485">
            <v>100800</v>
          </cell>
          <cell r="D485">
            <v>7</v>
          </cell>
          <cell r="E485">
            <v>5</v>
          </cell>
          <cell r="F485">
            <v>18</v>
          </cell>
          <cell r="G485">
            <v>36</v>
          </cell>
          <cell r="H485">
            <v>0.81</v>
          </cell>
          <cell r="J485">
            <v>4.1657142857142864</v>
          </cell>
          <cell r="K485">
            <v>2</v>
          </cell>
          <cell r="L485">
            <v>46048</v>
          </cell>
          <cell r="M485" t="str">
            <v>RIVULIS</v>
          </cell>
        </row>
        <row r="486">
          <cell r="B486">
            <v>801300</v>
          </cell>
          <cell r="D486">
            <v>8</v>
          </cell>
          <cell r="E486">
            <v>0</v>
          </cell>
          <cell r="F486">
            <v>25</v>
          </cell>
          <cell r="G486">
            <v>200</v>
          </cell>
          <cell r="H486">
            <v>0.5</v>
          </cell>
          <cell r="J486">
            <v>14.285714285714286</v>
          </cell>
          <cell r="K486">
            <v>8</v>
          </cell>
          <cell r="L486">
            <v>46048</v>
          </cell>
          <cell r="M486" t="str">
            <v>RIVULIS</v>
          </cell>
        </row>
        <row r="488">
          <cell r="B488">
            <v>600300</v>
          </cell>
          <cell r="D488">
            <v>19</v>
          </cell>
          <cell r="E488">
            <v>11</v>
          </cell>
          <cell r="F488">
            <v>25</v>
          </cell>
          <cell r="G488">
            <v>200</v>
          </cell>
          <cell r="H488">
            <v>0.59</v>
          </cell>
          <cell r="J488">
            <v>14.75</v>
          </cell>
          <cell r="K488">
            <v>7</v>
          </cell>
          <cell r="L488">
            <v>46056</v>
          </cell>
          <cell r="M488" t="str">
            <v>RIVULIS</v>
          </cell>
        </row>
        <row r="489">
          <cell r="B489">
            <v>6005101</v>
          </cell>
          <cell r="D489">
            <v>13</v>
          </cell>
          <cell r="E489">
            <v>12</v>
          </cell>
          <cell r="F489">
            <v>25</v>
          </cell>
          <cell r="G489">
            <v>25</v>
          </cell>
          <cell r="H489">
            <v>0.66</v>
          </cell>
          <cell r="J489">
            <v>2.0625</v>
          </cell>
          <cell r="K489">
            <v>0.875</v>
          </cell>
          <cell r="L489">
            <v>46056</v>
          </cell>
          <cell r="M489" t="str">
            <v>RIVULIS</v>
          </cell>
        </row>
        <row r="490">
          <cell r="B490">
            <v>6005102</v>
          </cell>
          <cell r="D490">
            <v>15</v>
          </cell>
          <cell r="E490">
            <v>8</v>
          </cell>
          <cell r="F490">
            <v>25</v>
          </cell>
          <cell r="G490">
            <v>175</v>
          </cell>
          <cell r="H490">
            <v>0.66</v>
          </cell>
          <cell r="J490">
            <v>14.4375</v>
          </cell>
          <cell r="K490">
            <v>6.125</v>
          </cell>
          <cell r="L490">
            <v>46056</v>
          </cell>
          <cell r="M490" t="str">
            <v>RIVULIS</v>
          </cell>
        </row>
        <row r="491">
          <cell r="B491">
            <v>6005103</v>
          </cell>
          <cell r="D491">
            <v>15</v>
          </cell>
          <cell r="E491">
            <v>7</v>
          </cell>
          <cell r="F491">
            <v>25</v>
          </cell>
          <cell r="G491">
            <v>200</v>
          </cell>
          <cell r="H491">
            <v>0.66</v>
          </cell>
          <cell r="J491">
            <v>16.5</v>
          </cell>
          <cell r="K491">
            <v>7</v>
          </cell>
          <cell r="L491">
            <v>46056</v>
          </cell>
          <cell r="M491" t="str">
            <v>RIVULIS</v>
          </cell>
        </row>
        <row r="492">
          <cell r="B492">
            <v>600101</v>
          </cell>
          <cell r="D492">
            <v>6</v>
          </cell>
          <cell r="E492">
            <v>1</v>
          </cell>
          <cell r="F492">
            <v>25</v>
          </cell>
          <cell r="G492">
            <v>125</v>
          </cell>
          <cell r="H492">
            <v>0.64</v>
          </cell>
          <cell r="J492">
            <v>10</v>
          </cell>
          <cell r="K492">
            <v>4.375</v>
          </cell>
          <cell r="L492">
            <v>46056</v>
          </cell>
          <cell r="M492" t="str">
            <v>RIVULIS</v>
          </cell>
        </row>
        <row r="493">
          <cell r="B493">
            <v>600102</v>
          </cell>
          <cell r="D493">
            <v>14</v>
          </cell>
          <cell r="E493">
            <v>7</v>
          </cell>
          <cell r="F493">
            <v>25</v>
          </cell>
          <cell r="G493">
            <v>175</v>
          </cell>
          <cell r="H493">
            <v>0.64</v>
          </cell>
          <cell r="J493">
            <v>14</v>
          </cell>
          <cell r="K493">
            <v>6.125</v>
          </cell>
          <cell r="L493">
            <v>46056</v>
          </cell>
          <cell r="M493" t="str">
            <v>RIVULIS</v>
          </cell>
        </row>
        <row r="494">
          <cell r="B494">
            <v>6005104</v>
          </cell>
          <cell r="D494">
            <v>12</v>
          </cell>
          <cell r="E494">
            <v>7</v>
          </cell>
          <cell r="F494">
            <v>25</v>
          </cell>
          <cell r="G494">
            <v>125</v>
          </cell>
          <cell r="H494">
            <v>0.66</v>
          </cell>
          <cell r="J494">
            <v>10.3125</v>
          </cell>
          <cell r="K494">
            <v>4.375</v>
          </cell>
          <cell r="L494">
            <v>46056</v>
          </cell>
          <cell r="M494" t="str">
            <v>RIVULIS</v>
          </cell>
        </row>
        <row r="495">
          <cell r="B495">
            <v>600600</v>
          </cell>
          <cell r="D495">
            <v>15</v>
          </cell>
          <cell r="E495">
            <v>12</v>
          </cell>
          <cell r="F495">
            <v>25</v>
          </cell>
          <cell r="G495">
            <v>75</v>
          </cell>
          <cell r="H495">
            <v>0.53</v>
          </cell>
          <cell r="J495">
            <v>4.96875</v>
          </cell>
          <cell r="K495">
            <v>2.625</v>
          </cell>
          <cell r="L495">
            <v>46056</v>
          </cell>
          <cell r="M495" t="str">
            <v>RIVULIS</v>
          </cell>
        </row>
        <row r="496">
          <cell r="B496">
            <v>600500</v>
          </cell>
          <cell r="D496">
            <v>14</v>
          </cell>
          <cell r="E496">
            <v>8</v>
          </cell>
          <cell r="F496">
            <v>25</v>
          </cell>
          <cell r="G496">
            <v>150</v>
          </cell>
          <cell r="H496">
            <v>0.66</v>
          </cell>
          <cell r="J496">
            <v>12.375</v>
          </cell>
          <cell r="K496">
            <v>5.25</v>
          </cell>
          <cell r="L496">
            <v>46056</v>
          </cell>
          <cell r="M496" t="str">
            <v>RIVULIS</v>
          </cell>
        </row>
        <row r="497">
          <cell r="B497">
            <v>600400</v>
          </cell>
          <cell r="D497">
            <v>16</v>
          </cell>
          <cell r="E497">
            <v>12</v>
          </cell>
          <cell r="F497">
            <v>20</v>
          </cell>
          <cell r="G497">
            <v>80</v>
          </cell>
          <cell r="H497">
            <v>0.59</v>
          </cell>
          <cell r="J497">
            <v>5.8999999999999995</v>
          </cell>
          <cell r="K497">
            <v>3.5</v>
          </cell>
          <cell r="L497">
            <v>46056</v>
          </cell>
          <cell r="M497" t="str">
            <v>RIVULIS</v>
          </cell>
        </row>
        <row r="498">
          <cell r="B498">
            <v>100400</v>
          </cell>
          <cell r="D498">
            <v>7</v>
          </cell>
          <cell r="E498">
            <v>1</v>
          </cell>
          <cell r="F498">
            <v>15</v>
          </cell>
          <cell r="G498">
            <v>90</v>
          </cell>
          <cell r="H498">
            <v>0.5</v>
          </cell>
          <cell r="J498">
            <v>5.625</v>
          </cell>
          <cell r="K498">
            <v>5.25</v>
          </cell>
          <cell r="L498">
            <v>46056</v>
          </cell>
          <cell r="M498" t="str">
            <v>RIVULIS</v>
          </cell>
        </row>
        <row r="499">
          <cell r="B499">
            <v>100400</v>
          </cell>
          <cell r="D499">
            <v>7</v>
          </cell>
          <cell r="E499">
            <v>5</v>
          </cell>
          <cell r="F499">
            <v>15</v>
          </cell>
          <cell r="G499">
            <v>30</v>
          </cell>
          <cell r="H499">
            <v>0.5</v>
          </cell>
          <cell r="J499">
            <v>1.875</v>
          </cell>
          <cell r="K499">
            <v>1.75</v>
          </cell>
          <cell r="L499">
            <v>46056</v>
          </cell>
          <cell r="M499" t="str">
            <v>RIVULIS</v>
          </cell>
        </row>
        <row r="500">
          <cell r="B500">
            <v>100600</v>
          </cell>
          <cell r="D500">
            <v>8</v>
          </cell>
          <cell r="E500">
            <v>6</v>
          </cell>
          <cell r="F500">
            <v>18</v>
          </cell>
          <cell r="G500">
            <v>36</v>
          </cell>
          <cell r="H500">
            <v>0.43</v>
          </cell>
          <cell r="J500">
            <v>1.9350000000000001</v>
          </cell>
          <cell r="K500">
            <v>1.75</v>
          </cell>
          <cell r="L500">
            <v>46056</v>
          </cell>
          <cell r="M500" t="str">
            <v>RIVULIS</v>
          </cell>
        </row>
        <row r="501">
          <cell r="B501">
            <v>100600</v>
          </cell>
          <cell r="D501">
            <v>12</v>
          </cell>
          <cell r="E501">
            <v>6</v>
          </cell>
          <cell r="F501">
            <v>18</v>
          </cell>
          <cell r="G501">
            <v>108</v>
          </cell>
          <cell r="H501">
            <v>0.43</v>
          </cell>
          <cell r="J501">
            <v>5.8049999999999997</v>
          </cell>
          <cell r="K501">
            <v>5.25</v>
          </cell>
          <cell r="L501">
            <v>46056</v>
          </cell>
          <cell r="M501" t="str">
            <v>RIVULIS</v>
          </cell>
        </row>
        <row r="502">
          <cell r="B502">
            <v>800900</v>
          </cell>
          <cell r="D502">
            <v>16</v>
          </cell>
          <cell r="E502">
            <v>3</v>
          </cell>
          <cell r="F502">
            <v>20</v>
          </cell>
          <cell r="G502">
            <v>260</v>
          </cell>
          <cell r="H502">
            <v>0.51</v>
          </cell>
          <cell r="J502">
            <v>16.574999999999999</v>
          </cell>
          <cell r="K502">
            <v>11.375</v>
          </cell>
          <cell r="L502">
            <v>46056</v>
          </cell>
          <cell r="M502" t="str">
            <v>RIVULIS</v>
          </cell>
        </row>
        <row r="503">
          <cell r="B503">
            <v>300700</v>
          </cell>
          <cell r="D503">
            <v>13</v>
          </cell>
          <cell r="E503">
            <v>9</v>
          </cell>
          <cell r="F503">
            <v>10</v>
          </cell>
          <cell r="G503">
            <v>40</v>
          </cell>
          <cell r="H503">
            <v>0.71</v>
          </cell>
          <cell r="J503">
            <v>3.55</v>
          </cell>
          <cell r="K503">
            <v>3.5</v>
          </cell>
          <cell r="L503">
            <v>46056</v>
          </cell>
          <cell r="M503" t="str">
            <v>RIVULIS</v>
          </cell>
        </row>
        <row r="504">
          <cell r="B504">
            <v>300200</v>
          </cell>
          <cell r="D504">
            <v>20</v>
          </cell>
          <cell r="E504">
            <v>20</v>
          </cell>
          <cell r="F504">
            <v>20</v>
          </cell>
          <cell r="G504">
            <v>0</v>
          </cell>
          <cell r="H504">
            <v>0.62</v>
          </cell>
          <cell r="J504">
            <v>0</v>
          </cell>
          <cell r="K504">
            <v>0</v>
          </cell>
          <cell r="L504">
            <v>46056</v>
          </cell>
          <cell r="M504" t="str">
            <v>RIVULIS</v>
          </cell>
        </row>
        <row r="505">
          <cell r="B505">
            <v>300100</v>
          </cell>
          <cell r="D505">
            <v>8</v>
          </cell>
          <cell r="E505">
            <v>5</v>
          </cell>
          <cell r="F505">
            <v>15</v>
          </cell>
          <cell r="G505">
            <v>45</v>
          </cell>
          <cell r="H505">
            <v>0.56999999999999995</v>
          </cell>
          <cell r="J505">
            <v>3.2062499999999998</v>
          </cell>
          <cell r="K505">
            <v>2.625</v>
          </cell>
          <cell r="L505">
            <v>46056</v>
          </cell>
          <cell r="M505" t="str">
            <v>RIVULIS</v>
          </cell>
        </row>
        <row r="506">
          <cell r="B506">
            <v>900300</v>
          </cell>
          <cell r="D506">
            <v>15</v>
          </cell>
          <cell r="E506">
            <v>14</v>
          </cell>
          <cell r="F506">
            <v>25</v>
          </cell>
          <cell r="G506">
            <v>25</v>
          </cell>
          <cell r="H506">
            <v>0.4</v>
          </cell>
          <cell r="J506">
            <v>1.25</v>
          </cell>
          <cell r="K506">
            <v>0.875</v>
          </cell>
          <cell r="L506">
            <v>46056</v>
          </cell>
          <cell r="M506" t="str">
            <v>RIVULIS</v>
          </cell>
        </row>
        <row r="507">
          <cell r="B507">
            <v>300400</v>
          </cell>
          <cell r="D507">
            <v>20</v>
          </cell>
          <cell r="E507">
            <v>9</v>
          </cell>
          <cell r="F507">
            <v>10</v>
          </cell>
          <cell r="G507">
            <v>110</v>
          </cell>
          <cell r="H507">
            <v>0.4</v>
          </cell>
          <cell r="J507">
            <v>5.5</v>
          </cell>
          <cell r="K507">
            <v>9.625</v>
          </cell>
          <cell r="L507">
            <v>46056</v>
          </cell>
          <cell r="M507" t="str">
            <v>RIVULIS</v>
          </cell>
        </row>
        <row r="508">
          <cell r="B508">
            <v>700500</v>
          </cell>
          <cell r="D508">
            <v>14</v>
          </cell>
          <cell r="E508">
            <v>10</v>
          </cell>
          <cell r="F508">
            <v>15</v>
          </cell>
          <cell r="G508">
            <v>60</v>
          </cell>
          <cell r="H508">
            <v>0.56999999999999995</v>
          </cell>
          <cell r="J508">
            <v>4.2749999999999995</v>
          </cell>
          <cell r="K508">
            <v>3.5</v>
          </cell>
          <cell r="L508">
            <v>46056</v>
          </cell>
          <cell r="M508" t="str">
            <v>RIVULIS</v>
          </cell>
        </row>
        <row r="509">
          <cell r="B509">
            <v>700400</v>
          </cell>
          <cell r="D509">
            <v>9</v>
          </cell>
          <cell r="E509">
            <v>6</v>
          </cell>
          <cell r="F509">
            <v>25</v>
          </cell>
          <cell r="G509">
            <v>75</v>
          </cell>
          <cell r="H509">
            <v>0.48</v>
          </cell>
          <cell r="J509">
            <v>4.5</v>
          </cell>
          <cell r="K509">
            <v>2.625</v>
          </cell>
          <cell r="L509">
            <v>46056</v>
          </cell>
          <cell r="M509" t="str">
            <v>RIVULIS</v>
          </cell>
        </row>
        <row r="510">
          <cell r="B510">
            <v>700800</v>
          </cell>
          <cell r="D510">
            <v>14</v>
          </cell>
          <cell r="E510">
            <v>12</v>
          </cell>
          <cell r="F510">
            <v>20</v>
          </cell>
          <cell r="G510">
            <v>40</v>
          </cell>
          <cell r="H510">
            <v>0.38</v>
          </cell>
          <cell r="J510">
            <v>1.9</v>
          </cell>
          <cell r="K510">
            <v>1.75</v>
          </cell>
          <cell r="L510">
            <v>46056</v>
          </cell>
          <cell r="M510" t="str">
            <v>RIVULIS</v>
          </cell>
        </row>
        <row r="511">
          <cell r="B511">
            <v>700700</v>
          </cell>
          <cell r="D511">
            <v>15</v>
          </cell>
          <cell r="E511">
            <v>15</v>
          </cell>
          <cell r="F511">
            <v>25</v>
          </cell>
          <cell r="G511">
            <v>0</v>
          </cell>
          <cell r="H511">
            <v>0.44</v>
          </cell>
          <cell r="J511">
            <v>0</v>
          </cell>
          <cell r="K511">
            <v>0</v>
          </cell>
          <cell r="L511">
            <v>46056</v>
          </cell>
          <cell r="M511" t="str">
            <v>RIVULIS</v>
          </cell>
        </row>
        <row r="512">
          <cell r="B512">
            <v>700200</v>
          </cell>
          <cell r="D512">
            <v>14</v>
          </cell>
          <cell r="E512">
            <v>12</v>
          </cell>
          <cell r="F512">
            <v>25</v>
          </cell>
          <cell r="G512">
            <v>50</v>
          </cell>
          <cell r="H512">
            <v>0.44</v>
          </cell>
          <cell r="J512">
            <v>2.75</v>
          </cell>
          <cell r="K512">
            <v>1.75</v>
          </cell>
          <cell r="L512">
            <v>46056</v>
          </cell>
          <cell r="M512" t="str">
            <v>RIVULIS</v>
          </cell>
        </row>
        <row r="513">
          <cell r="B513">
            <v>800500</v>
          </cell>
          <cell r="D513">
            <v>20</v>
          </cell>
          <cell r="E513">
            <v>15</v>
          </cell>
          <cell r="F513">
            <v>10</v>
          </cell>
          <cell r="G513">
            <v>50</v>
          </cell>
          <cell r="H513">
            <v>0.7</v>
          </cell>
          <cell r="J513">
            <v>4.375</v>
          </cell>
          <cell r="K513">
            <v>4.375</v>
          </cell>
          <cell r="L513">
            <v>46056</v>
          </cell>
          <cell r="M513" t="str">
            <v>RIVULIS</v>
          </cell>
        </row>
        <row r="514">
          <cell r="B514">
            <v>800700</v>
          </cell>
          <cell r="D514">
            <v>15</v>
          </cell>
          <cell r="E514">
            <v>15</v>
          </cell>
          <cell r="F514">
            <v>20</v>
          </cell>
          <cell r="G514">
            <v>0</v>
          </cell>
          <cell r="H514">
            <v>0.55000000000000004</v>
          </cell>
          <cell r="J514">
            <v>0</v>
          </cell>
          <cell r="K514">
            <v>0</v>
          </cell>
          <cell r="L514">
            <v>46056</v>
          </cell>
          <cell r="M514" t="str">
            <v>RIVULIS</v>
          </cell>
        </row>
        <row r="515">
          <cell r="B515">
            <v>800400</v>
          </cell>
          <cell r="D515">
            <v>19</v>
          </cell>
          <cell r="E515">
            <v>13</v>
          </cell>
          <cell r="F515">
            <v>20</v>
          </cell>
          <cell r="G515">
            <v>120</v>
          </cell>
          <cell r="H515">
            <v>0.55000000000000004</v>
          </cell>
          <cell r="J515">
            <v>8.25</v>
          </cell>
          <cell r="K515">
            <v>5.25</v>
          </cell>
          <cell r="L515">
            <v>46056</v>
          </cell>
          <cell r="M515" t="str">
            <v>RIVULIS</v>
          </cell>
        </row>
        <row r="516">
          <cell r="B516">
            <v>800601</v>
          </cell>
          <cell r="D516">
            <v>10</v>
          </cell>
          <cell r="E516">
            <v>7</v>
          </cell>
          <cell r="F516">
            <v>15</v>
          </cell>
          <cell r="G516">
            <v>45</v>
          </cell>
          <cell r="H516">
            <v>0.55000000000000004</v>
          </cell>
          <cell r="J516">
            <v>3.0937500000000004</v>
          </cell>
          <cell r="K516">
            <v>2.625</v>
          </cell>
          <cell r="L516">
            <v>46056</v>
          </cell>
          <cell r="M516" t="str">
            <v>RIVULIS</v>
          </cell>
        </row>
        <row r="517">
          <cell r="B517">
            <v>800600</v>
          </cell>
          <cell r="D517">
            <v>16</v>
          </cell>
          <cell r="E517">
            <v>12</v>
          </cell>
          <cell r="F517">
            <v>15</v>
          </cell>
          <cell r="G517">
            <v>60</v>
          </cell>
          <cell r="H517">
            <v>0.55000000000000004</v>
          </cell>
          <cell r="J517">
            <v>4.125</v>
          </cell>
          <cell r="K517">
            <v>3.5</v>
          </cell>
          <cell r="L517">
            <v>46056</v>
          </cell>
          <cell r="M517" t="str">
            <v>RIVULIS</v>
          </cell>
        </row>
        <row r="518">
          <cell r="B518">
            <v>800800</v>
          </cell>
          <cell r="D518">
            <v>20</v>
          </cell>
          <cell r="E518">
            <v>15</v>
          </cell>
          <cell r="F518">
            <v>15</v>
          </cell>
          <cell r="G518">
            <v>75</v>
          </cell>
          <cell r="H518">
            <v>0.35</v>
          </cell>
          <cell r="J518">
            <v>3.28125</v>
          </cell>
          <cell r="K518">
            <v>4.375</v>
          </cell>
          <cell r="L518">
            <v>46056</v>
          </cell>
          <cell r="M518" t="str">
            <v>RIVULIS</v>
          </cell>
        </row>
        <row r="519">
          <cell r="B519">
            <v>801000</v>
          </cell>
          <cell r="D519">
            <v>16</v>
          </cell>
          <cell r="E519">
            <v>16</v>
          </cell>
          <cell r="F519">
            <v>15</v>
          </cell>
          <cell r="G519">
            <v>0</v>
          </cell>
          <cell r="H519">
            <v>0.4</v>
          </cell>
          <cell r="J519">
            <v>0</v>
          </cell>
          <cell r="K519">
            <v>0</v>
          </cell>
          <cell r="L519">
            <v>46056</v>
          </cell>
          <cell r="M519" t="str">
            <v>RIVULIS</v>
          </cell>
        </row>
        <row r="520">
          <cell r="B520">
            <v>801100</v>
          </cell>
          <cell r="D520">
            <v>14</v>
          </cell>
          <cell r="E520">
            <v>10</v>
          </cell>
          <cell r="F520">
            <v>20</v>
          </cell>
          <cell r="G520">
            <v>80</v>
          </cell>
          <cell r="H520">
            <v>0.5</v>
          </cell>
          <cell r="J520">
            <v>5</v>
          </cell>
          <cell r="K520">
            <v>3.5</v>
          </cell>
          <cell r="L520">
            <v>46056</v>
          </cell>
          <cell r="M520" t="str">
            <v>RIVULIS</v>
          </cell>
        </row>
        <row r="521">
          <cell r="B521">
            <v>801200</v>
          </cell>
          <cell r="D521">
            <v>12</v>
          </cell>
          <cell r="E521">
            <v>7</v>
          </cell>
          <cell r="F521">
            <v>20</v>
          </cell>
          <cell r="G521">
            <v>100</v>
          </cell>
          <cell r="H521">
            <v>0.55000000000000004</v>
          </cell>
          <cell r="J521">
            <v>6.8750000000000009</v>
          </cell>
          <cell r="K521">
            <v>4.375</v>
          </cell>
          <cell r="L521">
            <v>46056</v>
          </cell>
          <cell r="M521" t="str">
            <v>RIVULIS</v>
          </cell>
        </row>
        <row r="522">
          <cell r="B522">
            <v>800200</v>
          </cell>
          <cell r="D522">
            <v>19</v>
          </cell>
          <cell r="E522">
            <v>12</v>
          </cell>
          <cell r="F522">
            <v>20</v>
          </cell>
          <cell r="G522">
            <v>140</v>
          </cell>
          <cell r="H522">
            <v>0.65</v>
          </cell>
          <cell r="J522">
            <v>11.375</v>
          </cell>
          <cell r="K522">
            <v>6.125</v>
          </cell>
          <cell r="L522">
            <v>46056</v>
          </cell>
          <cell r="M522" t="str">
            <v>RIVULIS</v>
          </cell>
        </row>
        <row r="523">
          <cell r="B523">
            <v>100200</v>
          </cell>
          <cell r="D523">
            <v>6</v>
          </cell>
          <cell r="E523">
            <v>6</v>
          </cell>
          <cell r="F523">
            <v>15</v>
          </cell>
          <cell r="G523">
            <v>0</v>
          </cell>
          <cell r="H523">
            <v>0.8</v>
          </cell>
          <cell r="J523">
            <v>0</v>
          </cell>
          <cell r="K523">
            <v>0</v>
          </cell>
          <cell r="L523">
            <v>46056</v>
          </cell>
          <cell r="M523" t="str">
            <v>RIVULIS</v>
          </cell>
        </row>
        <row r="524">
          <cell r="B524">
            <v>100200</v>
          </cell>
          <cell r="D524">
            <v>6</v>
          </cell>
          <cell r="E524">
            <v>6</v>
          </cell>
          <cell r="F524">
            <v>15</v>
          </cell>
          <cell r="G524">
            <v>0</v>
          </cell>
          <cell r="H524">
            <v>0.8</v>
          </cell>
          <cell r="J524">
            <v>0</v>
          </cell>
          <cell r="K524">
            <v>0</v>
          </cell>
          <cell r="L524">
            <v>46056</v>
          </cell>
          <cell r="M524" t="str">
            <v>RIVULIS</v>
          </cell>
        </row>
        <row r="525">
          <cell r="B525">
            <v>100900</v>
          </cell>
          <cell r="D525">
            <v>6</v>
          </cell>
          <cell r="E525">
            <v>6</v>
          </cell>
          <cell r="F525">
            <v>20</v>
          </cell>
          <cell r="G525">
            <v>0</v>
          </cell>
          <cell r="H525">
            <v>0.3</v>
          </cell>
          <cell r="J525">
            <v>0</v>
          </cell>
          <cell r="K525">
            <v>0</v>
          </cell>
          <cell r="L525">
            <v>46056</v>
          </cell>
          <cell r="M525" t="str">
            <v>RIVULIS</v>
          </cell>
        </row>
        <row r="526">
          <cell r="B526">
            <v>100300</v>
          </cell>
          <cell r="D526">
            <v>6</v>
          </cell>
          <cell r="E526">
            <v>2</v>
          </cell>
          <cell r="F526">
            <v>25</v>
          </cell>
          <cell r="G526">
            <v>100</v>
          </cell>
          <cell r="H526">
            <v>0.36</v>
          </cell>
          <cell r="J526">
            <v>4.5</v>
          </cell>
          <cell r="K526">
            <v>3.5</v>
          </cell>
          <cell r="L526">
            <v>46056</v>
          </cell>
          <cell r="M526" t="str">
            <v>RIVULIS</v>
          </cell>
        </row>
        <row r="527">
          <cell r="B527">
            <v>100800</v>
          </cell>
          <cell r="D527">
            <v>6</v>
          </cell>
          <cell r="E527">
            <v>6</v>
          </cell>
          <cell r="F527">
            <v>18</v>
          </cell>
          <cell r="G527">
            <v>0</v>
          </cell>
          <cell r="H527">
            <v>0.81</v>
          </cell>
          <cell r="J527">
            <v>0</v>
          </cell>
          <cell r="K527">
            <v>0</v>
          </cell>
          <cell r="L527">
            <v>46056</v>
          </cell>
          <cell r="M527" t="str">
            <v>RIVULIS</v>
          </cell>
        </row>
        <row r="528">
          <cell r="B528">
            <v>801300</v>
          </cell>
          <cell r="D528">
            <v>16</v>
          </cell>
          <cell r="E528">
            <v>4</v>
          </cell>
          <cell r="F528">
            <v>25</v>
          </cell>
          <cell r="G528">
            <v>300</v>
          </cell>
          <cell r="H528">
            <v>0.5</v>
          </cell>
          <cell r="J528">
            <v>18.75</v>
          </cell>
          <cell r="K528">
            <v>10.5</v>
          </cell>
          <cell r="L528">
            <v>46056</v>
          </cell>
          <cell r="M528" t="str">
            <v>RIVULIS</v>
          </cell>
        </row>
        <row r="530">
          <cell r="B530">
            <v>100200</v>
          </cell>
          <cell r="D530">
            <v>6</v>
          </cell>
          <cell r="E530">
            <v>2</v>
          </cell>
          <cell r="F530">
            <v>20</v>
          </cell>
          <cell r="G530">
            <v>80</v>
          </cell>
          <cell r="H530">
            <v>0.84642857142857131</v>
          </cell>
          <cell r="J530">
            <v>6.7714285714285705</v>
          </cell>
          <cell r="K530">
            <v>2.8000000000000003</v>
          </cell>
          <cell r="L530">
            <v>46065</v>
          </cell>
          <cell r="M530" t="str">
            <v>ECCE 2 SECCIÓN</v>
          </cell>
        </row>
        <row r="531">
          <cell r="B531">
            <v>100200</v>
          </cell>
          <cell r="D531">
            <v>5</v>
          </cell>
          <cell r="E531">
            <v>5</v>
          </cell>
          <cell r="F531">
            <v>20</v>
          </cell>
          <cell r="G531">
            <v>0</v>
          </cell>
          <cell r="H531">
            <v>0.84</v>
          </cell>
          <cell r="J531">
            <v>0</v>
          </cell>
          <cell r="K531">
            <v>0</v>
          </cell>
          <cell r="L531">
            <v>46065</v>
          </cell>
          <cell r="M531" t="str">
            <v>ECCE 2 SECCIÓN</v>
          </cell>
        </row>
        <row r="532">
          <cell r="B532">
            <v>200200</v>
          </cell>
          <cell r="D532">
            <v>5</v>
          </cell>
          <cell r="E532">
            <v>5</v>
          </cell>
          <cell r="F532">
            <v>60</v>
          </cell>
          <cell r="G532">
            <v>0</v>
          </cell>
          <cell r="H532">
            <v>0.63</v>
          </cell>
          <cell r="J532">
            <v>0</v>
          </cell>
          <cell r="K532">
            <v>0</v>
          </cell>
          <cell r="L532">
            <v>46065</v>
          </cell>
          <cell r="M532" t="str">
            <v>ECCE 2 SECCIÓN</v>
          </cell>
        </row>
        <row r="533">
          <cell r="B533">
            <v>200100</v>
          </cell>
          <cell r="D533">
            <v>0</v>
          </cell>
          <cell r="F533">
            <v>180</v>
          </cell>
          <cell r="G533">
            <v>0</v>
          </cell>
          <cell r="H533">
            <v>0.27</v>
          </cell>
          <cell r="J533">
            <v>0</v>
          </cell>
          <cell r="K533">
            <v>0</v>
          </cell>
          <cell r="L533">
            <v>46065</v>
          </cell>
          <cell r="M533" t="str">
            <v>ECCE 2 SECCIÓN</v>
          </cell>
        </row>
        <row r="534">
          <cell r="B534">
            <v>801500</v>
          </cell>
          <cell r="D534">
            <v>8</v>
          </cell>
          <cell r="E534">
            <v>2</v>
          </cell>
          <cell r="F534">
            <v>25</v>
          </cell>
          <cell r="G534">
            <v>150</v>
          </cell>
          <cell r="H534">
            <v>0.5</v>
          </cell>
          <cell r="J534">
            <v>7.5</v>
          </cell>
          <cell r="K534">
            <v>4.2</v>
          </cell>
          <cell r="L534">
            <v>46065</v>
          </cell>
          <cell r="M534" t="str">
            <v>ECCE 2 SECCIÓN</v>
          </cell>
        </row>
        <row r="535">
          <cell r="B535">
            <v>801300</v>
          </cell>
          <cell r="D535">
            <v>14</v>
          </cell>
          <cell r="E535">
            <v>8</v>
          </cell>
          <cell r="F535">
            <v>25</v>
          </cell>
          <cell r="G535">
            <v>150</v>
          </cell>
          <cell r="H535">
            <v>0.56000000000000005</v>
          </cell>
          <cell r="J535">
            <v>8.4000000000000021</v>
          </cell>
          <cell r="K535">
            <v>4.2</v>
          </cell>
          <cell r="L535">
            <v>46065</v>
          </cell>
          <cell r="M535" t="str">
            <v>ECCE 2 SECCIÓN</v>
          </cell>
        </row>
        <row r="536">
          <cell r="F536">
            <v>20</v>
          </cell>
          <cell r="G536">
            <v>0</v>
          </cell>
          <cell r="H536">
            <v>0.63</v>
          </cell>
          <cell r="J536">
            <v>0</v>
          </cell>
          <cell r="K536">
            <v>0</v>
          </cell>
          <cell r="L536">
            <v>46065</v>
          </cell>
          <cell r="M536" t="str">
            <v>ECCE 2 SECCIÓN</v>
          </cell>
        </row>
        <row r="537">
          <cell r="B537">
            <v>900300</v>
          </cell>
          <cell r="D537">
            <v>11</v>
          </cell>
          <cell r="E537">
            <v>9</v>
          </cell>
          <cell r="F537">
            <v>25</v>
          </cell>
          <cell r="G537">
            <v>50</v>
          </cell>
          <cell r="H537">
            <v>0.4</v>
          </cell>
          <cell r="J537">
            <v>2</v>
          </cell>
          <cell r="K537">
            <v>1.4000000000000001</v>
          </cell>
          <cell r="L537">
            <v>46065</v>
          </cell>
          <cell r="M537" t="str">
            <v>ECCE 2 SECCIÓN</v>
          </cell>
        </row>
        <row r="538">
          <cell r="B538">
            <v>400200</v>
          </cell>
          <cell r="D538">
            <v>2</v>
          </cell>
          <cell r="E538">
            <v>1</v>
          </cell>
          <cell r="F538">
            <v>160</v>
          </cell>
          <cell r="G538">
            <v>160</v>
          </cell>
          <cell r="H538">
            <v>0.31</v>
          </cell>
          <cell r="J538">
            <v>4.96</v>
          </cell>
          <cell r="K538">
            <v>0.70000000000000007</v>
          </cell>
          <cell r="L538">
            <v>46065</v>
          </cell>
          <cell r="M538" t="str">
            <v>ECCE 2 SECCIÓN</v>
          </cell>
        </row>
        <row r="539">
          <cell r="B539">
            <v>400100</v>
          </cell>
          <cell r="D539">
            <v>2</v>
          </cell>
          <cell r="E539">
            <v>2</v>
          </cell>
          <cell r="F539">
            <v>160</v>
          </cell>
          <cell r="G539">
            <v>0</v>
          </cell>
          <cell r="H539">
            <v>0.31</v>
          </cell>
          <cell r="J539">
            <v>0</v>
          </cell>
          <cell r="K539">
            <v>0</v>
          </cell>
          <cell r="L539">
            <v>46065</v>
          </cell>
          <cell r="M539" t="str">
            <v>ECCE 2 SECCIÓN</v>
          </cell>
        </row>
        <row r="540">
          <cell r="B540">
            <v>300400</v>
          </cell>
          <cell r="D540">
            <v>10</v>
          </cell>
          <cell r="E540">
            <v>5</v>
          </cell>
          <cell r="F540">
            <v>10</v>
          </cell>
          <cell r="G540">
            <v>50</v>
          </cell>
          <cell r="H540">
            <v>0.78</v>
          </cell>
          <cell r="J540">
            <v>3.9</v>
          </cell>
          <cell r="K540">
            <v>3.5</v>
          </cell>
          <cell r="L540">
            <v>46065</v>
          </cell>
          <cell r="M540" t="str">
            <v>ECCE 2 SECCIÓN</v>
          </cell>
        </row>
        <row r="541">
          <cell r="B541">
            <v>300100</v>
          </cell>
          <cell r="D541">
            <v>5</v>
          </cell>
          <cell r="E541">
            <v>4</v>
          </cell>
          <cell r="F541">
            <v>15</v>
          </cell>
          <cell r="G541">
            <v>15</v>
          </cell>
          <cell r="H541">
            <v>0.5</v>
          </cell>
          <cell r="J541">
            <v>0.75</v>
          </cell>
          <cell r="K541">
            <v>0.70000000000000007</v>
          </cell>
          <cell r="L541">
            <v>46065</v>
          </cell>
          <cell r="M541" t="str">
            <v>ECCE 2 SECCIÓN</v>
          </cell>
        </row>
        <row r="542">
          <cell r="B542">
            <v>700800</v>
          </cell>
          <cell r="D542">
            <v>8</v>
          </cell>
          <cell r="E542">
            <v>4</v>
          </cell>
          <cell r="F542">
            <v>25</v>
          </cell>
          <cell r="G542">
            <v>100</v>
          </cell>
          <cell r="H542">
            <v>0.6</v>
          </cell>
          <cell r="J542">
            <v>6</v>
          </cell>
          <cell r="K542">
            <v>2.8000000000000003</v>
          </cell>
          <cell r="L542">
            <v>46065</v>
          </cell>
          <cell r="M542" t="str">
            <v>ECCE 2 SECCIÓN</v>
          </cell>
        </row>
        <row r="543">
          <cell r="B543">
            <v>700700</v>
          </cell>
          <cell r="D543">
            <v>9</v>
          </cell>
          <cell r="E543">
            <v>8</v>
          </cell>
          <cell r="F543">
            <v>27</v>
          </cell>
          <cell r="G543">
            <v>27</v>
          </cell>
          <cell r="H543">
            <v>0.5</v>
          </cell>
          <cell r="J543">
            <v>1.35</v>
          </cell>
          <cell r="K543">
            <v>0.70000000000000007</v>
          </cell>
          <cell r="L543">
            <v>46065</v>
          </cell>
          <cell r="M543" t="str">
            <v>ECCE 2 SECCIÓN</v>
          </cell>
        </row>
        <row r="544">
          <cell r="B544">
            <v>700200</v>
          </cell>
          <cell r="D544">
            <v>5</v>
          </cell>
          <cell r="E544">
            <v>4</v>
          </cell>
          <cell r="F544">
            <v>27</v>
          </cell>
          <cell r="G544">
            <v>27</v>
          </cell>
          <cell r="H544">
            <v>0.44</v>
          </cell>
          <cell r="J544">
            <v>1.1880000000000002</v>
          </cell>
          <cell r="K544">
            <v>0.70000000000000007</v>
          </cell>
          <cell r="L544">
            <v>46065</v>
          </cell>
          <cell r="M544" t="str">
            <v>ECCE 2 SECCIÓN</v>
          </cell>
        </row>
        <row r="545">
          <cell r="B545">
            <v>701000</v>
          </cell>
          <cell r="D545">
            <v>5</v>
          </cell>
          <cell r="E545">
            <v>4</v>
          </cell>
          <cell r="F545">
            <v>30</v>
          </cell>
          <cell r="G545">
            <v>30</v>
          </cell>
          <cell r="H545">
            <v>0.56000000000000005</v>
          </cell>
          <cell r="J545">
            <v>1.6800000000000002</v>
          </cell>
          <cell r="K545">
            <v>0.70000000000000007</v>
          </cell>
          <cell r="L545">
            <v>46065</v>
          </cell>
          <cell r="M545" t="str">
            <v>ECCE 2 SECCIÓN</v>
          </cell>
        </row>
        <row r="546">
          <cell r="B546">
            <v>700400</v>
          </cell>
          <cell r="D546">
            <v>5</v>
          </cell>
          <cell r="E546">
            <v>4</v>
          </cell>
          <cell r="F546">
            <v>25</v>
          </cell>
          <cell r="G546">
            <v>25</v>
          </cell>
          <cell r="H546">
            <v>0.51875000000000004</v>
          </cell>
          <cell r="J546">
            <v>1.2968750000000002</v>
          </cell>
          <cell r="K546">
            <v>0.70000000000000007</v>
          </cell>
          <cell r="L546">
            <v>46065</v>
          </cell>
          <cell r="M546" t="str">
            <v>ECCE 2 SECCIÓN</v>
          </cell>
        </row>
        <row r="547">
          <cell r="B547">
            <v>700600</v>
          </cell>
          <cell r="D547">
            <v>9</v>
          </cell>
          <cell r="E547">
            <v>6</v>
          </cell>
          <cell r="F547">
            <v>10</v>
          </cell>
          <cell r="G547">
            <v>30</v>
          </cell>
          <cell r="H547">
            <v>0.62</v>
          </cell>
          <cell r="J547">
            <v>1.86</v>
          </cell>
          <cell r="K547">
            <v>2.1</v>
          </cell>
          <cell r="L547">
            <v>46065</v>
          </cell>
          <cell r="M547" t="str">
            <v>ECCE 2 SECCIÓN</v>
          </cell>
        </row>
        <row r="548">
          <cell r="B548">
            <v>700500</v>
          </cell>
          <cell r="D548">
            <v>13</v>
          </cell>
          <cell r="E548">
            <v>12</v>
          </cell>
          <cell r="F548">
            <v>250</v>
          </cell>
          <cell r="G548">
            <v>250</v>
          </cell>
          <cell r="H548">
            <v>0.53200000000000003</v>
          </cell>
          <cell r="J548">
            <v>13.3</v>
          </cell>
          <cell r="K548">
            <v>0.70000000000000007</v>
          </cell>
          <cell r="L548">
            <v>46065</v>
          </cell>
          <cell r="M548" t="str">
            <v>ECCE 2 SECCIÓN</v>
          </cell>
        </row>
        <row r="549">
          <cell r="B549">
            <v>800200</v>
          </cell>
          <cell r="D549">
            <v>11</v>
          </cell>
          <cell r="E549">
            <v>8</v>
          </cell>
          <cell r="F549">
            <v>20</v>
          </cell>
          <cell r="G549">
            <v>60</v>
          </cell>
          <cell r="H549">
            <v>0.46</v>
          </cell>
          <cell r="J549">
            <v>2.7600000000000002</v>
          </cell>
          <cell r="K549">
            <v>2.1</v>
          </cell>
          <cell r="L549">
            <v>46065</v>
          </cell>
          <cell r="M549" t="str">
            <v>ECCE 2 SECCIÓN</v>
          </cell>
        </row>
        <row r="550">
          <cell r="B550">
            <v>801400</v>
          </cell>
          <cell r="D550">
            <v>6</v>
          </cell>
          <cell r="E550">
            <v>4</v>
          </cell>
          <cell r="F550">
            <v>20</v>
          </cell>
          <cell r="G550">
            <v>40</v>
          </cell>
          <cell r="H550">
            <v>0.46</v>
          </cell>
          <cell r="J550">
            <v>1.8400000000000003</v>
          </cell>
          <cell r="K550">
            <v>1.4000000000000001</v>
          </cell>
          <cell r="L550">
            <v>46065</v>
          </cell>
          <cell r="M550" t="str">
            <v>ECCE 2 SECCIÓN</v>
          </cell>
        </row>
        <row r="551">
          <cell r="B551">
            <v>800400</v>
          </cell>
          <cell r="D551">
            <v>15</v>
          </cell>
          <cell r="E551">
            <v>8</v>
          </cell>
          <cell r="F551">
            <v>20</v>
          </cell>
          <cell r="G551">
            <v>140</v>
          </cell>
          <cell r="H551">
            <v>0.7</v>
          </cell>
          <cell r="J551">
            <v>9.8000000000000007</v>
          </cell>
          <cell r="K551">
            <v>4.8999999999999995</v>
          </cell>
          <cell r="L551">
            <v>46065</v>
          </cell>
          <cell r="M551" t="str">
            <v>ECCE 2 SECCIÓN</v>
          </cell>
        </row>
        <row r="552">
          <cell r="B552">
            <v>800700</v>
          </cell>
          <cell r="D552">
            <v>9</v>
          </cell>
          <cell r="E552">
            <v>8</v>
          </cell>
          <cell r="F552">
            <v>20</v>
          </cell>
          <cell r="G552">
            <v>20</v>
          </cell>
          <cell r="H552">
            <v>0.65</v>
          </cell>
          <cell r="J552">
            <v>0.8</v>
          </cell>
          <cell r="K552">
            <v>0.70000000000000007</v>
          </cell>
          <cell r="L552">
            <v>46065</v>
          </cell>
          <cell r="M552" t="str">
            <v>ECCE 2 SECCIÓN</v>
          </cell>
        </row>
        <row r="553">
          <cell r="B553">
            <v>800800</v>
          </cell>
          <cell r="D553">
            <v>0</v>
          </cell>
          <cell r="F553">
            <v>20</v>
          </cell>
          <cell r="G553">
            <v>0</v>
          </cell>
          <cell r="H553">
            <v>0.65</v>
          </cell>
          <cell r="J553">
            <v>0</v>
          </cell>
          <cell r="K553">
            <v>0</v>
          </cell>
          <cell r="L553">
            <v>46065</v>
          </cell>
          <cell r="M553" t="str">
            <v>ECCE 2 SECCIÓN</v>
          </cell>
        </row>
        <row r="554">
          <cell r="B554">
            <v>300200</v>
          </cell>
          <cell r="D554">
            <v>13</v>
          </cell>
          <cell r="E554">
            <v>8</v>
          </cell>
          <cell r="F554">
            <v>10</v>
          </cell>
          <cell r="G554">
            <v>50</v>
          </cell>
          <cell r="H554">
            <v>0.66</v>
          </cell>
          <cell r="J554">
            <v>3.3</v>
          </cell>
          <cell r="K554">
            <v>3.5</v>
          </cell>
          <cell r="L554">
            <v>46065</v>
          </cell>
          <cell r="M554" t="str">
            <v>ECCE 2 SECCIÓN</v>
          </cell>
        </row>
        <row r="555">
          <cell r="B555">
            <v>300300</v>
          </cell>
          <cell r="D555">
            <v>7</v>
          </cell>
          <cell r="E555">
            <v>6</v>
          </cell>
          <cell r="F555">
            <v>15</v>
          </cell>
          <cell r="G555">
            <v>15</v>
          </cell>
          <cell r="H555">
            <v>0.55000000000000004</v>
          </cell>
          <cell r="J555">
            <v>0.82499999999999996</v>
          </cell>
          <cell r="K555">
            <v>0.70000000000000007</v>
          </cell>
          <cell r="L555">
            <v>46065</v>
          </cell>
          <cell r="M555" t="str">
            <v>ECCE 2 SECCIÓN</v>
          </cell>
        </row>
        <row r="556">
          <cell r="B556">
            <v>600100</v>
          </cell>
          <cell r="D556">
            <v>6</v>
          </cell>
          <cell r="E556">
            <v>3</v>
          </cell>
          <cell r="F556">
            <v>25</v>
          </cell>
          <cell r="G556">
            <v>75</v>
          </cell>
          <cell r="H556">
            <v>0.44</v>
          </cell>
          <cell r="J556">
            <v>3.3</v>
          </cell>
          <cell r="K556">
            <v>2.1</v>
          </cell>
          <cell r="L556">
            <v>46065</v>
          </cell>
          <cell r="M556" t="str">
            <v>ECCE 2 SECCIÓN</v>
          </cell>
        </row>
        <row r="557">
          <cell r="B557">
            <v>600500</v>
          </cell>
          <cell r="D557">
            <v>11</v>
          </cell>
          <cell r="E557">
            <v>1</v>
          </cell>
          <cell r="F557">
            <v>25</v>
          </cell>
          <cell r="G557">
            <v>250</v>
          </cell>
          <cell r="H557">
            <v>0.5</v>
          </cell>
          <cell r="J557">
            <v>12.5</v>
          </cell>
          <cell r="K557">
            <v>7</v>
          </cell>
          <cell r="L557">
            <v>46065</v>
          </cell>
          <cell r="M557" t="str">
            <v>ECCE 2 SECCIÓN</v>
          </cell>
        </row>
        <row r="558">
          <cell r="F558">
            <v>10</v>
          </cell>
          <cell r="G558">
            <v>0</v>
          </cell>
          <cell r="H558">
            <v>0.4</v>
          </cell>
          <cell r="J558">
            <v>0</v>
          </cell>
          <cell r="K558">
            <v>0</v>
          </cell>
          <cell r="L558">
            <v>46065</v>
          </cell>
          <cell r="M558" t="str">
            <v>ECCE 2 SECCIÓN</v>
          </cell>
        </row>
        <row r="559">
          <cell r="B559">
            <v>800900</v>
          </cell>
          <cell r="D559">
            <v>9</v>
          </cell>
          <cell r="E559">
            <v>5</v>
          </cell>
          <cell r="F559">
            <v>20</v>
          </cell>
          <cell r="G559">
            <v>80</v>
          </cell>
          <cell r="H559">
            <v>0.56999999999999995</v>
          </cell>
          <cell r="J559">
            <v>4.5599999999999996</v>
          </cell>
          <cell r="K559">
            <v>2.8000000000000003</v>
          </cell>
          <cell r="L559">
            <v>46065</v>
          </cell>
          <cell r="M559" t="str">
            <v>ECCE 2 SECCIÓN</v>
          </cell>
        </row>
        <row r="560">
          <cell r="B560">
            <v>100400</v>
          </cell>
          <cell r="D560">
            <v>6</v>
          </cell>
          <cell r="E560">
            <v>3</v>
          </cell>
          <cell r="F560">
            <v>15</v>
          </cell>
          <cell r="G560">
            <v>45</v>
          </cell>
          <cell r="H560">
            <v>0.66</v>
          </cell>
          <cell r="J560">
            <v>2.97</v>
          </cell>
          <cell r="K560">
            <v>2.1</v>
          </cell>
          <cell r="L560">
            <v>46065</v>
          </cell>
          <cell r="M560" t="str">
            <v>ECCE 2 SECCIÓN</v>
          </cell>
        </row>
        <row r="561">
          <cell r="B561">
            <v>100400</v>
          </cell>
          <cell r="D561">
            <v>6</v>
          </cell>
          <cell r="E561">
            <v>4</v>
          </cell>
          <cell r="F561">
            <v>15</v>
          </cell>
          <cell r="G561">
            <v>30</v>
          </cell>
          <cell r="H561">
            <v>0.66</v>
          </cell>
          <cell r="J561">
            <v>1.98</v>
          </cell>
          <cell r="K561">
            <v>1.4000000000000001</v>
          </cell>
          <cell r="L561">
            <v>46065</v>
          </cell>
          <cell r="M561" t="str">
            <v>ECCE 2 SECCIÓN</v>
          </cell>
        </row>
        <row r="562">
          <cell r="B562">
            <v>100600</v>
          </cell>
          <cell r="D562">
            <v>6</v>
          </cell>
          <cell r="E562">
            <v>6</v>
          </cell>
          <cell r="F562">
            <v>20</v>
          </cell>
          <cell r="G562">
            <v>0</v>
          </cell>
          <cell r="H562">
            <v>0.66</v>
          </cell>
          <cell r="J562">
            <v>0</v>
          </cell>
          <cell r="K562">
            <v>0</v>
          </cell>
          <cell r="L562">
            <v>46065</v>
          </cell>
          <cell r="M562" t="str">
            <v>ECCE 2 SECCIÓN</v>
          </cell>
        </row>
        <row r="563">
          <cell r="B563">
            <v>100600</v>
          </cell>
          <cell r="D563">
            <v>9</v>
          </cell>
          <cell r="E563">
            <v>5</v>
          </cell>
          <cell r="F563">
            <v>20</v>
          </cell>
          <cell r="G563">
            <v>80</v>
          </cell>
          <cell r="H563">
            <v>0.55000000000000004</v>
          </cell>
          <cell r="J563">
            <v>4.4000000000000004</v>
          </cell>
          <cell r="K563">
            <v>2.8000000000000003</v>
          </cell>
          <cell r="L563">
            <v>46065</v>
          </cell>
          <cell r="M563" t="str">
            <v>ECCE 2 SECCIÓN</v>
          </cell>
        </row>
        <row r="564">
          <cell r="F564">
            <v>20</v>
          </cell>
          <cell r="G564">
            <v>0</v>
          </cell>
          <cell r="H564">
            <v>0.55000000000000004</v>
          </cell>
          <cell r="J564">
            <v>0</v>
          </cell>
          <cell r="K564">
            <v>0</v>
          </cell>
          <cell r="L564">
            <v>46065</v>
          </cell>
          <cell r="M564" t="str">
            <v>ECCE 2 SECCIÓN</v>
          </cell>
        </row>
        <row r="565">
          <cell r="F565">
            <v>13</v>
          </cell>
          <cell r="G565">
            <v>0</v>
          </cell>
          <cell r="H565">
            <v>0.46</v>
          </cell>
          <cell r="J565">
            <v>0</v>
          </cell>
          <cell r="K565">
            <v>0</v>
          </cell>
          <cell r="L565">
            <v>46065</v>
          </cell>
          <cell r="M565" t="str">
            <v>ECCE 2 SECCIÓN</v>
          </cell>
        </row>
        <row r="567">
          <cell r="B567">
            <v>6005103</v>
          </cell>
          <cell r="D567">
            <v>13</v>
          </cell>
          <cell r="E567">
            <v>7</v>
          </cell>
          <cell r="F567">
            <v>25</v>
          </cell>
          <cell r="G567">
            <v>150</v>
          </cell>
          <cell r="H567">
            <v>0.69</v>
          </cell>
          <cell r="J567">
            <v>10.349999999999998</v>
          </cell>
          <cell r="K567">
            <v>4.2</v>
          </cell>
          <cell r="L567">
            <v>46065</v>
          </cell>
          <cell r="M567" t="str">
            <v>ECCE RECEPCIÓN</v>
          </cell>
        </row>
        <row r="568">
          <cell r="B568">
            <v>600300</v>
          </cell>
          <cell r="D568">
            <v>11</v>
          </cell>
          <cell r="E568">
            <v>11</v>
          </cell>
          <cell r="F568">
            <v>25</v>
          </cell>
          <cell r="G568">
            <v>0</v>
          </cell>
          <cell r="H568">
            <v>0.59148000000000001</v>
          </cell>
          <cell r="J568">
            <v>0</v>
          </cell>
          <cell r="K568">
            <v>0</v>
          </cell>
          <cell r="L568">
            <v>46065</v>
          </cell>
          <cell r="M568" t="str">
            <v>ECCE RECEPCIÓN</v>
          </cell>
        </row>
        <row r="569">
          <cell r="B569">
            <v>600500</v>
          </cell>
          <cell r="D569">
            <v>9</v>
          </cell>
          <cell r="E569">
            <v>9</v>
          </cell>
          <cell r="F569">
            <v>25</v>
          </cell>
          <cell r="G569">
            <v>0</v>
          </cell>
          <cell r="H569">
            <v>0.69</v>
          </cell>
          <cell r="J569">
            <v>0</v>
          </cell>
          <cell r="K569">
            <v>0</v>
          </cell>
          <cell r="L569">
            <v>46065</v>
          </cell>
          <cell r="M569" t="str">
            <v>ECCE RECEPCIÓN</v>
          </cell>
        </row>
        <row r="570">
          <cell r="B570">
            <v>600500</v>
          </cell>
          <cell r="D570">
            <v>10</v>
          </cell>
          <cell r="E570">
            <v>8</v>
          </cell>
          <cell r="F570">
            <v>25</v>
          </cell>
          <cell r="G570">
            <v>50</v>
          </cell>
          <cell r="H570">
            <v>0.69</v>
          </cell>
          <cell r="J570">
            <v>3.45</v>
          </cell>
          <cell r="K570">
            <v>1.4000000000000001</v>
          </cell>
          <cell r="L570">
            <v>46065</v>
          </cell>
          <cell r="M570" t="str">
            <v>ECCE RECEPCIÓN</v>
          </cell>
        </row>
        <row r="571">
          <cell r="B571">
            <v>600500</v>
          </cell>
          <cell r="D571">
            <v>9</v>
          </cell>
          <cell r="E571">
            <v>3</v>
          </cell>
          <cell r="F571">
            <v>25</v>
          </cell>
          <cell r="G571">
            <v>150</v>
          </cell>
          <cell r="H571">
            <v>0.69</v>
          </cell>
          <cell r="J571">
            <v>10.349999999999998</v>
          </cell>
          <cell r="K571">
            <v>4.2</v>
          </cell>
          <cell r="L571">
            <v>46065</v>
          </cell>
          <cell r="M571" t="str">
            <v>ECCE RECEPCIÓN</v>
          </cell>
        </row>
        <row r="572">
          <cell r="B572">
            <v>600500</v>
          </cell>
          <cell r="D572">
            <v>6</v>
          </cell>
          <cell r="E572">
            <v>3</v>
          </cell>
          <cell r="F572">
            <v>20</v>
          </cell>
          <cell r="G572">
            <v>60</v>
          </cell>
          <cell r="H572">
            <v>0.69</v>
          </cell>
          <cell r="J572">
            <v>4.1399999999999997</v>
          </cell>
          <cell r="K572">
            <v>2.1</v>
          </cell>
          <cell r="L572">
            <v>46065</v>
          </cell>
          <cell r="M572" t="str">
            <v>ECCE RECEPCIÓN</v>
          </cell>
        </row>
        <row r="573">
          <cell r="B573">
            <v>600500</v>
          </cell>
          <cell r="D573">
            <v>6</v>
          </cell>
          <cell r="E573">
            <v>5</v>
          </cell>
          <cell r="F573">
            <v>25</v>
          </cell>
          <cell r="G573">
            <v>25</v>
          </cell>
          <cell r="H573">
            <v>0.69</v>
          </cell>
          <cell r="J573">
            <v>1.7250000000000001</v>
          </cell>
          <cell r="K573">
            <v>0.70000000000000007</v>
          </cell>
          <cell r="L573">
            <v>46065</v>
          </cell>
          <cell r="M573" t="str">
            <v>ECCE RECEPCIÓN</v>
          </cell>
        </row>
        <row r="574">
          <cell r="B574">
            <v>600400</v>
          </cell>
          <cell r="D574">
            <v>7</v>
          </cell>
          <cell r="E574">
            <v>5</v>
          </cell>
          <cell r="F574">
            <v>20</v>
          </cell>
          <cell r="G574">
            <v>40</v>
          </cell>
          <cell r="H574">
            <v>0.59099999999999997</v>
          </cell>
          <cell r="J574">
            <v>2.3639999999999999</v>
          </cell>
          <cell r="K574">
            <v>1.4000000000000001</v>
          </cell>
          <cell r="L574">
            <v>46065</v>
          </cell>
          <cell r="M574" t="str">
            <v>ECCE RECEPCIÓN</v>
          </cell>
        </row>
        <row r="575">
          <cell r="B575">
            <v>600500</v>
          </cell>
          <cell r="D575">
            <v>15</v>
          </cell>
          <cell r="E575">
            <v>5</v>
          </cell>
          <cell r="F575">
            <v>20</v>
          </cell>
          <cell r="G575">
            <v>200</v>
          </cell>
          <cell r="H575">
            <v>0.69</v>
          </cell>
          <cell r="J575">
            <v>13.8</v>
          </cell>
          <cell r="K575">
            <v>7</v>
          </cell>
          <cell r="L575">
            <v>46065</v>
          </cell>
          <cell r="M575" t="str">
            <v>ECCE RECEPCIÓN</v>
          </cell>
        </row>
        <row r="576">
          <cell r="B576">
            <v>800900</v>
          </cell>
          <cell r="D576">
            <v>11</v>
          </cell>
          <cell r="E576">
            <v>9</v>
          </cell>
          <cell r="F576">
            <v>20</v>
          </cell>
          <cell r="G576">
            <v>40</v>
          </cell>
          <cell r="H576">
            <v>0.51408333333333334</v>
          </cell>
          <cell r="J576">
            <v>2.0563333333333333</v>
          </cell>
          <cell r="K576">
            <v>1.4000000000000001</v>
          </cell>
          <cell r="L576">
            <v>46065</v>
          </cell>
          <cell r="M576" t="str">
            <v>ECCE RECEPCIÓN</v>
          </cell>
        </row>
        <row r="577">
          <cell r="B577">
            <v>300200</v>
          </cell>
          <cell r="D577">
            <v>11</v>
          </cell>
          <cell r="E577">
            <v>11</v>
          </cell>
          <cell r="F577">
            <v>20</v>
          </cell>
          <cell r="G577">
            <v>0</v>
          </cell>
          <cell r="H577">
            <v>0.63983333333333337</v>
          </cell>
          <cell r="J577">
            <v>0</v>
          </cell>
          <cell r="K577">
            <v>0</v>
          </cell>
          <cell r="L577">
            <v>46065</v>
          </cell>
          <cell r="M577" t="str">
            <v>ECCE RECEPCIÓN</v>
          </cell>
        </row>
        <row r="578">
          <cell r="B578">
            <v>900200</v>
          </cell>
          <cell r="D578">
            <v>7</v>
          </cell>
          <cell r="E578">
            <v>7</v>
          </cell>
          <cell r="F578">
            <v>18</v>
          </cell>
          <cell r="G578">
            <v>0</v>
          </cell>
          <cell r="H578">
            <v>0.73850000000000005</v>
          </cell>
          <cell r="J578">
            <v>0</v>
          </cell>
          <cell r="K578">
            <v>0</v>
          </cell>
          <cell r="L578">
            <v>46065</v>
          </cell>
          <cell r="M578" t="str">
            <v>ECCE RECEPCIÓN</v>
          </cell>
        </row>
        <row r="579">
          <cell r="B579">
            <v>300100</v>
          </cell>
          <cell r="D579">
            <v>16</v>
          </cell>
          <cell r="E579">
            <v>11</v>
          </cell>
          <cell r="F579">
            <v>15</v>
          </cell>
          <cell r="G579">
            <v>75</v>
          </cell>
          <cell r="H579">
            <v>0.5642962962962963</v>
          </cell>
          <cell r="J579">
            <v>4.2322222222222221</v>
          </cell>
          <cell r="K579">
            <v>3.5</v>
          </cell>
          <cell r="L579">
            <v>46065</v>
          </cell>
          <cell r="M579" t="str">
            <v>ECCE RECEPCIÓN</v>
          </cell>
        </row>
        <row r="580">
          <cell r="B580">
            <v>500100</v>
          </cell>
          <cell r="D580">
            <v>5</v>
          </cell>
          <cell r="E580">
            <v>5</v>
          </cell>
          <cell r="F580">
            <v>290</v>
          </cell>
          <cell r="G580">
            <v>0</v>
          </cell>
          <cell r="H580">
            <v>0.5</v>
          </cell>
          <cell r="J580">
            <v>0</v>
          </cell>
          <cell r="K580">
            <v>0</v>
          </cell>
          <cell r="L580">
            <v>46065</v>
          </cell>
          <cell r="M580" t="str">
            <v>ECCE RECEPCIÓN</v>
          </cell>
        </row>
        <row r="581">
          <cell r="B581">
            <v>900300</v>
          </cell>
          <cell r="D581">
            <v>14</v>
          </cell>
          <cell r="E581">
            <v>5</v>
          </cell>
          <cell r="F581">
            <v>25</v>
          </cell>
          <cell r="G581">
            <v>225</v>
          </cell>
          <cell r="H581">
            <v>0.4714666666666667</v>
          </cell>
          <cell r="J581">
            <v>10.608000000000001</v>
          </cell>
          <cell r="K581">
            <v>6.3</v>
          </cell>
          <cell r="L581">
            <v>46065</v>
          </cell>
          <cell r="M581" t="str">
            <v>ECCE RECEPCIÓN</v>
          </cell>
        </row>
        <row r="582">
          <cell r="B582">
            <v>400200</v>
          </cell>
          <cell r="D582">
            <v>4</v>
          </cell>
          <cell r="E582">
            <v>0</v>
          </cell>
          <cell r="F582">
            <v>160</v>
          </cell>
          <cell r="G582">
            <v>640</v>
          </cell>
          <cell r="H582">
            <v>0.31</v>
          </cell>
          <cell r="J582">
            <v>19.84</v>
          </cell>
          <cell r="K582">
            <v>2.8000000000000003</v>
          </cell>
          <cell r="L582">
            <v>46065</v>
          </cell>
          <cell r="M582" t="str">
            <v>ECCE RECEPCIÓN</v>
          </cell>
        </row>
        <row r="583">
          <cell r="B583">
            <v>400100</v>
          </cell>
          <cell r="D583">
            <v>3</v>
          </cell>
          <cell r="E583">
            <v>2</v>
          </cell>
          <cell r="F583">
            <v>160</v>
          </cell>
          <cell r="G583">
            <v>160</v>
          </cell>
          <cell r="H583">
            <v>0.31</v>
          </cell>
          <cell r="J583">
            <v>4.96</v>
          </cell>
          <cell r="K583">
            <v>0.70000000000000007</v>
          </cell>
          <cell r="L583">
            <v>46065</v>
          </cell>
          <cell r="M583" t="str">
            <v>ECCE RECEPCIÓN</v>
          </cell>
        </row>
        <row r="584">
          <cell r="B584">
            <v>300700</v>
          </cell>
          <cell r="D584">
            <v>21</v>
          </cell>
          <cell r="E584">
            <v>14</v>
          </cell>
          <cell r="F584">
            <v>10</v>
          </cell>
          <cell r="G584">
            <v>70</v>
          </cell>
          <cell r="H584">
            <v>0.70587500000000003</v>
          </cell>
          <cell r="J584">
            <v>4.9411250000000004</v>
          </cell>
          <cell r="K584">
            <v>4.8999999999999995</v>
          </cell>
          <cell r="L584">
            <v>46065</v>
          </cell>
          <cell r="M584" t="str">
            <v>ECCE RECEPCIÓN</v>
          </cell>
        </row>
        <row r="585">
          <cell r="B585">
            <v>300300</v>
          </cell>
          <cell r="D585">
            <v>17</v>
          </cell>
          <cell r="E585">
            <v>14</v>
          </cell>
          <cell r="F585">
            <v>15</v>
          </cell>
          <cell r="G585">
            <v>45</v>
          </cell>
          <cell r="H585">
            <v>0.46</v>
          </cell>
          <cell r="J585">
            <v>2.0699999999999998</v>
          </cell>
          <cell r="K585">
            <v>2.1</v>
          </cell>
          <cell r="L585">
            <v>46065</v>
          </cell>
          <cell r="M585" t="str">
            <v>ECCE RECEPCIÓN</v>
          </cell>
        </row>
        <row r="586">
          <cell r="B586">
            <v>300500</v>
          </cell>
          <cell r="D586">
            <v>6</v>
          </cell>
          <cell r="E586">
            <v>5</v>
          </cell>
          <cell r="F586">
            <v>15</v>
          </cell>
          <cell r="G586">
            <v>15</v>
          </cell>
          <cell r="H586">
            <v>0.60218518518518516</v>
          </cell>
          <cell r="J586">
            <v>0.90327777777777774</v>
          </cell>
          <cell r="K586">
            <v>0.70000000000000007</v>
          </cell>
          <cell r="L586">
            <v>46065</v>
          </cell>
          <cell r="M586" t="str">
            <v>ECCE RECEPCIÓN</v>
          </cell>
        </row>
        <row r="587">
          <cell r="B587">
            <v>300400</v>
          </cell>
          <cell r="D587">
            <v>15</v>
          </cell>
          <cell r="E587">
            <v>10</v>
          </cell>
          <cell r="F587">
            <v>10</v>
          </cell>
          <cell r="G587">
            <v>50</v>
          </cell>
          <cell r="H587">
            <v>0.56754545454545446</v>
          </cell>
          <cell r="J587">
            <v>2.837727272727272</v>
          </cell>
          <cell r="K587">
            <v>3.5</v>
          </cell>
          <cell r="L587">
            <v>46065</v>
          </cell>
          <cell r="M587" t="str">
            <v>ECCE RECEPCIÓN</v>
          </cell>
        </row>
        <row r="588">
          <cell r="B588">
            <v>800300</v>
          </cell>
          <cell r="D588">
            <v>10</v>
          </cell>
          <cell r="E588">
            <v>9</v>
          </cell>
          <cell r="F588">
            <v>15</v>
          </cell>
          <cell r="G588">
            <v>15</v>
          </cell>
          <cell r="H588">
            <v>0.56754545454545446</v>
          </cell>
          <cell r="J588">
            <v>0.85131818181818164</v>
          </cell>
          <cell r="K588">
            <v>0.70000000000000007</v>
          </cell>
          <cell r="L588">
            <v>46065</v>
          </cell>
          <cell r="M588" t="str">
            <v>ECCE RECEPCIÓN</v>
          </cell>
        </row>
        <row r="589">
          <cell r="B589">
            <v>700700</v>
          </cell>
          <cell r="D589">
            <v>9</v>
          </cell>
          <cell r="E589">
            <v>8</v>
          </cell>
          <cell r="F589">
            <v>27</v>
          </cell>
          <cell r="G589">
            <v>27</v>
          </cell>
          <cell r="H589">
            <v>0.48</v>
          </cell>
          <cell r="J589">
            <v>1.2959999999999998</v>
          </cell>
          <cell r="K589">
            <v>0.70000000000000007</v>
          </cell>
          <cell r="L589">
            <v>46065</v>
          </cell>
          <cell r="M589" t="str">
            <v>ECCE RECEPCIÓN</v>
          </cell>
        </row>
        <row r="590">
          <cell r="B590">
            <v>700200</v>
          </cell>
          <cell r="D590">
            <v>12</v>
          </cell>
          <cell r="E590">
            <v>12</v>
          </cell>
          <cell r="F590">
            <v>27</v>
          </cell>
          <cell r="G590">
            <v>0</v>
          </cell>
          <cell r="H590">
            <v>0.48</v>
          </cell>
          <cell r="J590">
            <v>0</v>
          </cell>
          <cell r="K590">
            <v>0</v>
          </cell>
          <cell r="L590">
            <v>46065</v>
          </cell>
          <cell r="M590" t="str">
            <v>ECCE RECEPCIÓN</v>
          </cell>
        </row>
        <row r="591">
          <cell r="B591">
            <v>700900</v>
          </cell>
          <cell r="D591">
            <v>14</v>
          </cell>
          <cell r="E591">
            <v>14</v>
          </cell>
          <cell r="F591">
            <v>30</v>
          </cell>
          <cell r="G591">
            <v>0</v>
          </cell>
          <cell r="H591">
            <v>0.5</v>
          </cell>
          <cell r="J591">
            <v>0</v>
          </cell>
          <cell r="K591">
            <v>0</v>
          </cell>
          <cell r="L591">
            <v>46065</v>
          </cell>
          <cell r="M591" t="str">
            <v>ECCE RECEPCIÓN</v>
          </cell>
        </row>
        <row r="592">
          <cell r="B592">
            <v>700800</v>
          </cell>
          <cell r="D592">
            <v>12</v>
          </cell>
          <cell r="E592">
            <v>12</v>
          </cell>
          <cell r="F592">
            <v>25</v>
          </cell>
          <cell r="G592">
            <v>0</v>
          </cell>
          <cell r="H592">
            <v>0.49808000000000002</v>
          </cell>
          <cell r="J592">
            <v>0</v>
          </cell>
          <cell r="K592">
            <v>0</v>
          </cell>
          <cell r="L592">
            <v>46065</v>
          </cell>
          <cell r="M592" t="str">
            <v>ECCE RECEPCIÓN</v>
          </cell>
        </row>
        <row r="593">
          <cell r="B593">
            <v>700400</v>
          </cell>
          <cell r="D593">
            <v>10</v>
          </cell>
          <cell r="E593">
            <v>6</v>
          </cell>
          <cell r="F593">
            <v>25</v>
          </cell>
          <cell r="G593">
            <v>100</v>
          </cell>
          <cell r="H593">
            <v>0.49873333333333336</v>
          </cell>
          <cell r="J593">
            <v>4.9873333333333338</v>
          </cell>
          <cell r="K593">
            <v>2.8000000000000003</v>
          </cell>
          <cell r="L593">
            <v>46065</v>
          </cell>
          <cell r="M593" t="str">
            <v>ECCE RECEPCIÓN</v>
          </cell>
        </row>
        <row r="594">
          <cell r="B594">
            <v>701000</v>
          </cell>
          <cell r="D594">
            <v>9</v>
          </cell>
          <cell r="E594">
            <v>3</v>
          </cell>
          <cell r="F594">
            <v>13</v>
          </cell>
          <cell r="G594">
            <v>78</v>
          </cell>
          <cell r="H594">
            <v>0.65</v>
          </cell>
          <cell r="J594">
            <v>5.07</v>
          </cell>
          <cell r="K594">
            <v>4.2</v>
          </cell>
          <cell r="L594">
            <v>46065</v>
          </cell>
          <cell r="M594" t="str">
            <v>ECCE RECEPCIÓN</v>
          </cell>
        </row>
        <row r="595">
          <cell r="B595">
            <v>800500</v>
          </cell>
          <cell r="D595">
            <v>9</v>
          </cell>
          <cell r="E595">
            <v>5</v>
          </cell>
          <cell r="F595">
            <v>10</v>
          </cell>
          <cell r="G595">
            <v>40</v>
          </cell>
          <cell r="H595">
            <v>0.52682499999999999</v>
          </cell>
          <cell r="J595">
            <v>2.1073</v>
          </cell>
          <cell r="K595">
            <v>2.8000000000000003</v>
          </cell>
          <cell r="L595">
            <v>46065</v>
          </cell>
          <cell r="M595" t="str">
            <v>ECCE RECEPCIÓN</v>
          </cell>
        </row>
        <row r="596">
          <cell r="B596">
            <v>700600</v>
          </cell>
          <cell r="D596">
            <v>8</v>
          </cell>
          <cell r="E596">
            <v>4</v>
          </cell>
          <cell r="F596">
            <v>10</v>
          </cell>
          <cell r="G596">
            <v>40</v>
          </cell>
          <cell r="H596">
            <v>0.65</v>
          </cell>
          <cell r="J596">
            <v>2.6</v>
          </cell>
          <cell r="K596">
            <v>2.8000000000000003</v>
          </cell>
          <cell r="L596">
            <v>46065</v>
          </cell>
          <cell r="M596" t="str">
            <v>ECCE RECEPCIÓN</v>
          </cell>
        </row>
        <row r="597">
          <cell r="B597">
            <v>700500</v>
          </cell>
          <cell r="D597">
            <v>12</v>
          </cell>
          <cell r="E597">
            <v>11</v>
          </cell>
          <cell r="F597">
            <v>15</v>
          </cell>
          <cell r="G597">
            <v>15</v>
          </cell>
          <cell r="H597">
            <v>0.53</v>
          </cell>
          <cell r="J597">
            <v>0.79500000000000004</v>
          </cell>
          <cell r="K597">
            <v>0.70000000000000007</v>
          </cell>
          <cell r="L597">
            <v>46065</v>
          </cell>
          <cell r="M597" t="str">
            <v>ECCE RECEPCIÓN</v>
          </cell>
        </row>
        <row r="598">
          <cell r="D598">
            <v>0</v>
          </cell>
          <cell r="F598">
            <v>0</v>
          </cell>
          <cell r="G598">
            <v>0</v>
          </cell>
          <cell r="J598">
            <v>0</v>
          </cell>
          <cell r="K598">
            <v>0</v>
          </cell>
          <cell r="L598">
            <v>46065</v>
          </cell>
          <cell r="M598" t="str">
            <v>ECCE RECEPCIÓN</v>
          </cell>
        </row>
        <row r="599">
          <cell r="D599">
            <v>0</v>
          </cell>
          <cell r="F599">
            <v>0</v>
          </cell>
          <cell r="G599">
            <v>0</v>
          </cell>
          <cell r="J599">
            <v>0</v>
          </cell>
          <cell r="K599">
            <v>0</v>
          </cell>
          <cell r="L599">
            <v>46065</v>
          </cell>
          <cell r="M599" t="str">
            <v>ECCE RECEPCIÓN</v>
          </cell>
        </row>
        <row r="600">
          <cell r="D600">
            <v>0</v>
          </cell>
          <cell r="F600">
            <v>0</v>
          </cell>
          <cell r="G600">
            <v>0</v>
          </cell>
          <cell r="J600">
            <v>0</v>
          </cell>
          <cell r="K600">
            <v>0</v>
          </cell>
          <cell r="L600">
            <v>46065</v>
          </cell>
          <cell r="M600" t="str">
            <v>ECCE RECEPCIÓN</v>
          </cell>
        </row>
        <row r="601">
          <cell r="D601">
            <v>0</v>
          </cell>
          <cell r="F601">
            <v>0</v>
          </cell>
          <cell r="G601">
            <v>0</v>
          </cell>
          <cell r="J601">
            <v>0</v>
          </cell>
          <cell r="K601">
            <v>0</v>
          </cell>
          <cell r="L601">
            <v>46065</v>
          </cell>
          <cell r="M601" t="str">
            <v>ECCE RECEPCIÓN</v>
          </cell>
        </row>
        <row r="602">
          <cell r="B602">
            <v>800800</v>
          </cell>
          <cell r="D602">
            <v>12</v>
          </cell>
          <cell r="E602">
            <v>10</v>
          </cell>
          <cell r="F602">
            <v>20</v>
          </cell>
          <cell r="G602">
            <v>40</v>
          </cell>
          <cell r="H602">
            <v>0.5</v>
          </cell>
          <cell r="J602">
            <v>2</v>
          </cell>
          <cell r="K602">
            <v>1.4000000000000001</v>
          </cell>
          <cell r="L602">
            <v>46065</v>
          </cell>
          <cell r="M602" t="str">
            <v>ECCE RECEPCIÓN</v>
          </cell>
        </row>
        <row r="603">
          <cell r="B603">
            <v>800600</v>
          </cell>
          <cell r="D603">
            <v>10</v>
          </cell>
          <cell r="E603">
            <v>10</v>
          </cell>
          <cell r="F603">
            <v>20</v>
          </cell>
          <cell r="G603">
            <v>0</v>
          </cell>
          <cell r="H603">
            <v>0.65</v>
          </cell>
          <cell r="J603">
            <v>0</v>
          </cell>
          <cell r="K603">
            <v>0</v>
          </cell>
          <cell r="L603">
            <v>46065</v>
          </cell>
          <cell r="M603" t="str">
            <v>ECCE RECEPCIÓN</v>
          </cell>
        </row>
        <row r="604">
          <cell r="B604">
            <v>801400</v>
          </cell>
          <cell r="D604">
            <v>14</v>
          </cell>
          <cell r="E604">
            <v>10</v>
          </cell>
          <cell r="F604">
            <v>20</v>
          </cell>
          <cell r="G604">
            <v>80</v>
          </cell>
          <cell r="H604">
            <v>0.60500000000000009</v>
          </cell>
          <cell r="J604">
            <v>4.8400000000000007</v>
          </cell>
          <cell r="K604">
            <v>2.8000000000000003</v>
          </cell>
          <cell r="L604">
            <v>46065</v>
          </cell>
          <cell r="M604" t="str">
            <v>ECCE RECEPCIÓN</v>
          </cell>
        </row>
        <row r="605">
          <cell r="B605">
            <v>800400</v>
          </cell>
          <cell r="D605">
            <v>14</v>
          </cell>
          <cell r="E605">
            <v>10</v>
          </cell>
          <cell r="F605">
            <v>20</v>
          </cell>
          <cell r="G605">
            <v>80</v>
          </cell>
          <cell r="H605">
            <v>0.6707291666666666</v>
          </cell>
          <cell r="J605">
            <v>5.3658333333333328</v>
          </cell>
          <cell r="K605">
            <v>2.8000000000000003</v>
          </cell>
          <cell r="L605">
            <v>46065</v>
          </cell>
          <cell r="M605" t="str">
            <v>ECCE RECEPCIÓN</v>
          </cell>
        </row>
        <row r="606">
          <cell r="B606">
            <v>800700</v>
          </cell>
          <cell r="D606">
            <v>14</v>
          </cell>
          <cell r="E606">
            <v>11</v>
          </cell>
          <cell r="F606">
            <v>20</v>
          </cell>
          <cell r="G606">
            <v>60</v>
          </cell>
          <cell r="H606">
            <v>0.6707291666666666</v>
          </cell>
          <cell r="J606">
            <v>4.024375</v>
          </cell>
          <cell r="K606">
            <v>2.1</v>
          </cell>
          <cell r="L606">
            <v>46065</v>
          </cell>
          <cell r="M606" t="str">
            <v>ECCE RECEPCIÓN</v>
          </cell>
        </row>
        <row r="607">
          <cell r="B607">
            <v>800200</v>
          </cell>
          <cell r="D607">
            <v>17</v>
          </cell>
          <cell r="E607">
            <v>12</v>
          </cell>
          <cell r="F607">
            <v>20</v>
          </cell>
          <cell r="G607">
            <v>100</v>
          </cell>
          <cell r="H607">
            <v>0.64194444444444443</v>
          </cell>
          <cell r="J607">
            <v>6.4194444444444443</v>
          </cell>
          <cell r="K607">
            <v>3.5</v>
          </cell>
          <cell r="L607">
            <v>46065</v>
          </cell>
          <cell r="M607" t="str">
            <v>ECCE RECEPCIÓN</v>
          </cell>
        </row>
        <row r="608">
          <cell r="B608">
            <v>100200</v>
          </cell>
          <cell r="D608">
            <v>6</v>
          </cell>
          <cell r="E608">
            <v>5</v>
          </cell>
          <cell r="F608">
            <v>20</v>
          </cell>
          <cell r="G608">
            <v>20</v>
          </cell>
          <cell r="H608">
            <v>0.83783703703703705</v>
          </cell>
          <cell r="J608">
            <v>1.6756740740740743</v>
          </cell>
          <cell r="K608">
            <v>0.70000000000000007</v>
          </cell>
          <cell r="L608">
            <v>46065</v>
          </cell>
          <cell r="M608" t="str">
            <v>ECCE RECEPCIÓN</v>
          </cell>
        </row>
        <row r="609">
          <cell r="B609">
            <v>100200</v>
          </cell>
          <cell r="D609">
            <v>7</v>
          </cell>
          <cell r="E609">
            <v>3</v>
          </cell>
          <cell r="F609">
            <v>20</v>
          </cell>
          <cell r="G609">
            <v>80</v>
          </cell>
          <cell r="H609">
            <v>0.83783703703703705</v>
          </cell>
          <cell r="J609">
            <v>6.7026962962962973</v>
          </cell>
          <cell r="K609">
            <v>2.8000000000000003</v>
          </cell>
          <cell r="L609">
            <v>46065</v>
          </cell>
          <cell r="M609" t="str">
            <v>ECCE RECEPCIÓN</v>
          </cell>
        </row>
        <row r="610">
          <cell r="B610">
            <v>101000</v>
          </cell>
          <cell r="D610">
            <v>11</v>
          </cell>
          <cell r="E610">
            <v>5</v>
          </cell>
          <cell r="F610">
            <v>30</v>
          </cell>
          <cell r="G610">
            <v>180</v>
          </cell>
          <cell r="H610">
            <v>0.49099999999999999</v>
          </cell>
          <cell r="J610">
            <v>8.8379999999999992</v>
          </cell>
          <cell r="K610">
            <v>4.2</v>
          </cell>
          <cell r="L610">
            <v>46065</v>
          </cell>
          <cell r="M610" t="str">
            <v>ECCE RECEPCIÓN</v>
          </cell>
        </row>
        <row r="611">
          <cell r="B611">
            <v>100800</v>
          </cell>
          <cell r="D611">
            <v>6</v>
          </cell>
          <cell r="E611">
            <v>3</v>
          </cell>
          <cell r="F611">
            <v>22</v>
          </cell>
          <cell r="G611">
            <v>66</v>
          </cell>
          <cell r="H611">
            <v>0.55000000000000004</v>
          </cell>
          <cell r="J611">
            <v>3.6300000000000003</v>
          </cell>
          <cell r="K611">
            <v>2.1</v>
          </cell>
          <cell r="L611">
            <v>46065</v>
          </cell>
          <cell r="M611" t="str">
            <v>ECCE RECEPCIÓN</v>
          </cell>
        </row>
        <row r="612">
          <cell r="B612">
            <v>801300</v>
          </cell>
          <cell r="D612">
            <v>0</v>
          </cell>
          <cell r="E612">
            <v>0</v>
          </cell>
          <cell r="F612">
            <v>25</v>
          </cell>
          <cell r="G612">
            <v>0</v>
          </cell>
          <cell r="H612">
            <v>0.53875000000000006</v>
          </cell>
          <cell r="J612">
            <v>0</v>
          </cell>
          <cell r="K612">
            <v>0</v>
          </cell>
          <cell r="L612">
            <v>46065</v>
          </cell>
          <cell r="M612" t="str">
            <v>ECCE RECEPCIÓN</v>
          </cell>
        </row>
        <row r="613">
          <cell r="B613">
            <v>200200</v>
          </cell>
          <cell r="D613">
            <v>7</v>
          </cell>
          <cell r="E613">
            <v>7</v>
          </cell>
          <cell r="F613">
            <v>60</v>
          </cell>
          <cell r="G613">
            <v>0</v>
          </cell>
          <cell r="H613">
            <v>0.5</v>
          </cell>
          <cell r="J613">
            <v>0</v>
          </cell>
          <cell r="K613">
            <v>0</v>
          </cell>
          <cell r="L613">
            <v>46065</v>
          </cell>
          <cell r="M613" t="str">
            <v>ECCE RECEPCIÓN</v>
          </cell>
        </row>
        <row r="614">
          <cell r="B614">
            <v>100900</v>
          </cell>
          <cell r="D614">
            <v>6</v>
          </cell>
          <cell r="E614">
            <v>5</v>
          </cell>
          <cell r="F614">
            <v>30</v>
          </cell>
          <cell r="G614">
            <v>30</v>
          </cell>
          <cell r="H614">
            <v>0.5</v>
          </cell>
          <cell r="J614">
            <v>1.5</v>
          </cell>
          <cell r="K614">
            <v>0.70000000000000007</v>
          </cell>
          <cell r="L614">
            <v>46065</v>
          </cell>
          <cell r="M614" t="str">
            <v>ECCE RECEPCIÓN</v>
          </cell>
        </row>
        <row r="616">
          <cell r="B616">
            <v>600300</v>
          </cell>
          <cell r="D616">
            <v>19</v>
          </cell>
          <cell r="E616">
            <v>13</v>
          </cell>
          <cell r="F616">
            <v>25</v>
          </cell>
          <cell r="G616">
            <v>150</v>
          </cell>
          <cell r="H616">
            <v>0.59</v>
          </cell>
          <cell r="J616">
            <v>9.8333333333333339</v>
          </cell>
          <cell r="K616">
            <v>4.6666666666666661</v>
          </cell>
          <cell r="L616">
            <v>46065</v>
          </cell>
          <cell r="M616" t="str">
            <v>RIVULIS</v>
          </cell>
        </row>
        <row r="617">
          <cell r="B617">
            <v>6005101</v>
          </cell>
          <cell r="D617">
            <v>12</v>
          </cell>
          <cell r="E617">
            <v>1</v>
          </cell>
          <cell r="F617">
            <v>25</v>
          </cell>
          <cell r="G617">
            <v>275</v>
          </cell>
          <cell r="H617">
            <v>0.66</v>
          </cell>
          <cell r="J617">
            <v>20.166666666666668</v>
          </cell>
          <cell r="K617">
            <v>8.5555555555555571</v>
          </cell>
          <cell r="L617">
            <v>46065</v>
          </cell>
          <cell r="M617" t="str">
            <v>RIVULIS</v>
          </cell>
        </row>
        <row r="618">
          <cell r="B618">
            <v>6005102</v>
          </cell>
          <cell r="D618">
            <v>13</v>
          </cell>
          <cell r="E618">
            <v>2</v>
          </cell>
          <cell r="F618">
            <v>25</v>
          </cell>
          <cell r="G618">
            <v>275</v>
          </cell>
          <cell r="H618">
            <v>0.66</v>
          </cell>
          <cell r="J618">
            <v>20.166666666666668</v>
          </cell>
          <cell r="K618">
            <v>8.5555555555555571</v>
          </cell>
          <cell r="L618">
            <v>46065</v>
          </cell>
          <cell r="M618" t="str">
            <v>RIVULIS</v>
          </cell>
        </row>
        <row r="619">
          <cell r="B619">
            <v>6005103</v>
          </cell>
          <cell r="D619">
            <v>10</v>
          </cell>
          <cell r="E619">
            <v>6</v>
          </cell>
          <cell r="F619">
            <v>25</v>
          </cell>
          <cell r="G619">
            <v>100</v>
          </cell>
          <cell r="H619">
            <v>0.66</v>
          </cell>
          <cell r="J619">
            <v>7.333333333333333</v>
          </cell>
          <cell r="K619">
            <v>3.1111111111111107</v>
          </cell>
          <cell r="L619">
            <v>46065</v>
          </cell>
          <cell r="M619" t="str">
            <v>RIVULIS</v>
          </cell>
        </row>
        <row r="620">
          <cell r="B620">
            <v>600101</v>
          </cell>
          <cell r="D620">
            <v>7</v>
          </cell>
          <cell r="E620">
            <v>0</v>
          </cell>
          <cell r="F620">
            <v>25</v>
          </cell>
          <cell r="G620">
            <v>175</v>
          </cell>
          <cell r="H620">
            <v>0.64</v>
          </cell>
          <cell r="J620">
            <v>12.444444444444445</v>
          </cell>
          <cell r="K620">
            <v>5.4444444444444446</v>
          </cell>
          <cell r="L620">
            <v>46065</v>
          </cell>
          <cell r="M620" t="str">
            <v>RIVULIS</v>
          </cell>
        </row>
        <row r="621">
          <cell r="B621">
            <v>600102</v>
          </cell>
          <cell r="D621">
            <v>7</v>
          </cell>
          <cell r="E621">
            <v>4</v>
          </cell>
          <cell r="F621">
            <v>25</v>
          </cell>
          <cell r="G621">
            <v>75</v>
          </cell>
          <cell r="H621">
            <v>0.64</v>
          </cell>
          <cell r="J621">
            <v>5.333333333333333</v>
          </cell>
          <cell r="K621">
            <v>2.333333333333333</v>
          </cell>
          <cell r="L621">
            <v>46065</v>
          </cell>
          <cell r="M621" t="str">
            <v>RIVULIS</v>
          </cell>
        </row>
        <row r="622">
          <cell r="B622">
            <v>6005104</v>
          </cell>
          <cell r="D622">
            <v>10</v>
          </cell>
          <cell r="E622">
            <v>7</v>
          </cell>
          <cell r="F622">
            <v>25</v>
          </cell>
          <cell r="G622">
            <v>75</v>
          </cell>
          <cell r="H622">
            <v>0.66</v>
          </cell>
          <cell r="J622">
            <v>5.5</v>
          </cell>
          <cell r="K622">
            <v>2.333333333333333</v>
          </cell>
          <cell r="L622">
            <v>46065</v>
          </cell>
          <cell r="M622" t="str">
            <v>RIVULIS</v>
          </cell>
        </row>
        <row r="623">
          <cell r="B623">
            <v>600600</v>
          </cell>
          <cell r="D623">
            <v>12</v>
          </cell>
          <cell r="E623">
            <v>8</v>
          </cell>
          <cell r="F623">
            <v>25</v>
          </cell>
          <cell r="G623">
            <v>100</v>
          </cell>
          <cell r="H623">
            <v>0.53</v>
          </cell>
          <cell r="J623">
            <v>5.8888888888888893</v>
          </cell>
          <cell r="K623">
            <v>3.1111111111111107</v>
          </cell>
          <cell r="L623">
            <v>46065</v>
          </cell>
          <cell r="M623" t="str">
            <v>RIVULIS</v>
          </cell>
        </row>
        <row r="624">
          <cell r="B624">
            <v>600500</v>
          </cell>
          <cell r="D624">
            <v>10</v>
          </cell>
          <cell r="E624">
            <v>6</v>
          </cell>
          <cell r="F624">
            <v>25</v>
          </cell>
          <cell r="G624">
            <v>100</v>
          </cell>
          <cell r="H624">
            <v>0.66</v>
          </cell>
          <cell r="J624">
            <v>7.333333333333333</v>
          </cell>
          <cell r="K624">
            <v>3.1111111111111107</v>
          </cell>
          <cell r="L624">
            <v>46065</v>
          </cell>
          <cell r="M624" t="str">
            <v>RIVULIS</v>
          </cell>
        </row>
        <row r="625">
          <cell r="B625">
            <v>600400</v>
          </cell>
          <cell r="D625">
            <v>12</v>
          </cell>
          <cell r="E625">
            <v>3</v>
          </cell>
          <cell r="F625">
            <v>20</v>
          </cell>
          <cell r="G625">
            <v>180</v>
          </cell>
          <cell r="H625">
            <v>0.59</v>
          </cell>
          <cell r="J625">
            <v>11.799999999999999</v>
          </cell>
          <cell r="K625">
            <v>7</v>
          </cell>
          <cell r="L625">
            <v>46065</v>
          </cell>
          <cell r="M625" t="str">
            <v>RIVULIS</v>
          </cell>
        </row>
        <row r="626">
          <cell r="B626">
            <v>100400</v>
          </cell>
          <cell r="D626">
            <v>4</v>
          </cell>
          <cell r="E626">
            <v>0</v>
          </cell>
          <cell r="F626">
            <v>15</v>
          </cell>
          <cell r="G626">
            <v>60</v>
          </cell>
          <cell r="H626">
            <v>0.5</v>
          </cell>
          <cell r="J626">
            <v>3.3333333333333335</v>
          </cell>
          <cell r="K626">
            <v>3.1111111111111107</v>
          </cell>
          <cell r="L626">
            <v>46065</v>
          </cell>
          <cell r="M626" t="str">
            <v>RIVULIS</v>
          </cell>
        </row>
        <row r="627">
          <cell r="B627">
            <v>100400</v>
          </cell>
          <cell r="D627">
            <v>5</v>
          </cell>
          <cell r="E627">
            <v>0</v>
          </cell>
          <cell r="F627">
            <v>15</v>
          </cell>
          <cell r="G627">
            <v>75</v>
          </cell>
          <cell r="H627">
            <v>0.5</v>
          </cell>
          <cell r="J627">
            <v>4.166666666666667</v>
          </cell>
          <cell r="K627">
            <v>3.8888888888888893</v>
          </cell>
          <cell r="L627">
            <v>46065</v>
          </cell>
          <cell r="M627" t="str">
            <v>RIVULIS</v>
          </cell>
        </row>
        <row r="628">
          <cell r="B628">
            <v>100600</v>
          </cell>
          <cell r="D628">
            <v>9</v>
          </cell>
          <cell r="E628">
            <v>3</v>
          </cell>
          <cell r="F628">
            <v>18</v>
          </cell>
          <cell r="G628">
            <v>108</v>
          </cell>
          <cell r="H628">
            <v>0.43</v>
          </cell>
          <cell r="J628">
            <v>5.16</v>
          </cell>
          <cell r="K628">
            <v>4.6666666666666661</v>
          </cell>
          <cell r="L628">
            <v>46065</v>
          </cell>
          <cell r="M628" t="str">
            <v>RIVULIS</v>
          </cell>
        </row>
        <row r="629">
          <cell r="B629">
            <v>100600</v>
          </cell>
          <cell r="D629">
            <v>9</v>
          </cell>
          <cell r="E629">
            <v>7</v>
          </cell>
          <cell r="F629">
            <v>18</v>
          </cell>
          <cell r="G629">
            <v>36</v>
          </cell>
          <cell r="H629">
            <v>0.43</v>
          </cell>
          <cell r="J629">
            <v>1.72</v>
          </cell>
          <cell r="K629">
            <v>1.5555555555555554</v>
          </cell>
          <cell r="L629">
            <v>46065</v>
          </cell>
          <cell r="M629" t="str">
            <v>RIVULIS</v>
          </cell>
        </row>
        <row r="630">
          <cell r="B630">
            <v>800900</v>
          </cell>
          <cell r="D630">
            <v>17</v>
          </cell>
          <cell r="E630">
            <v>0</v>
          </cell>
          <cell r="F630">
            <v>20</v>
          </cell>
          <cell r="G630">
            <v>340</v>
          </cell>
          <cell r="H630">
            <v>0.51</v>
          </cell>
          <cell r="J630">
            <v>19.266666666666666</v>
          </cell>
          <cell r="K630">
            <v>13.222222222222221</v>
          </cell>
          <cell r="L630">
            <v>46065</v>
          </cell>
          <cell r="M630" t="str">
            <v>RIVULIS</v>
          </cell>
        </row>
        <row r="631">
          <cell r="B631">
            <v>300700</v>
          </cell>
          <cell r="D631">
            <v>14</v>
          </cell>
          <cell r="E631">
            <v>9</v>
          </cell>
          <cell r="F631">
            <v>10</v>
          </cell>
          <cell r="G631">
            <v>50</v>
          </cell>
          <cell r="H631">
            <v>0.71</v>
          </cell>
          <cell r="J631">
            <v>3.9444444444444446</v>
          </cell>
          <cell r="K631">
            <v>3.8888888888888893</v>
          </cell>
          <cell r="L631">
            <v>46065</v>
          </cell>
          <cell r="M631" t="str">
            <v>RIVULIS</v>
          </cell>
        </row>
        <row r="632">
          <cell r="B632">
            <v>300200</v>
          </cell>
          <cell r="D632">
            <v>20</v>
          </cell>
          <cell r="E632">
            <v>19</v>
          </cell>
          <cell r="F632">
            <v>20</v>
          </cell>
          <cell r="G632">
            <v>20</v>
          </cell>
          <cell r="H632">
            <v>0.62</v>
          </cell>
          <cell r="J632">
            <v>1.3777777777777778</v>
          </cell>
          <cell r="K632">
            <v>0.77777777777777768</v>
          </cell>
          <cell r="L632">
            <v>46065</v>
          </cell>
          <cell r="M632" t="str">
            <v>RIVULIS</v>
          </cell>
        </row>
        <row r="633">
          <cell r="B633">
            <v>300100</v>
          </cell>
          <cell r="D633">
            <v>17</v>
          </cell>
          <cell r="E633">
            <v>11</v>
          </cell>
          <cell r="F633">
            <v>15</v>
          </cell>
          <cell r="G633">
            <v>90</v>
          </cell>
          <cell r="H633">
            <v>0.56999999999999995</v>
          </cell>
          <cell r="J633">
            <v>5.6999999999999993</v>
          </cell>
          <cell r="K633">
            <v>4.6666666666666661</v>
          </cell>
          <cell r="L633">
            <v>46065</v>
          </cell>
          <cell r="M633" t="str">
            <v>RIVULIS</v>
          </cell>
        </row>
        <row r="634">
          <cell r="B634">
            <v>900300</v>
          </cell>
          <cell r="D634">
            <v>14</v>
          </cell>
          <cell r="E634">
            <v>7</v>
          </cell>
          <cell r="F634">
            <v>25</v>
          </cell>
          <cell r="G634">
            <v>175</v>
          </cell>
          <cell r="H634">
            <v>0.4</v>
          </cell>
          <cell r="J634">
            <v>7.7777777777777777</v>
          </cell>
          <cell r="K634">
            <v>5.4444444444444446</v>
          </cell>
          <cell r="L634">
            <v>46065</v>
          </cell>
          <cell r="M634" t="str">
            <v>RIVULIS</v>
          </cell>
        </row>
        <row r="635">
          <cell r="B635">
            <v>300400</v>
          </cell>
          <cell r="D635">
            <v>17</v>
          </cell>
          <cell r="E635">
            <v>9</v>
          </cell>
          <cell r="F635">
            <v>10</v>
          </cell>
          <cell r="G635">
            <v>80</v>
          </cell>
          <cell r="H635">
            <v>0.4</v>
          </cell>
          <cell r="J635">
            <v>3.5555555555555554</v>
          </cell>
          <cell r="K635">
            <v>6.2222222222222214</v>
          </cell>
          <cell r="L635">
            <v>46065</v>
          </cell>
          <cell r="M635" t="str">
            <v>RIVULIS</v>
          </cell>
        </row>
        <row r="636">
          <cell r="B636">
            <v>700500</v>
          </cell>
          <cell r="D636">
            <v>12</v>
          </cell>
          <cell r="E636">
            <v>12</v>
          </cell>
          <cell r="F636">
            <v>15</v>
          </cell>
          <cell r="G636">
            <v>0</v>
          </cell>
          <cell r="H636">
            <v>0.56999999999999995</v>
          </cell>
          <cell r="J636">
            <v>0</v>
          </cell>
          <cell r="K636">
            <v>0</v>
          </cell>
          <cell r="L636">
            <v>46065</v>
          </cell>
          <cell r="M636" t="str">
            <v>RIVULIS</v>
          </cell>
        </row>
        <row r="637">
          <cell r="B637">
            <v>700400</v>
          </cell>
          <cell r="D637">
            <v>12</v>
          </cell>
          <cell r="E637">
            <v>11</v>
          </cell>
          <cell r="F637">
            <v>25</v>
          </cell>
          <cell r="G637">
            <v>25</v>
          </cell>
          <cell r="H637">
            <v>0.48</v>
          </cell>
          <cell r="J637">
            <v>1.3333333333333333</v>
          </cell>
          <cell r="K637">
            <v>0.77777777777777768</v>
          </cell>
          <cell r="L637">
            <v>46065</v>
          </cell>
          <cell r="M637" t="str">
            <v>RIVULIS</v>
          </cell>
        </row>
        <row r="638">
          <cell r="B638">
            <v>700800</v>
          </cell>
          <cell r="D638">
            <v>14</v>
          </cell>
          <cell r="E638">
            <v>12</v>
          </cell>
          <cell r="F638">
            <v>20</v>
          </cell>
          <cell r="G638">
            <v>40</v>
          </cell>
          <cell r="H638">
            <v>0.38</v>
          </cell>
          <cell r="J638">
            <v>1.6888888888888889</v>
          </cell>
          <cell r="K638">
            <v>1.5555555555555554</v>
          </cell>
          <cell r="L638">
            <v>46065</v>
          </cell>
          <cell r="M638" t="str">
            <v>RIVULIS</v>
          </cell>
        </row>
        <row r="639">
          <cell r="B639">
            <v>700700</v>
          </cell>
          <cell r="D639">
            <v>15</v>
          </cell>
          <cell r="E639">
            <v>14</v>
          </cell>
          <cell r="F639">
            <v>25</v>
          </cell>
          <cell r="G639">
            <v>25</v>
          </cell>
          <cell r="H639">
            <v>0.44</v>
          </cell>
          <cell r="J639">
            <v>1.2222222222222223</v>
          </cell>
          <cell r="K639">
            <v>0.77777777777777768</v>
          </cell>
          <cell r="L639">
            <v>46065</v>
          </cell>
          <cell r="M639" t="str">
            <v>RIVULIS</v>
          </cell>
        </row>
        <row r="640">
          <cell r="B640">
            <v>700200</v>
          </cell>
          <cell r="D640">
            <v>14</v>
          </cell>
          <cell r="E640">
            <v>12</v>
          </cell>
          <cell r="F640">
            <v>25</v>
          </cell>
          <cell r="G640">
            <v>50</v>
          </cell>
          <cell r="H640">
            <v>0.44</v>
          </cell>
          <cell r="J640">
            <v>2.4444444444444446</v>
          </cell>
          <cell r="K640">
            <v>1.5555555555555554</v>
          </cell>
          <cell r="L640">
            <v>46065</v>
          </cell>
          <cell r="M640" t="str">
            <v>RIVULIS</v>
          </cell>
        </row>
        <row r="641">
          <cell r="B641">
            <v>800500</v>
          </cell>
          <cell r="D641">
            <v>22</v>
          </cell>
          <cell r="E641">
            <v>15</v>
          </cell>
          <cell r="F641">
            <v>10</v>
          </cell>
          <cell r="G641">
            <v>70</v>
          </cell>
          <cell r="H641">
            <v>0.7</v>
          </cell>
          <cell r="J641">
            <v>5.4444444444444446</v>
          </cell>
          <cell r="K641">
            <v>5.4444444444444446</v>
          </cell>
          <cell r="L641">
            <v>46065</v>
          </cell>
          <cell r="M641" t="str">
            <v>RIVULIS</v>
          </cell>
        </row>
        <row r="642">
          <cell r="B642">
            <v>800700</v>
          </cell>
          <cell r="D642">
            <v>15</v>
          </cell>
          <cell r="E642">
            <v>13</v>
          </cell>
          <cell r="F642">
            <v>20</v>
          </cell>
          <cell r="G642">
            <v>40</v>
          </cell>
          <cell r="H642">
            <v>0.55000000000000004</v>
          </cell>
          <cell r="J642">
            <v>2.4444444444444446</v>
          </cell>
          <cell r="K642">
            <v>1.5555555555555554</v>
          </cell>
          <cell r="L642">
            <v>46065</v>
          </cell>
          <cell r="M642" t="str">
            <v>RIVULIS</v>
          </cell>
        </row>
        <row r="643">
          <cell r="B643">
            <v>800400</v>
          </cell>
          <cell r="D643">
            <v>17</v>
          </cell>
          <cell r="E643">
            <v>13</v>
          </cell>
          <cell r="F643">
            <v>20</v>
          </cell>
          <cell r="G643">
            <v>80</v>
          </cell>
          <cell r="H643">
            <v>0.55000000000000004</v>
          </cell>
          <cell r="J643">
            <v>4.8888888888888893</v>
          </cell>
          <cell r="K643">
            <v>3.1111111111111107</v>
          </cell>
          <cell r="L643">
            <v>46065</v>
          </cell>
          <cell r="M643" t="str">
            <v>RIVULIS</v>
          </cell>
        </row>
        <row r="644">
          <cell r="B644">
            <v>800601</v>
          </cell>
          <cell r="D644">
            <v>11</v>
          </cell>
          <cell r="E644">
            <v>7</v>
          </cell>
          <cell r="F644">
            <v>15</v>
          </cell>
          <cell r="G644">
            <v>60</v>
          </cell>
          <cell r="H644">
            <v>0.55000000000000004</v>
          </cell>
          <cell r="J644">
            <v>3.6666666666666665</v>
          </cell>
          <cell r="K644">
            <v>3.1111111111111107</v>
          </cell>
          <cell r="L644">
            <v>46065</v>
          </cell>
          <cell r="M644" t="str">
            <v>RIVULIS</v>
          </cell>
        </row>
        <row r="645">
          <cell r="B645">
            <v>800600</v>
          </cell>
          <cell r="D645">
            <v>16</v>
          </cell>
          <cell r="E645">
            <v>8</v>
          </cell>
          <cell r="F645">
            <v>15</v>
          </cell>
          <cell r="G645">
            <v>120</v>
          </cell>
          <cell r="H645">
            <v>0.55000000000000004</v>
          </cell>
          <cell r="J645">
            <v>7.333333333333333</v>
          </cell>
          <cell r="K645">
            <v>6.2222222222222214</v>
          </cell>
          <cell r="L645">
            <v>46065</v>
          </cell>
          <cell r="M645" t="str">
            <v>RIVULIS</v>
          </cell>
        </row>
        <row r="646">
          <cell r="B646">
            <v>800800</v>
          </cell>
          <cell r="D646">
            <v>15</v>
          </cell>
          <cell r="E646">
            <v>5</v>
          </cell>
          <cell r="F646">
            <v>15</v>
          </cell>
          <cell r="G646">
            <v>150</v>
          </cell>
          <cell r="H646">
            <v>0.35</v>
          </cell>
          <cell r="J646">
            <v>5.833333333333333</v>
          </cell>
          <cell r="K646">
            <v>7.7777777777777786</v>
          </cell>
          <cell r="L646">
            <v>46065</v>
          </cell>
          <cell r="M646" t="str">
            <v>RIVULIS</v>
          </cell>
        </row>
        <row r="647">
          <cell r="B647">
            <v>801000</v>
          </cell>
          <cell r="D647">
            <v>16</v>
          </cell>
          <cell r="E647">
            <v>13</v>
          </cell>
          <cell r="F647">
            <v>15</v>
          </cell>
          <cell r="G647">
            <v>45</v>
          </cell>
          <cell r="H647">
            <v>0.4</v>
          </cell>
          <cell r="J647">
            <v>2</v>
          </cell>
          <cell r="K647">
            <v>2.333333333333333</v>
          </cell>
          <cell r="L647">
            <v>46065</v>
          </cell>
          <cell r="M647" t="str">
            <v>RIVULIS</v>
          </cell>
        </row>
        <row r="648">
          <cell r="B648">
            <v>800200</v>
          </cell>
          <cell r="D648">
            <v>18</v>
          </cell>
          <cell r="E648">
            <v>8</v>
          </cell>
          <cell r="F648">
            <v>20</v>
          </cell>
          <cell r="G648">
            <v>200</v>
          </cell>
          <cell r="H648">
            <v>0.5</v>
          </cell>
          <cell r="J648">
            <v>11.111111111111111</v>
          </cell>
          <cell r="K648">
            <v>7.7777777777777786</v>
          </cell>
          <cell r="L648">
            <v>46065</v>
          </cell>
          <cell r="M648" t="str">
            <v>RIVULIS</v>
          </cell>
        </row>
        <row r="649">
          <cell r="B649">
            <v>801200</v>
          </cell>
          <cell r="D649">
            <v>25</v>
          </cell>
          <cell r="E649">
            <v>12</v>
          </cell>
          <cell r="F649">
            <v>20</v>
          </cell>
          <cell r="G649">
            <v>260</v>
          </cell>
          <cell r="H649">
            <v>0.55000000000000004</v>
          </cell>
          <cell r="J649">
            <v>15.888888888888889</v>
          </cell>
          <cell r="K649">
            <v>10.111111111111111</v>
          </cell>
          <cell r="L649">
            <v>46065</v>
          </cell>
          <cell r="M649" t="str">
            <v>RIVULIS</v>
          </cell>
        </row>
        <row r="650">
          <cell r="B650">
            <v>801400</v>
          </cell>
          <cell r="D650">
            <v>18</v>
          </cell>
          <cell r="E650">
            <v>10</v>
          </cell>
          <cell r="F650">
            <v>20</v>
          </cell>
          <cell r="G650">
            <v>160</v>
          </cell>
          <cell r="H650">
            <v>0.65</v>
          </cell>
          <cell r="J650">
            <v>11.555555555555555</v>
          </cell>
          <cell r="K650">
            <v>6.2222222222222214</v>
          </cell>
          <cell r="L650">
            <v>46065</v>
          </cell>
          <cell r="M650" t="str">
            <v>RIVULIS</v>
          </cell>
        </row>
        <row r="651">
          <cell r="B651">
            <v>100200</v>
          </cell>
          <cell r="D651">
            <v>6</v>
          </cell>
          <cell r="E651">
            <v>4</v>
          </cell>
          <cell r="F651">
            <v>15</v>
          </cell>
          <cell r="G651">
            <v>30</v>
          </cell>
          <cell r="H651">
            <v>0.8</v>
          </cell>
          <cell r="J651">
            <v>2.6666666666666665</v>
          </cell>
          <cell r="K651">
            <v>1.5555555555555554</v>
          </cell>
          <cell r="L651">
            <v>46065</v>
          </cell>
          <cell r="M651" t="str">
            <v>RIVULIS</v>
          </cell>
        </row>
        <row r="652">
          <cell r="B652">
            <v>100200</v>
          </cell>
          <cell r="D652">
            <v>6</v>
          </cell>
          <cell r="E652">
            <v>5</v>
          </cell>
          <cell r="F652">
            <v>15</v>
          </cell>
          <cell r="G652">
            <v>15</v>
          </cell>
          <cell r="H652">
            <v>0.8</v>
          </cell>
          <cell r="J652">
            <v>1.3333333333333333</v>
          </cell>
          <cell r="K652">
            <v>0.77777777777777768</v>
          </cell>
          <cell r="L652">
            <v>46065</v>
          </cell>
          <cell r="M652" t="str">
            <v>RIVULIS</v>
          </cell>
        </row>
        <row r="653">
          <cell r="B653">
            <v>101000</v>
          </cell>
          <cell r="D653">
            <v>6</v>
          </cell>
          <cell r="E653">
            <v>0</v>
          </cell>
          <cell r="F653">
            <v>20</v>
          </cell>
          <cell r="G653">
            <v>120</v>
          </cell>
          <cell r="H653">
            <v>0.3</v>
          </cell>
          <cell r="J653">
            <v>4</v>
          </cell>
          <cell r="K653">
            <v>4.6666666666666661</v>
          </cell>
          <cell r="L653">
            <v>46065</v>
          </cell>
          <cell r="M653" t="str">
            <v>RIVULIS</v>
          </cell>
        </row>
        <row r="654">
          <cell r="B654">
            <v>801500</v>
          </cell>
          <cell r="D654">
            <v>13</v>
          </cell>
          <cell r="E654">
            <v>1</v>
          </cell>
          <cell r="F654">
            <v>25</v>
          </cell>
          <cell r="G654">
            <v>300</v>
          </cell>
          <cell r="H654">
            <v>0.6</v>
          </cell>
          <cell r="J654">
            <v>20</v>
          </cell>
          <cell r="K654">
            <v>9.3333333333333321</v>
          </cell>
          <cell r="L654">
            <v>46065</v>
          </cell>
          <cell r="M654" t="str">
            <v>RIVULIS</v>
          </cell>
        </row>
        <row r="655">
          <cell r="B655">
            <v>100800</v>
          </cell>
          <cell r="D655">
            <v>6</v>
          </cell>
          <cell r="E655">
            <v>6</v>
          </cell>
          <cell r="F655">
            <v>18</v>
          </cell>
          <cell r="G655">
            <v>0</v>
          </cell>
          <cell r="H655">
            <v>0.5</v>
          </cell>
          <cell r="J655">
            <v>0</v>
          </cell>
          <cell r="K655">
            <v>0</v>
          </cell>
          <cell r="L655">
            <v>46065</v>
          </cell>
          <cell r="M655" t="str">
            <v>RIVULIS</v>
          </cell>
        </row>
        <row r="656">
          <cell r="B656">
            <v>800100</v>
          </cell>
          <cell r="D656">
            <v>14</v>
          </cell>
          <cell r="E656">
            <v>8</v>
          </cell>
          <cell r="F656">
            <v>25</v>
          </cell>
          <cell r="G656">
            <v>150</v>
          </cell>
          <cell r="H656">
            <v>0.5</v>
          </cell>
          <cell r="J656">
            <v>8.3333333333333339</v>
          </cell>
          <cell r="K656">
            <v>4.6666666666666661</v>
          </cell>
          <cell r="L656">
            <v>46065</v>
          </cell>
          <cell r="M656" t="str">
            <v>RIVULIS</v>
          </cell>
        </row>
        <row r="657">
          <cell r="B657">
            <v>100300</v>
          </cell>
          <cell r="D657">
            <v>4</v>
          </cell>
          <cell r="E657">
            <v>0</v>
          </cell>
          <cell r="F657">
            <v>20</v>
          </cell>
          <cell r="G657">
            <v>80</v>
          </cell>
          <cell r="H657">
            <v>0.45</v>
          </cell>
          <cell r="J657">
            <v>4</v>
          </cell>
          <cell r="K657">
            <v>3.1111111111111107</v>
          </cell>
          <cell r="L657">
            <v>46065</v>
          </cell>
          <cell r="M657" t="str">
            <v>RIVULIS</v>
          </cell>
        </row>
        <row r="659">
          <cell r="B659">
            <v>600102</v>
          </cell>
          <cell r="D659">
            <v>7</v>
          </cell>
          <cell r="E659">
            <v>7</v>
          </cell>
          <cell r="F659">
            <v>25</v>
          </cell>
          <cell r="G659">
            <v>0</v>
          </cell>
          <cell r="H659">
            <v>0.64</v>
          </cell>
          <cell r="J659">
            <v>0</v>
          </cell>
          <cell r="K659">
            <v>0</v>
          </cell>
          <cell r="L659">
            <v>46066</v>
          </cell>
          <cell r="M659" t="str">
            <v>AUTO SPA</v>
          </cell>
        </row>
        <row r="660">
          <cell r="B660">
            <v>6005103</v>
          </cell>
          <cell r="D660">
            <v>11</v>
          </cell>
          <cell r="E660">
            <v>9</v>
          </cell>
          <cell r="F660">
            <v>25</v>
          </cell>
          <cell r="G660">
            <v>50</v>
          </cell>
          <cell r="H660">
            <v>0.66</v>
          </cell>
          <cell r="J660">
            <v>4.7142857142857144</v>
          </cell>
          <cell r="K660">
            <v>2</v>
          </cell>
          <cell r="L660">
            <v>46066</v>
          </cell>
          <cell r="M660" t="str">
            <v>AUTO SPA</v>
          </cell>
        </row>
        <row r="661">
          <cell r="B661">
            <v>6005101</v>
          </cell>
          <cell r="D661">
            <v>11</v>
          </cell>
          <cell r="E661">
            <v>8</v>
          </cell>
          <cell r="F661">
            <v>25</v>
          </cell>
          <cell r="G661">
            <v>75</v>
          </cell>
          <cell r="H661">
            <v>0.66</v>
          </cell>
          <cell r="J661">
            <v>7.0714285714285712</v>
          </cell>
          <cell r="K661">
            <v>3</v>
          </cell>
          <cell r="L661">
            <v>46066</v>
          </cell>
          <cell r="M661" t="str">
            <v>AUTO SPA</v>
          </cell>
        </row>
        <row r="662">
          <cell r="B662">
            <v>600600</v>
          </cell>
          <cell r="D662">
            <v>6</v>
          </cell>
          <cell r="E662">
            <v>6</v>
          </cell>
          <cell r="F662">
            <v>25</v>
          </cell>
          <cell r="G662">
            <v>0</v>
          </cell>
          <cell r="H662">
            <v>0.53</v>
          </cell>
          <cell r="J662">
            <v>0</v>
          </cell>
          <cell r="K662">
            <v>0</v>
          </cell>
          <cell r="L662">
            <v>46066</v>
          </cell>
          <cell r="M662" t="str">
            <v>AUTO SPA</v>
          </cell>
        </row>
        <row r="663">
          <cell r="B663">
            <v>600400</v>
          </cell>
          <cell r="D663">
            <v>13</v>
          </cell>
          <cell r="E663">
            <v>9</v>
          </cell>
          <cell r="F663">
            <v>20</v>
          </cell>
          <cell r="G663">
            <v>80</v>
          </cell>
          <cell r="H663">
            <v>0.59</v>
          </cell>
          <cell r="J663">
            <v>6.742857142857142</v>
          </cell>
          <cell r="K663">
            <v>4</v>
          </cell>
          <cell r="L663">
            <v>46066</v>
          </cell>
          <cell r="M663" t="str">
            <v>AUTO SPA</v>
          </cell>
        </row>
        <row r="664">
          <cell r="B664">
            <v>600300</v>
          </cell>
          <cell r="D664">
            <v>17</v>
          </cell>
          <cell r="E664">
            <v>12</v>
          </cell>
          <cell r="F664">
            <v>25</v>
          </cell>
          <cell r="G664">
            <v>125</v>
          </cell>
          <cell r="H664">
            <v>0.59</v>
          </cell>
          <cell r="J664">
            <v>10.535714285714286</v>
          </cell>
          <cell r="K664">
            <v>5</v>
          </cell>
          <cell r="L664">
            <v>46066</v>
          </cell>
          <cell r="M664" t="str">
            <v>AUTO SPA</v>
          </cell>
        </row>
        <row r="665">
          <cell r="B665">
            <v>600103</v>
          </cell>
          <cell r="D665">
            <v>9</v>
          </cell>
          <cell r="E665">
            <v>9</v>
          </cell>
          <cell r="F665">
            <v>25</v>
          </cell>
          <cell r="G665">
            <v>0</v>
          </cell>
          <cell r="H665">
            <v>0.64</v>
          </cell>
          <cell r="J665">
            <v>0</v>
          </cell>
          <cell r="K665">
            <v>0</v>
          </cell>
          <cell r="L665">
            <v>46066</v>
          </cell>
          <cell r="M665" t="str">
            <v>AUTO SPA</v>
          </cell>
        </row>
        <row r="666">
          <cell r="B666">
            <v>600101</v>
          </cell>
          <cell r="D666">
            <v>11</v>
          </cell>
          <cell r="E666">
            <v>7</v>
          </cell>
          <cell r="F666">
            <v>25</v>
          </cell>
          <cell r="G666">
            <v>100</v>
          </cell>
          <cell r="H666">
            <v>0.64</v>
          </cell>
          <cell r="J666">
            <v>9.1428571428571423</v>
          </cell>
          <cell r="K666">
            <v>4</v>
          </cell>
          <cell r="L666">
            <v>46066</v>
          </cell>
          <cell r="M666" t="str">
            <v>AUTO SPA</v>
          </cell>
        </row>
        <row r="667">
          <cell r="B667">
            <v>800900</v>
          </cell>
          <cell r="D667">
            <v>12</v>
          </cell>
          <cell r="E667">
            <v>8</v>
          </cell>
          <cell r="F667">
            <v>20</v>
          </cell>
          <cell r="G667">
            <v>80</v>
          </cell>
          <cell r="H667">
            <v>0.51</v>
          </cell>
          <cell r="J667">
            <v>5.8285714285714283</v>
          </cell>
          <cell r="K667">
            <v>4</v>
          </cell>
          <cell r="L667">
            <v>46066</v>
          </cell>
          <cell r="M667" t="str">
            <v>AUTO SPA</v>
          </cell>
        </row>
        <row r="668">
          <cell r="B668">
            <v>801500</v>
          </cell>
          <cell r="D668">
            <v>20</v>
          </cell>
          <cell r="E668">
            <v>11</v>
          </cell>
          <cell r="F668">
            <v>23</v>
          </cell>
          <cell r="G668">
            <v>207</v>
          </cell>
          <cell r="H668">
            <v>0.54347826086956519</v>
          </cell>
          <cell r="J668">
            <v>16.071428571428573</v>
          </cell>
          <cell r="K668">
            <v>9</v>
          </cell>
          <cell r="L668">
            <v>46066</v>
          </cell>
          <cell r="M668" t="str">
            <v>AUTO SPA</v>
          </cell>
        </row>
        <row r="669">
          <cell r="B669">
            <v>300200</v>
          </cell>
          <cell r="D669">
            <v>8</v>
          </cell>
          <cell r="E669">
            <v>8</v>
          </cell>
          <cell r="F669">
            <v>18</v>
          </cell>
          <cell r="G669">
            <v>0</v>
          </cell>
          <cell r="H669">
            <v>0.55000000000000004</v>
          </cell>
          <cell r="J669">
            <v>0</v>
          </cell>
          <cell r="K669">
            <v>0</v>
          </cell>
          <cell r="L669">
            <v>46066</v>
          </cell>
          <cell r="M669" t="str">
            <v>AUTO SPA</v>
          </cell>
        </row>
        <row r="670">
          <cell r="B670">
            <v>900300</v>
          </cell>
          <cell r="D670">
            <v>12</v>
          </cell>
          <cell r="E670">
            <v>10</v>
          </cell>
          <cell r="F670">
            <v>25</v>
          </cell>
          <cell r="G670">
            <v>50</v>
          </cell>
          <cell r="H670">
            <v>0.63171288888888899</v>
          </cell>
          <cell r="J670">
            <v>4.5122349206349215</v>
          </cell>
          <cell r="K670">
            <v>2</v>
          </cell>
          <cell r="L670">
            <v>46066</v>
          </cell>
          <cell r="M670" t="str">
            <v>AUTO SPA</v>
          </cell>
        </row>
        <row r="671">
          <cell r="B671">
            <v>300400</v>
          </cell>
          <cell r="D671">
            <v>11</v>
          </cell>
          <cell r="E671">
            <v>6</v>
          </cell>
          <cell r="F671">
            <v>10</v>
          </cell>
          <cell r="G671">
            <v>50</v>
          </cell>
          <cell r="H671">
            <v>0.56754545454545446</v>
          </cell>
          <cell r="J671">
            <v>4.0538961038961032</v>
          </cell>
          <cell r="K671">
            <v>5</v>
          </cell>
          <cell r="L671">
            <v>46066</v>
          </cell>
          <cell r="M671" t="str">
            <v>AUTO SPA</v>
          </cell>
        </row>
        <row r="672">
          <cell r="B672">
            <v>700700</v>
          </cell>
          <cell r="D672">
            <v>9</v>
          </cell>
          <cell r="E672">
            <v>7</v>
          </cell>
          <cell r="F672">
            <v>27</v>
          </cell>
          <cell r="G672">
            <v>54</v>
          </cell>
          <cell r="H672">
            <v>0.487010582010582</v>
          </cell>
          <cell r="J672">
            <v>3.7569387755102039</v>
          </cell>
          <cell r="K672">
            <v>2</v>
          </cell>
          <cell r="L672">
            <v>46066</v>
          </cell>
          <cell r="M672" t="str">
            <v>AUTO SPA</v>
          </cell>
        </row>
        <row r="673">
          <cell r="B673">
            <v>700200</v>
          </cell>
          <cell r="D673">
            <v>12</v>
          </cell>
          <cell r="E673">
            <v>12</v>
          </cell>
          <cell r="F673">
            <v>27</v>
          </cell>
          <cell r="G673">
            <v>0</v>
          </cell>
          <cell r="H673">
            <v>0.487010582010582</v>
          </cell>
          <cell r="J673">
            <v>0</v>
          </cell>
          <cell r="K673">
            <v>0</v>
          </cell>
          <cell r="L673">
            <v>46066</v>
          </cell>
          <cell r="M673" t="str">
            <v>AUTO SPA</v>
          </cell>
        </row>
        <row r="674">
          <cell r="B674">
            <v>700400</v>
          </cell>
          <cell r="D674">
            <v>12</v>
          </cell>
          <cell r="E674">
            <v>12</v>
          </cell>
          <cell r="F674">
            <v>25</v>
          </cell>
          <cell r="G674">
            <v>0</v>
          </cell>
          <cell r="H674">
            <v>0.49020000000000002</v>
          </cell>
          <cell r="J674">
            <v>0</v>
          </cell>
          <cell r="K674">
            <v>0</v>
          </cell>
          <cell r="L674">
            <v>46066</v>
          </cell>
          <cell r="M674" t="str">
            <v>AUTO SPA</v>
          </cell>
        </row>
        <row r="675">
          <cell r="B675">
            <v>700800</v>
          </cell>
          <cell r="D675">
            <v>12</v>
          </cell>
          <cell r="E675">
            <v>11</v>
          </cell>
          <cell r="F675">
            <v>25</v>
          </cell>
          <cell r="G675">
            <v>25</v>
          </cell>
          <cell r="H675">
            <v>0.49808000000000002</v>
          </cell>
          <cell r="J675">
            <v>1.7788571428571429</v>
          </cell>
          <cell r="K675">
            <v>1</v>
          </cell>
          <cell r="L675">
            <v>46066</v>
          </cell>
          <cell r="M675" t="str">
            <v>AUTO SPA</v>
          </cell>
        </row>
        <row r="676">
          <cell r="B676">
            <v>700100</v>
          </cell>
          <cell r="D676">
            <v>13</v>
          </cell>
          <cell r="E676">
            <v>11</v>
          </cell>
          <cell r="F676">
            <v>27</v>
          </cell>
          <cell r="G676">
            <v>54</v>
          </cell>
          <cell r="H676">
            <v>0.487010582010582</v>
          </cell>
          <cell r="J676">
            <v>3.7569387755102039</v>
          </cell>
          <cell r="K676">
            <v>2</v>
          </cell>
          <cell r="L676">
            <v>46066</v>
          </cell>
          <cell r="M676" t="str">
            <v>AUTO SPA</v>
          </cell>
        </row>
        <row r="677">
          <cell r="B677">
            <v>801600</v>
          </cell>
          <cell r="D677">
            <v>10</v>
          </cell>
          <cell r="E677">
            <v>10</v>
          </cell>
          <cell r="F677">
            <v>20</v>
          </cell>
          <cell r="G677">
            <v>0</v>
          </cell>
          <cell r="H677">
            <v>0.59604999999999997</v>
          </cell>
          <cell r="J677">
            <v>0</v>
          </cell>
          <cell r="K677">
            <v>0</v>
          </cell>
          <cell r="L677">
            <v>46066</v>
          </cell>
          <cell r="M677" t="str">
            <v>AUTO SPA</v>
          </cell>
        </row>
        <row r="678">
          <cell r="B678">
            <v>801400</v>
          </cell>
          <cell r="D678">
            <v>9</v>
          </cell>
          <cell r="E678">
            <v>9</v>
          </cell>
          <cell r="F678">
            <v>20</v>
          </cell>
          <cell r="G678">
            <v>0</v>
          </cell>
          <cell r="H678">
            <v>0.60500000000000009</v>
          </cell>
          <cell r="J678">
            <v>0</v>
          </cell>
          <cell r="K678">
            <v>0</v>
          </cell>
          <cell r="L678">
            <v>46066</v>
          </cell>
          <cell r="M678" t="str">
            <v>AUTO SPA</v>
          </cell>
        </row>
        <row r="679">
          <cell r="B679">
            <v>300100</v>
          </cell>
          <cell r="D679">
            <v>11</v>
          </cell>
          <cell r="E679">
            <v>11</v>
          </cell>
          <cell r="F679">
            <v>15</v>
          </cell>
          <cell r="G679">
            <v>0</v>
          </cell>
          <cell r="H679">
            <v>0.5642962962962963</v>
          </cell>
          <cell r="J679">
            <v>0</v>
          </cell>
          <cell r="K679">
            <v>0</v>
          </cell>
          <cell r="L679">
            <v>46066</v>
          </cell>
          <cell r="M679" t="str">
            <v>AUTO SPA</v>
          </cell>
        </row>
        <row r="680">
          <cell r="B680">
            <v>800500</v>
          </cell>
          <cell r="D680">
            <v>13</v>
          </cell>
          <cell r="E680">
            <v>10</v>
          </cell>
          <cell r="F680">
            <v>10</v>
          </cell>
          <cell r="G680">
            <v>30</v>
          </cell>
          <cell r="H680">
            <v>0.52946666666666675</v>
          </cell>
          <cell r="J680">
            <v>2.2691428571428576</v>
          </cell>
          <cell r="K680">
            <v>3</v>
          </cell>
          <cell r="L680">
            <v>46066</v>
          </cell>
          <cell r="M680" t="str">
            <v>AUTO SPA</v>
          </cell>
        </row>
        <row r="681">
          <cell r="B681">
            <v>800200</v>
          </cell>
          <cell r="D681">
            <v>11</v>
          </cell>
          <cell r="E681">
            <v>11</v>
          </cell>
          <cell r="F681">
            <v>20</v>
          </cell>
          <cell r="G681">
            <v>0</v>
          </cell>
          <cell r="H681">
            <v>0.5</v>
          </cell>
          <cell r="J681">
            <v>0</v>
          </cell>
          <cell r="K681">
            <v>0</v>
          </cell>
          <cell r="L681">
            <v>46066</v>
          </cell>
          <cell r="M681" t="str">
            <v>AUTO SPA</v>
          </cell>
        </row>
        <row r="682">
          <cell r="B682">
            <v>800600</v>
          </cell>
          <cell r="D682">
            <v>12</v>
          </cell>
          <cell r="E682">
            <v>10</v>
          </cell>
          <cell r="F682">
            <v>20</v>
          </cell>
          <cell r="G682">
            <v>40</v>
          </cell>
          <cell r="H682">
            <v>0.66114583333333332</v>
          </cell>
          <cell r="J682">
            <v>3.7779761904761906</v>
          </cell>
          <cell r="K682">
            <v>2</v>
          </cell>
          <cell r="L682">
            <v>46066</v>
          </cell>
          <cell r="M682" t="str">
            <v>AUTO SPA</v>
          </cell>
        </row>
        <row r="683">
          <cell r="B683">
            <v>800400</v>
          </cell>
          <cell r="D683">
            <v>10</v>
          </cell>
          <cell r="E683">
            <v>10</v>
          </cell>
          <cell r="F683">
            <v>20</v>
          </cell>
          <cell r="G683">
            <v>0</v>
          </cell>
          <cell r="H683">
            <v>0.6507857142857143</v>
          </cell>
          <cell r="J683">
            <v>0</v>
          </cell>
          <cell r="K683">
            <v>0</v>
          </cell>
          <cell r="L683">
            <v>46066</v>
          </cell>
          <cell r="M683" t="str">
            <v>AUTO SPA</v>
          </cell>
        </row>
        <row r="684">
          <cell r="B684">
            <v>800700</v>
          </cell>
          <cell r="D684">
            <v>12</v>
          </cell>
          <cell r="E684">
            <v>12</v>
          </cell>
          <cell r="F684">
            <v>20</v>
          </cell>
          <cell r="G684">
            <v>0</v>
          </cell>
          <cell r="H684">
            <v>0.6507857142857143</v>
          </cell>
          <cell r="J684">
            <v>0</v>
          </cell>
          <cell r="K684">
            <v>0</v>
          </cell>
          <cell r="L684">
            <v>46066</v>
          </cell>
          <cell r="M684" t="str">
            <v>AUTO SPA</v>
          </cell>
        </row>
        <row r="685">
          <cell r="B685">
            <v>101900</v>
          </cell>
          <cell r="D685">
            <v>6</v>
          </cell>
          <cell r="E685">
            <v>5</v>
          </cell>
          <cell r="F685">
            <v>20</v>
          </cell>
          <cell r="G685">
            <v>20</v>
          </cell>
          <cell r="H685">
            <v>0.58333333333333337</v>
          </cell>
          <cell r="J685">
            <v>1.6666666666666667</v>
          </cell>
          <cell r="K685">
            <v>1</v>
          </cell>
          <cell r="L685">
            <v>46066</v>
          </cell>
          <cell r="M685" t="str">
            <v>AUTO SPA</v>
          </cell>
        </row>
        <row r="686">
          <cell r="B686">
            <v>101900</v>
          </cell>
          <cell r="D686">
            <v>6</v>
          </cell>
          <cell r="E686">
            <v>6</v>
          </cell>
          <cell r="F686">
            <v>20</v>
          </cell>
          <cell r="G686">
            <v>0</v>
          </cell>
          <cell r="H686">
            <v>0.58333333333333337</v>
          </cell>
          <cell r="J686">
            <v>0</v>
          </cell>
          <cell r="K686">
            <v>0</v>
          </cell>
          <cell r="L686">
            <v>46066</v>
          </cell>
          <cell r="M686" t="str">
            <v>AUTO SPA</v>
          </cell>
        </row>
        <row r="687">
          <cell r="B687">
            <v>101300</v>
          </cell>
          <cell r="D687">
            <v>5</v>
          </cell>
          <cell r="E687">
            <v>4</v>
          </cell>
          <cell r="F687">
            <v>27</v>
          </cell>
          <cell r="G687">
            <v>27</v>
          </cell>
          <cell r="H687">
            <v>0.328858024691358</v>
          </cell>
          <cell r="J687">
            <v>1.2684523809523809</v>
          </cell>
          <cell r="K687">
            <v>1</v>
          </cell>
          <cell r="L687">
            <v>46066</v>
          </cell>
          <cell r="M687" t="str">
            <v>AUTO SPA</v>
          </cell>
        </row>
        <row r="688">
          <cell r="B688">
            <v>101300</v>
          </cell>
          <cell r="D688">
            <v>5</v>
          </cell>
          <cell r="E688">
            <v>1</v>
          </cell>
          <cell r="F688">
            <v>27</v>
          </cell>
          <cell r="G688">
            <v>108</v>
          </cell>
          <cell r="H688">
            <v>0.328858024691358</v>
          </cell>
          <cell r="J688">
            <v>5.0738095238095235</v>
          </cell>
          <cell r="K688">
            <v>4</v>
          </cell>
          <cell r="L688">
            <v>46066</v>
          </cell>
          <cell r="M688" t="str">
            <v>AUTO SPA</v>
          </cell>
        </row>
        <row r="689">
          <cell r="B689">
            <v>101300</v>
          </cell>
          <cell r="D689">
            <v>6</v>
          </cell>
          <cell r="E689">
            <v>2</v>
          </cell>
          <cell r="F689">
            <v>27</v>
          </cell>
          <cell r="G689">
            <v>108</v>
          </cell>
          <cell r="H689">
            <v>0.328858024691358</v>
          </cell>
          <cell r="J689">
            <v>5.0738095238095235</v>
          </cell>
          <cell r="K689">
            <v>4</v>
          </cell>
          <cell r="L689">
            <v>46066</v>
          </cell>
          <cell r="M689" t="str">
            <v>AUTO SPA</v>
          </cell>
        </row>
        <row r="690">
          <cell r="B690">
            <v>101100</v>
          </cell>
          <cell r="D690">
            <v>7</v>
          </cell>
          <cell r="E690">
            <v>6</v>
          </cell>
          <cell r="F690">
            <v>16</v>
          </cell>
          <cell r="G690">
            <v>16</v>
          </cell>
          <cell r="H690">
            <v>0.6015625</v>
          </cell>
          <cell r="J690">
            <v>1.375</v>
          </cell>
          <cell r="K690">
            <v>1</v>
          </cell>
          <cell r="L690">
            <v>46066</v>
          </cell>
          <cell r="M690" t="str">
            <v>AUTO SPA</v>
          </cell>
        </row>
        <row r="691">
          <cell r="B691">
            <v>101700</v>
          </cell>
          <cell r="D691">
            <v>6</v>
          </cell>
          <cell r="E691">
            <v>6</v>
          </cell>
          <cell r="F691">
            <v>26</v>
          </cell>
          <cell r="G691">
            <v>0</v>
          </cell>
          <cell r="H691">
            <v>0.36407051282051278</v>
          </cell>
          <cell r="J691">
            <v>0</v>
          </cell>
          <cell r="K691">
            <v>0</v>
          </cell>
          <cell r="L691">
            <v>46066</v>
          </cell>
          <cell r="M691" t="str">
            <v>AUTO SPA</v>
          </cell>
        </row>
        <row r="692">
          <cell r="B692">
            <v>101600</v>
          </cell>
          <cell r="D692">
            <v>6</v>
          </cell>
          <cell r="E692">
            <v>6</v>
          </cell>
          <cell r="F692">
            <v>26</v>
          </cell>
          <cell r="G692">
            <v>0</v>
          </cell>
          <cell r="H692">
            <v>0.36407051282051278</v>
          </cell>
          <cell r="J692">
            <v>0</v>
          </cell>
          <cell r="K692">
            <v>0</v>
          </cell>
          <cell r="L692">
            <v>46066</v>
          </cell>
          <cell r="M692" t="str">
            <v>AUTO SPA</v>
          </cell>
        </row>
        <row r="693">
          <cell r="B693">
            <v>101800</v>
          </cell>
          <cell r="D693">
            <v>4</v>
          </cell>
          <cell r="E693">
            <v>3</v>
          </cell>
          <cell r="F693">
            <v>22</v>
          </cell>
          <cell r="G693">
            <v>22</v>
          </cell>
          <cell r="H693">
            <v>0.45</v>
          </cell>
          <cell r="J693">
            <v>1.4142857142857144</v>
          </cell>
          <cell r="K693">
            <v>1</v>
          </cell>
          <cell r="L693">
            <v>46066</v>
          </cell>
          <cell r="M693" t="str">
            <v>AUTO SPA</v>
          </cell>
        </row>
        <row r="694">
          <cell r="B694">
            <v>101800</v>
          </cell>
          <cell r="D694">
            <v>5</v>
          </cell>
          <cell r="E694">
            <v>5</v>
          </cell>
          <cell r="F694">
            <v>22</v>
          </cell>
          <cell r="G694">
            <v>0</v>
          </cell>
          <cell r="H694">
            <v>0.45</v>
          </cell>
          <cell r="J694">
            <v>0</v>
          </cell>
          <cell r="K694">
            <v>0</v>
          </cell>
          <cell r="L694">
            <v>46066</v>
          </cell>
          <cell r="M694" t="str">
            <v>AUTO SPA</v>
          </cell>
        </row>
        <row r="695">
          <cell r="B695">
            <v>101400</v>
          </cell>
          <cell r="D695">
            <v>6</v>
          </cell>
          <cell r="E695">
            <v>6</v>
          </cell>
          <cell r="F695">
            <v>26</v>
          </cell>
          <cell r="G695">
            <v>0</v>
          </cell>
          <cell r="H695">
            <v>0.33467948717948709</v>
          </cell>
          <cell r="J695">
            <v>0</v>
          </cell>
          <cell r="K695">
            <v>0</v>
          </cell>
          <cell r="L695">
            <v>46066</v>
          </cell>
          <cell r="M695" t="str">
            <v>AUTO SPA</v>
          </cell>
        </row>
        <row r="696">
          <cell r="B696">
            <v>101500</v>
          </cell>
          <cell r="D696">
            <v>6</v>
          </cell>
          <cell r="E696">
            <v>5</v>
          </cell>
          <cell r="F696">
            <v>26</v>
          </cell>
          <cell r="G696">
            <v>26</v>
          </cell>
          <cell r="H696">
            <v>0.39695512820512818</v>
          </cell>
          <cell r="J696">
            <v>1.4744047619047618</v>
          </cell>
          <cell r="K696">
            <v>1</v>
          </cell>
          <cell r="L696">
            <v>46066</v>
          </cell>
          <cell r="M696" t="str">
            <v>AUTO SPA</v>
          </cell>
        </row>
        <row r="697">
          <cell r="B697">
            <v>100700</v>
          </cell>
          <cell r="D697">
            <v>8</v>
          </cell>
          <cell r="E697">
            <v>5</v>
          </cell>
          <cell r="F697">
            <v>15</v>
          </cell>
          <cell r="G697">
            <v>45</v>
          </cell>
          <cell r="H697">
            <v>0.55669999999999997</v>
          </cell>
          <cell r="J697">
            <v>3.578785714285714</v>
          </cell>
          <cell r="K697">
            <v>3</v>
          </cell>
          <cell r="L697">
            <v>46066</v>
          </cell>
          <cell r="M697" t="str">
            <v>AUTO SPA</v>
          </cell>
        </row>
        <row r="698">
          <cell r="B698">
            <v>101200</v>
          </cell>
          <cell r="D698">
            <v>6</v>
          </cell>
          <cell r="E698">
            <v>5</v>
          </cell>
          <cell r="F698">
            <v>30</v>
          </cell>
          <cell r="G698">
            <v>30</v>
          </cell>
          <cell r="H698">
            <v>0.47755555555555557</v>
          </cell>
          <cell r="J698">
            <v>2.0466666666666664</v>
          </cell>
          <cell r="K698">
            <v>1</v>
          </cell>
          <cell r="L698">
            <v>46066</v>
          </cell>
          <cell r="M698" t="str">
            <v>AUTO SPA</v>
          </cell>
        </row>
        <row r="699">
          <cell r="B699">
            <v>101000</v>
          </cell>
          <cell r="D699">
            <v>9</v>
          </cell>
          <cell r="E699">
            <v>6</v>
          </cell>
          <cell r="F699">
            <v>27</v>
          </cell>
          <cell r="G699">
            <v>81</v>
          </cell>
          <cell r="H699">
            <v>0.46640432098765433</v>
          </cell>
          <cell r="J699">
            <v>5.3969642857142857</v>
          </cell>
          <cell r="K699">
            <v>3</v>
          </cell>
          <cell r="L699">
            <v>46066</v>
          </cell>
          <cell r="M699" t="str">
            <v>AUTO SPA</v>
          </cell>
        </row>
        <row r="700">
          <cell r="B700">
            <v>100300</v>
          </cell>
          <cell r="D700">
            <v>10</v>
          </cell>
          <cell r="E700">
            <v>5</v>
          </cell>
          <cell r="F700">
            <v>25</v>
          </cell>
          <cell r="G700">
            <v>125</v>
          </cell>
          <cell r="H700">
            <v>0.57229999999999992</v>
          </cell>
          <cell r="J700">
            <v>10.219642857142857</v>
          </cell>
          <cell r="K700">
            <v>5</v>
          </cell>
          <cell r="L700">
            <v>46066</v>
          </cell>
          <cell r="M700" t="str">
            <v>AUTO SPA</v>
          </cell>
        </row>
        <row r="701">
          <cell r="B701">
            <v>100800</v>
          </cell>
          <cell r="D701">
            <v>6</v>
          </cell>
          <cell r="E701">
            <v>6</v>
          </cell>
          <cell r="F701">
            <v>20</v>
          </cell>
          <cell r="G701">
            <v>0</v>
          </cell>
          <cell r="H701">
            <v>0.55000000000000004</v>
          </cell>
          <cell r="J701">
            <v>0</v>
          </cell>
          <cell r="K701">
            <v>0</v>
          </cell>
          <cell r="L701">
            <v>46066</v>
          </cell>
          <cell r="M701" t="str">
            <v>AUTO SPA</v>
          </cell>
        </row>
        <row r="702">
          <cell r="B702">
            <v>100200</v>
          </cell>
          <cell r="D702">
            <v>9</v>
          </cell>
          <cell r="E702">
            <v>6</v>
          </cell>
          <cell r="F702">
            <v>18</v>
          </cell>
          <cell r="G702">
            <v>54</v>
          </cell>
          <cell r="H702">
            <v>0.75</v>
          </cell>
          <cell r="J702">
            <v>5.7857142857142856</v>
          </cell>
          <cell r="K702">
            <v>3</v>
          </cell>
          <cell r="L702">
            <v>46066</v>
          </cell>
          <cell r="M702" t="str">
            <v>AUTO SPA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Tabla1" displayName="Tabla1" ref="A1:M3000" totalsRowShown="0">
  <autoFilter ref="A1:M3000"/>
  <tableColumns count="13">
    <tableColumn id="1" name="FECHA" dataDxfId="6">
      <calculatedColumnFormula>+'[1]VENTAS(RESUMEN GLOBAL)'!L2</calculatedColumnFormula>
    </tableColumn>
    <tableColumn id="2" name="MÁQUINA" dataDxfId="5">
      <calculatedColumnFormula>+'[1]VENTAS(RESUMEN GLOBAL)'!M2</calculatedColumnFormula>
    </tableColumn>
    <tableColumn id="3" name="# PRODUCTO">
      <calculatedColumnFormula>+'[1]VENTAS(RESUMEN GLOBAL)'!B2</calculatedColumnFormula>
    </tableColumn>
    <tableColumn id="4" name="CÓDIGO PRODUCTO (SAT)" dataDxfId="4">
      <calculatedColumnFormula>INDEX('[1]CÓDIGOS DE PRODUCTO'!$D$3:$D$1000,MATCH(C2,'[1]CÓDIGOS DE PRODUCTO'!$A$3:$A$1000,0))</calculatedColumnFormula>
    </tableColumn>
    <tableColumn id="5" name="PRODUCTO">
      <calculatedColumnFormula>VLOOKUP(C2,'[1]CÓDIGOS DE PRODUCTO'!$A$4:$B$156,2,FALSE)</calculatedColumnFormula>
    </tableColumn>
    <tableColumn id="6" name="CATEGORIA" dataDxfId="3">
      <calculatedColumnFormula>INDEX('[1]CÓDIGOS DE PRODUCTO'!$C$3:$C$1000,MATCH(C2,'[1]CÓDIGOS DE PRODUCTO'!$A$3:$A$1000,0))</calculatedColumnFormula>
    </tableColumn>
    <tableColumn id="7" name="VENTA UNIDADES">
      <calculatedColumnFormula>+'[1]VENTAS(RESUMEN GLOBAL)'!D2-'[1]VENTAS(RESUMEN GLOBAL)'!E2</calculatedColumnFormula>
    </tableColumn>
    <tableColumn id="13" name="PRODUCTOS VENDIDOS (SEMANAL)" dataDxfId="2">
      <calculatedColumnFormula>+'[1]VENTAS(RESUMEN GLOBAL)'!K2</calculatedColumnFormula>
    </tableColumn>
    <tableColumn id="8" name="VENTA $" dataCellStyle="Moneda">
      <calculatedColumnFormula>+G2*'[1]VENTAS(RESUMEN GLOBAL)'!F2</calculatedColumnFormula>
    </tableColumn>
    <tableColumn id="9" name="COSTO DE VENTA $" dataCellStyle="Moneda">
      <calculatedColumnFormula>+'[1]VENTAS(RESUMEN GLOBAL)'!#REF!*'HOJA PARA TABLA DINÁMICA'!G2</calculatedColumnFormula>
    </tableColumn>
    <tableColumn id="10" name="UTILIDAD $" dataCellStyle="Moneda">
      <calculatedColumnFormula>+I2-J2</calculatedColumnFormula>
    </tableColumn>
    <tableColumn id="11" name="utilidad x dia" dataDxfId="1" dataCellStyle="Moneda">
      <calculatedColumnFormula>+'[1]VENTAS(RESUMEN GLOBAL)'!J2</calculatedColumnFormula>
    </tableColumn>
    <tableColumn id="12" name="UTILIDAD X SEMANA" dataDxfId="0" dataCellStyle="Moneda">
      <calculatedColumnFormula>+Tabla1[[#This Row],[utilidad x dia]]*7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0"/>
  <sheetViews>
    <sheetView tabSelected="1" zoomScale="83" workbookViewId="0">
      <selection activeCell="A674" sqref="A674"/>
    </sheetView>
  </sheetViews>
  <sheetFormatPr baseColWidth="10" defaultRowHeight="14.4" x14ac:dyDescent="0.3"/>
  <cols>
    <col min="3" max="3" width="20.77734375" customWidth="1"/>
    <col min="4" max="4" width="28.44140625" customWidth="1"/>
    <col min="5" max="6" width="28.88671875" customWidth="1"/>
    <col min="7" max="7" width="20.77734375" customWidth="1"/>
    <col min="8" max="8" width="33.5546875" customWidth="1"/>
    <col min="10" max="10" width="21.5546875" customWidth="1"/>
    <col min="11" max="12" width="14.109375" customWidth="1"/>
    <col min="13" max="13" width="16.77734375" customWidth="1"/>
  </cols>
  <sheetData>
    <row r="1" spans="1:15" ht="34.200000000000003" customHeight="1" x14ac:dyDescent="0.4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O1">
        <f>+SUM(Tabla1[VENTA $])</f>
        <v>44599</v>
      </c>
    </row>
    <row r="2" spans="1:15" x14ac:dyDescent="0.3">
      <c r="A2" s="6">
        <f>+'[1]VENTAS(RESUMEN GLOBAL)'!L2</f>
        <v>46029</v>
      </c>
      <c r="B2" s="6" t="str">
        <f>+'[1]VENTAS(RESUMEN GLOBAL)'!M2</f>
        <v>ECCE</v>
      </c>
      <c r="C2">
        <f>+'[1]VENTAS(RESUMEN GLOBAL)'!B2</f>
        <v>100200</v>
      </c>
      <c r="D2" t="str">
        <f>INDEX('[1]CÓDIGOS DE PRODUCTO'!$D$3:$D$1000,MATCH(C2,'[1]CÓDIGOS DE PRODUCTO'!$A$3:$A$1000,0))</f>
        <v>50202300 </v>
      </c>
      <c r="E2" t="str">
        <f>VLOOKUP(C2,'[1]CÓDIGOS DE PRODUCTO'!$A$4:$B$156,2,FALSE)</f>
        <v>Agua SAMS</v>
      </c>
      <c r="F2" t="str">
        <f>INDEX('[1]CÓDIGOS DE PRODUCTO'!$C$3:$C$1000,MATCH(C2,'[1]CÓDIGOS DE PRODUCTO'!$A$3:$A$1000,0))</f>
        <v>Bebidas</v>
      </c>
      <c r="G2">
        <f>+'[1]VENTAS(RESUMEN GLOBAL)'!D2-'[1]VENTAS(RESUMEN GLOBAL)'!E2</f>
        <v>4</v>
      </c>
      <c r="H2" s="7">
        <f>+'[1]VENTAS(RESUMEN GLOBAL)'!K2</f>
        <v>4.6666666666666661</v>
      </c>
      <c r="I2" s="8">
        <f>+G2*'[1]VENTAS(RESUMEN GLOBAL)'!F2</f>
        <v>80</v>
      </c>
      <c r="J2" s="8">
        <f>'[1]VENTAS(RESUMEN GLOBAL)'!G2*(1-'[1]VENTAS(RESUMEN GLOBAL)'!H2)</f>
        <v>12.285714285714295</v>
      </c>
      <c r="K2" s="8">
        <f>+I2-J2</f>
        <v>67.714285714285708</v>
      </c>
      <c r="L2" s="8">
        <f>+'[1]VENTAS(RESUMEN GLOBAL)'!J2</f>
        <v>11.285714285714285</v>
      </c>
      <c r="M2" s="8">
        <f>+Tabla1[[#This Row],[utilidad x dia]]*7</f>
        <v>79</v>
      </c>
    </row>
    <row r="3" spans="1:15" x14ac:dyDescent="0.3">
      <c r="A3" s="6">
        <f>+'[1]VENTAS(RESUMEN GLOBAL)'!L3</f>
        <v>46029</v>
      </c>
      <c r="B3" s="6" t="str">
        <f>+'[1]VENTAS(RESUMEN GLOBAL)'!M3</f>
        <v>ECCE</v>
      </c>
      <c r="C3">
        <f>+'[1]VENTAS(RESUMEN GLOBAL)'!B3</f>
        <v>100200</v>
      </c>
      <c r="D3" t="str">
        <f>INDEX('[1]CÓDIGOS DE PRODUCTO'!$D$3:$D$1000,MATCH(C3,'[1]CÓDIGOS DE PRODUCTO'!$A$3:$A$1000,0))</f>
        <v>50202300 </v>
      </c>
      <c r="E3" t="str">
        <f>VLOOKUP(C3,'[1]CÓDIGOS DE PRODUCTO'!$A$4:$B$156,2,FALSE)</f>
        <v>Agua SAMS</v>
      </c>
      <c r="F3" t="str">
        <f>INDEX('[1]CÓDIGOS DE PRODUCTO'!$C$3:$C$1000,MATCH(C3,'[1]CÓDIGOS DE PRODUCTO'!$A$3:$A$1000,0))</f>
        <v>Bebidas</v>
      </c>
      <c r="G3">
        <f>+'[1]VENTAS(RESUMEN GLOBAL)'!D3-'[1]VENTAS(RESUMEN GLOBAL)'!E3</f>
        <v>5</v>
      </c>
      <c r="H3" s="9">
        <f>+'[1]VENTAS(RESUMEN GLOBAL)'!K3</f>
        <v>5.8333333333333339</v>
      </c>
      <c r="I3" s="8">
        <f>+G3*'[1]VENTAS(RESUMEN GLOBAL)'!F3</f>
        <v>100</v>
      </c>
      <c r="J3" s="8">
        <f>'[1]VENTAS(RESUMEN GLOBAL)'!G3*(1-'[1]VENTAS(RESUMEN GLOBAL)'!H3)</f>
        <v>16.000000000000004</v>
      </c>
      <c r="K3" s="8">
        <f t="shared" ref="K3:K66" si="0">+I3-J3</f>
        <v>84</v>
      </c>
      <c r="L3" s="8">
        <f>+'[1]VENTAS(RESUMEN GLOBAL)'!J3</f>
        <v>14</v>
      </c>
      <c r="M3" s="8">
        <f>+Tabla1[[#This Row],[utilidad x dia]]*7</f>
        <v>98</v>
      </c>
    </row>
    <row r="4" spans="1:15" x14ac:dyDescent="0.3">
      <c r="A4" s="6">
        <f>+'[1]VENTAS(RESUMEN GLOBAL)'!L4</f>
        <v>46029</v>
      </c>
      <c r="B4" s="6" t="str">
        <f>+'[1]VENTAS(RESUMEN GLOBAL)'!M4</f>
        <v>ECCE</v>
      </c>
      <c r="C4">
        <f>+'[1]VENTAS(RESUMEN GLOBAL)'!B4</f>
        <v>200200</v>
      </c>
      <c r="D4" t="str">
        <f>INDEX('[1]CÓDIGOS DE PRODUCTO'!$D$3:$D$1000,MATCH(C4,'[1]CÓDIGOS DE PRODUCTO'!$A$3:$A$1000,0))</f>
        <v>IDENTIFICAR MANUAL</v>
      </c>
      <c r="E4" t="str">
        <f>VLOOKUP(C4,'[1]CÓDIGOS DE PRODUCTO'!$A$4:$B$156,2,FALSE)</f>
        <v>KIT DENTAL</v>
      </c>
      <c r="F4" t="str">
        <f>INDEX('[1]CÓDIGOS DE PRODUCTO'!$C$3:$C$1000,MATCH(C4,'[1]CÓDIGOS DE PRODUCTO'!$A$3:$A$1000,0))</f>
        <v>Pharmacy</v>
      </c>
      <c r="G4">
        <f>+'[1]VENTAS(RESUMEN GLOBAL)'!D4-'[1]VENTAS(RESUMEN GLOBAL)'!E4</f>
        <v>2</v>
      </c>
      <c r="H4" s="9">
        <f>+'[1]VENTAS(RESUMEN GLOBAL)'!K4</f>
        <v>2.333333333333333</v>
      </c>
      <c r="I4" s="8">
        <f>+G4*'[1]VENTAS(RESUMEN GLOBAL)'!F4</f>
        <v>120</v>
      </c>
      <c r="J4" s="8">
        <f>'[1]VENTAS(RESUMEN GLOBAL)'!G4*(1-'[1]VENTAS(RESUMEN GLOBAL)'!H4)</f>
        <v>44.4</v>
      </c>
      <c r="K4" s="8">
        <f t="shared" si="0"/>
        <v>75.599999999999994</v>
      </c>
      <c r="L4" s="8">
        <f>+'[1]VENTAS(RESUMEN GLOBAL)'!J4</f>
        <v>12.6</v>
      </c>
      <c r="M4" s="8">
        <f>+Tabla1[[#This Row],[utilidad x dia]]*7</f>
        <v>88.2</v>
      </c>
    </row>
    <row r="5" spans="1:15" x14ac:dyDescent="0.3">
      <c r="A5" s="6">
        <f>+'[1]VENTAS(RESUMEN GLOBAL)'!L5</f>
        <v>46029</v>
      </c>
      <c r="B5" s="6" t="str">
        <f>+'[1]VENTAS(RESUMEN GLOBAL)'!M5</f>
        <v>ECCE</v>
      </c>
      <c r="C5">
        <f>+'[1]VENTAS(RESUMEN GLOBAL)'!B5</f>
        <v>200100</v>
      </c>
      <c r="D5" t="str">
        <f>INDEX('[1]CÓDIGOS DE PRODUCTO'!$D$3:$D$1000,MATCH(C5,'[1]CÓDIGOS DE PRODUCTO'!$A$3:$A$1000,0))</f>
        <v>IDENTIFICAR MANUAL</v>
      </c>
      <c r="E5" t="str">
        <f>VLOOKUP(C5,'[1]CÓDIGOS DE PRODUCTO'!$A$4:$B$156,2,FALSE)</f>
        <v>Bloqueador</v>
      </c>
      <c r="F5" t="str">
        <f>INDEX('[1]CÓDIGOS DE PRODUCTO'!$C$3:$C$1000,MATCH(C5,'[1]CÓDIGOS DE PRODUCTO'!$A$3:$A$1000,0))</f>
        <v>Pharmacy</v>
      </c>
      <c r="G5">
        <f>+'[1]VENTAS(RESUMEN GLOBAL)'!D5-'[1]VENTAS(RESUMEN GLOBAL)'!E5</f>
        <v>1</v>
      </c>
      <c r="H5" s="9">
        <f>+'[1]VENTAS(RESUMEN GLOBAL)'!K5</f>
        <v>1.1666666666666665</v>
      </c>
      <c r="I5" s="8">
        <f>+G5*'[1]VENTAS(RESUMEN GLOBAL)'!F5</f>
        <v>180</v>
      </c>
      <c r="J5" s="8">
        <f>'[1]VENTAS(RESUMEN GLOBAL)'!G5*(1-'[1]VENTAS(RESUMEN GLOBAL)'!H5)</f>
        <v>131.4</v>
      </c>
      <c r="K5" s="8">
        <f t="shared" si="0"/>
        <v>48.599999999999994</v>
      </c>
      <c r="L5" s="8">
        <f>+'[1]VENTAS(RESUMEN GLOBAL)'!J5</f>
        <v>8.1</v>
      </c>
      <c r="M5" s="8">
        <f>+Tabla1[[#This Row],[utilidad x dia]]*7</f>
        <v>56.699999999999996</v>
      </c>
    </row>
    <row r="6" spans="1:15" x14ac:dyDescent="0.3">
      <c r="A6" s="6">
        <f>+'[1]VENTAS(RESUMEN GLOBAL)'!L6</f>
        <v>46029</v>
      </c>
      <c r="B6" s="6" t="str">
        <f>+'[1]VENTAS(RESUMEN GLOBAL)'!M6</f>
        <v>ECCE</v>
      </c>
      <c r="C6">
        <f>+'[1]VENTAS(RESUMEN GLOBAL)'!B6</f>
        <v>100300</v>
      </c>
      <c r="D6" t="str">
        <f>INDEX('[1]CÓDIGOS DE PRODUCTO'!$D$3:$D$1000,MATCH(C6,'[1]CÓDIGOS DE PRODUCTO'!$A$3:$A$1000,0))</f>
        <v>50202300 </v>
      </c>
      <c r="E6" t="str">
        <f>VLOOKUP(C6,'[1]CÓDIGOS DE PRODUCTO'!$A$4:$B$156,2,FALSE)</f>
        <v>Gatorade</v>
      </c>
      <c r="F6" t="str">
        <f>INDEX('[1]CÓDIGOS DE PRODUCTO'!$C$3:$C$1000,MATCH(C6,'[1]CÓDIGOS DE PRODUCTO'!$A$3:$A$1000,0))</f>
        <v>Bebidas</v>
      </c>
      <c r="G6">
        <f>+'[1]VENTAS(RESUMEN GLOBAL)'!D6-'[1]VENTAS(RESUMEN GLOBAL)'!E6</f>
        <v>0</v>
      </c>
      <c r="H6" s="9">
        <f>+'[1]VENTAS(RESUMEN GLOBAL)'!K6</f>
        <v>0</v>
      </c>
      <c r="I6" s="8">
        <f>+G6*'[1]VENTAS(RESUMEN GLOBAL)'!F6</f>
        <v>0</v>
      </c>
      <c r="J6" s="8">
        <f>'[1]VENTAS(RESUMEN GLOBAL)'!G6*(1-'[1]VENTAS(RESUMEN GLOBAL)'!H6)</f>
        <v>0</v>
      </c>
      <c r="K6" s="8">
        <f t="shared" si="0"/>
        <v>0</v>
      </c>
      <c r="L6" s="8">
        <f>+'[1]VENTAS(RESUMEN GLOBAL)'!J6</f>
        <v>0</v>
      </c>
      <c r="M6" s="8">
        <f>+Tabla1[[#This Row],[utilidad x dia]]*7</f>
        <v>0</v>
      </c>
    </row>
    <row r="7" spans="1:15" x14ac:dyDescent="0.3">
      <c r="A7" s="6">
        <f>+'[1]VENTAS(RESUMEN GLOBAL)'!L7</f>
        <v>46029</v>
      </c>
      <c r="B7" s="6" t="str">
        <f>+'[1]VENTAS(RESUMEN GLOBAL)'!M7</f>
        <v>ECCE</v>
      </c>
      <c r="C7">
        <f>+'[1]VENTAS(RESUMEN GLOBAL)'!B7</f>
        <v>800100</v>
      </c>
      <c r="D7" t="str">
        <f>INDEX('[1]CÓDIGOS DE PRODUCTO'!$D$3:$D$1000,MATCH(C7,'[1]CÓDIGOS DE PRODUCTO'!$A$3:$A$1000,0))</f>
        <v>50181900 </v>
      </c>
      <c r="E7" t="str">
        <f>VLOOKUP(C7,'[1]CÓDIGOS DE PRODUCTO'!$A$4:$B$156,2,FALSE)</f>
        <v>MARINELA MIX (8 PZ)</v>
      </c>
      <c r="F7" t="str">
        <f>INDEX('[1]CÓDIGOS DE PRODUCTO'!$C$3:$C$1000,MATCH(C7,'[1]CÓDIGOS DE PRODUCTO'!$A$3:$A$1000,0))</f>
        <v>GALLETAS Y PAN DULCE</v>
      </c>
      <c r="G7">
        <f>+'[1]VENTAS(RESUMEN GLOBAL)'!D7-'[1]VENTAS(RESUMEN GLOBAL)'!E7</f>
        <v>6</v>
      </c>
      <c r="H7" s="9">
        <f>+'[1]VENTAS(RESUMEN GLOBAL)'!K7</f>
        <v>7</v>
      </c>
      <c r="I7" s="8">
        <f>+G7*'[1]VENTAS(RESUMEN GLOBAL)'!F7</f>
        <v>150</v>
      </c>
      <c r="J7" s="8">
        <f>'[1]VENTAS(RESUMEN GLOBAL)'!G7*(1-'[1]VENTAS(RESUMEN GLOBAL)'!H7)</f>
        <v>65.999999999999986</v>
      </c>
      <c r="K7" s="8">
        <f t="shared" si="0"/>
        <v>84.000000000000014</v>
      </c>
      <c r="L7" s="8">
        <f>+'[1]VENTAS(RESUMEN GLOBAL)'!J7</f>
        <v>14.000000000000002</v>
      </c>
      <c r="M7" s="8">
        <f>+Tabla1[[#This Row],[utilidad x dia]]*7</f>
        <v>98.000000000000014</v>
      </c>
    </row>
    <row r="8" spans="1:15" x14ac:dyDescent="0.3">
      <c r="A8" s="6">
        <f>+'[1]VENTAS(RESUMEN GLOBAL)'!L8</f>
        <v>46029</v>
      </c>
      <c r="B8" s="6" t="str">
        <f>+'[1]VENTAS(RESUMEN GLOBAL)'!M8</f>
        <v>ECCE</v>
      </c>
      <c r="C8">
        <f>+'[1]VENTAS(RESUMEN GLOBAL)'!B8</f>
        <v>300200</v>
      </c>
      <c r="D8" t="str">
        <f>INDEX('[1]CÓDIGOS DE PRODUCTO'!$D$3:$D$1000,MATCH(C8,'[1]CÓDIGOS DE PRODUCTO'!$A$3:$A$1000,0))</f>
        <v>50161800 </v>
      </c>
      <c r="E8" t="str">
        <f>VLOOKUP(C8,'[1]CÓDIGOS DE PRODUCTO'!$A$4:$B$156,2,FALSE)</f>
        <v>SKWINKLES</v>
      </c>
      <c r="F8" t="str">
        <f>INDEX('[1]CÓDIGOS DE PRODUCTO'!$C$3:$C$1000,MATCH(C8,'[1]CÓDIGOS DE PRODUCTO'!$A$3:$A$1000,0))</f>
        <v>Snacks &amp; Dulces</v>
      </c>
      <c r="G8">
        <f>+'[1]VENTAS(RESUMEN GLOBAL)'!D8-'[1]VENTAS(RESUMEN GLOBAL)'!E8</f>
        <v>2</v>
      </c>
      <c r="H8" s="9">
        <f>+'[1]VENTAS(RESUMEN GLOBAL)'!K8</f>
        <v>2.333333333333333</v>
      </c>
      <c r="I8" s="8">
        <f>+G8*'[1]VENTAS(RESUMEN GLOBAL)'!F8</f>
        <v>40</v>
      </c>
      <c r="J8" s="8">
        <f>'[1]VENTAS(RESUMEN GLOBAL)'!G8*(1-'[1]VENTAS(RESUMEN GLOBAL)'!H8)</f>
        <v>14.8</v>
      </c>
      <c r="K8" s="8">
        <f t="shared" si="0"/>
        <v>25.2</v>
      </c>
      <c r="L8" s="8">
        <f>+'[1]VENTAS(RESUMEN GLOBAL)'!J8</f>
        <v>4.2</v>
      </c>
      <c r="M8" s="8">
        <f>+Tabla1[[#This Row],[utilidad x dia]]*7</f>
        <v>29.400000000000002</v>
      </c>
    </row>
    <row r="9" spans="1:15" x14ac:dyDescent="0.3">
      <c r="A9" s="6">
        <f>+'[1]VENTAS(RESUMEN GLOBAL)'!L9</f>
        <v>46029</v>
      </c>
      <c r="B9" s="6" t="str">
        <f>+'[1]VENTAS(RESUMEN GLOBAL)'!M9</f>
        <v>ECCE</v>
      </c>
      <c r="C9">
        <f>+'[1]VENTAS(RESUMEN GLOBAL)'!B9</f>
        <v>900300</v>
      </c>
      <c r="D9">
        <f>INDEX('[1]CÓDIGOS DE PRODUCTO'!$D$3:$D$1000,MATCH(C9,'[1]CÓDIGOS DE PRODUCTO'!$A$3:$A$1000,0))</f>
        <v>50161815</v>
      </c>
      <c r="E9" t="str">
        <f>VLOOKUP(C9,'[1]CÓDIGOS DE PRODUCTO'!$A$4:$B$156,2,FALSE)</f>
        <v>CHICLES TRIDENT</v>
      </c>
      <c r="F9" t="str">
        <f>INDEX('[1]CÓDIGOS DE PRODUCTO'!$C$3:$C$1000,MATCH(C9,'[1]CÓDIGOS DE PRODUCTO'!$A$3:$A$1000,0))</f>
        <v>OTROS</v>
      </c>
      <c r="G9">
        <f>+'[1]VENTAS(RESUMEN GLOBAL)'!D9-'[1]VENTAS(RESUMEN GLOBAL)'!E9</f>
        <v>6</v>
      </c>
      <c r="H9" s="9">
        <f>+'[1]VENTAS(RESUMEN GLOBAL)'!K9</f>
        <v>7</v>
      </c>
      <c r="I9" s="8">
        <f>+G9*'[1]VENTAS(RESUMEN GLOBAL)'!F9</f>
        <v>150</v>
      </c>
      <c r="J9" s="8">
        <f>'[1]VENTAS(RESUMEN GLOBAL)'!G9*(1-'[1]VENTAS(RESUMEN GLOBAL)'!H9)</f>
        <v>90</v>
      </c>
      <c r="K9" s="8">
        <f t="shared" si="0"/>
        <v>60</v>
      </c>
      <c r="L9" s="8">
        <f>+'[1]VENTAS(RESUMEN GLOBAL)'!J9</f>
        <v>10</v>
      </c>
      <c r="M9" s="8">
        <f>+Tabla1[[#This Row],[utilidad x dia]]*7</f>
        <v>70</v>
      </c>
    </row>
    <row r="10" spans="1:15" x14ac:dyDescent="0.3">
      <c r="A10" s="6">
        <f>+'[1]VENTAS(RESUMEN GLOBAL)'!L10</f>
        <v>46029</v>
      </c>
      <c r="B10" s="6" t="str">
        <f>+'[1]VENTAS(RESUMEN GLOBAL)'!M10</f>
        <v>ECCE</v>
      </c>
      <c r="C10">
        <f>+'[1]VENTAS(RESUMEN GLOBAL)'!B10</f>
        <v>400200</v>
      </c>
      <c r="D10" t="str">
        <f>INDEX('[1]CÓDIGOS DE PRODUCTO'!$D$3:$D$1000,MATCH(C10,'[1]CÓDIGOS DE PRODUCTO'!$A$3:$A$1000,0))</f>
        <v>N/A</v>
      </c>
      <c r="E10" t="str">
        <f>VLOOKUP(C10,'[1]CÓDIGOS DE PRODUCTO'!$A$4:$B$156,2,FALSE)</f>
        <v>MARLBORO ROJOS</v>
      </c>
      <c r="F10" t="str">
        <f>INDEX('[1]CÓDIGOS DE PRODUCTO'!$C$3:$C$1000,MATCH(C10,'[1]CÓDIGOS DE PRODUCTO'!$A$3:$A$1000,0))</f>
        <v>Cigarros</v>
      </c>
      <c r="G10">
        <f>+'[1]VENTAS(RESUMEN GLOBAL)'!D10-'[1]VENTAS(RESUMEN GLOBAL)'!E10</f>
        <v>1</v>
      </c>
      <c r="H10" s="9">
        <f>+'[1]VENTAS(RESUMEN GLOBAL)'!K10</f>
        <v>1.1666666666666665</v>
      </c>
      <c r="I10" s="8">
        <f>+G10*'[1]VENTAS(RESUMEN GLOBAL)'!F10</f>
        <v>130</v>
      </c>
      <c r="J10" s="8">
        <f>'[1]VENTAS(RESUMEN GLOBAL)'!G10*(1-'[1]VENTAS(RESUMEN GLOBAL)'!H10)</f>
        <v>80.599999999999994</v>
      </c>
      <c r="K10" s="8">
        <f t="shared" si="0"/>
        <v>49.400000000000006</v>
      </c>
      <c r="L10" s="8">
        <f>+'[1]VENTAS(RESUMEN GLOBAL)'!J10</f>
        <v>8.2333333333333325</v>
      </c>
      <c r="M10" s="8">
        <f>+Tabla1[[#This Row],[utilidad x dia]]*7</f>
        <v>57.633333333333326</v>
      </c>
    </row>
    <row r="11" spans="1:15" x14ac:dyDescent="0.3">
      <c r="A11" s="6">
        <f>+'[1]VENTAS(RESUMEN GLOBAL)'!L11</f>
        <v>46029</v>
      </c>
      <c r="B11" s="6" t="str">
        <f>+'[1]VENTAS(RESUMEN GLOBAL)'!M11</f>
        <v>ECCE</v>
      </c>
      <c r="C11">
        <f>+'[1]VENTAS(RESUMEN GLOBAL)'!B11</f>
        <v>400100</v>
      </c>
      <c r="D11" t="str">
        <f>INDEX('[1]CÓDIGOS DE PRODUCTO'!$D$3:$D$1000,MATCH(C11,'[1]CÓDIGOS DE PRODUCTO'!$A$3:$A$1000,0))</f>
        <v>N/A</v>
      </c>
      <c r="E11" t="str">
        <f>VLOOKUP(C11,'[1]CÓDIGOS DE PRODUCTO'!$A$4:$B$156,2,FALSE)</f>
        <v>MARLBORO BLANCOS</v>
      </c>
      <c r="F11" t="str">
        <f>INDEX('[1]CÓDIGOS DE PRODUCTO'!$C$3:$C$1000,MATCH(C11,'[1]CÓDIGOS DE PRODUCTO'!$A$3:$A$1000,0))</f>
        <v>Cigarros</v>
      </c>
      <c r="G11">
        <f>+'[1]VENTAS(RESUMEN GLOBAL)'!D11-'[1]VENTAS(RESUMEN GLOBAL)'!E11</f>
        <v>1</v>
      </c>
      <c r="H11" s="9">
        <f>+'[1]VENTAS(RESUMEN GLOBAL)'!K11</f>
        <v>1.1666666666666665</v>
      </c>
      <c r="I11" s="8">
        <f>+G11*'[1]VENTAS(RESUMEN GLOBAL)'!F11</f>
        <v>130</v>
      </c>
      <c r="J11" s="8">
        <f>'[1]VENTAS(RESUMEN GLOBAL)'!G11*(1-'[1]VENTAS(RESUMEN GLOBAL)'!H11)</f>
        <v>80.599999999999994</v>
      </c>
      <c r="K11" s="8">
        <f t="shared" si="0"/>
        <v>49.400000000000006</v>
      </c>
      <c r="L11" s="8">
        <f>+'[1]VENTAS(RESUMEN GLOBAL)'!J11</f>
        <v>8.2333333333333325</v>
      </c>
      <c r="M11" s="8">
        <f>+Tabla1[[#This Row],[utilidad x dia]]*7</f>
        <v>57.633333333333326</v>
      </c>
    </row>
    <row r="12" spans="1:15" x14ac:dyDescent="0.3">
      <c r="A12" s="6">
        <f>+'[1]VENTAS(RESUMEN GLOBAL)'!L12</f>
        <v>46029</v>
      </c>
      <c r="B12" s="6" t="str">
        <f>+'[1]VENTAS(RESUMEN GLOBAL)'!M12</f>
        <v>ECCE</v>
      </c>
      <c r="C12">
        <f>+'[1]VENTAS(RESUMEN GLOBAL)'!B12</f>
        <v>900100</v>
      </c>
      <c r="D12" t="str">
        <f>INDEX('[1]CÓDIGOS DE PRODUCTO'!$D$3:$D$1000,MATCH(C12,'[1]CÓDIGOS DE PRODUCTO'!$A$3:$A$1000,0))</f>
        <v>IDENTIFICAR MANUAL</v>
      </c>
      <c r="E12" t="str">
        <f>VLOOKUP(C12,'[1]CÓDIGOS DE PRODUCTO'!$A$4:$B$156,2,FALSE)</f>
        <v>GOOGLES</v>
      </c>
      <c r="F12" t="str">
        <f>INDEX('[1]CÓDIGOS DE PRODUCTO'!$C$3:$C$1000,MATCH(C12,'[1]CÓDIGOS DE PRODUCTO'!$A$3:$A$1000,0))</f>
        <v>OTROS</v>
      </c>
      <c r="G12">
        <f>+'[1]VENTAS(RESUMEN GLOBAL)'!D12-'[1]VENTAS(RESUMEN GLOBAL)'!E12</f>
        <v>2</v>
      </c>
      <c r="H12" s="9">
        <f>+'[1]VENTAS(RESUMEN GLOBAL)'!K12</f>
        <v>2.333333333333333</v>
      </c>
      <c r="I12" s="8">
        <f>+G12*'[1]VENTAS(RESUMEN GLOBAL)'!F12</f>
        <v>200</v>
      </c>
      <c r="J12" s="8">
        <f>'[1]VENTAS(RESUMEN GLOBAL)'!G12*(1-'[1]VENTAS(RESUMEN GLOBAL)'!H12)</f>
        <v>43.999999999999993</v>
      </c>
      <c r="K12" s="8">
        <f t="shared" si="0"/>
        <v>156</v>
      </c>
      <c r="L12" s="8">
        <f>+'[1]VENTAS(RESUMEN GLOBAL)'!J12</f>
        <v>26</v>
      </c>
      <c r="M12" s="8">
        <f>+Tabla1[[#This Row],[utilidad x dia]]*7</f>
        <v>182</v>
      </c>
    </row>
    <row r="13" spans="1:15" x14ac:dyDescent="0.3">
      <c r="A13" s="6">
        <f>+'[1]VENTAS(RESUMEN GLOBAL)'!L13</f>
        <v>46029</v>
      </c>
      <c r="B13" s="6" t="str">
        <f>+'[1]VENTAS(RESUMEN GLOBAL)'!M13</f>
        <v>ECCE</v>
      </c>
      <c r="C13">
        <f>+'[1]VENTAS(RESUMEN GLOBAL)'!B13</f>
        <v>300500</v>
      </c>
      <c r="D13" t="str">
        <f>INDEX('[1]CÓDIGOS DE PRODUCTO'!$D$3:$D$1000,MATCH(C13,'[1]CÓDIGOS DE PRODUCTO'!$A$3:$A$1000,0))</f>
        <v>50161800 </v>
      </c>
      <c r="E13" t="str">
        <f>VLOOKUP(C13,'[1]CÓDIGOS DE PRODUCTO'!$A$4:$B$156,2,FALSE)</f>
        <v>Halls</v>
      </c>
      <c r="F13" t="str">
        <f>INDEX('[1]CÓDIGOS DE PRODUCTO'!$C$3:$C$1000,MATCH(C13,'[1]CÓDIGOS DE PRODUCTO'!$A$3:$A$1000,0))</f>
        <v>Snacks &amp; Dulces</v>
      </c>
      <c r="G13">
        <f>+'[1]VENTAS(RESUMEN GLOBAL)'!D13-'[1]VENTAS(RESUMEN GLOBAL)'!E13</f>
        <v>0</v>
      </c>
      <c r="H13" s="9">
        <f>+'[1]VENTAS(RESUMEN GLOBAL)'!K13</f>
        <v>0</v>
      </c>
      <c r="I13" s="8">
        <f>+G13*'[1]VENTAS(RESUMEN GLOBAL)'!F13</f>
        <v>0</v>
      </c>
      <c r="J13" s="8">
        <f>'[1]VENTAS(RESUMEN GLOBAL)'!G13*(1-'[1]VENTAS(RESUMEN GLOBAL)'!H13)</f>
        <v>0</v>
      </c>
      <c r="K13" s="8">
        <f t="shared" si="0"/>
        <v>0</v>
      </c>
      <c r="L13" s="8">
        <f>+'[1]VENTAS(RESUMEN GLOBAL)'!J13</f>
        <v>0</v>
      </c>
      <c r="M13" s="8">
        <f>+Tabla1[[#This Row],[utilidad x dia]]*7</f>
        <v>0</v>
      </c>
    </row>
    <row r="14" spans="1:15" x14ac:dyDescent="0.3">
      <c r="A14" s="6">
        <f>+'[1]VENTAS(RESUMEN GLOBAL)'!L14</f>
        <v>46029</v>
      </c>
      <c r="B14" s="6" t="str">
        <f>+'[1]VENTAS(RESUMEN GLOBAL)'!M14</f>
        <v>ECCE</v>
      </c>
      <c r="C14">
        <f>+'[1]VENTAS(RESUMEN GLOBAL)'!B14</f>
        <v>700700</v>
      </c>
      <c r="D14" t="str">
        <f>INDEX('[1]CÓDIGOS DE PRODUCTO'!$D$3:$D$1000,MATCH(C14,'[1]CÓDIGOS DE PRODUCTO'!$A$3:$A$1000,0))</f>
        <v>50161511 </v>
      </c>
      <c r="E14" t="str">
        <f>VLOOKUP(C14,'[1]CÓDIGOS DE PRODUCTO'!$A$4:$B$156,2,FALSE)</f>
        <v>Milkiway</v>
      </c>
      <c r="F14" t="str">
        <f>INDEX('[1]CÓDIGOS DE PRODUCTO'!$C$3:$C$1000,MATCH(C14,'[1]CÓDIGOS DE PRODUCTO'!$A$3:$A$1000,0))</f>
        <v>CHOCOLATES</v>
      </c>
      <c r="G14">
        <f>+'[1]VENTAS(RESUMEN GLOBAL)'!D14-'[1]VENTAS(RESUMEN GLOBAL)'!E14</f>
        <v>2</v>
      </c>
      <c r="H14" s="9">
        <f>+'[1]VENTAS(RESUMEN GLOBAL)'!K14</f>
        <v>2.333333333333333</v>
      </c>
      <c r="I14" s="8">
        <f>+G14*'[1]VENTAS(RESUMEN GLOBAL)'!F14</f>
        <v>50</v>
      </c>
      <c r="J14" s="8">
        <f>'[1]VENTAS(RESUMEN GLOBAL)'!G14*(1-'[1]VENTAS(RESUMEN GLOBAL)'!H14)</f>
        <v>20</v>
      </c>
      <c r="K14" s="8">
        <f t="shared" si="0"/>
        <v>30</v>
      </c>
      <c r="L14" s="8">
        <f>+'[1]VENTAS(RESUMEN GLOBAL)'!J14</f>
        <v>5</v>
      </c>
      <c r="M14" s="8">
        <f>+Tabla1[[#This Row],[utilidad x dia]]*7</f>
        <v>35</v>
      </c>
    </row>
    <row r="15" spans="1:15" x14ac:dyDescent="0.3">
      <c r="A15" s="6">
        <f>+'[1]VENTAS(RESUMEN GLOBAL)'!L15</f>
        <v>46029</v>
      </c>
      <c r="B15" s="6" t="str">
        <f>+'[1]VENTAS(RESUMEN GLOBAL)'!M15</f>
        <v>ECCE</v>
      </c>
      <c r="C15">
        <f>+'[1]VENTAS(RESUMEN GLOBAL)'!B15</f>
        <v>700800</v>
      </c>
      <c r="D15" t="str">
        <f>INDEX('[1]CÓDIGOS DE PRODUCTO'!$D$3:$D$1000,MATCH(C15,'[1]CÓDIGOS DE PRODUCTO'!$A$3:$A$1000,0))</f>
        <v>50161511 </v>
      </c>
      <c r="E15" t="str">
        <f>VLOOKUP(C15,'[1]CÓDIGOS DE PRODUCTO'!$A$4:$B$156,2,FALSE)</f>
        <v>Kinder delice</v>
      </c>
      <c r="F15" t="str">
        <f>INDEX('[1]CÓDIGOS DE PRODUCTO'!$C$3:$C$1000,MATCH(C15,'[1]CÓDIGOS DE PRODUCTO'!$A$3:$A$1000,0))</f>
        <v>CHOCOLATES</v>
      </c>
      <c r="G15">
        <f>+'[1]VENTAS(RESUMEN GLOBAL)'!D15-'[1]VENTAS(RESUMEN GLOBAL)'!E15</f>
        <v>1</v>
      </c>
      <c r="H15" s="9">
        <f>+'[1]VENTAS(RESUMEN GLOBAL)'!K15</f>
        <v>1.1666666666666665</v>
      </c>
      <c r="I15" s="8">
        <f>+G15*'[1]VENTAS(RESUMEN GLOBAL)'!F15</f>
        <v>25</v>
      </c>
      <c r="J15" s="8">
        <f>'[1]VENTAS(RESUMEN GLOBAL)'!G15*(1-'[1]VENTAS(RESUMEN GLOBAL)'!H15)</f>
        <v>12.5</v>
      </c>
      <c r="K15" s="8">
        <f t="shared" si="0"/>
        <v>12.5</v>
      </c>
      <c r="L15" s="8">
        <f>+'[1]VENTAS(RESUMEN GLOBAL)'!J15</f>
        <v>2.0833333333333335</v>
      </c>
      <c r="M15" s="8">
        <f>+Tabla1[[#This Row],[utilidad x dia]]*7</f>
        <v>14.583333333333334</v>
      </c>
    </row>
    <row r="16" spans="1:15" x14ac:dyDescent="0.3">
      <c r="A16" s="6">
        <f>+'[1]VENTAS(RESUMEN GLOBAL)'!L16</f>
        <v>46029</v>
      </c>
      <c r="B16" s="6" t="str">
        <f>+'[1]VENTAS(RESUMEN GLOBAL)'!M16</f>
        <v>ECCE</v>
      </c>
      <c r="C16">
        <f>+'[1]VENTAS(RESUMEN GLOBAL)'!B16</f>
        <v>700200</v>
      </c>
      <c r="D16" t="str">
        <f>INDEX('[1]CÓDIGOS DE PRODUCTO'!$D$3:$D$1000,MATCH(C16,'[1]CÓDIGOS DE PRODUCTO'!$A$3:$A$1000,0))</f>
        <v>50161511 </v>
      </c>
      <c r="E16" t="str">
        <f>VLOOKUP(C16,'[1]CÓDIGOS DE PRODUCTO'!$A$4:$B$156,2,FALSE)</f>
        <v>Snickers</v>
      </c>
      <c r="F16" t="str">
        <f>INDEX('[1]CÓDIGOS DE PRODUCTO'!$C$3:$C$1000,MATCH(C16,'[1]CÓDIGOS DE PRODUCTO'!$A$3:$A$1000,0))</f>
        <v>CHOCOLATES</v>
      </c>
      <c r="G16">
        <f>+'[1]VENTAS(RESUMEN GLOBAL)'!D16-'[1]VENTAS(RESUMEN GLOBAL)'!E16</f>
        <v>4</v>
      </c>
      <c r="H16" s="9">
        <f>+'[1]VENTAS(RESUMEN GLOBAL)'!K16</f>
        <v>4.6666666666666661</v>
      </c>
      <c r="I16" s="8">
        <f>+G16*'[1]VENTAS(RESUMEN GLOBAL)'!F16</f>
        <v>100</v>
      </c>
      <c r="J16" s="8">
        <f>'[1]VENTAS(RESUMEN GLOBAL)'!G16*(1-'[1]VENTAS(RESUMEN GLOBAL)'!H16)</f>
        <v>56.000000000000007</v>
      </c>
      <c r="K16" s="8">
        <f t="shared" si="0"/>
        <v>43.999999999999993</v>
      </c>
      <c r="L16" s="8">
        <f>+'[1]VENTAS(RESUMEN GLOBAL)'!J16</f>
        <v>7.333333333333333</v>
      </c>
      <c r="M16" s="8">
        <f>+Tabla1[[#This Row],[utilidad x dia]]*7</f>
        <v>51.333333333333329</v>
      </c>
    </row>
    <row r="17" spans="1:13" x14ac:dyDescent="0.3">
      <c r="A17" s="6">
        <f>+'[1]VENTAS(RESUMEN GLOBAL)'!L17</f>
        <v>46029</v>
      </c>
      <c r="B17" s="6" t="str">
        <f>+'[1]VENTAS(RESUMEN GLOBAL)'!M17</f>
        <v>ECCE</v>
      </c>
      <c r="C17">
        <f>+'[1]VENTAS(RESUMEN GLOBAL)'!B17</f>
        <v>700100</v>
      </c>
      <c r="D17" t="str">
        <f>INDEX('[1]CÓDIGOS DE PRODUCTO'!$D$3:$D$1000,MATCH(C17,'[1]CÓDIGOS DE PRODUCTO'!$A$3:$A$1000,0))</f>
        <v>50161511 </v>
      </c>
      <c r="E17" t="str">
        <f>VLOOKUP(C17,'[1]CÓDIGOS DE PRODUCTO'!$A$4:$B$156,2,FALSE)</f>
        <v>M&amp;M</v>
      </c>
      <c r="F17" t="str">
        <f>INDEX('[1]CÓDIGOS DE PRODUCTO'!$C$3:$C$1000,MATCH(C17,'[1]CÓDIGOS DE PRODUCTO'!$A$3:$A$1000,0))</f>
        <v>CHOCOLATES</v>
      </c>
      <c r="G17">
        <f>+'[1]VENTAS(RESUMEN GLOBAL)'!D17-'[1]VENTAS(RESUMEN GLOBAL)'!E17</f>
        <v>1</v>
      </c>
      <c r="H17" s="9">
        <f>+'[1]VENTAS(RESUMEN GLOBAL)'!K17</f>
        <v>1.1666666666666665</v>
      </c>
      <c r="I17" s="8">
        <f>+G17*'[1]VENTAS(RESUMEN GLOBAL)'!F17</f>
        <v>30</v>
      </c>
      <c r="J17" s="8">
        <f>'[1]VENTAS(RESUMEN GLOBAL)'!G17*(1-'[1]VENTAS(RESUMEN GLOBAL)'!H17)</f>
        <v>13.2</v>
      </c>
      <c r="K17" s="8">
        <f t="shared" si="0"/>
        <v>16.8</v>
      </c>
      <c r="L17" s="8">
        <f>+'[1]VENTAS(RESUMEN GLOBAL)'!J17</f>
        <v>2.8000000000000003</v>
      </c>
      <c r="M17" s="8">
        <f>+Tabla1[[#This Row],[utilidad x dia]]*7</f>
        <v>19.600000000000001</v>
      </c>
    </row>
    <row r="18" spans="1:13" x14ac:dyDescent="0.3">
      <c r="A18" s="6">
        <f>+'[1]VENTAS(RESUMEN GLOBAL)'!L18</f>
        <v>46029</v>
      </c>
      <c r="B18" s="6" t="str">
        <f>+'[1]VENTAS(RESUMEN GLOBAL)'!M18</f>
        <v>ECCE</v>
      </c>
      <c r="C18">
        <f>+'[1]VENTAS(RESUMEN GLOBAL)'!B18</f>
        <v>700400</v>
      </c>
      <c r="D18" t="str">
        <f>INDEX('[1]CÓDIGOS DE PRODUCTO'!$D$3:$D$1000,MATCH(C18,'[1]CÓDIGOS DE PRODUCTO'!$A$3:$A$1000,0))</f>
        <v>50161511 </v>
      </c>
      <c r="E18" t="str">
        <f>VLOOKUP(C18,'[1]CÓDIGOS DE PRODUCTO'!$A$4:$B$156,2,FALSE)</f>
        <v>KIT KAT</v>
      </c>
      <c r="F18" t="str">
        <f>INDEX('[1]CÓDIGOS DE PRODUCTO'!$C$3:$C$1000,MATCH(C18,'[1]CÓDIGOS DE PRODUCTO'!$A$3:$A$1000,0))</f>
        <v>CHOCOLATES</v>
      </c>
      <c r="G18">
        <f>+'[1]VENTAS(RESUMEN GLOBAL)'!D18-'[1]VENTAS(RESUMEN GLOBAL)'!E18</f>
        <v>2</v>
      </c>
      <c r="H18" s="9">
        <f>+'[1]VENTAS(RESUMEN GLOBAL)'!K18</f>
        <v>2.333333333333333</v>
      </c>
      <c r="I18" s="8">
        <f>+G18*'[1]VENTAS(RESUMEN GLOBAL)'!F18</f>
        <v>50</v>
      </c>
      <c r="J18" s="8">
        <f>'[1]VENTAS(RESUMEN GLOBAL)'!G18*(1-'[1]VENTAS(RESUMEN GLOBAL)'!H18)</f>
        <v>24.062499999999996</v>
      </c>
      <c r="K18" s="8">
        <f t="shared" si="0"/>
        <v>25.937500000000004</v>
      </c>
      <c r="L18" s="8">
        <f>+'[1]VENTAS(RESUMEN GLOBAL)'!J18</f>
        <v>4.322916666666667</v>
      </c>
      <c r="M18" s="8">
        <f>+Tabla1[[#This Row],[utilidad x dia]]*7</f>
        <v>30.260416666666668</v>
      </c>
    </row>
    <row r="19" spans="1:13" x14ac:dyDescent="0.3">
      <c r="A19" s="6">
        <f>+'[1]VENTAS(RESUMEN GLOBAL)'!L19</f>
        <v>46029</v>
      </c>
      <c r="B19" s="6" t="str">
        <f>+'[1]VENTAS(RESUMEN GLOBAL)'!M19</f>
        <v>ECCE</v>
      </c>
      <c r="C19">
        <f>+'[1]VENTAS(RESUMEN GLOBAL)'!B19</f>
        <v>700500</v>
      </c>
      <c r="D19" t="str">
        <f>INDEX('[1]CÓDIGOS DE PRODUCTO'!$D$3:$D$1000,MATCH(C19,'[1]CÓDIGOS DE PRODUCTO'!$A$3:$A$1000,0))</f>
        <v>50161511 </v>
      </c>
      <c r="E19" t="str">
        <f>VLOOKUP(C19,'[1]CÓDIGOS DE PRODUCTO'!$A$4:$B$156,2,FALSE)</f>
        <v>HERSHEYS BLANCO</v>
      </c>
      <c r="F19" t="str">
        <f>INDEX('[1]CÓDIGOS DE PRODUCTO'!$C$3:$C$1000,MATCH(C19,'[1]CÓDIGOS DE PRODUCTO'!$A$3:$A$1000,0))</f>
        <v>CHOCOLATES</v>
      </c>
      <c r="G19">
        <f>+'[1]VENTAS(RESUMEN GLOBAL)'!D19-'[1]VENTAS(RESUMEN GLOBAL)'!E19</f>
        <v>2</v>
      </c>
      <c r="H19" s="9">
        <f>+'[1]VENTAS(RESUMEN GLOBAL)'!K19</f>
        <v>2.333333333333333</v>
      </c>
      <c r="I19" s="8">
        <f>+G19*'[1]VENTAS(RESUMEN GLOBAL)'!F19</f>
        <v>30</v>
      </c>
      <c r="J19" s="8">
        <f>'[1]VENTAS(RESUMEN GLOBAL)'!G19*(1-'[1]VENTAS(RESUMEN GLOBAL)'!H19)</f>
        <v>11.4</v>
      </c>
      <c r="K19" s="8">
        <f t="shared" si="0"/>
        <v>18.600000000000001</v>
      </c>
      <c r="L19" s="8">
        <f>+'[1]VENTAS(RESUMEN GLOBAL)'!J19</f>
        <v>3.1</v>
      </c>
      <c r="M19" s="8">
        <f>+Tabla1[[#This Row],[utilidad x dia]]*7</f>
        <v>21.7</v>
      </c>
    </row>
    <row r="20" spans="1:13" x14ac:dyDescent="0.3">
      <c r="A20" s="6">
        <f>+'[1]VENTAS(RESUMEN GLOBAL)'!L20</f>
        <v>46029</v>
      </c>
      <c r="B20" s="6" t="str">
        <f>+'[1]VENTAS(RESUMEN GLOBAL)'!M20</f>
        <v>ECCE</v>
      </c>
      <c r="C20">
        <f>+'[1]VENTAS(RESUMEN GLOBAL)'!B20</f>
        <v>500100</v>
      </c>
      <c r="D20" t="str">
        <f>INDEX('[1]CÓDIGOS DE PRODUCTO'!$D$3:$D$1000,MATCH(C20,'[1]CÓDIGOS DE PRODUCTO'!$A$3:$A$1000,0))</f>
        <v>53102800 </v>
      </c>
      <c r="E20" t="str">
        <f>VLOOKUP(C20,'[1]CÓDIGOS DE PRODUCTO'!$A$4:$B$156,2,FALSE)</f>
        <v>Trajes de baño</v>
      </c>
      <c r="F20" t="str">
        <f>INDEX('[1]CÓDIGOS DE PRODUCTO'!$C$3:$C$1000,MATCH(C20,'[1]CÓDIGOS DE PRODUCTO'!$A$3:$A$1000,0))</f>
        <v>SWIMWEAR</v>
      </c>
      <c r="G20">
        <f>+'[1]VENTAS(RESUMEN GLOBAL)'!D20-'[1]VENTAS(RESUMEN GLOBAL)'!E20</f>
        <v>1</v>
      </c>
      <c r="H20" s="9">
        <f>+'[1]VENTAS(RESUMEN GLOBAL)'!K20</f>
        <v>1.1666666666666665</v>
      </c>
      <c r="I20" s="8">
        <f>+G20*'[1]VENTAS(RESUMEN GLOBAL)'!F20</f>
        <v>250</v>
      </c>
      <c r="J20" s="8">
        <f>'[1]VENTAS(RESUMEN GLOBAL)'!G20*(1-'[1]VENTAS(RESUMEN GLOBAL)'!H20)</f>
        <v>117</v>
      </c>
      <c r="K20" s="8">
        <f t="shared" si="0"/>
        <v>133</v>
      </c>
      <c r="L20" s="8">
        <f>+'[1]VENTAS(RESUMEN GLOBAL)'!J20</f>
        <v>22.166666666666668</v>
      </c>
      <c r="M20" s="8">
        <f>+Tabla1[[#This Row],[utilidad x dia]]*7</f>
        <v>155.16666666666669</v>
      </c>
    </row>
    <row r="21" spans="1:13" x14ac:dyDescent="0.3">
      <c r="A21" s="6">
        <f>+'[1]VENTAS(RESUMEN GLOBAL)'!L21</f>
        <v>46029</v>
      </c>
      <c r="B21" s="6" t="str">
        <f>+'[1]VENTAS(RESUMEN GLOBAL)'!M21</f>
        <v>ECCE</v>
      </c>
      <c r="C21">
        <f>+'[1]VENTAS(RESUMEN GLOBAL)'!B21</f>
        <v>100600</v>
      </c>
      <c r="D21" t="str">
        <f>INDEX('[1]CÓDIGOS DE PRODUCTO'!$D$3:$D$1000,MATCH(C21,'[1]CÓDIGOS DE PRODUCTO'!$A$3:$A$1000,0))</f>
        <v>50202300 </v>
      </c>
      <c r="E21" t="str">
        <f>VLOOKUP(C21,'[1]CÓDIGOS DE PRODUCTO'!$A$4:$B$156,2,FALSE)</f>
        <v>Leche santa clara</v>
      </c>
      <c r="F21" t="str">
        <f>INDEX('[1]CÓDIGOS DE PRODUCTO'!$C$3:$C$1000,MATCH(C21,'[1]CÓDIGOS DE PRODUCTO'!$A$3:$A$1000,0))</f>
        <v>Bebidas</v>
      </c>
      <c r="G21">
        <f>+'[1]VENTAS(RESUMEN GLOBAL)'!D21-'[1]VENTAS(RESUMEN GLOBAL)'!E21</f>
        <v>6</v>
      </c>
      <c r="H21" s="9">
        <f>+'[1]VENTAS(RESUMEN GLOBAL)'!K21</f>
        <v>7</v>
      </c>
      <c r="I21" s="8">
        <f>+G21*'[1]VENTAS(RESUMEN GLOBAL)'!F21</f>
        <v>120</v>
      </c>
      <c r="J21" s="8">
        <f>'[1]VENTAS(RESUMEN GLOBAL)'!G21*(1-'[1]VENTAS(RESUMEN GLOBAL)'!H21)</f>
        <v>64.800000000000011</v>
      </c>
      <c r="K21" s="8">
        <f t="shared" si="0"/>
        <v>55.199999999999989</v>
      </c>
      <c r="L21" s="8">
        <f>+'[1]VENTAS(RESUMEN GLOBAL)'!J21</f>
        <v>9.2000000000000011</v>
      </c>
      <c r="M21" s="8">
        <f>+Tabla1[[#This Row],[utilidad x dia]]*7</f>
        <v>64.400000000000006</v>
      </c>
    </row>
    <row r="22" spans="1:13" x14ac:dyDescent="0.3">
      <c r="A22" s="6">
        <f>+'[1]VENTAS(RESUMEN GLOBAL)'!L22</f>
        <v>46029</v>
      </c>
      <c r="B22" s="6" t="str">
        <f>+'[1]VENTAS(RESUMEN GLOBAL)'!M22</f>
        <v>ECCE</v>
      </c>
      <c r="C22">
        <f>+'[1]VENTAS(RESUMEN GLOBAL)'!B22</f>
        <v>100600</v>
      </c>
      <c r="D22" t="str">
        <f>INDEX('[1]CÓDIGOS DE PRODUCTO'!$D$3:$D$1000,MATCH(C22,'[1]CÓDIGOS DE PRODUCTO'!$A$3:$A$1000,0))</f>
        <v>50202300 </v>
      </c>
      <c r="E22" t="str">
        <f>VLOOKUP(C22,'[1]CÓDIGOS DE PRODUCTO'!$A$4:$B$156,2,FALSE)</f>
        <v>Leche santa clara</v>
      </c>
      <c r="F22" t="str">
        <f>INDEX('[1]CÓDIGOS DE PRODUCTO'!$C$3:$C$1000,MATCH(C22,'[1]CÓDIGOS DE PRODUCTO'!$A$3:$A$1000,0))</f>
        <v>Bebidas</v>
      </c>
      <c r="G22">
        <f>+'[1]VENTAS(RESUMEN GLOBAL)'!D22-'[1]VENTAS(RESUMEN GLOBAL)'!E22</f>
        <v>6</v>
      </c>
      <c r="H22" s="9">
        <f>+'[1]VENTAS(RESUMEN GLOBAL)'!K22</f>
        <v>7</v>
      </c>
      <c r="I22" s="8">
        <f>+G22*'[1]VENTAS(RESUMEN GLOBAL)'!F22</f>
        <v>120</v>
      </c>
      <c r="J22" s="8">
        <f>'[1]VENTAS(RESUMEN GLOBAL)'!G22*(1-'[1]VENTAS(RESUMEN GLOBAL)'!H22)</f>
        <v>64.800000000000011</v>
      </c>
      <c r="K22" s="8">
        <f t="shared" si="0"/>
        <v>55.199999999999989</v>
      </c>
      <c r="L22" s="8">
        <f>+'[1]VENTAS(RESUMEN GLOBAL)'!J22</f>
        <v>9.2000000000000011</v>
      </c>
      <c r="M22" s="8">
        <f>+Tabla1[[#This Row],[utilidad x dia]]*7</f>
        <v>64.400000000000006</v>
      </c>
    </row>
    <row r="23" spans="1:13" x14ac:dyDescent="0.3">
      <c r="A23" s="6">
        <f>+'[1]VENTAS(RESUMEN GLOBAL)'!L23</f>
        <v>46029</v>
      </c>
      <c r="B23" s="6" t="str">
        <f>+'[1]VENTAS(RESUMEN GLOBAL)'!M23</f>
        <v>ECCE</v>
      </c>
      <c r="C23">
        <f>+'[1]VENTAS(RESUMEN GLOBAL)'!B23</f>
        <v>800500</v>
      </c>
      <c r="D23" t="str">
        <f>INDEX('[1]CÓDIGOS DE PRODUCTO'!$D$3:$D$1000,MATCH(C23,'[1]CÓDIGOS DE PRODUCTO'!$A$3:$A$1000,0))</f>
        <v>50181900 </v>
      </c>
      <c r="E23" t="str">
        <f>VLOOKUP(C23,'[1]CÓDIGOS DE PRODUCTO'!$A$4:$B$156,2,FALSE)</f>
        <v>RICE KRISPIES</v>
      </c>
      <c r="F23" t="str">
        <f>INDEX('[1]CÓDIGOS DE PRODUCTO'!$C$3:$C$1000,MATCH(C23,'[1]CÓDIGOS DE PRODUCTO'!$A$3:$A$1000,0))</f>
        <v>GALLETAS Y PAN DULCE</v>
      </c>
      <c r="G23">
        <f>+'[1]VENTAS(RESUMEN GLOBAL)'!D23-'[1]VENTAS(RESUMEN GLOBAL)'!E23</f>
        <v>4</v>
      </c>
      <c r="H23" s="9">
        <f>+'[1]VENTAS(RESUMEN GLOBAL)'!K23</f>
        <v>4.6666666666666661</v>
      </c>
      <c r="I23" s="8">
        <f>+G23*'[1]VENTAS(RESUMEN GLOBAL)'!F23</f>
        <v>40</v>
      </c>
      <c r="J23" s="8">
        <f>'[1]VENTAS(RESUMEN GLOBAL)'!G23*(1-'[1]VENTAS(RESUMEN GLOBAL)'!H23)</f>
        <v>12.000000000000002</v>
      </c>
      <c r="K23" s="8">
        <f t="shared" si="0"/>
        <v>28</v>
      </c>
      <c r="L23" s="8">
        <f>+'[1]VENTAS(RESUMEN GLOBAL)'!J23</f>
        <v>4.666666666666667</v>
      </c>
      <c r="M23" s="8">
        <f>+Tabla1[[#This Row],[utilidad x dia]]*7</f>
        <v>32.666666666666671</v>
      </c>
    </row>
    <row r="24" spans="1:13" x14ac:dyDescent="0.3">
      <c r="A24" s="6">
        <f>+'[1]VENTAS(RESUMEN GLOBAL)'!L24</f>
        <v>46029</v>
      </c>
      <c r="B24" s="6" t="str">
        <f>+'[1]VENTAS(RESUMEN GLOBAL)'!M24</f>
        <v>ECCE</v>
      </c>
      <c r="C24">
        <f>+'[1]VENTAS(RESUMEN GLOBAL)'!B24</f>
        <v>800600</v>
      </c>
      <c r="D24" t="str">
        <f>INDEX('[1]CÓDIGOS DE PRODUCTO'!$D$3:$D$1000,MATCH(C24,'[1]CÓDIGOS DE PRODUCTO'!$A$3:$A$1000,0))</f>
        <v>50181900 </v>
      </c>
      <c r="E24" t="str">
        <f>VLOOKUP(C24,'[1]CÓDIGOS DE PRODUCTO'!$A$4:$B$156,2,FALSE)</f>
        <v>CREMAX</v>
      </c>
      <c r="F24" t="str">
        <f>INDEX('[1]CÓDIGOS DE PRODUCTO'!$C$3:$C$1000,MATCH(C24,'[1]CÓDIGOS DE PRODUCTO'!$A$3:$A$1000,0))</f>
        <v>GALLETAS Y PAN DULCE</v>
      </c>
      <c r="G24">
        <f>+'[1]VENTAS(RESUMEN GLOBAL)'!D24-'[1]VENTAS(RESUMEN GLOBAL)'!E24</f>
        <v>0</v>
      </c>
      <c r="H24" s="9">
        <f>+'[1]VENTAS(RESUMEN GLOBAL)'!K24</f>
        <v>0</v>
      </c>
      <c r="I24" s="8">
        <f>+G24*'[1]VENTAS(RESUMEN GLOBAL)'!F24</f>
        <v>0</v>
      </c>
      <c r="J24" s="8">
        <f>'[1]VENTAS(RESUMEN GLOBAL)'!G24*(1-'[1]VENTAS(RESUMEN GLOBAL)'!H24)</f>
        <v>0</v>
      </c>
      <c r="K24" s="8">
        <f t="shared" si="0"/>
        <v>0</v>
      </c>
      <c r="L24" s="8">
        <f>+'[1]VENTAS(RESUMEN GLOBAL)'!J24</f>
        <v>0</v>
      </c>
      <c r="M24" s="8">
        <f>+Tabla1[[#This Row],[utilidad x dia]]*7</f>
        <v>0</v>
      </c>
    </row>
    <row r="25" spans="1:13" x14ac:dyDescent="0.3">
      <c r="A25" s="6">
        <f>+'[1]VENTAS(RESUMEN GLOBAL)'!L25</f>
        <v>46029</v>
      </c>
      <c r="B25" s="6" t="str">
        <f>+'[1]VENTAS(RESUMEN GLOBAL)'!M25</f>
        <v>ECCE</v>
      </c>
      <c r="C25">
        <f>+'[1]VENTAS(RESUMEN GLOBAL)'!B25</f>
        <v>800200</v>
      </c>
      <c r="D25" t="str">
        <f>INDEX('[1]CÓDIGOS DE PRODUCTO'!$D$3:$D$1000,MATCH(C25,'[1]CÓDIGOS DE PRODUCTO'!$A$3:$A$1000,0))</f>
        <v>50181900 </v>
      </c>
      <c r="E25" t="str">
        <f>VLOOKUP(C25,'[1]CÓDIGOS DE PRODUCTO'!$A$4:$B$156,2,FALSE)</f>
        <v>Príncipe (6 PZ-63 GR)</v>
      </c>
      <c r="F25" t="str">
        <f>INDEX('[1]CÓDIGOS DE PRODUCTO'!$C$3:$C$1000,MATCH(C25,'[1]CÓDIGOS DE PRODUCTO'!$A$3:$A$1000,0))</f>
        <v>GALLETAS Y PAN DULCE</v>
      </c>
      <c r="G25">
        <f>+'[1]VENTAS(RESUMEN GLOBAL)'!D25-'[1]VENTAS(RESUMEN GLOBAL)'!E25</f>
        <v>10</v>
      </c>
      <c r="H25" s="9">
        <f>+'[1]VENTAS(RESUMEN GLOBAL)'!K25</f>
        <v>11.666666666666668</v>
      </c>
      <c r="I25" s="8">
        <f>+G25*'[1]VENTAS(RESUMEN GLOBAL)'!F25</f>
        <v>200</v>
      </c>
      <c r="J25" s="8">
        <f>'[1]VENTAS(RESUMEN GLOBAL)'!G25*(1-'[1]VENTAS(RESUMEN GLOBAL)'!H25)</f>
        <v>70</v>
      </c>
      <c r="K25" s="8">
        <f t="shared" si="0"/>
        <v>130</v>
      </c>
      <c r="L25" s="8">
        <f>+'[1]VENTAS(RESUMEN GLOBAL)'!J25</f>
        <v>21.666666666666668</v>
      </c>
      <c r="M25" s="8">
        <f>+Tabla1[[#This Row],[utilidad x dia]]*7</f>
        <v>151.66666666666669</v>
      </c>
    </row>
    <row r="26" spans="1:13" x14ac:dyDescent="0.3">
      <c r="A26" s="6">
        <f>+'[1]VENTAS(RESUMEN GLOBAL)'!L26</f>
        <v>46029</v>
      </c>
      <c r="B26" s="6" t="str">
        <f>+'[1]VENTAS(RESUMEN GLOBAL)'!M26</f>
        <v>ECCE</v>
      </c>
      <c r="C26">
        <f>+'[1]VENTAS(RESUMEN GLOBAL)'!B26</f>
        <v>800800</v>
      </c>
      <c r="D26" t="str">
        <f>INDEX('[1]CÓDIGOS DE PRODUCTO'!$D$3:$D$1000,MATCH(C26,'[1]CÓDIGOS DE PRODUCTO'!$A$3:$A$1000,0))</f>
        <v>50181900 </v>
      </c>
      <c r="E26" t="str">
        <f>VLOOKUP(C26,'[1]CÓDIGOS DE PRODUCTO'!$A$4:$B$156,2,FALSE)</f>
        <v>DORADITAS</v>
      </c>
      <c r="F26" t="str">
        <f>INDEX('[1]CÓDIGOS DE PRODUCTO'!$C$3:$C$1000,MATCH(C26,'[1]CÓDIGOS DE PRODUCTO'!$A$3:$A$1000,0))</f>
        <v>GALLETAS Y PAN DULCE</v>
      </c>
      <c r="G26">
        <f>+'[1]VENTAS(RESUMEN GLOBAL)'!D26-'[1]VENTAS(RESUMEN GLOBAL)'!E26</f>
        <v>3</v>
      </c>
      <c r="H26" s="9">
        <f>+'[1]VENTAS(RESUMEN GLOBAL)'!K26</f>
        <v>3.5</v>
      </c>
      <c r="I26" s="8">
        <f>+G26*'[1]VENTAS(RESUMEN GLOBAL)'!F26</f>
        <v>45</v>
      </c>
      <c r="J26" s="8">
        <f>'[1]VENTAS(RESUMEN GLOBAL)'!G26*(1-'[1]VENTAS(RESUMEN GLOBAL)'!H26)</f>
        <v>15.299999999999999</v>
      </c>
      <c r="K26" s="8">
        <f t="shared" si="0"/>
        <v>29.700000000000003</v>
      </c>
      <c r="L26" s="8">
        <f>+'[1]VENTAS(RESUMEN GLOBAL)'!J26</f>
        <v>4.95</v>
      </c>
      <c r="M26" s="8">
        <f>+Tabla1[[#This Row],[utilidad x dia]]*7</f>
        <v>34.65</v>
      </c>
    </row>
    <row r="27" spans="1:13" x14ac:dyDescent="0.3">
      <c r="A27" s="6">
        <f>+'[1]VENTAS(RESUMEN GLOBAL)'!L27</f>
        <v>46029</v>
      </c>
      <c r="B27" s="6" t="str">
        <f>+'[1]VENTAS(RESUMEN GLOBAL)'!M27</f>
        <v>ECCE</v>
      </c>
      <c r="C27">
        <f>+'[1]VENTAS(RESUMEN GLOBAL)'!B27</f>
        <v>300300</v>
      </c>
      <c r="D27" t="str">
        <f>INDEX('[1]CÓDIGOS DE PRODUCTO'!$D$3:$D$1000,MATCH(C27,'[1]CÓDIGOS DE PRODUCTO'!$A$3:$A$1000,0))</f>
        <v>50161800 </v>
      </c>
      <c r="E27" t="str">
        <f>VLOOKUP(C27,'[1]CÓDIGOS DE PRODUCTO'!$A$4:$B$156,2,FALSE)</f>
        <v>FRUIT FOOT</v>
      </c>
      <c r="F27" t="str">
        <f>INDEX('[1]CÓDIGOS DE PRODUCTO'!$C$3:$C$1000,MATCH(C27,'[1]CÓDIGOS DE PRODUCTO'!$A$3:$A$1000,0))</f>
        <v>Snacks &amp; Dulces</v>
      </c>
      <c r="G27">
        <f>+'[1]VENTAS(RESUMEN GLOBAL)'!D27-'[1]VENTAS(RESUMEN GLOBAL)'!E27</f>
        <v>2</v>
      </c>
      <c r="H27" s="9">
        <f>+'[1]VENTAS(RESUMEN GLOBAL)'!K27</f>
        <v>2.333333333333333</v>
      </c>
      <c r="I27" s="8">
        <f>+G27*'[1]VENTAS(RESUMEN GLOBAL)'!F27</f>
        <v>30</v>
      </c>
      <c r="J27" s="8">
        <f>'[1]VENTAS(RESUMEN GLOBAL)'!G27*(1-'[1]VENTAS(RESUMEN GLOBAL)'!H27)</f>
        <v>13.499999999999998</v>
      </c>
      <c r="K27" s="8">
        <f t="shared" si="0"/>
        <v>16.5</v>
      </c>
      <c r="L27" s="8">
        <f>+'[1]VENTAS(RESUMEN GLOBAL)'!J27</f>
        <v>2.75</v>
      </c>
      <c r="M27" s="8">
        <f>+Tabla1[[#This Row],[utilidad x dia]]*7</f>
        <v>19.25</v>
      </c>
    </row>
    <row r="28" spans="1:13" x14ac:dyDescent="0.3">
      <c r="A28" s="6">
        <f>+'[1]VENTAS(RESUMEN GLOBAL)'!L28</f>
        <v>46029</v>
      </c>
      <c r="B28" s="6" t="str">
        <f>+'[1]VENTAS(RESUMEN GLOBAL)'!M28</f>
        <v>ECCE</v>
      </c>
      <c r="C28">
        <f>+'[1]VENTAS(RESUMEN GLOBAL)'!B28</f>
        <v>600100</v>
      </c>
      <c r="D28" t="str">
        <f>INDEX('[1]CÓDIGOS DE PRODUCTO'!$D$3:$D$1000,MATCH(C28,'[1]CÓDIGOS DE PRODUCTO'!$A$3:$A$1000,0))</f>
        <v>50192109 </v>
      </c>
      <c r="E28" t="str">
        <f>VLOOKUP(C28,'[1]CÓDIGOS DE PRODUCTO'!$A$4:$B$156,2,FALSE)</f>
        <v>PAPAS FRITAS BARCEL (G)</v>
      </c>
      <c r="F28" t="str">
        <f>INDEX('[1]CÓDIGOS DE PRODUCTO'!$C$3:$C$1000,MATCH(C28,'[1]CÓDIGOS DE PRODUCTO'!$A$3:$A$1000,0))</f>
        <v>Papas fritas</v>
      </c>
      <c r="G28">
        <f>+'[1]VENTAS(RESUMEN GLOBAL)'!D28-'[1]VENTAS(RESUMEN GLOBAL)'!E28</f>
        <v>7</v>
      </c>
      <c r="H28" s="9">
        <f>+'[1]VENTAS(RESUMEN GLOBAL)'!K28</f>
        <v>8.1666666666666679</v>
      </c>
      <c r="I28" s="8">
        <f>+G28*'[1]VENTAS(RESUMEN GLOBAL)'!F28</f>
        <v>175</v>
      </c>
      <c r="J28" s="8">
        <f>'[1]VENTAS(RESUMEN GLOBAL)'!G28*(1-'[1]VENTAS(RESUMEN GLOBAL)'!H28)</f>
        <v>98.000000000000014</v>
      </c>
      <c r="K28" s="8">
        <f t="shared" si="0"/>
        <v>76.999999999999986</v>
      </c>
      <c r="L28" s="8">
        <f>+'[1]VENTAS(RESUMEN GLOBAL)'!J28</f>
        <v>12.833333333333334</v>
      </c>
      <c r="M28" s="8">
        <f>+Tabla1[[#This Row],[utilidad x dia]]*7</f>
        <v>89.833333333333343</v>
      </c>
    </row>
    <row r="29" spans="1:13" x14ac:dyDescent="0.3">
      <c r="A29" s="6">
        <f>+'[1]VENTAS(RESUMEN GLOBAL)'!L29</f>
        <v>46029</v>
      </c>
      <c r="B29" s="6" t="str">
        <f>+'[1]VENTAS(RESUMEN GLOBAL)'!M29</f>
        <v>ECCE</v>
      </c>
      <c r="C29">
        <f>+'[1]VENTAS(RESUMEN GLOBAL)'!B29</f>
        <v>600500</v>
      </c>
      <c r="D29" t="str">
        <f>INDEX('[1]CÓDIGOS DE PRODUCTO'!$D$3:$D$1000,MATCH(C29,'[1]CÓDIGOS DE PRODUCTO'!$A$3:$A$1000,0))</f>
        <v>50192109 </v>
      </c>
      <c r="E29" t="str">
        <f>VLOOKUP(C29,'[1]CÓDIGOS DE PRODUCTO'!$A$4:$B$156,2,FALSE)</f>
        <v>SABRIMAYOREO</v>
      </c>
      <c r="F29" t="str">
        <f>INDEX('[1]CÓDIGOS DE PRODUCTO'!$C$3:$C$1000,MATCH(C29,'[1]CÓDIGOS DE PRODUCTO'!$A$3:$A$1000,0))</f>
        <v>Papas fritas</v>
      </c>
      <c r="G29">
        <f>+'[1]VENTAS(RESUMEN GLOBAL)'!D29-'[1]VENTAS(RESUMEN GLOBAL)'!E29</f>
        <v>8</v>
      </c>
      <c r="H29" s="9">
        <f>+'[1]VENTAS(RESUMEN GLOBAL)'!K29</f>
        <v>9.3333333333333321</v>
      </c>
      <c r="I29" s="8">
        <f>+G29*'[1]VENTAS(RESUMEN GLOBAL)'!F29</f>
        <v>200</v>
      </c>
      <c r="J29" s="8">
        <f>'[1]VENTAS(RESUMEN GLOBAL)'!G29*(1-'[1]VENTAS(RESUMEN GLOBAL)'!H29)</f>
        <v>100</v>
      </c>
      <c r="K29" s="8">
        <f t="shared" si="0"/>
        <v>100</v>
      </c>
      <c r="L29" s="8">
        <f>+'[1]VENTAS(RESUMEN GLOBAL)'!J29</f>
        <v>16.666666666666668</v>
      </c>
      <c r="M29" s="8">
        <f>+Tabla1[[#This Row],[utilidad x dia]]*7</f>
        <v>116.66666666666667</v>
      </c>
    </row>
    <row r="30" spans="1:13" x14ac:dyDescent="0.3">
      <c r="A30" s="6">
        <f>+'[1]VENTAS(RESUMEN GLOBAL)'!L30</f>
        <v>46029</v>
      </c>
      <c r="B30" s="6" t="str">
        <f>+'[1]VENTAS(RESUMEN GLOBAL)'!M30</f>
        <v>ECCE</v>
      </c>
      <c r="C30">
        <f>+'[1]VENTAS(RESUMEN GLOBAL)'!B30</f>
        <v>300400</v>
      </c>
      <c r="D30" t="str">
        <f>INDEX('[1]CÓDIGOS DE PRODUCTO'!$D$3:$D$1000,MATCH(C30,'[1]CÓDIGOS DE PRODUCTO'!$A$3:$A$1000,0))</f>
        <v>50161800 </v>
      </c>
      <c r="E30" t="str">
        <f>VLOOKUP(C30,'[1]CÓDIGOS DE PRODUCTO'!$A$4:$B$156,2,FALSE)</f>
        <v>Welchs GOMITAS</v>
      </c>
      <c r="F30" t="str">
        <f>INDEX('[1]CÓDIGOS DE PRODUCTO'!$C$3:$C$1000,MATCH(C30,'[1]CÓDIGOS DE PRODUCTO'!$A$3:$A$1000,0))</f>
        <v>Snacks &amp; Dulces</v>
      </c>
      <c r="G30">
        <f>+'[1]VENTAS(RESUMEN GLOBAL)'!D30-'[1]VENTAS(RESUMEN GLOBAL)'!E30</f>
        <v>9</v>
      </c>
      <c r="H30" s="9">
        <f>+'[1]VENTAS(RESUMEN GLOBAL)'!K30</f>
        <v>10.5</v>
      </c>
      <c r="I30" s="8">
        <f>+G30*'[1]VENTAS(RESUMEN GLOBAL)'!F30</f>
        <v>90</v>
      </c>
      <c r="J30" s="8">
        <f>'[1]VENTAS(RESUMEN GLOBAL)'!G30*(1-'[1]VENTAS(RESUMEN GLOBAL)'!H30)</f>
        <v>54</v>
      </c>
      <c r="K30" s="8">
        <f t="shared" si="0"/>
        <v>36</v>
      </c>
      <c r="L30" s="8">
        <f>+'[1]VENTAS(RESUMEN GLOBAL)'!J30</f>
        <v>6</v>
      </c>
      <c r="M30" s="8">
        <f>+Tabla1[[#This Row],[utilidad x dia]]*7</f>
        <v>42</v>
      </c>
    </row>
    <row r="31" spans="1:13" x14ac:dyDescent="0.3">
      <c r="A31" s="6">
        <f>+'[1]VENTAS(RESUMEN GLOBAL)'!L31</f>
        <v>46029</v>
      </c>
      <c r="B31" s="6" t="str">
        <f>+'[1]VENTAS(RESUMEN GLOBAL)'!M31</f>
        <v>ECCE</v>
      </c>
      <c r="C31">
        <f>+'[1]VENTAS(RESUMEN GLOBAL)'!B31</f>
        <v>300100</v>
      </c>
      <c r="D31" t="str">
        <f>INDEX('[1]CÓDIGOS DE PRODUCTO'!$D$3:$D$1000,MATCH(C31,'[1]CÓDIGOS DE PRODUCTO'!$A$3:$A$1000,0))</f>
        <v>50161800 </v>
      </c>
      <c r="E31" t="str">
        <f>VLOOKUP(C31,'[1]CÓDIGOS DE PRODUCTO'!$A$4:$B$156,2,FALSE)</f>
        <v>Pelonetes</v>
      </c>
      <c r="F31" t="str">
        <f>INDEX('[1]CÓDIGOS DE PRODUCTO'!$C$3:$C$1000,MATCH(C31,'[1]CÓDIGOS DE PRODUCTO'!$A$3:$A$1000,0))</f>
        <v>Snacks &amp; Dulces</v>
      </c>
      <c r="G31">
        <f>+'[1]VENTAS(RESUMEN GLOBAL)'!D31-'[1]VENTAS(RESUMEN GLOBAL)'!E31</f>
        <v>1</v>
      </c>
      <c r="H31" s="9">
        <f>+'[1]VENTAS(RESUMEN GLOBAL)'!K31</f>
        <v>1.1666666666666665</v>
      </c>
      <c r="I31" s="8">
        <f>+G31*'[1]VENTAS(RESUMEN GLOBAL)'!F31</f>
        <v>15</v>
      </c>
      <c r="J31" s="8">
        <f>'[1]VENTAS(RESUMEN GLOBAL)'!G31*(1-'[1]VENTAS(RESUMEN GLOBAL)'!H31)</f>
        <v>6.4500000000000011</v>
      </c>
      <c r="K31" s="8">
        <f t="shared" si="0"/>
        <v>8.5499999999999989</v>
      </c>
      <c r="L31" s="8">
        <f>+'[1]VENTAS(RESUMEN GLOBAL)'!J31</f>
        <v>1.4249999999999998</v>
      </c>
      <c r="M31" s="8">
        <f>+Tabla1[[#This Row],[utilidad x dia]]*7</f>
        <v>9.9749999999999979</v>
      </c>
    </row>
    <row r="32" spans="1:13" x14ac:dyDescent="0.3">
      <c r="A32" s="6">
        <f>+'[1]VENTAS(RESUMEN GLOBAL)'!L32</f>
        <v>46029</v>
      </c>
      <c r="B32" s="6" t="str">
        <f>+'[1]VENTAS(RESUMEN GLOBAL)'!M32</f>
        <v>ECCE</v>
      </c>
      <c r="C32">
        <f>+'[1]VENTAS(RESUMEN GLOBAL)'!B32</f>
        <v>100400</v>
      </c>
      <c r="D32" t="str">
        <f>INDEX('[1]CÓDIGOS DE PRODUCTO'!$D$3:$D$1000,MATCH(C32,'[1]CÓDIGOS DE PRODUCTO'!$A$3:$A$1000,0))</f>
        <v>50202300 </v>
      </c>
      <c r="E32" t="str">
        <f>VLOOKUP(C32,'[1]CÓDIGOS DE PRODUCTO'!$A$4:$B$156,2,FALSE)</f>
        <v>Jumex</v>
      </c>
      <c r="F32" t="str">
        <f>INDEX('[1]CÓDIGOS DE PRODUCTO'!$C$3:$C$1000,MATCH(C32,'[1]CÓDIGOS DE PRODUCTO'!$A$3:$A$1000,0))</f>
        <v>Bebidas</v>
      </c>
      <c r="G32">
        <f>+'[1]VENTAS(RESUMEN GLOBAL)'!D32-'[1]VENTAS(RESUMEN GLOBAL)'!E32</f>
        <v>1</v>
      </c>
      <c r="H32" s="9">
        <f>+'[1]VENTAS(RESUMEN GLOBAL)'!K32</f>
        <v>1.1666666666666665</v>
      </c>
      <c r="I32" s="8">
        <f>+G32*'[1]VENTAS(RESUMEN GLOBAL)'!F32</f>
        <v>15</v>
      </c>
      <c r="J32" s="8">
        <f>'[1]VENTAS(RESUMEN GLOBAL)'!G32*(1-'[1]VENTAS(RESUMEN GLOBAL)'!H32)</f>
        <v>5.0999999999999996</v>
      </c>
      <c r="K32" s="8">
        <f t="shared" si="0"/>
        <v>9.9</v>
      </c>
      <c r="L32" s="8">
        <f>+'[1]VENTAS(RESUMEN GLOBAL)'!J32</f>
        <v>1.6500000000000001</v>
      </c>
      <c r="M32" s="8">
        <f>+Tabla1[[#This Row],[utilidad x dia]]*7</f>
        <v>11.55</v>
      </c>
    </row>
    <row r="33" spans="1:13" x14ac:dyDescent="0.3">
      <c r="A33" s="6">
        <f>+'[1]VENTAS(RESUMEN GLOBAL)'!L33</f>
        <v>46029</v>
      </c>
      <c r="B33" s="6" t="str">
        <f>+'[1]VENTAS(RESUMEN GLOBAL)'!M33</f>
        <v>ECCE</v>
      </c>
      <c r="C33">
        <f>+'[1]VENTAS(RESUMEN GLOBAL)'!B33</f>
        <v>100400</v>
      </c>
      <c r="D33" t="str">
        <f>INDEX('[1]CÓDIGOS DE PRODUCTO'!$D$3:$D$1000,MATCH(C33,'[1]CÓDIGOS DE PRODUCTO'!$A$3:$A$1000,0))</f>
        <v>50202300 </v>
      </c>
      <c r="E33" t="str">
        <f>VLOOKUP(C33,'[1]CÓDIGOS DE PRODUCTO'!$A$4:$B$156,2,FALSE)</f>
        <v>Jumex</v>
      </c>
      <c r="F33" t="str">
        <f>INDEX('[1]CÓDIGOS DE PRODUCTO'!$C$3:$C$1000,MATCH(C33,'[1]CÓDIGOS DE PRODUCTO'!$A$3:$A$1000,0))</f>
        <v>Bebidas</v>
      </c>
      <c r="G33">
        <f>+'[1]VENTAS(RESUMEN GLOBAL)'!D33-'[1]VENTAS(RESUMEN GLOBAL)'!E33</f>
        <v>0</v>
      </c>
      <c r="H33" s="9">
        <f>+'[1]VENTAS(RESUMEN GLOBAL)'!K33</f>
        <v>0</v>
      </c>
      <c r="I33" s="8">
        <f>+G33*'[1]VENTAS(RESUMEN GLOBAL)'!F33</f>
        <v>0</v>
      </c>
      <c r="J33" s="8">
        <f>'[1]VENTAS(RESUMEN GLOBAL)'!G33*(1-'[1]VENTAS(RESUMEN GLOBAL)'!H33)</f>
        <v>0</v>
      </c>
      <c r="K33" s="8">
        <f t="shared" si="0"/>
        <v>0</v>
      </c>
      <c r="L33" s="8">
        <f>+'[1]VENTAS(RESUMEN GLOBAL)'!J33</f>
        <v>0</v>
      </c>
      <c r="M33" s="8">
        <f>+Tabla1[[#This Row],[utilidad x dia]]*7</f>
        <v>0</v>
      </c>
    </row>
    <row r="34" spans="1:13" x14ac:dyDescent="0.3">
      <c r="A34" s="6">
        <f>+'[1]VENTAS(RESUMEN GLOBAL)'!L34</f>
        <v>46029</v>
      </c>
      <c r="B34" s="6" t="str">
        <f>+'[1]VENTAS(RESUMEN GLOBAL)'!M34</f>
        <v>ECCE</v>
      </c>
      <c r="C34">
        <f>+'[1]VENTAS(RESUMEN GLOBAL)'!B34</f>
        <v>700600</v>
      </c>
      <c r="D34" t="str">
        <f>INDEX('[1]CÓDIGOS DE PRODUCTO'!$D$3:$D$1000,MATCH(C34,'[1]CÓDIGOS DE PRODUCTO'!$A$3:$A$1000,0))</f>
        <v>50161511 </v>
      </c>
      <c r="E34" t="str">
        <f>VLOOKUP(C34,'[1]CÓDIGOS DE PRODUCTO'!$A$4:$B$156,2,FALSE)</f>
        <v>CHOCO MUIBÓN</v>
      </c>
      <c r="F34" t="str">
        <f>INDEX('[1]CÓDIGOS DE PRODUCTO'!$C$3:$C$1000,MATCH(C34,'[1]CÓDIGOS DE PRODUCTO'!$A$3:$A$1000,0))</f>
        <v>CHOCOLATES</v>
      </c>
      <c r="G34">
        <f>+'[1]VENTAS(RESUMEN GLOBAL)'!D34-'[1]VENTAS(RESUMEN GLOBAL)'!E34</f>
        <v>-1</v>
      </c>
      <c r="H34" s="9">
        <f>+'[1]VENTAS(RESUMEN GLOBAL)'!K34</f>
        <v>-1.1666666666666665</v>
      </c>
      <c r="I34" s="8">
        <f>+G34*'[1]VENTAS(RESUMEN GLOBAL)'!F34</f>
        <v>-15</v>
      </c>
      <c r="J34" s="8">
        <f>'[1]VENTAS(RESUMEN GLOBAL)'!G34*(1-'[1]VENTAS(RESUMEN GLOBAL)'!H34)</f>
        <v>-5.0999999999999996</v>
      </c>
      <c r="K34" s="8">
        <f t="shared" si="0"/>
        <v>-9.9</v>
      </c>
      <c r="L34" s="8">
        <f>+'[1]VENTAS(RESUMEN GLOBAL)'!J34</f>
        <v>-1.6500000000000001</v>
      </c>
      <c r="M34" s="8">
        <f>+Tabla1[[#This Row],[utilidad x dia]]*7</f>
        <v>-11.55</v>
      </c>
    </row>
    <row r="35" spans="1:13" x14ac:dyDescent="0.3">
      <c r="A35" s="6">
        <f>+'[1]VENTAS(RESUMEN GLOBAL)'!L35</f>
        <v>46029</v>
      </c>
      <c r="B35" s="6" t="str">
        <f>+'[1]VENTAS(RESUMEN GLOBAL)'!M35</f>
        <v>ECCE</v>
      </c>
      <c r="C35">
        <f>+'[1]VENTAS(RESUMEN GLOBAL)'!B35</f>
        <v>800400</v>
      </c>
      <c r="D35" t="str">
        <f>INDEX('[1]CÓDIGOS DE PRODUCTO'!$D$3:$D$1000,MATCH(C35,'[1]CÓDIGOS DE PRODUCTO'!$A$3:$A$1000,0))</f>
        <v>50181900 </v>
      </c>
      <c r="E35" t="str">
        <f>VLOOKUP(C35,'[1]CÓDIGOS DE PRODUCTO'!$A$4:$B$156,2,FALSE)</f>
        <v>Barritas FRESA</v>
      </c>
      <c r="F35" t="str">
        <f>INDEX('[1]CÓDIGOS DE PRODUCTO'!$C$3:$C$1000,MATCH(C35,'[1]CÓDIGOS DE PRODUCTO'!$A$3:$A$1000,0))</f>
        <v>GALLETAS Y PAN DULCE</v>
      </c>
      <c r="G35">
        <f>+'[1]VENTAS(RESUMEN GLOBAL)'!D35-'[1]VENTAS(RESUMEN GLOBAL)'!E35</f>
        <v>6</v>
      </c>
      <c r="H35" s="9">
        <f>+'[1]VENTAS(RESUMEN GLOBAL)'!K35</f>
        <v>7</v>
      </c>
      <c r="I35" s="8">
        <f>+G35*'[1]VENTAS(RESUMEN GLOBAL)'!F35</f>
        <v>120</v>
      </c>
      <c r="J35" s="8">
        <f>'[1]VENTAS(RESUMEN GLOBAL)'!G35*(1-'[1]VENTAS(RESUMEN GLOBAL)'!H35)</f>
        <v>53.999999999999993</v>
      </c>
      <c r="K35" s="8">
        <f t="shared" si="0"/>
        <v>66</v>
      </c>
      <c r="L35" s="8">
        <f>+'[1]VENTAS(RESUMEN GLOBAL)'!J35</f>
        <v>11</v>
      </c>
      <c r="M35" s="8">
        <f>+Tabla1[[#This Row],[utilidad x dia]]*7</f>
        <v>77</v>
      </c>
    </row>
    <row r="36" spans="1:13" x14ac:dyDescent="0.3">
      <c r="A36" s="6">
        <f>+'[1]VENTAS(RESUMEN GLOBAL)'!L36</f>
        <v>46029</v>
      </c>
      <c r="B36" s="6" t="str">
        <f>+'[1]VENTAS(RESUMEN GLOBAL)'!M36</f>
        <v>ECCE</v>
      </c>
      <c r="C36">
        <f>+'[1]VENTAS(RESUMEN GLOBAL)'!B36</f>
        <v>800700</v>
      </c>
      <c r="D36" t="str">
        <f>INDEX('[1]CÓDIGOS DE PRODUCTO'!$D$3:$D$1000,MATCH(C36,'[1]CÓDIGOS DE PRODUCTO'!$A$3:$A$1000,0))</f>
        <v>50181900 </v>
      </c>
      <c r="E36" t="str">
        <f>VLOOKUP(C36,'[1]CÓDIGOS DE PRODUCTO'!$A$4:$B$156,2,FALSE)</f>
        <v>BARRITAS PIÑA</v>
      </c>
      <c r="F36" t="str">
        <f>INDEX('[1]CÓDIGOS DE PRODUCTO'!$C$3:$C$1000,MATCH(C36,'[1]CÓDIGOS DE PRODUCTO'!$A$3:$A$1000,0))</f>
        <v>GALLETAS Y PAN DULCE</v>
      </c>
      <c r="G36">
        <f>+'[1]VENTAS(RESUMEN GLOBAL)'!D36-'[1]VENTAS(RESUMEN GLOBAL)'!E36</f>
        <v>1</v>
      </c>
      <c r="H36" s="9">
        <f>+'[1]VENTAS(RESUMEN GLOBAL)'!K36</f>
        <v>1.1666666666666665</v>
      </c>
      <c r="I36" s="8">
        <f>+G36*'[1]VENTAS(RESUMEN GLOBAL)'!F36</f>
        <v>20</v>
      </c>
      <c r="J36" s="8">
        <f>'[1]VENTAS(RESUMEN GLOBAL)'!G36*(1-'[1]VENTAS(RESUMEN GLOBAL)'!H36)</f>
        <v>9</v>
      </c>
      <c r="K36" s="8">
        <f t="shared" si="0"/>
        <v>11</v>
      </c>
      <c r="L36" s="8">
        <f>+'[1]VENTAS(RESUMEN GLOBAL)'!J36</f>
        <v>1.8333333333333333</v>
      </c>
      <c r="M36" s="8">
        <f>+Tabla1[[#This Row],[utilidad x dia]]*7</f>
        <v>12.833333333333332</v>
      </c>
    </row>
    <row r="37" spans="1:13" x14ac:dyDescent="0.3">
      <c r="A37" s="6">
        <f>+'[1]VENTAS(RESUMEN GLOBAL)'!L37</f>
        <v>46029</v>
      </c>
      <c r="B37" s="6" t="str">
        <f>+'[1]VENTAS(RESUMEN GLOBAL)'!M37</f>
        <v>ECCE</v>
      </c>
      <c r="C37">
        <f>+'[1]VENTAS(RESUMEN GLOBAL)'!B37</f>
        <v>701000</v>
      </c>
      <c r="D37" t="str">
        <f>INDEX('[1]CÓDIGOS DE PRODUCTO'!$D$3:$D$1000,MATCH(C37,'[1]CÓDIGOS DE PRODUCTO'!$A$3:$A$1000,0))</f>
        <v>50161511 </v>
      </c>
      <c r="E37" t="str">
        <f>VLOOKUP(C37,'[1]CÓDIGOS DE PRODUCTO'!$A$4:$B$156,2,FALSE)</f>
        <v>BUBULUBU</v>
      </c>
      <c r="F37" t="str">
        <f>INDEX('[1]CÓDIGOS DE PRODUCTO'!$C$3:$C$1000,MATCH(C37,'[1]CÓDIGOS DE PRODUCTO'!$A$3:$A$1000,0))</f>
        <v>CHOCOLATES</v>
      </c>
      <c r="G37">
        <f>+'[1]VENTAS(RESUMEN GLOBAL)'!D37-'[1]VENTAS(RESUMEN GLOBAL)'!E37</f>
        <v>6</v>
      </c>
      <c r="H37" s="9">
        <f>+'[1]VENTAS(RESUMEN GLOBAL)'!K37</f>
        <v>7</v>
      </c>
      <c r="I37" s="8">
        <f>+G37*'[1]VENTAS(RESUMEN GLOBAL)'!F37</f>
        <v>78</v>
      </c>
      <c r="J37" s="8">
        <f>'[1]VENTAS(RESUMEN GLOBAL)'!G37*(1-'[1]VENTAS(RESUMEN GLOBAL)'!H37)</f>
        <v>42.120000000000005</v>
      </c>
      <c r="K37" s="8">
        <f t="shared" si="0"/>
        <v>35.879999999999995</v>
      </c>
      <c r="L37" s="8">
        <f>+'[1]VENTAS(RESUMEN GLOBAL)'!J37</f>
        <v>8.4500000000000011</v>
      </c>
      <c r="M37" s="8">
        <f>+Tabla1[[#This Row],[utilidad x dia]]*7</f>
        <v>59.150000000000006</v>
      </c>
    </row>
    <row r="38" spans="1:13" x14ac:dyDescent="0.3">
      <c r="A38" s="6">
        <f>+'[1]VENTAS(RESUMEN GLOBAL)'!L38</f>
        <v>0</v>
      </c>
      <c r="B38" s="6">
        <f>+'[1]VENTAS(RESUMEN GLOBAL)'!M38</f>
        <v>0</v>
      </c>
      <c r="C38">
        <f>+'[1]VENTAS(RESUMEN GLOBAL)'!B38</f>
        <v>0</v>
      </c>
      <c r="D38" t="e">
        <f>INDEX('[1]CÓDIGOS DE PRODUCTO'!$D$3:$D$1000,MATCH(C38,'[1]CÓDIGOS DE PRODUCTO'!$A$3:$A$1000,0))</f>
        <v>#N/A</v>
      </c>
      <c r="E38">
        <f>VLOOKUP(C38,'[1]CÓDIGOS DE PRODUCTO'!$A$4:$B$156,2,FALSE)</f>
        <v>0</v>
      </c>
      <c r="F38">
        <f>INDEX('[1]CÓDIGOS DE PRODUCTO'!$C$3:$C$1000,MATCH(C38,'[1]CÓDIGOS DE PRODUCTO'!$A$3:$A$1000,0))</f>
        <v>0</v>
      </c>
      <c r="G38">
        <f>+'[1]VENTAS(RESUMEN GLOBAL)'!D38-'[1]VENTAS(RESUMEN GLOBAL)'!E38</f>
        <v>0</v>
      </c>
      <c r="H38" s="9">
        <f>+'[1]VENTAS(RESUMEN GLOBAL)'!K38</f>
        <v>0</v>
      </c>
      <c r="I38" s="8">
        <f>+G38*'[1]VENTAS(RESUMEN GLOBAL)'!F38</f>
        <v>0</v>
      </c>
      <c r="J38" s="8">
        <f>'[1]VENTAS(RESUMEN GLOBAL)'!G38*(1-'[1]VENTAS(RESUMEN GLOBAL)'!H38)</f>
        <v>0</v>
      </c>
      <c r="K38" s="8">
        <f t="shared" si="0"/>
        <v>0</v>
      </c>
      <c r="L38" s="8">
        <f>+'[1]VENTAS(RESUMEN GLOBAL)'!J38</f>
        <v>0</v>
      </c>
      <c r="M38" s="8">
        <f>+Tabla1[[#This Row],[utilidad x dia]]*7</f>
        <v>0</v>
      </c>
    </row>
    <row r="39" spans="1:13" x14ac:dyDescent="0.3">
      <c r="A39" s="6">
        <f>+'[1]VENTAS(RESUMEN GLOBAL)'!L39</f>
        <v>46034</v>
      </c>
      <c r="B39" s="6" t="str">
        <f>+'[1]VENTAS(RESUMEN GLOBAL)'!M39</f>
        <v>ECCE</v>
      </c>
      <c r="C39">
        <f>+'[1]VENTAS(RESUMEN GLOBAL)'!B39</f>
        <v>100200</v>
      </c>
      <c r="D39" t="str">
        <f>INDEX('[1]CÓDIGOS DE PRODUCTO'!$D$3:$D$1000,MATCH(C39,'[1]CÓDIGOS DE PRODUCTO'!$A$3:$A$1000,0))</f>
        <v>50202300 </v>
      </c>
      <c r="E39" t="str">
        <f>VLOOKUP(C39,'[1]CÓDIGOS DE PRODUCTO'!$A$4:$B$156,2,FALSE)</f>
        <v>Agua SAMS</v>
      </c>
      <c r="F39" t="str">
        <f>INDEX('[1]CÓDIGOS DE PRODUCTO'!$C$3:$C$1000,MATCH(C39,'[1]CÓDIGOS DE PRODUCTO'!$A$3:$A$1000,0))</f>
        <v>Bebidas</v>
      </c>
      <c r="G39">
        <f>+'[1]VENTAS(RESUMEN GLOBAL)'!D39-'[1]VENTAS(RESUMEN GLOBAL)'!E39</f>
        <v>4</v>
      </c>
      <c r="H39" s="9">
        <f>+'[1]VENTAS(RESUMEN GLOBAL)'!K39</f>
        <v>5.6000000000000005</v>
      </c>
      <c r="I39" s="8">
        <f>+G39*'[1]VENTAS(RESUMEN GLOBAL)'!F39</f>
        <v>80</v>
      </c>
      <c r="J39" s="8">
        <f>'[1]VENTAS(RESUMEN GLOBAL)'!G39*(1-'[1]VENTAS(RESUMEN GLOBAL)'!H39)</f>
        <v>12.285714285714295</v>
      </c>
      <c r="K39" s="8">
        <f t="shared" si="0"/>
        <v>67.714285714285708</v>
      </c>
      <c r="L39" s="8">
        <f>+'[1]VENTAS(RESUMEN GLOBAL)'!J39</f>
        <v>13.542857142857141</v>
      </c>
      <c r="M39" s="8">
        <f>+Tabla1[[#This Row],[utilidad x dia]]*7</f>
        <v>94.799999999999983</v>
      </c>
    </row>
    <row r="40" spans="1:13" x14ac:dyDescent="0.3">
      <c r="A40" s="6">
        <f>+'[1]VENTAS(RESUMEN GLOBAL)'!L40</f>
        <v>46034</v>
      </c>
      <c r="B40" s="6" t="str">
        <f>+'[1]VENTAS(RESUMEN GLOBAL)'!M40</f>
        <v>ECCE</v>
      </c>
      <c r="C40">
        <f>+'[1]VENTAS(RESUMEN GLOBAL)'!B40</f>
        <v>100800</v>
      </c>
      <c r="D40" t="str">
        <f>INDEX('[1]CÓDIGOS DE PRODUCTO'!$D$3:$D$1000,MATCH(C40,'[1]CÓDIGOS DE PRODUCTO'!$A$3:$A$1000,0))</f>
        <v>50202300 </v>
      </c>
      <c r="E40" t="str">
        <f>VLOOKUP(C40,'[1]CÓDIGOS DE PRODUCTO'!$A$4:$B$156,2,FALSE)</f>
        <v>TÉ VERDE KIRKLAND</v>
      </c>
      <c r="F40" t="str">
        <f>INDEX('[1]CÓDIGOS DE PRODUCTO'!$C$3:$C$1000,MATCH(C40,'[1]CÓDIGOS DE PRODUCTO'!$A$3:$A$1000,0))</f>
        <v>Bebidas</v>
      </c>
      <c r="G40">
        <f>+'[1]VENTAS(RESUMEN GLOBAL)'!D40-'[1]VENTAS(RESUMEN GLOBAL)'!E40</f>
        <v>3</v>
      </c>
      <c r="H40" s="9">
        <f>+'[1]VENTAS(RESUMEN GLOBAL)'!K40</f>
        <v>4.2</v>
      </c>
      <c r="I40" s="8">
        <f>+G40*'[1]VENTAS(RESUMEN GLOBAL)'!F40</f>
        <v>60</v>
      </c>
      <c r="J40" s="8">
        <f>'[1]VENTAS(RESUMEN GLOBAL)'!G40*(1-'[1]VENTAS(RESUMEN GLOBAL)'!H40)</f>
        <v>9.6000000000000014</v>
      </c>
      <c r="K40" s="8">
        <f t="shared" si="0"/>
        <v>50.4</v>
      </c>
      <c r="L40" s="8">
        <f>+'[1]VENTAS(RESUMEN GLOBAL)'!J40</f>
        <v>10.08</v>
      </c>
      <c r="M40" s="8">
        <f>+Tabla1[[#This Row],[utilidad x dia]]*7</f>
        <v>70.56</v>
      </c>
    </row>
    <row r="41" spans="1:13" x14ac:dyDescent="0.3">
      <c r="A41" s="6">
        <f>+'[1]VENTAS(RESUMEN GLOBAL)'!L41</f>
        <v>46034</v>
      </c>
      <c r="B41" s="6" t="str">
        <f>+'[1]VENTAS(RESUMEN GLOBAL)'!M41</f>
        <v>ECCE</v>
      </c>
      <c r="C41">
        <f>+'[1]VENTAS(RESUMEN GLOBAL)'!B41</f>
        <v>200200</v>
      </c>
      <c r="D41" t="str">
        <f>INDEX('[1]CÓDIGOS DE PRODUCTO'!$D$3:$D$1000,MATCH(C41,'[1]CÓDIGOS DE PRODUCTO'!$A$3:$A$1000,0))</f>
        <v>IDENTIFICAR MANUAL</v>
      </c>
      <c r="E41" t="str">
        <f>VLOOKUP(C41,'[1]CÓDIGOS DE PRODUCTO'!$A$4:$B$156,2,FALSE)</f>
        <v>KIT DENTAL</v>
      </c>
      <c r="F41" t="str">
        <f>INDEX('[1]CÓDIGOS DE PRODUCTO'!$C$3:$C$1000,MATCH(C41,'[1]CÓDIGOS DE PRODUCTO'!$A$3:$A$1000,0))</f>
        <v>Pharmacy</v>
      </c>
      <c r="G41">
        <f>+'[1]VENTAS(RESUMEN GLOBAL)'!D41-'[1]VENTAS(RESUMEN GLOBAL)'!E41</f>
        <v>3</v>
      </c>
      <c r="H41" s="9">
        <f>+'[1]VENTAS(RESUMEN GLOBAL)'!K41</f>
        <v>4.2</v>
      </c>
      <c r="I41" s="8">
        <f>+G41*'[1]VENTAS(RESUMEN GLOBAL)'!F41</f>
        <v>180</v>
      </c>
      <c r="J41" s="8">
        <f>'[1]VENTAS(RESUMEN GLOBAL)'!G41*(1-'[1]VENTAS(RESUMEN GLOBAL)'!H41)</f>
        <v>66.599999999999994</v>
      </c>
      <c r="K41" s="8">
        <f t="shared" si="0"/>
        <v>113.4</v>
      </c>
      <c r="L41" s="8">
        <f>+'[1]VENTAS(RESUMEN GLOBAL)'!J41</f>
        <v>22.68</v>
      </c>
      <c r="M41" s="8">
        <f>+Tabla1[[#This Row],[utilidad x dia]]*7</f>
        <v>158.76</v>
      </c>
    </row>
    <row r="42" spans="1:13" x14ac:dyDescent="0.3">
      <c r="A42" s="6">
        <f>+'[1]VENTAS(RESUMEN GLOBAL)'!L42</f>
        <v>46034</v>
      </c>
      <c r="B42" s="6" t="str">
        <f>+'[1]VENTAS(RESUMEN GLOBAL)'!M42</f>
        <v>ECCE</v>
      </c>
      <c r="C42">
        <f>+'[1]VENTAS(RESUMEN GLOBAL)'!B42</f>
        <v>200100</v>
      </c>
      <c r="D42" t="str">
        <f>INDEX('[1]CÓDIGOS DE PRODUCTO'!$D$3:$D$1000,MATCH(C42,'[1]CÓDIGOS DE PRODUCTO'!$A$3:$A$1000,0))</f>
        <v>IDENTIFICAR MANUAL</v>
      </c>
      <c r="E42" t="str">
        <f>VLOOKUP(C42,'[1]CÓDIGOS DE PRODUCTO'!$A$4:$B$156,2,FALSE)</f>
        <v>Bloqueador</v>
      </c>
      <c r="F42" t="str">
        <f>INDEX('[1]CÓDIGOS DE PRODUCTO'!$C$3:$C$1000,MATCH(C42,'[1]CÓDIGOS DE PRODUCTO'!$A$3:$A$1000,0))</f>
        <v>Pharmacy</v>
      </c>
      <c r="G42">
        <f>+'[1]VENTAS(RESUMEN GLOBAL)'!D42-'[1]VENTAS(RESUMEN GLOBAL)'!E42</f>
        <v>0</v>
      </c>
      <c r="H42" s="9">
        <f>+'[1]VENTAS(RESUMEN GLOBAL)'!K42</f>
        <v>0</v>
      </c>
      <c r="I42" s="8">
        <f>+G42*'[1]VENTAS(RESUMEN GLOBAL)'!F42</f>
        <v>0</v>
      </c>
      <c r="J42" s="8">
        <f>'[1]VENTAS(RESUMEN GLOBAL)'!G42*(1-'[1]VENTAS(RESUMEN GLOBAL)'!H42)</f>
        <v>0</v>
      </c>
      <c r="K42" s="8">
        <f t="shared" si="0"/>
        <v>0</v>
      </c>
      <c r="L42" s="8">
        <f>+'[1]VENTAS(RESUMEN GLOBAL)'!J42</f>
        <v>0</v>
      </c>
      <c r="M42" s="8">
        <f>+Tabla1[[#This Row],[utilidad x dia]]*7</f>
        <v>0</v>
      </c>
    </row>
    <row r="43" spans="1:13" x14ac:dyDescent="0.3">
      <c r="A43" s="6">
        <f>+'[1]VENTAS(RESUMEN GLOBAL)'!L43</f>
        <v>46034</v>
      </c>
      <c r="B43" s="6" t="str">
        <f>+'[1]VENTAS(RESUMEN GLOBAL)'!M43</f>
        <v>ECCE</v>
      </c>
      <c r="C43">
        <f>+'[1]VENTAS(RESUMEN GLOBAL)'!B43</f>
        <v>100300</v>
      </c>
      <c r="D43" t="str">
        <f>INDEX('[1]CÓDIGOS DE PRODUCTO'!$D$3:$D$1000,MATCH(C43,'[1]CÓDIGOS DE PRODUCTO'!$A$3:$A$1000,0))</f>
        <v>50202300 </v>
      </c>
      <c r="E43" t="str">
        <f>VLOOKUP(C43,'[1]CÓDIGOS DE PRODUCTO'!$A$4:$B$156,2,FALSE)</f>
        <v>Gatorade</v>
      </c>
      <c r="F43" t="str">
        <f>INDEX('[1]CÓDIGOS DE PRODUCTO'!$C$3:$C$1000,MATCH(C43,'[1]CÓDIGOS DE PRODUCTO'!$A$3:$A$1000,0))</f>
        <v>Bebidas</v>
      </c>
      <c r="G43">
        <f>+'[1]VENTAS(RESUMEN GLOBAL)'!D43-'[1]VENTAS(RESUMEN GLOBAL)'!E43</f>
        <v>0</v>
      </c>
      <c r="H43" s="9">
        <f>+'[1]VENTAS(RESUMEN GLOBAL)'!K43</f>
        <v>0</v>
      </c>
      <c r="I43" s="8">
        <f>+G43*'[1]VENTAS(RESUMEN GLOBAL)'!F43</f>
        <v>0</v>
      </c>
      <c r="J43" s="8">
        <f>'[1]VENTAS(RESUMEN GLOBAL)'!G43*(1-'[1]VENTAS(RESUMEN GLOBAL)'!H43)</f>
        <v>0</v>
      </c>
      <c r="K43" s="8">
        <f t="shared" si="0"/>
        <v>0</v>
      </c>
      <c r="L43" s="8">
        <f>+'[1]VENTAS(RESUMEN GLOBAL)'!J43</f>
        <v>0</v>
      </c>
      <c r="M43" s="8">
        <f>+Tabla1[[#This Row],[utilidad x dia]]*7</f>
        <v>0</v>
      </c>
    </row>
    <row r="44" spans="1:13" x14ac:dyDescent="0.3">
      <c r="A44" s="6">
        <f>+'[1]VENTAS(RESUMEN GLOBAL)'!L44</f>
        <v>46034</v>
      </c>
      <c r="B44" s="6" t="str">
        <f>+'[1]VENTAS(RESUMEN GLOBAL)'!M44</f>
        <v>ECCE</v>
      </c>
      <c r="C44">
        <f>+'[1]VENTAS(RESUMEN GLOBAL)'!B44</f>
        <v>800100</v>
      </c>
      <c r="D44" t="str">
        <f>INDEX('[1]CÓDIGOS DE PRODUCTO'!$D$3:$D$1000,MATCH(C44,'[1]CÓDIGOS DE PRODUCTO'!$A$3:$A$1000,0))</f>
        <v>50181900 </v>
      </c>
      <c r="E44" t="str">
        <f>VLOOKUP(C44,'[1]CÓDIGOS DE PRODUCTO'!$A$4:$B$156,2,FALSE)</f>
        <v>MARINELA MIX (8 PZ)</v>
      </c>
      <c r="F44" t="str">
        <f>INDEX('[1]CÓDIGOS DE PRODUCTO'!$C$3:$C$1000,MATCH(C44,'[1]CÓDIGOS DE PRODUCTO'!$A$3:$A$1000,0))</f>
        <v>GALLETAS Y PAN DULCE</v>
      </c>
      <c r="G44">
        <f>+'[1]VENTAS(RESUMEN GLOBAL)'!D44-'[1]VENTAS(RESUMEN GLOBAL)'!E44</f>
        <v>2</v>
      </c>
      <c r="H44" s="9">
        <f>+'[1]VENTAS(RESUMEN GLOBAL)'!K44</f>
        <v>2.8000000000000003</v>
      </c>
      <c r="I44" s="8">
        <f>+G44*'[1]VENTAS(RESUMEN GLOBAL)'!F44</f>
        <v>50</v>
      </c>
      <c r="J44" s="8">
        <f>'[1]VENTAS(RESUMEN GLOBAL)'!G44*(1-'[1]VENTAS(RESUMEN GLOBAL)'!H44)</f>
        <v>21.999999999999996</v>
      </c>
      <c r="K44" s="8">
        <f t="shared" si="0"/>
        <v>28.000000000000004</v>
      </c>
      <c r="L44" s="8">
        <f>+'[1]VENTAS(RESUMEN GLOBAL)'!J44</f>
        <v>5.6000000000000005</v>
      </c>
      <c r="M44" s="8">
        <f>+Tabla1[[#This Row],[utilidad x dia]]*7</f>
        <v>39.200000000000003</v>
      </c>
    </row>
    <row r="45" spans="1:13" x14ac:dyDescent="0.3">
      <c r="A45" s="6">
        <f>+'[1]VENTAS(RESUMEN GLOBAL)'!L45</f>
        <v>46034</v>
      </c>
      <c r="B45" s="6" t="str">
        <f>+'[1]VENTAS(RESUMEN GLOBAL)'!M45</f>
        <v>ECCE</v>
      </c>
      <c r="C45">
        <f>+'[1]VENTAS(RESUMEN GLOBAL)'!B45</f>
        <v>300200</v>
      </c>
      <c r="D45" t="str">
        <f>INDEX('[1]CÓDIGOS DE PRODUCTO'!$D$3:$D$1000,MATCH(C45,'[1]CÓDIGOS DE PRODUCTO'!$A$3:$A$1000,0))</f>
        <v>50161800 </v>
      </c>
      <c r="E45" t="str">
        <f>VLOOKUP(C45,'[1]CÓDIGOS DE PRODUCTO'!$A$4:$B$156,2,FALSE)</f>
        <v>SKWINKLES</v>
      </c>
      <c r="F45" t="str">
        <f>INDEX('[1]CÓDIGOS DE PRODUCTO'!$C$3:$C$1000,MATCH(C45,'[1]CÓDIGOS DE PRODUCTO'!$A$3:$A$1000,0))</f>
        <v>Snacks &amp; Dulces</v>
      </c>
      <c r="G45">
        <f>+'[1]VENTAS(RESUMEN GLOBAL)'!D45-'[1]VENTAS(RESUMEN GLOBAL)'!E45</f>
        <v>0</v>
      </c>
      <c r="H45" s="9">
        <f>+'[1]VENTAS(RESUMEN GLOBAL)'!K45</f>
        <v>0</v>
      </c>
      <c r="I45" s="8">
        <f>+G45*'[1]VENTAS(RESUMEN GLOBAL)'!F45</f>
        <v>0</v>
      </c>
      <c r="J45" s="8">
        <f>'[1]VENTAS(RESUMEN GLOBAL)'!G45*(1-'[1]VENTAS(RESUMEN GLOBAL)'!H45)</f>
        <v>0</v>
      </c>
      <c r="K45" s="8">
        <f t="shared" si="0"/>
        <v>0</v>
      </c>
      <c r="L45" s="8">
        <f>+'[1]VENTAS(RESUMEN GLOBAL)'!J45</f>
        <v>0</v>
      </c>
      <c r="M45" s="8">
        <f>+Tabla1[[#This Row],[utilidad x dia]]*7</f>
        <v>0</v>
      </c>
    </row>
    <row r="46" spans="1:13" x14ac:dyDescent="0.3">
      <c r="A46" s="6">
        <f>+'[1]VENTAS(RESUMEN GLOBAL)'!L46</f>
        <v>46034</v>
      </c>
      <c r="B46" s="6" t="str">
        <f>+'[1]VENTAS(RESUMEN GLOBAL)'!M46</f>
        <v>ECCE</v>
      </c>
      <c r="C46">
        <f>+'[1]VENTAS(RESUMEN GLOBAL)'!B46</f>
        <v>900300</v>
      </c>
      <c r="D46">
        <f>INDEX('[1]CÓDIGOS DE PRODUCTO'!$D$3:$D$1000,MATCH(C46,'[1]CÓDIGOS DE PRODUCTO'!$A$3:$A$1000,0))</f>
        <v>50161815</v>
      </c>
      <c r="E46" t="str">
        <f>VLOOKUP(C46,'[1]CÓDIGOS DE PRODUCTO'!$A$4:$B$156,2,FALSE)</f>
        <v>CHICLES TRIDENT</v>
      </c>
      <c r="F46" t="str">
        <f>INDEX('[1]CÓDIGOS DE PRODUCTO'!$C$3:$C$1000,MATCH(C46,'[1]CÓDIGOS DE PRODUCTO'!$A$3:$A$1000,0))</f>
        <v>OTROS</v>
      </c>
      <c r="G46">
        <f>+'[1]VENTAS(RESUMEN GLOBAL)'!D46-'[1]VENTAS(RESUMEN GLOBAL)'!E46</f>
        <v>4</v>
      </c>
      <c r="H46" s="9">
        <f>+'[1]VENTAS(RESUMEN GLOBAL)'!K46</f>
        <v>5.6000000000000005</v>
      </c>
      <c r="I46" s="8">
        <f>+G46*'[1]VENTAS(RESUMEN GLOBAL)'!F46</f>
        <v>100</v>
      </c>
      <c r="J46" s="8">
        <f>'[1]VENTAS(RESUMEN GLOBAL)'!G46*(1-'[1]VENTAS(RESUMEN GLOBAL)'!H46)</f>
        <v>60</v>
      </c>
      <c r="K46" s="8">
        <f t="shared" si="0"/>
        <v>40</v>
      </c>
      <c r="L46" s="8">
        <f>+'[1]VENTAS(RESUMEN GLOBAL)'!J46</f>
        <v>8</v>
      </c>
      <c r="M46" s="8">
        <f>+Tabla1[[#This Row],[utilidad x dia]]*7</f>
        <v>56</v>
      </c>
    </row>
    <row r="47" spans="1:13" x14ac:dyDescent="0.3">
      <c r="A47" s="6">
        <f>+'[1]VENTAS(RESUMEN GLOBAL)'!L47</f>
        <v>46034</v>
      </c>
      <c r="B47" s="6" t="str">
        <f>+'[1]VENTAS(RESUMEN GLOBAL)'!M47</f>
        <v>ECCE</v>
      </c>
      <c r="C47">
        <f>+'[1]VENTAS(RESUMEN GLOBAL)'!B47</f>
        <v>400200</v>
      </c>
      <c r="D47" t="str">
        <f>INDEX('[1]CÓDIGOS DE PRODUCTO'!$D$3:$D$1000,MATCH(C47,'[1]CÓDIGOS DE PRODUCTO'!$A$3:$A$1000,0))</f>
        <v>N/A</v>
      </c>
      <c r="E47" t="str">
        <f>VLOOKUP(C47,'[1]CÓDIGOS DE PRODUCTO'!$A$4:$B$156,2,FALSE)</f>
        <v>MARLBORO ROJOS</v>
      </c>
      <c r="F47" t="str">
        <f>INDEX('[1]CÓDIGOS DE PRODUCTO'!$C$3:$C$1000,MATCH(C47,'[1]CÓDIGOS DE PRODUCTO'!$A$3:$A$1000,0))</f>
        <v>Cigarros</v>
      </c>
      <c r="G47">
        <f>+'[1]VENTAS(RESUMEN GLOBAL)'!D47-'[1]VENTAS(RESUMEN GLOBAL)'!E47</f>
        <v>1</v>
      </c>
      <c r="H47" s="9">
        <f>+'[1]VENTAS(RESUMEN GLOBAL)'!K47</f>
        <v>1.4000000000000001</v>
      </c>
      <c r="I47" s="8">
        <f>+G47*'[1]VENTAS(RESUMEN GLOBAL)'!F47</f>
        <v>130</v>
      </c>
      <c r="J47" s="8">
        <f>'[1]VENTAS(RESUMEN GLOBAL)'!G47*(1-'[1]VENTAS(RESUMEN GLOBAL)'!H47)</f>
        <v>80.599999999999994</v>
      </c>
      <c r="K47" s="8">
        <f t="shared" si="0"/>
        <v>49.400000000000006</v>
      </c>
      <c r="L47" s="8">
        <f>+'[1]VENTAS(RESUMEN GLOBAL)'!J47</f>
        <v>9.879999999999999</v>
      </c>
      <c r="M47" s="8">
        <f>+Tabla1[[#This Row],[utilidad x dia]]*7</f>
        <v>69.16</v>
      </c>
    </row>
    <row r="48" spans="1:13" x14ac:dyDescent="0.3">
      <c r="A48" s="6">
        <f>+'[1]VENTAS(RESUMEN GLOBAL)'!L48</f>
        <v>46034</v>
      </c>
      <c r="B48" s="6" t="str">
        <f>+'[1]VENTAS(RESUMEN GLOBAL)'!M48</f>
        <v>ECCE</v>
      </c>
      <c r="C48">
        <f>+'[1]VENTAS(RESUMEN GLOBAL)'!B48</f>
        <v>400100</v>
      </c>
      <c r="D48" t="str">
        <f>INDEX('[1]CÓDIGOS DE PRODUCTO'!$D$3:$D$1000,MATCH(C48,'[1]CÓDIGOS DE PRODUCTO'!$A$3:$A$1000,0))</f>
        <v>N/A</v>
      </c>
      <c r="E48" t="str">
        <f>VLOOKUP(C48,'[1]CÓDIGOS DE PRODUCTO'!$A$4:$B$156,2,FALSE)</f>
        <v>MARLBORO BLANCOS</v>
      </c>
      <c r="F48" t="str">
        <f>INDEX('[1]CÓDIGOS DE PRODUCTO'!$C$3:$C$1000,MATCH(C48,'[1]CÓDIGOS DE PRODUCTO'!$A$3:$A$1000,0))</f>
        <v>Cigarros</v>
      </c>
      <c r="G48">
        <f>+'[1]VENTAS(RESUMEN GLOBAL)'!D48-'[1]VENTAS(RESUMEN GLOBAL)'!E48</f>
        <v>0</v>
      </c>
      <c r="H48" s="9">
        <f>+'[1]VENTAS(RESUMEN GLOBAL)'!K48</f>
        <v>0</v>
      </c>
      <c r="I48" s="8">
        <f>+G48*'[1]VENTAS(RESUMEN GLOBAL)'!F48</f>
        <v>0</v>
      </c>
      <c r="J48" s="8">
        <f>'[1]VENTAS(RESUMEN GLOBAL)'!G48*(1-'[1]VENTAS(RESUMEN GLOBAL)'!H48)</f>
        <v>0</v>
      </c>
      <c r="K48" s="8">
        <f t="shared" si="0"/>
        <v>0</v>
      </c>
      <c r="L48" s="8">
        <f>+'[1]VENTAS(RESUMEN GLOBAL)'!J48</f>
        <v>0</v>
      </c>
      <c r="M48" s="8">
        <f>+Tabla1[[#This Row],[utilidad x dia]]*7</f>
        <v>0</v>
      </c>
    </row>
    <row r="49" spans="1:13" x14ac:dyDescent="0.3">
      <c r="A49" s="6">
        <f>+'[1]VENTAS(RESUMEN GLOBAL)'!L49</f>
        <v>46034</v>
      </c>
      <c r="B49" s="6" t="str">
        <f>+'[1]VENTAS(RESUMEN GLOBAL)'!M49</f>
        <v>ECCE</v>
      </c>
      <c r="C49">
        <f>+'[1]VENTAS(RESUMEN GLOBAL)'!B49</f>
        <v>300700</v>
      </c>
      <c r="D49" t="str">
        <f>INDEX('[1]CÓDIGOS DE PRODUCTO'!$D$3:$D$1000,MATCH(C49,'[1]CÓDIGOS DE PRODUCTO'!$A$3:$A$1000,0))</f>
        <v>50161800 </v>
      </c>
      <c r="E49" t="str">
        <f>VLOOKUP(C49,'[1]CÓDIGOS DE PRODUCTO'!$A$4:$B$156,2,FALSE)</f>
        <v>ZUMBA GOMA</v>
      </c>
      <c r="F49" t="str">
        <f>INDEX('[1]CÓDIGOS DE PRODUCTO'!$C$3:$C$1000,MATCH(C49,'[1]CÓDIGOS DE PRODUCTO'!$A$3:$A$1000,0))</f>
        <v>Snacks &amp; Dulces</v>
      </c>
      <c r="G49">
        <f>+'[1]VENTAS(RESUMEN GLOBAL)'!D49-'[1]VENTAS(RESUMEN GLOBAL)'!E49</f>
        <v>2</v>
      </c>
      <c r="H49" s="9">
        <f>+'[1]VENTAS(RESUMEN GLOBAL)'!K49</f>
        <v>2.8000000000000003</v>
      </c>
      <c r="I49" s="8">
        <f>+G49*'[1]VENTAS(RESUMEN GLOBAL)'!F49</f>
        <v>20</v>
      </c>
      <c r="J49" s="8">
        <f>'[1]VENTAS(RESUMEN GLOBAL)'!G49*(1-'[1]VENTAS(RESUMEN GLOBAL)'!H49)</f>
        <v>4.3999999999999995</v>
      </c>
      <c r="K49" s="8">
        <f t="shared" si="0"/>
        <v>15.600000000000001</v>
      </c>
      <c r="L49" s="8">
        <f>+'[1]VENTAS(RESUMEN GLOBAL)'!J49</f>
        <v>3.12</v>
      </c>
      <c r="M49" s="8">
        <f>+Tabla1[[#This Row],[utilidad x dia]]*7</f>
        <v>21.84</v>
      </c>
    </row>
    <row r="50" spans="1:13" x14ac:dyDescent="0.3">
      <c r="A50" s="6">
        <f>+'[1]VENTAS(RESUMEN GLOBAL)'!L50</f>
        <v>46034</v>
      </c>
      <c r="B50" s="6" t="str">
        <f>+'[1]VENTAS(RESUMEN GLOBAL)'!M50</f>
        <v>ECCE</v>
      </c>
      <c r="C50">
        <f>+'[1]VENTAS(RESUMEN GLOBAL)'!B50</f>
        <v>300500</v>
      </c>
      <c r="D50" t="str">
        <f>INDEX('[1]CÓDIGOS DE PRODUCTO'!$D$3:$D$1000,MATCH(C50,'[1]CÓDIGOS DE PRODUCTO'!$A$3:$A$1000,0))</f>
        <v>50161800 </v>
      </c>
      <c r="E50" t="str">
        <f>VLOOKUP(C50,'[1]CÓDIGOS DE PRODUCTO'!$A$4:$B$156,2,FALSE)</f>
        <v>Halls</v>
      </c>
      <c r="F50" t="str">
        <f>INDEX('[1]CÓDIGOS DE PRODUCTO'!$C$3:$C$1000,MATCH(C50,'[1]CÓDIGOS DE PRODUCTO'!$A$3:$A$1000,0))</f>
        <v>Snacks &amp; Dulces</v>
      </c>
      <c r="G50">
        <f>+'[1]VENTAS(RESUMEN GLOBAL)'!D50-'[1]VENTAS(RESUMEN GLOBAL)'!E50</f>
        <v>0</v>
      </c>
      <c r="H50" s="9">
        <f>+'[1]VENTAS(RESUMEN GLOBAL)'!K50</f>
        <v>0</v>
      </c>
      <c r="I50" s="8">
        <f>+G50*'[1]VENTAS(RESUMEN GLOBAL)'!F50</f>
        <v>0</v>
      </c>
      <c r="J50" s="8">
        <f>'[1]VENTAS(RESUMEN GLOBAL)'!G50*(1-'[1]VENTAS(RESUMEN GLOBAL)'!H50)</f>
        <v>0</v>
      </c>
      <c r="K50" s="8">
        <f t="shared" si="0"/>
        <v>0</v>
      </c>
      <c r="L50" s="8">
        <f>+'[1]VENTAS(RESUMEN GLOBAL)'!J50</f>
        <v>0</v>
      </c>
      <c r="M50" s="8">
        <f>+Tabla1[[#This Row],[utilidad x dia]]*7</f>
        <v>0</v>
      </c>
    </row>
    <row r="51" spans="1:13" x14ac:dyDescent="0.3">
      <c r="A51" s="6">
        <f>+'[1]VENTAS(RESUMEN GLOBAL)'!L51</f>
        <v>46034</v>
      </c>
      <c r="B51" s="6" t="str">
        <f>+'[1]VENTAS(RESUMEN GLOBAL)'!M51</f>
        <v>ECCE</v>
      </c>
      <c r="C51">
        <f>+'[1]VENTAS(RESUMEN GLOBAL)'!B51</f>
        <v>700700</v>
      </c>
      <c r="D51" t="str">
        <f>INDEX('[1]CÓDIGOS DE PRODUCTO'!$D$3:$D$1000,MATCH(C51,'[1]CÓDIGOS DE PRODUCTO'!$A$3:$A$1000,0))</f>
        <v>50161511 </v>
      </c>
      <c r="E51" t="str">
        <f>VLOOKUP(C51,'[1]CÓDIGOS DE PRODUCTO'!$A$4:$B$156,2,FALSE)</f>
        <v>Milkiway</v>
      </c>
      <c r="F51" t="str">
        <f>INDEX('[1]CÓDIGOS DE PRODUCTO'!$C$3:$C$1000,MATCH(C51,'[1]CÓDIGOS DE PRODUCTO'!$A$3:$A$1000,0))</f>
        <v>CHOCOLATES</v>
      </c>
      <c r="G51">
        <f>+'[1]VENTAS(RESUMEN GLOBAL)'!D51-'[1]VENTAS(RESUMEN GLOBAL)'!E51</f>
        <v>1</v>
      </c>
      <c r="H51" s="9">
        <f>+'[1]VENTAS(RESUMEN GLOBAL)'!K51</f>
        <v>1.4000000000000001</v>
      </c>
      <c r="I51" s="8">
        <f>+G51*'[1]VENTAS(RESUMEN GLOBAL)'!F51</f>
        <v>25</v>
      </c>
      <c r="J51" s="8">
        <f>'[1]VENTAS(RESUMEN GLOBAL)'!G51*(1-'[1]VENTAS(RESUMEN GLOBAL)'!H51)</f>
        <v>10</v>
      </c>
      <c r="K51" s="8">
        <f t="shared" si="0"/>
        <v>15</v>
      </c>
      <c r="L51" s="8">
        <f>+'[1]VENTAS(RESUMEN GLOBAL)'!J51</f>
        <v>3</v>
      </c>
      <c r="M51" s="8">
        <f>+Tabla1[[#This Row],[utilidad x dia]]*7</f>
        <v>21</v>
      </c>
    </row>
    <row r="52" spans="1:13" x14ac:dyDescent="0.3">
      <c r="A52" s="6">
        <f>+'[1]VENTAS(RESUMEN GLOBAL)'!L52</f>
        <v>46034</v>
      </c>
      <c r="B52" s="6" t="str">
        <f>+'[1]VENTAS(RESUMEN GLOBAL)'!M52</f>
        <v>ECCE</v>
      </c>
      <c r="C52">
        <f>+'[1]VENTAS(RESUMEN GLOBAL)'!B52</f>
        <v>700800</v>
      </c>
      <c r="D52" t="str">
        <f>INDEX('[1]CÓDIGOS DE PRODUCTO'!$D$3:$D$1000,MATCH(C52,'[1]CÓDIGOS DE PRODUCTO'!$A$3:$A$1000,0))</f>
        <v>50161511 </v>
      </c>
      <c r="E52" t="str">
        <f>VLOOKUP(C52,'[1]CÓDIGOS DE PRODUCTO'!$A$4:$B$156,2,FALSE)</f>
        <v>Kinder delice</v>
      </c>
      <c r="F52" t="str">
        <f>INDEX('[1]CÓDIGOS DE PRODUCTO'!$C$3:$C$1000,MATCH(C52,'[1]CÓDIGOS DE PRODUCTO'!$A$3:$A$1000,0))</f>
        <v>CHOCOLATES</v>
      </c>
      <c r="G52">
        <f>+'[1]VENTAS(RESUMEN GLOBAL)'!D52-'[1]VENTAS(RESUMEN GLOBAL)'!E52</f>
        <v>2</v>
      </c>
      <c r="H52" s="9">
        <f>+'[1]VENTAS(RESUMEN GLOBAL)'!K52</f>
        <v>2.8000000000000003</v>
      </c>
      <c r="I52" s="8">
        <f>+G52*'[1]VENTAS(RESUMEN GLOBAL)'!F52</f>
        <v>50</v>
      </c>
      <c r="J52" s="8">
        <f>'[1]VENTAS(RESUMEN GLOBAL)'!G52*(1-'[1]VENTAS(RESUMEN GLOBAL)'!H52)</f>
        <v>25</v>
      </c>
      <c r="K52" s="8">
        <f t="shared" si="0"/>
        <v>25</v>
      </c>
      <c r="L52" s="8">
        <f>+'[1]VENTAS(RESUMEN GLOBAL)'!J52</f>
        <v>5</v>
      </c>
      <c r="M52" s="8">
        <f>+Tabla1[[#This Row],[utilidad x dia]]*7</f>
        <v>35</v>
      </c>
    </row>
    <row r="53" spans="1:13" x14ac:dyDescent="0.3">
      <c r="A53" s="6">
        <f>+'[1]VENTAS(RESUMEN GLOBAL)'!L53</f>
        <v>46034</v>
      </c>
      <c r="B53" s="6" t="str">
        <f>+'[1]VENTAS(RESUMEN GLOBAL)'!M53</f>
        <v>ECCE</v>
      </c>
      <c r="C53">
        <f>+'[1]VENTAS(RESUMEN GLOBAL)'!B53</f>
        <v>700200</v>
      </c>
      <c r="D53" t="str">
        <f>INDEX('[1]CÓDIGOS DE PRODUCTO'!$D$3:$D$1000,MATCH(C53,'[1]CÓDIGOS DE PRODUCTO'!$A$3:$A$1000,0))</f>
        <v>50161511 </v>
      </c>
      <c r="E53" t="str">
        <f>VLOOKUP(C53,'[1]CÓDIGOS DE PRODUCTO'!$A$4:$B$156,2,FALSE)</f>
        <v>Snickers</v>
      </c>
      <c r="F53" t="str">
        <f>INDEX('[1]CÓDIGOS DE PRODUCTO'!$C$3:$C$1000,MATCH(C53,'[1]CÓDIGOS DE PRODUCTO'!$A$3:$A$1000,0))</f>
        <v>CHOCOLATES</v>
      </c>
      <c r="G53">
        <f>+'[1]VENTAS(RESUMEN GLOBAL)'!D53-'[1]VENTAS(RESUMEN GLOBAL)'!E53</f>
        <v>1</v>
      </c>
      <c r="H53" s="9">
        <f>+'[1]VENTAS(RESUMEN GLOBAL)'!K53</f>
        <v>1.4000000000000001</v>
      </c>
      <c r="I53" s="8">
        <f>+G53*'[1]VENTAS(RESUMEN GLOBAL)'!F53</f>
        <v>25</v>
      </c>
      <c r="J53" s="8">
        <f>'[1]VENTAS(RESUMEN GLOBAL)'!G53*(1-'[1]VENTAS(RESUMEN GLOBAL)'!H53)</f>
        <v>14.000000000000002</v>
      </c>
      <c r="K53" s="8">
        <f t="shared" si="0"/>
        <v>10.999999999999998</v>
      </c>
      <c r="L53" s="8">
        <f>+'[1]VENTAS(RESUMEN GLOBAL)'!J53</f>
        <v>2.2000000000000002</v>
      </c>
      <c r="M53" s="8">
        <f>+Tabla1[[#This Row],[utilidad x dia]]*7</f>
        <v>15.400000000000002</v>
      </c>
    </row>
    <row r="54" spans="1:13" x14ac:dyDescent="0.3">
      <c r="A54" s="6">
        <f>+'[1]VENTAS(RESUMEN GLOBAL)'!L54</f>
        <v>46034</v>
      </c>
      <c r="B54" s="6" t="str">
        <f>+'[1]VENTAS(RESUMEN GLOBAL)'!M54</f>
        <v>ECCE</v>
      </c>
      <c r="C54">
        <f>+'[1]VENTAS(RESUMEN GLOBAL)'!B54</f>
        <v>700100</v>
      </c>
      <c r="D54" t="str">
        <f>INDEX('[1]CÓDIGOS DE PRODUCTO'!$D$3:$D$1000,MATCH(C54,'[1]CÓDIGOS DE PRODUCTO'!$A$3:$A$1000,0))</f>
        <v>50161511 </v>
      </c>
      <c r="E54" t="str">
        <f>VLOOKUP(C54,'[1]CÓDIGOS DE PRODUCTO'!$A$4:$B$156,2,FALSE)</f>
        <v>M&amp;M</v>
      </c>
      <c r="F54" t="str">
        <f>INDEX('[1]CÓDIGOS DE PRODUCTO'!$C$3:$C$1000,MATCH(C54,'[1]CÓDIGOS DE PRODUCTO'!$A$3:$A$1000,0))</f>
        <v>CHOCOLATES</v>
      </c>
      <c r="G54">
        <f>+'[1]VENTAS(RESUMEN GLOBAL)'!D54-'[1]VENTAS(RESUMEN GLOBAL)'!E54</f>
        <v>0</v>
      </c>
      <c r="H54" s="9">
        <f>+'[1]VENTAS(RESUMEN GLOBAL)'!K54</f>
        <v>0</v>
      </c>
      <c r="I54" s="8">
        <f>+G54*'[1]VENTAS(RESUMEN GLOBAL)'!F54</f>
        <v>0</v>
      </c>
      <c r="J54" s="8">
        <f>'[1]VENTAS(RESUMEN GLOBAL)'!G54*(1-'[1]VENTAS(RESUMEN GLOBAL)'!H54)</f>
        <v>0</v>
      </c>
      <c r="K54" s="8">
        <f t="shared" si="0"/>
        <v>0</v>
      </c>
      <c r="L54" s="8">
        <f>+'[1]VENTAS(RESUMEN GLOBAL)'!J54</f>
        <v>0</v>
      </c>
      <c r="M54" s="8">
        <f>+Tabla1[[#This Row],[utilidad x dia]]*7</f>
        <v>0</v>
      </c>
    </row>
    <row r="55" spans="1:13" x14ac:dyDescent="0.3">
      <c r="A55" s="6">
        <f>+'[1]VENTAS(RESUMEN GLOBAL)'!L55</f>
        <v>46034</v>
      </c>
      <c r="B55" s="6" t="str">
        <f>+'[1]VENTAS(RESUMEN GLOBAL)'!M55</f>
        <v>ECCE</v>
      </c>
      <c r="C55">
        <f>+'[1]VENTAS(RESUMEN GLOBAL)'!B55</f>
        <v>700400</v>
      </c>
      <c r="D55" t="str">
        <f>INDEX('[1]CÓDIGOS DE PRODUCTO'!$D$3:$D$1000,MATCH(C55,'[1]CÓDIGOS DE PRODUCTO'!$A$3:$A$1000,0))</f>
        <v>50161511 </v>
      </c>
      <c r="E55" t="str">
        <f>VLOOKUP(C55,'[1]CÓDIGOS DE PRODUCTO'!$A$4:$B$156,2,FALSE)</f>
        <v>KIT KAT</v>
      </c>
      <c r="F55" t="str">
        <f>INDEX('[1]CÓDIGOS DE PRODUCTO'!$C$3:$C$1000,MATCH(C55,'[1]CÓDIGOS DE PRODUCTO'!$A$3:$A$1000,0))</f>
        <v>CHOCOLATES</v>
      </c>
      <c r="G55">
        <f>+'[1]VENTAS(RESUMEN GLOBAL)'!D55-'[1]VENTAS(RESUMEN GLOBAL)'!E55</f>
        <v>1</v>
      </c>
      <c r="H55" s="9">
        <f>+'[1]VENTAS(RESUMEN GLOBAL)'!K55</f>
        <v>1.4000000000000001</v>
      </c>
      <c r="I55" s="8">
        <f>+G55*'[1]VENTAS(RESUMEN GLOBAL)'!F55</f>
        <v>25</v>
      </c>
      <c r="J55" s="8">
        <f>'[1]VENTAS(RESUMEN GLOBAL)'!G55*(1-'[1]VENTAS(RESUMEN GLOBAL)'!H55)</f>
        <v>12.031249999999998</v>
      </c>
      <c r="K55" s="8">
        <f t="shared" si="0"/>
        <v>12.968750000000002</v>
      </c>
      <c r="L55" s="8">
        <f>+'[1]VENTAS(RESUMEN GLOBAL)'!J55</f>
        <v>2.5937500000000004</v>
      </c>
      <c r="M55" s="8">
        <f>+Tabla1[[#This Row],[utilidad x dia]]*7</f>
        <v>18.156250000000004</v>
      </c>
    </row>
    <row r="56" spans="1:13" x14ac:dyDescent="0.3">
      <c r="A56" s="6">
        <f>+'[1]VENTAS(RESUMEN GLOBAL)'!L56</f>
        <v>46034</v>
      </c>
      <c r="B56" s="6" t="str">
        <f>+'[1]VENTAS(RESUMEN GLOBAL)'!M56</f>
        <v>ECCE</v>
      </c>
      <c r="C56">
        <f>+'[1]VENTAS(RESUMEN GLOBAL)'!B56</f>
        <v>700500</v>
      </c>
      <c r="D56" t="str">
        <f>INDEX('[1]CÓDIGOS DE PRODUCTO'!$D$3:$D$1000,MATCH(C56,'[1]CÓDIGOS DE PRODUCTO'!$A$3:$A$1000,0))</f>
        <v>50161511 </v>
      </c>
      <c r="E56" t="str">
        <f>VLOOKUP(C56,'[1]CÓDIGOS DE PRODUCTO'!$A$4:$B$156,2,FALSE)</f>
        <v>HERSHEYS BLANCO</v>
      </c>
      <c r="F56" t="str">
        <f>INDEX('[1]CÓDIGOS DE PRODUCTO'!$C$3:$C$1000,MATCH(C56,'[1]CÓDIGOS DE PRODUCTO'!$A$3:$A$1000,0))</f>
        <v>CHOCOLATES</v>
      </c>
      <c r="G56">
        <f>+'[1]VENTAS(RESUMEN GLOBAL)'!D56-'[1]VENTAS(RESUMEN GLOBAL)'!E56</f>
        <v>0</v>
      </c>
      <c r="H56" s="9">
        <f>+'[1]VENTAS(RESUMEN GLOBAL)'!K56</f>
        <v>0</v>
      </c>
      <c r="I56" s="8">
        <f>+G56*'[1]VENTAS(RESUMEN GLOBAL)'!F56</f>
        <v>0</v>
      </c>
      <c r="J56" s="8">
        <f>'[1]VENTAS(RESUMEN GLOBAL)'!G56*(1-'[1]VENTAS(RESUMEN GLOBAL)'!H56)</f>
        <v>0</v>
      </c>
      <c r="K56" s="8">
        <f t="shared" si="0"/>
        <v>0</v>
      </c>
      <c r="L56" s="8">
        <f>+'[1]VENTAS(RESUMEN GLOBAL)'!J56</f>
        <v>0</v>
      </c>
      <c r="M56" s="8">
        <f>+Tabla1[[#This Row],[utilidad x dia]]*7</f>
        <v>0</v>
      </c>
    </row>
    <row r="57" spans="1:13" x14ac:dyDescent="0.3">
      <c r="A57" s="6">
        <f>+'[1]VENTAS(RESUMEN GLOBAL)'!L57</f>
        <v>46034</v>
      </c>
      <c r="B57" s="6" t="str">
        <f>+'[1]VENTAS(RESUMEN GLOBAL)'!M57</f>
        <v>ECCE</v>
      </c>
      <c r="C57">
        <f>+'[1]VENTAS(RESUMEN GLOBAL)'!B57</f>
        <v>500100</v>
      </c>
      <c r="D57" t="str">
        <f>INDEX('[1]CÓDIGOS DE PRODUCTO'!$D$3:$D$1000,MATCH(C57,'[1]CÓDIGOS DE PRODUCTO'!$A$3:$A$1000,0))</f>
        <v>53102800 </v>
      </c>
      <c r="E57" t="str">
        <f>VLOOKUP(C57,'[1]CÓDIGOS DE PRODUCTO'!$A$4:$B$156,2,FALSE)</f>
        <v>Trajes de baño</v>
      </c>
      <c r="F57" t="str">
        <f>INDEX('[1]CÓDIGOS DE PRODUCTO'!$C$3:$C$1000,MATCH(C57,'[1]CÓDIGOS DE PRODUCTO'!$A$3:$A$1000,0))</f>
        <v>SWIMWEAR</v>
      </c>
      <c r="G57">
        <f>+'[1]VENTAS(RESUMEN GLOBAL)'!D57-'[1]VENTAS(RESUMEN GLOBAL)'!E57</f>
        <v>0</v>
      </c>
      <c r="H57" s="9">
        <f>+'[1]VENTAS(RESUMEN GLOBAL)'!K57</f>
        <v>0</v>
      </c>
      <c r="I57" s="8">
        <f>+G57*'[1]VENTAS(RESUMEN GLOBAL)'!F57</f>
        <v>0</v>
      </c>
      <c r="J57" s="8">
        <f>'[1]VENTAS(RESUMEN GLOBAL)'!G57*(1-'[1]VENTAS(RESUMEN GLOBAL)'!H57)</f>
        <v>0</v>
      </c>
      <c r="K57" s="8">
        <f t="shared" si="0"/>
        <v>0</v>
      </c>
      <c r="L57" s="8">
        <f>+'[1]VENTAS(RESUMEN GLOBAL)'!J57</f>
        <v>0</v>
      </c>
      <c r="M57" s="8">
        <f>+Tabla1[[#This Row],[utilidad x dia]]*7</f>
        <v>0</v>
      </c>
    </row>
    <row r="58" spans="1:13" x14ac:dyDescent="0.3">
      <c r="A58" s="6">
        <f>+'[1]VENTAS(RESUMEN GLOBAL)'!L58</f>
        <v>46034</v>
      </c>
      <c r="B58" s="6" t="str">
        <f>+'[1]VENTAS(RESUMEN GLOBAL)'!M58</f>
        <v>ECCE</v>
      </c>
      <c r="C58">
        <f>+'[1]VENTAS(RESUMEN GLOBAL)'!B58</f>
        <v>100700</v>
      </c>
      <c r="D58" t="str">
        <f>INDEX('[1]CÓDIGOS DE PRODUCTO'!$D$3:$D$1000,MATCH(C58,'[1]CÓDIGOS DE PRODUCTO'!$A$3:$A$1000,0))</f>
        <v>50202300 </v>
      </c>
      <c r="E58" t="str">
        <f>VLOOKUP(C58,'[1]CÓDIGOS DE PRODUCTO'!$A$4:$B$156,2,FALSE)</f>
        <v>jugo del valle (200 ml)</v>
      </c>
      <c r="F58" t="str">
        <f>INDEX('[1]CÓDIGOS DE PRODUCTO'!$C$3:$C$1000,MATCH(C58,'[1]CÓDIGOS DE PRODUCTO'!$A$3:$A$1000,0))</f>
        <v>Bebidas</v>
      </c>
      <c r="G58">
        <f>+'[1]VENTAS(RESUMEN GLOBAL)'!D58-'[1]VENTAS(RESUMEN GLOBAL)'!E58</f>
        <v>0</v>
      </c>
      <c r="H58" s="9">
        <f>+'[1]VENTAS(RESUMEN GLOBAL)'!K58</f>
        <v>0</v>
      </c>
      <c r="I58" s="8">
        <f>+G58*'[1]VENTAS(RESUMEN GLOBAL)'!F58</f>
        <v>0</v>
      </c>
      <c r="J58" s="8">
        <f>'[1]VENTAS(RESUMEN GLOBAL)'!G58*(1-'[1]VENTAS(RESUMEN GLOBAL)'!H58)</f>
        <v>0</v>
      </c>
      <c r="K58" s="8">
        <f t="shared" si="0"/>
        <v>0</v>
      </c>
      <c r="L58" s="8">
        <f>+'[1]VENTAS(RESUMEN GLOBAL)'!J58</f>
        <v>0</v>
      </c>
      <c r="M58" s="8">
        <f>+Tabla1[[#This Row],[utilidad x dia]]*7</f>
        <v>0</v>
      </c>
    </row>
    <row r="59" spans="1:13" x14ac:dyDescent="0.3">
      <c r="A59" s="6">
        <f>+'[1]VENTAS(RESUMEN GLOBAL)'!L59</f>
        <v>46034</v>
      </c>
      <c r="B59" s="6" t="str">
        <f>+'[1]VENTAS(RESUMEN GLOBAL)'!M59</f>
        <v>ECCE</v>
      </c>
      <c r="C59">
        <f>+'[1]VENTAS(RESUMEN GLOBAL)'!B59</f>
        <v>100700</v>
      </c>
      <c r="D59" t="str">
        <f>INDEX('[1]CÓDIGOS DE PRODUCTO'!$D$3:$D$1000,MATCH(C59,'[1]CÓDIGOS DE PRODUCTO'!$A$3:$A$1000,0))</f>
        <v>50202300 </v>
      </c>
      <c r="E59" t="str">
        <f>VLOOKUP(C59,'[1]CÓDIGOS DE PRODUCTO'!$A$4:$B$156,2,FALSE)</f>
        <v>jugo del valle (200 ml)</v>
      </c>
      <c r="F59" t="str">
        <f>INDEX('[1]CÓDIGOS DE PRODUCTO'!$C$3:$C$1000,MATCH(C59,'[1]CÓDIGOS DE PRODUCTO'!$A$3:$A$1000,0))</f>
        <v>Bebidas</v>
      </c>
      <c r="G59">
        <f>+'[1]VENTAS(RESUMEN GLOBAL)'!D59-'[1]VENTAS(RESUMEN GLOBAL)'!E59</f>
        <v>1</v>
      </c>
      <c r="H59" s="9">
        <f>+'[1]VENTAS(RESUMEN GLOBAL)'!K59</f>
        <v>1.4000000000000001</v>
      </c>
      <c r="I59" s="8">
        <f>+G59*'[1]VENTAS(RESUMEN GLOBAL)'!F59</f>
        <v>20</v>
      </c>
      <c r="J59" s="8">
        <f>'[1]VENTAS(RESUMEN GLOBAL)'!G59*(1-'[1]VENTAS(RESUMEN GLOBAL)'!H59)</f>
        <v>10.8</v>
      </c>
      <c r="K59" s="8">
        <f t="shared" si="0"/>
        <v>9.1999999999999993</v>
      </c>
      <c r="L59" s="8">
        <f>+'[1]VENTAS(RESUMEN GLOBAL)'!J59</f>
        <v>1.8400000000000003</v>
      </c>
      <c r="M59" s="8">
        <f>+Tabla1[[#This Row],[utilidad x dia]]*7</f>
        <v>12.880000000000003</v>
      </c>
    </row>
    <row r="60" spans="1:13" x14ac:dyDescent="0.3">
      <c r="A60" s="6">
        <f>+'[1]VENTAS(RESUMEN GLOBAL)'!L60</f>
        <v>46034</v>
      </c>
      <c r="B60" s="6" t="str">
        <f>+'[1]VENTAS(RESUMEN GLOBAL)'!M60</f>
        <v>ECCE</v>
      </c>
      <c r="C60">
        <f>+'[1]VENTAS(RESUMEN GLOBAL)'!B60</f>
        <v>800500</v>
      </c>
      <c r="D60" t="str">
        <f>INDEX('[1]CÓDIGOS DE PRODUCTO'!$D$3:$D$1000,MATCH(C60,'[1]CÓDIGOS DE PRODUCTO'!$A$3:$A$1000,0))</f>
        <v>50181900 </v>
      </c>
      <c r="E60" t="str">
        <f>VLOOKUP(C60,'[1]CÓDIGOS DE PRODUCTO'!$A$4:$B$156,2,FALSE)</f>
        <v>RICE KRISPIES</v>
      </c>
      <c r="F60" t="str">
        <f>INDEX('[1]CÓDIGOS DE PRODUCTO'!$C$3:$C$1000,MATCH(C60,'[1]CÓDIGOS DE PRODUCTO'!$A$3:$A$1000,0))</f>
        <v>GALLETAS Y PAN DULCE</v>
      </c>
      <c r="G60">
        <f>+'[1]VENTAS(RESUMEN GLOBAL)'!D60-'[1]VENTAS(RESUMEN GLOBAL)'!E60</f>
        <v>2</v>
      </c>
      <c r="H60" s="9">
        <f>+'[1]VENTAS(RESUMEN GLOBAL)'!K60</f>
        <v>2.8000000000000003</v>
      </c>
      <c r="I60" s="8">
        <f>+G60*'[1]VENTAS(RESUMEN GLOBAL)'!F60</f>
        <v>20</v>
      </c>
      <c r="J60" s="8">
        <f>'[1]VENTAS(RESUMEN GLOBAL)'!G60*(1-'[1]VENTAS(RESUMEN GLOBAL)'!H60)</f>
        <v>6.0000000000000009</v>
      </c>
      <c r="K60" s="8">
        <f t="shared" si="0"/>
        <v>14</v>
      </c>
      <c r="L60" s="8">
        <f>+'[1]VENTAS(RESUMEN GLOBAL)'!J60</f>
        <v>2.8</v>
      </c>
      <c r="M60" s="8">
        <f>+Tabla1[[#This Row],[utilidad x dia]]*7</f>
        <v>19.599999999999998</v>
      </c>
    </row>
    <row r="61" spans="1:13" x14ac:dyDescent="0.3">
      <c r="A61" s="6">
        <f>+'[1]VENTAS(RESUMEN GLOBAL)'!L61</f>
        <v>46034</v>
      </c>
      <c r="B61" s="6" t="str">
        <f>+'[1]VENTAS(RESUMEN GLOBAL)'!M61</f>
        <v>ECCE</v>
      </c>
      <c r="C61">
        <f>+'[1]VENTAS(RESUMEN GLOBAL)'!B61</f>
        <v>800600</v>
      </c>
      <c r="D61" t="str">
        <f>INDEX('[1]CÓDIGOS DE PRODUCTO'!$D$3:$D$1000,MATCH(C61,'[1]CÓDIGOS DE PRODUCTO'!$A$3:$A$1000,0))</f>
        <v>50181900 </v>
      </c>
      <c r="E61" t="str">
        <f>VLOOKUP(C61,'[1]CÓDIGOS DE PRODUCTO'!$A$4:$B$156,2,FALSE)</f>
        <v>CREMAX</v>
      </c>
      <c r="F61" t="str">
        <f>INDEX('[1]CÓDIGOS DE PRODUCTO'!$C$3:$C$1000,MATCH(C61,'[1]CÓDIGOS DE PRODUCTO'!$A$3:$A$1000,0))</f>
        <v>GALLETAS Y PAN DULCE</v>
      </c>
      <c r="G61">
        <f>+'[1]VENTAS(RESUMEN GLOBAL)'!D61-'[1]VENTAS(RESUMEN GLOBAL)'!E61</f>
        <v>0</v>
      </c>
      <c r="H61" s="9">
        <f>+'[1]VENTAS(RESUMEN GLOBAL)'!K61</f>
        <v>0</v>
      </c>
      <c r="I61" s="8">
        <f>+G61*'[1]VENTAS(RESUMEN GLOBAL)'!F61</f>
        <v>0</v>
      </c>
      <c r="J61" s="8">
        <f>'[1]VENTAS(RESUMEN GLOBAL)'!G61*(1-'[1]VENTAS(RESUMEN GLOBAL)'!H61)</f>
        <v>0</v>
      </c>
      <c r="K61" s="8">
        <f t="shared" si="0"/>
        <v>0</v>
      </c>
      <c r="L61" s="8">
        <f>+'[1]VENTAS(RESUMEN GLOBAL)'!J61</f>
        <v>0</v>
      </c>
      <c r="M61" s="8">
        <f>+Tabla1[[#This Row],[utilidad x dia]]*7</f>
        <v>0</v>
      </c>
    </row>
    <row r="62" spans="1:13" x14ac:dyDescent="0.3">
      <c r="A62" s="6">
        <f>+'[1]VENTAS(RESUMEN GLOBAL)'!L62</f>
        <v>46034</v>
      </c>
      <c r="B62" s="6" t="str">
        <f>+'[1]VENTAS(RESUMEN GLOBAL)'!M62</f>
        <v>ECCE</v>
      </c>
      <c r="C62">
        <f>+'[1]VENTAS(RESUMEN GLOBAL)'!B62</f>
        <v>800200</v>
      </c>
      <c r="D62" t="str">
        <f>INDEX('[1]CÓDIGOS DE PRODUCTO'!$D$3:$D$1000,MATCH(C62,'[1]CÓDIGOS DE PRODUCTO'!$A$3:$A$1000,0))</f>
        <v>50181900 </v>
      </c>
      <c r="E62" t="str">
        <f>VLOOKUP(C62,'[1]CÓDIGOS DE PRODUCTO'!$A$4:$B$156,2,FALSE)</f>
        <v>Príncipe (6 PZ-63 GR)</v>
      </c>
      <c r="F62" t="str">
        <f>INDEX('[1]CÓDIGOS DE PRODUCTO'!$C$3:$C$1000,MATCH(C62,'[1]CÓDIGOS DE PRODUCTO'!$A$3:$A$1000,0))</f>
        <v>GALLETAS Y PAN DULCE</v>
      </c>
      <c r="G62">
        <f>+'[1]VENTAS(RESUMEN GLOBAL)'!D62-'[1]VENTAS(RESUMEN GLOBAL)'!E62</f>
        <v>8</v>
      </c>
      <c r="H62" s="9">
        <f>+'[1]VENTAS(RESUMEN GLOBAL)'!K62</f>
        <v>11.200000000000001</v>
      </c>
      <c r="I62" s="8">
        <f>+G62*'[1]VENTAS(RESUMEN GLOBAL)'!F62</f>
        <v>160</v>
      </c>
      <c r="J62" s="8">
        <f>'[1]VENTAS(RESUMEN GLOBAL)'!G62*(1-'[1]VENTAS(RESUMEN GLOBAL)'!H62)</f>
        <v>56</v>
      </c>
      <c r="K62" s="8">
        <f t="shared" si="0"/>
        <v>104</v>
      </c>
      <c r="L62" s="8">
        <f>+'[1]VENTAS(RESUMEN GLOBAL)'!J62</f>
        <v>20.8</v>
      </c>
      <c r="M62" s="8">
        <f>+Tabla1[[#This Row],[utilidad x dia]]*7</f>
        <v>145.6</v>
      </c>
    </row>
    <row r="63" spans="1:13" x14ac:dyDescent="0.3">
      <c r="A63" s="6">
        <f>+'[1]VENTAS(RESUMEN GLOBAL)'!L63</f>
        <v>46034</v>
      </c>
      <c r="B63" s="6" t="str">
        <f>+'[1]VENTAS(RESUMEN GLOBAL)'!M63</f>
        <v>ECCE</v>
      </c>
      <c r="C63">
        <f>+'[1]VENTAS(RESUMEN GLOBAL)'!B63</f>
        <v>800800</v>
      </c>
      <c r="D63" t="str">
        <f>INDEX('[1]CÓDIGOS DE PRODUCTO'!$D$3:$D$1000,MATCH(C63,'[1]CÓDIGOS DE PRODUCTO'!$A$3:$A$1000,0))</f>
        <v>50181900 </v>
      </c>
      <c r="E63" t="str">
        <f>VLOOKUP(C63,'[1]CÓDIGOS DE PRODUCTO'!$A$4:$B$156,2,FALSE)</f>
        <v>DORADITAS</v>
      </c>
      <c r="F63" t="str">
        <f>INDEX('[1]CÓDIGOS DE PRODUCTO'!$C$3:$C$1000,MATCH(C63,'[1]CÓDIGOS DE PRODUCTO'!$A$3:$A$1000,0))</f>
        <v>GALLETAS Y PAN DULCE</v>
      </c>
      <c r="G63">
        <f>+'[1]VENTAS(RESUMEN GLOBAL)'!D63-'[1]VENTAS(RESUMEN GLOBAL)'!E63</f>
        <v>4</v>
      </c>
      <c r="H63" s="9">
        <f>+'[1]VENTAS(RESUMEN GLOBAL)'!K63</f>
        <v>5.6000000000000005</v>
      </c>
      <c r="I63" s="8">
        <f>+G63*'[1]VENTAS(RESUMEN GLOBAL)'!F63</f>
        <v>40</v>
      </c>
      <c r="J63" s="8">
        <f>'[1]VENTAS(RESUMEN GLOBAL)'!G63*(1-'[1]VENTAS(RESUMEN GLOBAL)'!H63)</f>
        <v>13.599999999999998</v>
      </c>
      <c r="K63" s="8">
        <f t="shared" si="0"/>
        <v>26.400000000000002</v>
      </c>
      <c r="L63" s="8">
        <f>+'[1]VENTAS(RESUMEN GLOBAL)'!J63</f>
        <v>5.28</v>
      </c>
      <c r="M63" s="8">
        <f>+Tabla1[[#This Row],[utilidad x dia]]*7</f>
        <v>36.96</v>
      </c>
    </row>
    <row r="64" spans="1:13" x14ac:dyDescent="0.3">
      <c r="A64" s="6">
        <f>+'[1]VENTAS(RESUMEN GLOBAL)'!L64</f>
        <v>46034</v>
      </c>
      <c r="B64" s="6" t="str">
        <f>+'[1]VENTAS(RESUMEN GLOBAL)'!M64</f>
        <v>ECCE</v>
      </c>
      <c r="C64">
        <f>+'[1]VENTAS(RESUMEN GLOBAL)'!B64</f>
        <v>300300</v>
      </c>
      <c r="D64" t="str">
        <f>INDEX('[1]CÓDIGOS DE PRODUCTO'!$D$3:$D$1000,MATCH(C64,'[1]CÓDIGOS DE PRODUCTO'!$A$3:$A$1000,0))</f>
        <v>50161800 </v>
      </c>
      <c r="E64" t="str">
        <f>VLOOKUP(C64,'[1]CÓDIGOS DE PRODUCTO'!$A$4:$B$156,2,FALSE)</f>
        <v>FRUIT FOOT</v>
      </c>
      <c r="F64" t="str">
        <f>INDEX('[1]CÓDIGOS DE PRODUCTO'!$C$3:$C$1000,MATCH(C64,'[1]CÓDIGOS DE PRODUCTO'!$A$3:$A$1000,0))</f>
        <v>Snacks &amp; Dulces</v>
      </c>
      <c r="G64">
        <f>+'[1]VENTAS(RESUMEN GLOBAL)'!D64-'[1]VENTAS(RESUMEN GLOBAL)'!E64</f>
        <v>1</v>
      </c>
      <c r="H64" s="9">
        <f>+'[1]VENTAS(RESUMEN GLOBAL)'!K64</f>
        <v>1.4000000000000001</v>
      </c>
      <c r="I64" s="8">
        <f>+G64*'[1]VENTAS(RESUMEN GLOBAL)'!F64</f>
        <v>15</v>
      </c>
      <c r="J64" s="8">
        <f>'[1]VENTAS(RESUMEN GLOBAL)'!G64*(1-'[1]VENTAS(RESUMEN GLOBAL)'!H64)</f>
        <v>6.7499999999999991</v>
      </c>
      <c r="K64" s="8">
        <f t="shared" si="0"/>
        <v>8.25</v>
      </c>
      <c r="L64" s="8">
        <f>+'[1]VENTAS(RESUMEN GLOBAL)'!J64</f>
        <v>1.65</v>
      </c>
      <c r="M64" s="8">
        <f>+Tabla1[[#This Row],[utilidad x dia]]*7</f>
        <v>11.549999999999999</v>
      </c>
    </row>
    <row r="65" spans="1:13" x14ac:dyDescent="0.3">
      <c r="A65" s="6">
        <f>+'[1]VENTAS(RESUMEN GLOBAL)'!L65</f>
        <v>46034</v>
      </c>
      <c r="B65" s="6" t="str">
        <f>+'[1]VENTAS(RESUMEN GLOBAL)'!M65</f>
        <v>ECCE</v>
      </c>
      <c r="C65">
        <f>+'[1]VENTAS(RESUMEN GLOBAL)'!B65</f>
        <v>600100</v>
      </c>
      <c r="D65" t="str">
        <f>INDEX('[1]CÓDIGOS DE PRODUCTO'!$D$3:$D$1000,MATCH(C65,'[1]CÓDIGOS DE PRODUCTO'!$A$3:$A$1000,0))</f>
        <v>50192109 </v>
      </c>
      <c r="E65" t="str">
        <f>VLOOKUP(C65,'[1]CÓDIGOS DE PRODUCTO'!$A$4:$B$156,2,FALSE)</f>
        <v>PAPAS FRITAS BARCEL (G)</v>
      </c>
      <c r="F65" t="str">
        <f>INDEX('[1]CÓDIGOS DE PRODUCTO'!$C$3:$C$1000,MATCH(C65,'[1]CÓDIGOS DE PRODUCTO'!$A$3:$A$1000,0))</f>
        <v>Papas fritas</v>
      </c>
      <c r="G65">
        <f>+'[1]VENTAS(RESUMEN GLOBAL)'!D65-'[1]VENTAS(RESUMEN GLOBAL)'!E65</f>
        <v>1</v>
      </c>
      <c r="H65" s="9">
        <f>+'[1]VENTAS(RESUMEN GLOBAL)'!K65</f>
        <v>1.4000000000000001</v>
      </c>
      <c r="I65" s="8">
        <f>+G65*'[1]VENTAS(RESUMEN GLOBAL)'!F65</f>
        <v>25</v>
      </c>
      <c r="J65" s="8">
        <f>'[1]VENTAS(RESUMEN GLOBAL)'!G65*(1-'[1]VENTAS(RESUMEN GLOBAL)'!H65)</f>
        <v>14.000000000000002</v>
      </c>
      <c r="K65" s="8">
        <f t="shared" si="0"/>
        <v>10.999999999999998</v>
      </c>
      <c r="L65" s="8">
        <f>+'[1]VENTAS(RESUMEN GLOBAL)'!J65</f>
        <v>2.2000000000000002</v>
      </c>
      <c r="M65" s="8">
        <f>+Tabla1[[#This Row],[utilidad x dia]]*7</f>
        <v>15.400000000000002</v>
      </c>
    </row>
    <row r="66" spans="1:13" x14ac:dyDescent="0.3">
      <c r="A66" s="6">
        <f>+'[1]VENTAS(RESUMEN GLOBAL)'!L66</f>
        <v>46034</v>
      </c>
      <c r="B66" s="6" t="str">
        <f>+'[1]VENTAS(RESUMEN GLOBAL)'!M66</f>
        <v>ECCE</v>
      </c>
      <c r="C66">
        <f>+'[1]VENTAS(RESUMEN GLOBAL)'!B66</f>
        <v>600500</v>
      </c>
      <c r="D66" t="str">
        <f>INDEX('[1]CÓDIGOS DE PRODUCTO'!$D$3:$D$1000,MATCH(C66,'[1]CÓDIGOS DE PRODUCTO'!$A$3:$A$1000,0))</f>
        <v>50192109 </v>
      </c>
      <c r="E66" t="str">
        <f>VLOOKUP(C66,'[1]CÓDIGOS DE PRODUCTO'!$A$4:$B$156,2,FALSE)</f>
        <v>SABRIMAYOREO</v>
      </c>
      <c r="F66" t="str">
        <f>INDEX('[1]CÓDIGOS DE PRODUCTO'!$C$3:$C$1000,MATCH(C66,'[1]CÓDIGOS DE PRODUCTO'!$A$3:$A$1000,0))</f>
        <v>Papas fritas</v>
      </c>
      <c r="G66">
        <f>+'[1]VENTAS(RESUMEN GLOBAL)'!D66-'[1]VENTAS(RESUMEN GLOBAL)'!E66</f>
        <v>7</v>
      </c>
      <c r="H66" s="9">
        <f>+'[1]VENTAS(RESUMEN GLOBAL)'!K66</f>
        <v>9.7999999999999989</v>
      </c>
      <c r="I66" s="8">
        <f>+G66*'[1]VENTAS(RESUMEN GLOBAL)'!F66</f>
        <v>175</v>
      </c>
      <c r="J66" s="8">
        <f>'[1]VENTAS(RESUMEN GLOBAL)'!G66*(1-'[1]VENTAS(RESUMEN GLOBAL)'!H66)</f>
        <v>87.5</v>
      </c>
      <c r="K66" s="8">
        <f t="shared" si="0"/>
        <v>87.5</v>
      </c>
      <c r="L66" s="8">
        <f>+'[1]VENTAS(RESUMEN GLOBAL)'!J66</f>
        <v>17.5</v>
      </c>
      <c r="M66" s="8">
        <f>+Tabla1[[#This Row],[utilidad x dia]]*7</f>
        <v>122.5</v>
      </c>
    </row>
    <row r="67" spans="1:13" x14ac:dyDescent="0.3">
      <c r="A67" s="6">
        <f>+'[1]VENTAS(RESUMEN GLOBAL)'!L67</f>
        <v>46034</v>
      </c>
      <c r="B67" s="6" t="str">
        <f>+'[1]VENTAS(RESUMEN GLOBAL)'!M67</f>
        <v>ECCE</v>
      </c>
      <c r="C67">
        <f>+'[1]VENTAS(RESUMEN GLOBAL)'!B67</f>
        <v>300400</v>
      </c>
      <c r="D67" t="str">
        <f>INDEX('[1]CÓDIGOS DE PRODUCTO'!$D$3:$D$1000,MATCH(C67,'[1]CÓDIGOS DE PRODUCTO'!$A$3:$A$1000,0))</f>
        <v>50161800 </v>
      </c>
      <c r="E67" t="str">
        <f>VLOOKUP(C67,'[1]CÓDIGOS DE PRODUCTO'!$A$4:$B$156,2,FALSE)</f>
        <v>Welchs GOMITAS</v>
      </c>
      <c r="F67" t="str">
        <f>INDEX('[1]CÓDIGOS DE PRODUCTO'!$C$3:$C$1000,MATCH(C67,'[1]CÓDIGOS DE PRODUCTO'!$A$3:$A$1000,0))</f>
        <v>Snacks &amp; Dulces</v>
      </c>
      <c r="G67">
        <f>+'[1]VENTAS(RESUMEN GLOBAL)'!D67-'[1]VENTAS(RESUMEN GLOBAL)'!E67</f>
        <v>8</v>
      </c>
      <c r="H67" s="9">
        <f>+'[1]VENTAS(RESUMEN GLOBAL)'!K67</f>
        <v>11.200000000000001</v>
      </c>
      <c r="I67" s="8">
        <f>+G67*'[1]VENTAS(RESUMEN GLOBAL)'!F67</f>
        <v>80</v>
      </c>
      <c r="J67" s="8">
        <f>'[1]VENTAS(RESUMEN GLOBAL)'!G67*(1-'[1]VENTAS(RESUMEN GLOBAL)'!H67)</f>
        <v>48</v>
      </c>
      <c r="K67" s="8">
        <f t="shared" ref="K67:K130" si="1">+I67-J67</f>
        <v>32</v>
      </c>
      <c r="L67" s="8">
        <f>+'[1]VENTAS(RESUMEN GLOBAL)'!J67</f>
        <v>6.4</v>
      </c>
      <c r="M67" s="8">
        <f>+Tabla1[[#This Row],[utilidad x dia]]*7</f>
        <v>44.800000000000004</v>
      </c>
    </row>
    <row r="68" spans="1:13" x14ac:dyDescent="0.3">
      <c r="A68" s="6">
        <f>+'[1]VENTAS(RESUMEN GLOBAL)'!L68</f>
        <v>46034</v>
      </c>
      <c r="B68" s="6" t="str">
        <f>+'[1]VENTAS(RESUMEN GLOBAL)'!M68</f>
        <v>ECCE</v>
      </c>
      <c r="C68">
        <f>+'[1]VENTAS(RESUMEN GLOBAL)'!B68</f>
        <v>300100</v>
      </c>
      <c r="D68" t="str">
        <f>INDEX('[1]CÓDIGOS DE PRODUCTO'!$D$3:$D$1000,MATCH(C68,'[1]CÓDIGOS DE PRODUCTO'!$A$3:$A$1000,0))</f>
        <v>50161800 </v>
      </c>
      <c r="E68" t="str">
        <f>VLOOKUP(C68,'[1]CÓDIGOS DE PRODUCTO'!$A$4:$B$156,2,FALSE)</f>
        <v>Pelonetes</v>
      </c>
      <c r="F68" t="str">
        <f>INDEX('[1]CÓDIGOS DE PRODUCTO'!$C$3:$C$1000,MATCH(C68,'[1]CÓDIGOS DE PRODUCTO'!$A$3:$A$1000,0))</f>
        <v>Snacks &amp; Dulces</v>
      </c>
      <c r="G68">
        <f>+'[1]VENTAS(RESUMEN GLOBAL)'!D68-'[1]VENTAS(RESUMEN GLOBAL)'!E68</f>
        <v>0</v>
      </c>
      <c r="H68" s="9">
        <f>+'[1]VENTAS(RESUMEN GLOBAL)'!K68</f>
        <v>0</v>
      </c>
      <c r="I68" s="8">
        <f>+G68*'[1]VENTAS(RESUMEN GLOBAL)'!F68</f>
        <v>0</v>
      </c>
      <c r="J68" s="8">
        <f>'[1]VENTAS(RESUMEN GLOBAL)'!G68*(1-'[1]VENTAS(RESUMEN GLOBAL)'!H68)</f>
        <v>0</v>
      </c>
      <c r="K68" s="8">
        <f t="shared" si="1"/>
        <v>0</v>
      </c>
      <c r="L68" s="8">
        <f>+'[1]VENTAS(RESUMEN GLOBAL)'!J68</f>
        <v>0</v>
      </c>
      <c r="M68" s="8">
        <f>+Tabla1[[#This Row],[utilidad x dia]]*7</f>
        <v>0</v>
      </c>
    </row>
    <row r="69" spans="1:13" x14ac:dyDescent="0.3">
      <c r="A69" s="6">
        <f>+'[1]VENTAS(RESUMEN GLOBAL)'!L69</f>
        <v>46034</v>
      </c>
      <c r="B69" s="6" t="str">
        <f>+'[1]VENTAS(RESUMEN GLOBAL)'!M69</f>
        <v>ECCE</v>
      </c>
      <c r="C69">
        <f>+'[1]VENTAS(RESUMEN GLOBAL)'!B69</f>
        <v>100400</v>
      </c>
      <c r="D69" t="str">
        <f>INDEX('[1]CÓDIGOS DE PRODUCTO'!$D$3:$D$1000,MATCH(C69,'[1]CÓDIGOS DE PRODUCTO'!$A$3:$A$1000,0))</f>
        <v>50202300 </v>
      </c>
      <c r="E69" t="str">
        <f>VLOOKUP(C69,'[1]CÓDIGOS DE PRODUCTO'!$A$4:$B$156,2,FALSE)</f>
        <v>Jumex</v>
      </c>
      <c r="F69" t="str">
        <f>INDEX('[1]CÓDIGOS DE PRODUCTO'!$C$3:$C$1000,MATCH(C69,'[1]CÓDIGOS DE PRODUCTO'!$A$3:$A$1000,0))</f>
        <v>Bebidas</v>
      </c>
      <c r="G69">
        <f>+'[1]VENTAS(RESUMEN GLOBAL)'!D69-'[1]VENTAS(RESUMEN GLOBAL)'!E69</f>
        <v>3</v>
      </c>
      <c r="H69" s="9">
        <f>+'[1]VENTAS(RESUMEN GLOBAL)'!K69</f>
        <v>4.2</v>
      </c>
      <c r="I69" s="8">
        <f>+G69*'[1]VENTAS(RESUMEN GLOBAL)'!F69</f>
        <v>45</v>
      </c>
      <c r="J69" s="8">
        <f>'[1]VENTAS(RESUMEN GLOBAL)'!G69*(1-'[1]VENTAS(RESUMEN GLOBAL)'!H69)</f>
        <v>15.299999999999999</v>
      </c>
      <c r="K69" s="8">
        <f t="shared" si="1"/>
        <v>29.700000000000003</v>
      </c>
      <c r="L69" s="8">
        <f>+'[1]VENTAS(RESUMEN GLOBAL)'!J69</f>
        <v>5.94</v>
      </c>
      <c r="M69" s="8">
        <f>+Tabla1[[#This Row],[utilidad x dia]]*7</f>
        <v>41.580000000000005</v>
      </c>
    </row>
    <row r="70" spans="1:13" x14ac:dyDescent="0.3">
      <c r="A70" s="6">
        <f>+'[1]VENTAS(RESUMEN GLOBAL)'!L70</f>
        <v>46034</v>
      </c>
      <c r="B70" s="6" t="str">
        <f>+'[1]VENTAS(RESUMEN GLOBAL)'!M70</f>
        <v>ECCE</v>
      </c>
      <c r="C70">
        <f>+'[1]VENTAS(RESUMEN GLOBAL)'!B70</f>
        <v>100400</v>
      </c>
      <c r="D70" t="str">
        <f>INDEX('[1]CÓDIGOS DE PRODUCTO'!$D$3:$D$1000,MATCH(C70,'[1]CÓDIGOS DE PRODUCTO'!$A$3:$A$1000,0))</f>
        <v>50202300 </v>
      </c>
      <c r="E70" t="str">
        <f>VLOOKUP(C70,'[1]CÓDIGOS DE PRODUCTO'!$A$4:$B$156,2,FALSE)</f>
        <v>Jumex</v>
      </c>
      <c r="F70" t="str">
        <f>INDEX('[1]CÓDIGOS DE PRODUCTO'!$C$3:$C$1000,MATCH(C70,'[1]CÓDIGOS DE PRODUCTO'!$A$3:$A$1000,0))</f>
        <v>Bebidas</v>
      </c>
      <c r="G70">
        <f>+'[1]VENTAS(RESUMEN GLOBAL)'!D70-'[1]VENTAS(RESUMEN GLOBAL)'!E70</f>
        <v>0</v>
      </c>
      <c r="H70" s="9">
        <f>+'[1]VENTAS(RESUMEN GLOBAL)'!K70</f>
        <v>0</v>
      </c>
      <c r="I70" s="8">
        <f>+G70*'[1]VENTAS(RESUMEN GLOBAL)'!F70</f>
        <v>0</v>
      </c>
      <c r="J70" s="8">
        <f>'[1]VENTAS(RESUMEN GLOBAL)'!G70*(1-'[1]VENTAS(RESUMEN GLOBAL)'!H70)</f>
        <v>0</v>
      </c>
      <c r="K70" s="8">
        <f t="shared" si="1"/>
        <v>0</v>
      </c>
      <c r="L70" s="8">
        <f>+'[1]VENTAS(RESUMEN GLOBAL)'!J70</f>
        <v>0</v>
      </c>
      <c r="M70" s="8">
        <f>+Tabla1[[#This Row],[utilidad x dia]]*7</f>
        <v>0</v>
      </c>
    </row>
    <row r="71" spans="1:13" x14ac:dyDescent="0.3">
      <c r="A71" s="6">
        <f>+'[1]VENTAS(RESUMEN GLOBAL)'!L71</f>
        <v>46034</v>
      </c>
      <c r="B71" s="6" t="str">
        <f>+'[1]VENTAS(RESUMEN GLOBAL)'!M71</f>
        <v>ECCE</v>
      </c>
      <c r="C71">
        <f>+'[1]VENTAS(RESUMEN GLOBAL)'!B71</f>
        <v>700600</v>
      </c>
      <c r="D71" t="str">
        <f>INDEX('[1]CÓDIGOS DE PRODUCTO'!$D$3:$D$1000,MATCH(C71,'[1]CÓDIGOS DE PRODUCTO'!$A$3:$A$1000,0))</f>
        <v>50161511 </v>
      </c>
      <c r="E71" t="str">
        <f>VLOOKUP(C71,'[1]CÓDIGOS DE PRODUCTO'!$A$4:$B$156,2,FALSE)</f>
        <v>CHOCO MUIBÓN</v>
      </c>
      <c r="F71" t="str">
        <f>INDEX('[1]CÓDIGOS DE PRODUCTO'!$C$3:$C$1000,MATCH(C71,'[1]CÓDIGOS DE PRODUCTO'!$A$3:$A$1000,0))</f>
        <v>CHOCOLATES</v>
      </c>
      <c r="G71">
        <f>+'[1]VENTAS(RESUMEN GLOBAL)'!D71-'[1]VENTAS(RESUMEN GLOBAL)'!E71</f>
        <v>1</v>
      </c>
      <c r="H71" s="9">
        <f>+'[1]VENTAS(RESUMEN GLOBAL)'!K71</f>
        <v>1.4000000000000001</v>
      </c>
      <c r="I71" s="8">
        <f>+G71*'[1]VENTAS(RESUMEN GLOBAL)'!F71</f>
        <v>15</v>
      </c>
      <c r="J71" s="8">
        <f>'[1]VENTAS(RESUMEN GLOBAL)'!G71*(1-'[1]VENTAS(RESUMEN GLOBAL)'!H71)</f>
        <v>5.0999999999999996</v>
      </c>
      <c r="K71" s="8">
        <f t="shared" si="1"/>
        <v>9.9</v>
      </c>
      <c r="L71" s="8">
        <f>+'[1]VENTAS(RESUMEN GLOBAL)'!J71</f>
        <v>1.98</v>
      </c>
      <c r="M71" s="8">
        <f>+Tabla1[[#This Row],[utilidad x dia]]*7</f>
        <v>13.86</v>
      </c>
    </row>
    <row r="72" spans="1:13" x14ac:dyDescent="0.3">
      <c r="A72" s="6">
        <f>+'[1]VENTAS(RESUMEN GLOBAL)'!L72</f>
        <v>46034</v>
      </c>
      <c r="B72" s="6" t="str">
        <f>+'[1]VENTAS(RESUMEN GLOBAL)'!M72</f>
        <v>ECCE</v>
      </c>
      <c r="C72">
        <f>+'[1]VENTAS(RESUMEN GLOBAL)'!B72</f>
        <v>800400</v>
      </c>
      <c r="D72" t="str">
        <f>INDEX('[1]CÓDIGOS DE PRODUCTO'!$D$3:$D$1000,MATCH(C72,'[1]CÓDIGOS DE PRODUCTO'!$A$3:$A$1000,0))</f>
        <v>50181900 </v>
      </c>
      <c r="E72" t="str">
        <f>VLOOKUP(C72,'[1]CÓDIGOS DE PRODUCTO'!$A$4:$B$156,2,FALSE)</f>
        <v>Barritas FRESA</v>
      </c>
      <c r="F72" t="str">
        <f>INDEX('[1]CÓDIGOS DE PRODUCTO'!$C$3:$C$1000,MATCH(C72,'[1]CÓDIGOS DE PRODUCTO'!$A$3:$A$1000,0))</f>
        <v>GALLETAS Y PAN DULCE</v>
      </c>
      <c r="G72">
        <f>+'[1]VENTAS(RESUMEN GLOBAL)'!D72-'[1]VENTAS(RESUMEN GLOBAL)'!E72</f>
        <v>5</v>
      </c>
      <c r="H72" s="9">
        <f>+'[1]VENTAS(RESUMEN GLOBAL)'!K72</f>
        <v>7</v>
      </c>
      <c r="I72" s="8">
        <f>+G72*'[1]VENTAS(RESUMEN GLOBAL)'!F72</f>
        <v>100</v>
      </c>
      <c r="J72" s="8">
        <f>'[1]VENTAS(RESUMEN GLOBAL)'!G72*(1-'[1]VENTAS(RESUMEN GLOBAL)'!H72)</f>
        <v>44.999999999999993</v>
      </c>
      <c r="K72" s="8">
        <f t="shared" si="1"/>
        <v>55.000000000000007</v>
      </c>
      <c r="L72" s="8">
        <f>+'[1]VENTAS(RESUMEN GLOBAL)'!J72</f>
        <v>11.000000000000002</v>
      </c>
      <c r="M72" s="8">
        <f>+Tabla1[[#This Row],[utilidad x dia]]*7</f>
        <v>77.000000000000014</v>
      </c>
    </row>
    <row r="73" spans="1:13" x14ac:dyDescent="0.3">
      <c r="A73" s="6">
        <f>+'[1]VENTAS(RESUMEN GLOBAL)'!L73</f>
        <v>46034</v>
      </c>
      <c r="B73" s="6" t="str">
        <f>+'[1]VENTAS(RESUMEN GLOBAL)'!M73</f>
        <v>ECCE</v>
      </c>
      <c r="C73">
        <f>+'[1]VENTAS(RESUMEN GLOBAL)'!B73</f>
        <v>800700</v>
      </c>
      <c r="D73" t="str">
        <f>INDEX('[1]CÓDIGOS DE PRODUCTO'!$D$3:$D$1000,MATCH(C73,'[1]CÓDIGOS DE PRODUCTO'!$A$3:$A$1000,0))</f>
        <v>50181900 </v>
      </c>
      <c r="E73" t="str">
        <f>VLOOKUP(C73,'[1]CÓDIGOS DE PRODUCTO'!$A$4:$B$156,2,FALSE)</f>
        <v>BARRITAS PIÑA</v>
      </c>
      <c r="F73" t="str">
        <f>INDEX('[1]CÓDIGOS DE PRODUCTO'!$C$3:$C$1000,MATCH(C73,'[1]CÓDIGOS DE PRODUCTO'!$A$3:$A$1000,0))</f>
        <v>GALLETAS Y PAN DULCE</v>
      </c>
      <c r="G73">
        <f>+'[1]VENTAS(RESUMEN GLOBAL)'!D73-'[1]VENTAS(RESUMEN GLOBAL)'!E73</f>
        <v>1</v>
      </c>
      <c r="H73" s="9">
        <f>+'[1]VENTAS(RESUMEN GLOBAL)'!K73</f>
        <v>1.4000000000000001</v>
      </c>
      <c r="I73" s="8">
        <f>+G73*'[1]VENTAS(RESUMEN GLOBAL)'!F73</f>
        <v>20</v>
      </c>
      <c r="J73" s="8">
        <f>'[1]VENTAS(RESUMEN GLOBAL)'!G73*(1-'[1]VENTAS(RESUMEN GLOBAL)'!H73)</f>
        <v>9</v>
      </c>
      <c r="K73" s="8">
        <f t="shared" si="1"/>
        <v>11</v>
      </c>
      <c r="L73" s="8">
        <f>+'[1]VENTAS(RESUMEN GLOBAL)'!J73</f>
        <v>2.2000000000000002</v>
      </c>
      <c r="M73" s="8">
        <f>+Tabla1[[#This Row],[utilidad x dia]]*7</f>
        <v>15.400000000000002</v>
      </c>
    </row>
    <row r="74" spans="1:13" x14ac:dyDescent="0.3">
      <c r="A74" s="6">
        <f>+'[1]VENTAS(RESUMEN GLOBAL)'!L74</f>
        <v>46034</v>
      </c>
      <c r="B74" s="6" t="str">
        <f>+'[1]VENTAS(RESUMEN GLOBAL)'!M74</f>
        <v>ECCE</v>
      </c>
      <c r="C74">
        <f>+'[1]VENTAS(RESUMEN GLOBAL)'!B74</f>
        <v>701000</v>
      </c>
      <c r="D74" t="str">
        <f>INDEX('[1]CÓDIGOS DE PRODUCTO'!$D$3:$D$1000,MATCH(C74,'[1]CÓDIGOS DE PRODUCTO'!$A$3:$A$1000,0))</f>
        <v>50161511 </v>
      </c>
      <c r="E74" t="str">
        <f>VLOOKUP(C74,'[1]CÓDIGOS DE PRODUCTO'!$A$4:$B$156,2,FALSE)</f>
        <v>BUBULUBU</v>
      </c>
      <c r="F74" t="str">
        <f>INDEX('[1]CÓDIGOS DE PRODUCTO'!$C$3:$C$1000,MATCH(C74,'[1]CÓDIGOS DE PRODUCTO'!$A$3:$A$1000,0))</f>
        <v>CHOCOLATES</v>
      </c>
      <c r="G74">
        <f>+'[1]VENTAS(RESUMEN GLOBAL)'!D74-'[1]VENTAS(RESUMEN GLOBAL)'!E74</f>
        <v>2</v>
      </c>
      <c r="H74" s="9">
        <f>+'[1]VENTAS(RESUMEN GLOBAL)'!K74</f>
        <v>2.8000000000000003</v>
      </c>
      <c r="I74" s="8">
        <f>+G74*'[1]VENTAS(RESUMEN GLOBAL)'!F74</f>
        <v>26</v>
      </c>
      <c r="J74" s="8">
        <f>'[1]VENTAS(RESUMEN GLOBAL)'!G74*(1-'[1]VENTAS(RESUMEN GLOBAL)'!H74)</f>
        <v>14.040000000000001</v>
      </c>
      <c r="K74" s="8">
        <f t="shared" si="1"/>
        <v>11.959999999999999</v>
      </c>
      <c r="L74" s="8">
        <f>+'[1]VENTAS(RESUMEN GLOBAL)'!J74</f>
        <v>2.3920000000000003</v>
      </c>
      <c r="M74" s="8">
        <f>+Tabla1[[#This Row],[utilidad x dia]]*7</f>
        <v>16.744000000000003</v>
      </c>
    </row>
    <row r="75" spans="1:13" x14ac:dyDescent="0.3">
      <c r="A75" s="6">
        <f>+'[1]VENTAS(RESUMEN GLOBAL)'!L75</f>
        <v>0</v>
      </c>
      <c r="B75" s="6">
        <f>+'[1]VENTAS(RESUMEN GLOBAL)'!M75</f>
        <v>0</v>
      </c>
      <c r="C75">
        <f>+'[1]VENTAS(RESUMEN GLOBAL)'!B75</f>
        <v>0</v>
      </c>
      <c r="D75" t="e">
        <f>INDEX('[1]CÓDIGOS DE PRODUCTO'!$D$3:$D$1000,MATCH(C75,'[1]CÓDIGOS DE PRODUCTO'!$A$3:$A$1000,0))</f>
        <v>#N/A</v>
      </c>
      <c r="E75">
        <f>VLOOKUP(C75,'[1]CÓDIGOS DE PRODUCTO'!$A$4:$B$156,2,FALSE)</f>
        <v>0</v>
      </c>
      <c r="F75">
        <f>INDEX('[1]CÓDIGOS DE PRODUCTO'!$C$3:$C$1000,MATCH(C75,'[1]CÓDIGOS DE PRODUCTO'!$A$3:$A$1000,0))</f>
        <v>0</v>
      </c>
      <c r="G75">
        <f>+'[1]VENTAS(RESUMEN GLOBAL)'!D75-'[1]VENTAS(RESUMEN GLOBAL)'!E75</f>
        <v>0</v>
      </c>
      <c r="H75" s="9">
        <f>+'[1]VENTAS(RESUMEN GLOBAL)'!K75</f>
        <v>0</v>
      </c>
      <c r="I75" s="8">
        <f>+G75*'[1]VENTAS(RESUMEN GLOBAL)'!F75</f>
        <v>0</v>
      </c>
      <c r="J75" s="8">
        <f>'[1]VENTAS(RESUMEN GLOBAL)'!G75*(1-'[1]VENTAS(RESUMEN GLOBAL)'!H75)</f>
        <v>0</v>
      </c>
      <c r="K75" s="8">
        <f t="shared" si="1"/>
        <v>0</v>
      </c>
      <c r="L75" s="8">
        <f>+'[1]VENTAS(RESUMEN GLOBAL)'!J75</f>
        <v>0</v>
      </c>
      <c r="M75" s="8">
        <f>+Tabla1[[#This Row],[utilidad x dia]]*7</f>
        <v>0</v>
      </c>
    </row>
    <row r="76" spans="1:13" x14ac:dyDescent="0.3">
      <c r="A76" s="6">
        <f>+'[1]VENTAS(RESUMEN GLOBAL)'!L76</f>
        <v>46015</v>
      </c>
      <c r="B76" s="6" t="str">
        <f>+'[1]VENTAS(RESUMEN GLOBAL)'!M76</f>
        <v>RIVULIS</v>
      </c>
      <c r="C76">
        <f>+'[1]VENTAS(RESUMEN GLOBAL)'!B76</f>
        <v>600300</v>
      </c>
      <c r="D76" t="str">
        <f>INDEX('[1]CÓDIGOS DE PRODUCTO'!$D$3:$D$1000,MATCH(C76,'[1]CÓDIGOS DE PRODUCTO'!$A$3:$A$1000,0))</f>
        <v>50192109 </v>
      </c>
      <c r="E76" t="str">
        <f>VLOOKUP(C76,'[1]CÓDIGOS DE PRODUCTO'!$A$4:$B$156,2,FALSE)</f>
        <v>TAKIS FUEGO</v>
      </c>
      <c r="F76" t="str">
        <f>INDEX('[1]CÓDIGOS DE PRODUCTO'!$C$3:$C$1000,MATCH(C76,'[1]CÓDIGOS DE PRODUCTO'!$A$3:$A$1000,0))</f>
        <v>Papas fritas</v>
      </c>
      <c r="G76">
        <f>+'[1]VENTAS(RESUMEN GLOBAL)'!D76-'[1]VENTAS(RESUMEN GLOBAL)'!E76</f>
        <v>7</v>
      </c>
      <c r="H76" s="9">
        <f>+'[1]VENTAS(RESUMEN GLOBAL)'!K76</f>
        <v>7</v>
      </c>
      <c r="I76" s="8">
        <f>+G76*'[1]VENTAS(RESUMEN GLOBAL)'!F76</f>
        <v>175</v>
      </c>
      <c r="J76" s="8">
        <f>'[1]VENTAS(RESUMEN GLOBAL)'!G76*(1-'[1]VENTAS(RESUMEN GLOBAL)'!H76)</f>
        <v>71.75</v>
      </c>
      <c r="K76" s="8">
        <f t="shared" si="1"/>
        <v>103.25</v>
      </c>
      <c r="L76" s="8">
        <f>+'[1]VENTAS(RESUMEN GLOBAL)'!J76</f>
        <v>14.75</v>
      </c>
      <c r="M76" s="8">
        <f>+Tabla1[[#This Row],[utilidad x dia]]*7</f>
        <v>103.25</v>
      </c>
    </row>
    <row r="77" spans="1:13" x14ac:dyDescent="0.3">
      <c r="A77" s="6">
        <f>+'[1]VENTAS(RESUMEN GLOBAL)'!L77</f>
        <v>46015</v>
      </c>
      <c r="B77" s="6" t="str">
        <f>+'[1]VENTAS(RESUMEN GLOBAL)'!M77</f>
        <v>RIVULIS</v>
      </c>
      <c r="C77">
        <f>+'[1]VENTAS(RESUMEN GLOBAL)'!B77</f>
        <v>6005101</v>
      </c>
      <c r="D77" t="str">
        <f>INDEX('[1]CÓDIGOS DE PRODUCTO'!$D$3:$D$1000,MATCH(C77,'[1]CÓDIGOS DE PRODUCTO'!$A$3:$A$1000,0))</f>
        <v>50192109 </v>
      </c>
      <c r="E77" t="str">
        <f>VLOOKUP(C77,'[1]CÓDIGOS DE PRODUCTO'!$A$4:$B$156,2,FALSE)</f>
        <v>SABRITAS AMARILLAS</v>
      </c>
      <c r="F77" t="str">
        <f>INDEX('[1]CÓDIGOS DE PRODUCTO'!$C$3:$C$1000,MATCH(C77,'[1]CÓDIGOS DE PRODUCTO'!$A$3:$A$1000,0))</f>
        <v>Papas fritas</v>
      </c>
      <c r="G77">
        <f>+'[1]VENTAS(RESUMEN GLOBAL)'!D77-'[1]VENTAS(RESUMEN GLOBAL)'!E77</f>
        <v>6</v>
      </c>
      <c r="H77" s="9">
        <f>+'[1]VENTAS(RESUMEN GLOBAL)'!K77</f>
        <v>6</v>
      </c>
      <c r="I77" s="8">
        <f>+G77*'[1]VENTAS(RESUMEN GLOBAL)'!F77</f>
        <v>150</v>
      </c>
      <c r="J77" s="8">
        <f>'[1]VENTAS(RESUMEN GLOBAL)'!G77*(1-'[1]VENTAS(RESUMEN GLOBAL)'!H77)</f>
        <v>50.999999999999993</v>
      </c>
      <c r="K77" s="8">
        <f t="shared" si="1"/>
        <v>99</v>
      </c>
      <c r="L77" s="8">
        <f>+'[1]VENTAS(RESUMEN GLOBAL)'!J77</f>
        <v>2.1514723459741389E-3</v>
      </c>
      <c r="M77" s="8">
        <f>+Tabla1[[#This Row],[utilidad x dia]]*7</f>
        <v>1.5060306421818971E-2</v>
      </c>
    </row>
    <row r="78" spans="1:13" x14ac:dyDescent="0.3">
      <c r="A78" s="6">
        <f>+'[1]VENTAS(RESUMEN GLOBAL)'!L78</f>
        <v>46015</v>
      </c>
      <c r="B78" s="6" t="str">
        <f>+'[1]VENTAS(RESUMEN GLOBAL)'!M78</f>
        <v>RIVULIS</v>
      </c>
      <c r="C78">
        <f>+'[1]VENTAS(RESUMEN GLOBAL)'!B78</f>
        <v>6005102</v>
      </c>
      <c r="D78" t="str">
        <f>INDEX('[1]CÓDIGOS DE PRODUCTO'!$D$3:$D$1000,MATCH(C78,'[1]CÓDIGOS DE PRODUCTO'!$A$3:$A$1000,0))</f>
        <v>50192109 </v>
      </c>
      <c r="E78" t="str">
        <f>VLOOKUP(C78,'[1]CÓDIGOS DE PRODUCTO'!$A$4:$B$156,2,FALSE)</f>
        <v>RUFFLES</v>
      </c>
      <c r="F78" t="str">
        <f>INDEX('[1]CÓDIGOS DE PRODUCTO'!$C$3:$C$1000,MATCH(C78,'[1]CÓDIGOS DE PRODUCTO'!$A$3:$A$1000,0))</f>
        <v>Papas fritas</v>
      </c>
      <c r="G78">
        <f>+'[1]VENTAS(RESUMEN GLOBAL)'!D78-'[1]VENTAS(RESUMEN GLOBAL)'!E78</f>
        <v>6</v>
      </c>
      <c r="H78" s="9">
        <f>+'[1]VENTAS(RESUMEN GLOBAL)'!K78</f>
        <v>6</v>
      </c>
      <c r="I78" s="8">
        <f>+G78*'[1]VENTAS(RESUMEN GLOBAL)'!F78</f>
        <v>150</v>
      </c>
      <c r="J78" s="8">
        <f>'[1]VENTAS(RESUMEN GLOBAL)'!G78*(1-'[1]VENTAS(RESUMEN GLOBAL)'!H78)</f>
        <v>50.999999999999993</v>
      </c>
      <c r="K78" s="8">
        <f t="shared" si="1"/>
        <v>99</v>
      </c>
      <c r="L78" s="8">
        <f>+'[1]VENTAS(RESUMEN GLOBAL)'!J78</f>
        <v>2.1514723459741389E-3</v>
      </c>
      <c r="M78" s="8">
        <f>+Tabla1[[#This Row],[utilidad x dia]]*7</f>
        <v>1.5060306421818971E-2</v>
      </c>
    </row>
    <row r="79" spans="1:13" x14ac:dyDescent="0.3">
      <c r="A79" s="6">
        <f>+'[1]VENTAS(RESUMEN GLOBAL)'!L79</f>
        <v>46015</v>
      </c>
      <c r="B79" s="6" t="str">
        <f>+'[1]VENTAS(RESUMEN GLOBAL)'!M79</f>
        <v>RIVULIS</v>
      </c>
      <c r="C79">
        <f>+'[1]VENTAS(RESUMEN GLOBAL)'!B79</f>
        <v>6005103</v>
      </c>
      <c r="D79" t="str">
        <f>INDEX('[1]CÓDIGOS DE PRODUCTO'!$D$3:$D$1000,MATCH(C79,'[1]CÓDIGOS DE PRODUCTO'!$A$3:$A$1000,0))</f>
        <v>50192109 </v>
      </c>
      <c r="E79" t="str">
        <f>VLOOKUP(C79,'[1]CÓDIGOS DE PRODUCTO'!$A$4:$B$156,2,FALSE)</f>
        <v>DORITOS ROJOS</v>
      </c>
      <c r="F79" t="str">
        <f>INDEX('[1]CÓDIGOS DE PRODUCTO'!$C$3:$C$1000,MATCH(C79,'[1]CÓDIGOS DE PRODUCTO'!$A$3:$A$1000,0))</f>
        <v>Papas fritas</v>
      </c>
      <c r="G79">
        <f>+'[1]VENTAS(RESUMEN GLOBAL)'!D79-'[1]VENTAS(RESUMEN GLOBAL)'!E79</f>
        <v>7</v>
      </c>
      <c r="H79" s="9">
        <f>+'[1]VENTAS(RESUMEN GLOBAL)'!K79</f>
        <v>7</v>
      </c>
      <c r="I79" s="8">
        <f>+G79*'[1]VENTAS(RESUMEN GLOBAL)'!F79</f>
        <v>175</v>
      </c>
      <c r="J79" s="8">
        <f>'[1]VENTAS(RESUMEN GLOBAL)'!G79*(1-'[1]VENTAS(RESUMEN GLOBAL)'!H79)</f>
        <v>59.499999999999993</v>
      </c>
      <c r="K79" s="8">
        <f t="shared" si="1"/>
        <v>115.5</v>
      </c>
      <c r="L79" s="8">
        <f>+'[1]VENTAS(RESUMEN GLOBAL)'!J79</f>
        <v>2.5100510703031619E-3</v>
      </c>
      <c r="M79" s="8">
        <f>+Tabla1[[#This Row],[utilidad x dia]]*7</f>
        <v>1.7570357492122133E-2</v>
      </c>
    </row>
    <row r="80" spans="1:13" x14ac:dyDescent="0.3">
      <c r="A80" s="6">
        <f>+'[1]VENTAS(RESUMEN GLOBAL)'!L80</f>
        <v>46015</v>
      </c>
      <c r="B80" s="6" t="str">
        <f>+'[1]VENTAS(RESUMEN GLOBAL)'!M80</f>
        <v>RIVULIS</v>
      </c>
      <c r="C80">
        <f>+'[1]VENTAS(RESUMEN GLOBAL)'!B80</f>
        <v>600101</v>
      </c>
      <c r="D80" t="str">
        <f>INDEX('[1]CÓDIGOS DE PRODUCTO'!$D$3:$D$1000,MATCH(C80,'[1]CÓDIGOS DE PRODUCTO'!$A$3:$A$1000,0))</f>
        <v>50192109 </v>
      </c>
      <c r="E80" t="str">
        <f>VLOOKUP(C80,'[1]CÓDIGOS DE PRODUCTO'!$A$4:$B$156,2,FALSE)</f>
        <v>CHIPS VERDES</v>
      </c>
      <c r="F80" t="str">
        <f>INDEX('[1]CÓDIGOS DE PRODUCTO'!$C$3:$C$1000,MATCH(C80,'[1]CÓDIGOS DE PRODUCTO'!$A$3:$A$1000,0))</f>
        <v>Papas fritas</v>
      </c>
      <c r="G80">
        <f>+'[1]VENTAS(RESUMEN GLOBAL)'!D80-'[1]VENTAS(RESUMEN GLOBAL)'!E80</f>
        <v>4</v>
      </c>
      <c r="H80" s="9">
        <f>+'[1]VENTAS(RESUMEN GLOBAL)'!K80</f>
        <v>4</v>
      </c>
      <c r="I80" s="8">
        <f>+G80*'[1]VENTAS(RESUMEN GLOBAL)'!F80</f>
        <v>100</v>
      </c>
      <c r="J80" s="8">
        <f>'[1]VENTAS(RESUMEN GLOBAL)'!G80*(1-'[1]VENTAS(RESUMEN GLOBAL)'!H80)</f>
        <v>36</v>
      </c>
      <c r="K80" s="8">
        <f t="shared" si="1"/>
        <v>64</v>
      </c>
      <c r="L80" s="8">
        <f>+'[1]VENTAS(RESUMEN GLOBAL)'!J80</f>
        <v>1.3908508095186352E-3</v>
      </c>
      <c r="M80" s="8">
        <f>+Tabla1[[#This Row],[utilidad x dia]]*7</f>
        <v>9.7359556666304463E-3</v>
      </c>
    </row>
    <row r="81" spans="1:13" x14ac:dyDescent="0.3">
      <c r="A81" s="6">
        <f>+'[1]VENTAS(RESUMEN GLOBAL)'!L81</f>
        <v>46015</v>
      </c>
      <c r="B81" s="6" t="str">
        <f>+'[1]VENTAS(RESUMEN GLOBAL)'!M81</f>
        <v>RIVULIS</v>
      </c>
      <c r="C81">
        <f>+'[1]VENTAS(RESUMEN GLOBAL)'!B81</f>
        <v>600102</v>
      </c>
      <c r="D81" t="str">
        <f>INDEX('[1]CÓDIGOS DE PRODUCTO'!$D$3:$D$1000,MATCH(C81,'[1]CÓDIGOS DE PRODUCTO'!$A$3:$A$1000,0))</f>
        <v>50192109 </v>
      </c>
      <c r="E81" t="str">
        <f>VLOOKUP(C81,'[1]CÓDIGOS DE PRODUCTO'!$A$4:$B$156,2,FALSE)</f>
        <v>RUNNERS</v>
      </c>
      <c r="F81" t="str">
        <f>INDEX('[1]CÓDIGOS DE PRODUCTO'!$C$3:$C$1000,MATCH(C81,'[1]CÓDIGOS DE PRODUCTO'!$A$3:$A$1000,0))</f>
        <v>Papas fritas</v>
      </c>
      <c r="G81">
        <f>+'[1]VENTAS(RESUMEN GLOBAL)'!D81-'[1]VENTAS(RESUMEN GLOBAL)'!E81</f>
        <v>2</v>
      </c>
      <c r="H81" s="9">
        <f>+'[1]VENTAS(RESUMEN GLOBAL)'!K81</f>
        <v>2</v>
      </c>
      <c r="I81" s="8">
        <f>+G81*'[1]VENTAS(RESUMEN GLOBAL)'!F81</f>
        <v>50</v>
      </c>
      <c r="J81" s="8">
        <f>'[1]VENTAS(RESUMEN GLOBAL)'!G81*(1-'[1]VENTAS(RESUMEN GLOBAL)'!H81)</f>
        <v>18</v>
      </c>
      <c r="K81" s="8">
        <f t="shared" si="1"/>
        <v>32</v>
      </c>
      <c r="L81" s="8">
        <f>+'[1]VENTAS(RESUMEN GLOBAL)'!J81</f>
        <v>6.9542540475931759E-4</v>
      </c>
      <c r="M81" s="8">
        <f>+Tabla1[[#This Row],[utilidad x dia]]*7</f>
        <v>4.8679778333152231E-3</v>
      </c>
    </row>
    <row r="82" spans="1:13" x14ac:dyDescent="0.3">
      <c r="A82" s="6">
        <f>+'[1]VENTAS(RESUMEN GLOBAL)'!L82</f>
        <v>46015</v>
      </c>
      <c r="B82" s="6" t="str">
        <f>+'[1]VENTAS(RESUMEN GLOBAL)'!M82</f>
        <v>RIVULIS</v>
      </c>
      <c r="C82">
        <f>+'[1]VENTAS(RESUMEN GLOBAL)'!B82</f>
        <v>6005104</v>
      </c>
      <c r="D82" t="str">
        <f>INDEX('[1]CÓDIGOS DE PRODUCTO'!$D$3:$D$1000,MATCH(C82,'[1]CÓDIGOS DE PRODUCTO'!$A$3:$A$1000,0))</f>
        <v>50192109 </v>
      </c>
      <c r="E82" t="str">
        <f>VLOOKUP(C82,'[1]CÓDIGOS DE PRODUCTO'!$A$4:$B$156,2,FALSE)</f>
        <v>RANCHERITOS</v>
      </c>
      <c r="F82" t="str">
        <f>INDEX('[1]CÓDIGOS DE PRODUCTO'!$C$3:$C$1000,MATCH(C82,'[1]CÓDIGOS DE PRODUCTO'!$A$3:$A$1000,0))</f>
        <v>Papas fritas</v>
      </c>
      <c r="G82">
        <f>+'[1]VENTAS(RESUMEN GLOBAL)'!D82-'[1]VENTAS(RESUMEN GLOBAL)'!E82</f>
        <v>3</v>
      </c>
      <c r="H82" s="9">
        <f>+'[1]VENTAS(RESUMEN GLOBAL)'!K82</f>
        <v>3</v>
      </c>
      <c r="I82" s="8">
        <f>+G82*'[1]VENTAS(RESUMEN GLOBAL)'!F82</f>
        <v>75</v>
      </c>
      <c r="J82" s="8">
        <f>'[1]VENTAS(RESUMEN GLOBAL)'!G82*(1-'[1]VENTAS(RESUMEN GLOBAL)'!H82)</f>
        <v>25.499999999999996</v>
      </c>
      <c r="K82" s="8">
        <f t="shared" si="1"/>
        <v>49.5</v>
      </c>
      <c r="L82" s="8">
        <f>+'[1]VENTAS(RESUMEN GLOBAL)'!J82</f>
        <v>1.0757361729870694E-3</v>
      </c>
      <c r="M82" s="8">
        <f>+Tabla1[[#This Row],[utilidad x dia]]*7</f>
        <v>7.5301532109094856E-3</v>
      </c>
    </row>
    <row r="83" spans="1:13" x14ac:dyDescent="0.3">
      <c r="A83" s="6">
        <f>+'[1]VENTAS(RESUMEN GLOBAL)'!L83</f>
        <v>46015</v>
      </c>
      <c r="B83" s="6" t="str">
        <f>+'[1]VENTAS(RESUMEN GLOBAL)'!M83</f>
        <v>RIVULIS</v>
      </c>
      <c r="C83">
        <f>+'[1]VENTAS(RESUMEN GLOBAL)'!B83</f>
        <v>600600</v>
      </c>
      <c r="D83" t="str">
        <f>INDEX('[1]CÓDIGOS DE PRODUCTO'!$D$3:$D$1000,MATCH(C83,'[1]CÓDIGOS DE PRODUCTO'!$A$3:$A$1000,0))</f>
        <v>50192109 </v>
      </c>
      <c r="E83" t="str">
        <f>VLOOKUP(C83,'[1]CÓDIGOS DE PRODUCTO'!$A$4:$B$156,2,FALSE)</f>
        <v>CHICHARRON SURTIDO</v>
      </c>
      <c r="F83" t="str">
        <f>INDEX('[1]CÓDIGOS DE PRODUCTO'!$C$3:$C$1000,MATCH(C83,'[1]CÓDIGOS DE PRODUCTO'!$A$3:$A$1000,0))</f>
        <v>Papas fritas</v>
      </c>
      <c r="G83">
        <f>+'[1]VENTAS(RESUMEN GLOBAL)'!D83-'[1]VENTAS(RESUMEN GLOBAL)'!E83</f>
        <v>5</v>
      </c>
      <c r="H83" s="9">
        <f>+'[1]VENTAS(RESUMEN GLOBAL)'!K83</f>
        <v>5</v>
      </c>
      <c r="I83" s="8">
        <f>+G83*'[1]VENTAS(RESUMEN GLOBAL)'!F83</f>
        <v>125</v>
      </c>
      <c r="J83" s="8">
        <f>'[1]VENTAS(RESUMEN GLOBAL)'!G83*(1-'[1]VENTAS(RESUMEN GLOBAL)'!H83)</f>
        <v>58.75</v>
      </c>
      <c r="K83" s="8">
        <f t="shared" si="1"/>
        <v>66.25</v>
      </c>
      <c r="L83" s="8">
        <f>+'[1]VENTAS(RESUMEN GLOBAL)'!J83</f>
        <v>1.4397479082907747E-3</v>
      </c>
      <c r="M83" s="8">
        <f>+Tabla1[[#This Row],[utilidad x dia]]*7</f>
        <v>1.0078235358035424E-2</v>
      </c>
    </row>
    <row r="84" spans="1:13" x14ac:dyDescent="0.3">
      <c r="A84" s="6">
        <f>+'[1]VENTAS(RESUMEN GLOBAL)'!L84</f>
        <v>46015</v>
      </c>
      <c r="B84" s="6" t="str">
        <f>+'[1]VENTAS(RESUMEN GLOBAL)'!M84</f>
        <v>RIVULIS</v>
      </c>
      <c r="C84">
        <f>+'[1]VENTAS(RESUMEN GLOBAL)'!B84</f>
        <v>600500</v>
      </c>
      <c r="D84" t="str">
        <f>INDEX('[1]CÓDIGOS DE PRODUCTO'!$D$3:$D$1000,MATCH(C84,'[1]CÓDIGOS DE PRODUCTO'!$A$3:$A$1000,0))</f>
        <v>50192109 </v>
      </c>
      <c r="E84" t="str">
        <f>VLOOKUP(C84,'[1]CÓDIGOS DE PRODUCTO'!$A$4:$B$156,2,FALSE)</f>
        <v>SABRIMAYOREO</v>
      </c>
      <c r="F84" t="str">
        <f>INDEX('[1]CÓDIGOS DE PRODUCTO'!$C$3:$C$1000,MATCH(C84,'[1]CÓDIGOS DE PRODUCTO'!$A$3:$A$1000,0))</f>
        <v>Papas fritas</v>
      </c>
      <c r="G84">
        <f>+'[1]VENTAS(RESUMEN GLOBAL)'!D84-'[1]VENTAS(RESUMEN GLOBAL)'!E84</f>
        <v>1</v>
      </c>
      <c r="H84" s="9">
        <f>+'[1]VENTAS(RESUMEN GLOBAL)'!K84</f>
        <v>1</v>
      </c>
      <c r="I84" s="8">
        <f>+G84*'[1]VENTAS(RESUMEN GLOBAL)'!F84</f>
        <v>25</v>
      </c>
      <c r="J84" s="8">
        <f>'[1]VENTAS(RESUMEN GLOBAL)'!G84*(1-'[1]VENTAS(RESUMEN GLOBAL)'!H84)</f>
        <v>8.5</v>
      </c>
      <c r="K84" s="8">
        <f t="shared" si="1"/>
        <v>16.5</v>
      </c>
      <c r="L84" s="8">
        <f>+'[1]VENTAS(RESUMEN GLOBAL)'!J84</f>
        <v>3.5857872432902316E-4</v>
      </c>
      <c r="M84" s="8">
        <f>+Tabla1[[#This Row],[utilidad x dia]]*7</f>
        <v>2.5100510703031623E-3</v>
      </c>
    </row>
    <row r="85" spans="1:13" x14ac:dyDescent="0.3">
      <c r="A85" s="6">
        <f>+'[1]VENTAS(RESUMEN GLOBAL)'!L85</f>
        <v>46015</v>
      </c>
      <c r="B85" s="6" t="str">
        <f>+'[1]VENTAS(RESUMEN GLOBAL)'!M85</f>
        <v>RIVULIS</v>
      </c>
      <c r="C85">
        <f>+'[1]VENTAS(RESUMEN GLOBAL)'!B85</f>
        <v>600400</v>
      </c>
      <c r="D85" t="str">
        <f>INDEX('[1]CÓDIGOS DE PRODUCTO'!$D$3:$D$1000,MATCH(C85,'[1]CÓDIGOS DE PRODUCTO'!$A$3:$A$1000,0))</f>
        <v>50192109 </v>
      </c>
      <c r="E85" t="str">
        <f>VLOOKUP(C85,'[1]CÓDIGOS DE PRODUCTO'!$A$4:$B$156,2,FALSE)</f>
        <v>FRITOS (CHORIZO U OTROS)</v>
      </c>
      <c r="F85" t="str">
        <f>INDEX('[1]CÓDIGOS DE PRODUCTO'!$C$3:$C$1000,MATCH(C85,'[1]CÓDIGOS DE PRODUCTO'!$A$3:$A$1000,0))</f>
        <v>Papas fritas</v>
      </c>
      <c r="G85">
        <f>+'[1]VENTAS(RESUMEN GLOBAL)'!D85-'[1]VENTAS(RESUMEN GLOBAL)'!E85</f>
        <v>5</v>
      </c>
      <c r="H85" s="9">
        <f>+'[1]VENTAS(RESUMEN GLOBAL)'!K85</f>
        <v>5</v>
      </c>
      <c r="I85" s="8">
        <f>+G85*'[1]VENTAS(RESUMEN GLOBAL)'!F85</f>
        <v>100</v>
      </c>
      <c r="J85" s="8">
        <f>'[1]VENTAS(RESUMEN GLOBAL)'!G85*(1-'[1]VENTAS(RESUMEN GLOBAL)'!H85)</f>
        <v>41</v>
      </c>
      <c r="K85" s="8">
        <f t="shared" si="1"/>
        <v>59</v>
      </c>
      <c r="L85" s="8">
        <f>+'[1]VENTAS(RESUMEN GLOBAL)'!J85</f>
        <v>1.2821905900249919E-3</v>
      </c>
      <c r="M85" s="8">
        <f>+Tabla1[[#This Row],[utilidad x dia]]*7</f>
        <v>8.9753341301749435E-3</v>
      </c>
    </row>
    <row r="86" spans="1:13" x14ac:dyDescent="0.3">
      <c r="A86" s="6">
        <f>+'[1]VENTAS(RESUMEN GLOBAL)'!L86</f>
        <v>46015</v>
      </c>
      <c r="B86" s="6" t="str">
        <f>+'[1]VENTAS(RESUMEN GLOBAL)'!M86</f>
        <v>RIVULIS</v>
      </c>
      <c r="C86">
        <f>+'[1]VENTAS(RESUMEN GLOBAL)'!B86</f>
        <v>100400</v>
      </c>
      <c r="D86" t="str">
        <f>INDEX('[1]CÓDIGOS DE PRODUCTO'!$D$3:$D$1000,MATCH(C86,'[1]CÓDIGOS DE PRODUCTO'!$A$3:$A$1000,0))</f>
        <v>50202300 </v>
      </c>
      <c r="E86" t="str">
        <f>VLOOKUP(C86,'[1]CÓDIGOS DE PRODUCTO'!$A$4:$B$156,2,FALSE)</f>
        <v>Jumex</v>
      </c>
      <c r="F86" t="str">
        <f>INDEX('[1]CÓDIGOS DE PRODUCTO'!$C$3:$C$1000,MATCH(C86,'[1]CÓDIGOS DE PRODUCTO'!$A$3:$A$1000,0))</f>
        <v>Bebidas</v>
      </c>
      <c r="G86">
        <f>+'[1]VENTAS(RESUMEN GLOBAL)'!D86-'[1]VENTAS(RESUMEN GLOBAL)'!E86</f>
        <v>1</v>
      </c>
      <c r="H86" s="9">
        <f>+'[1]VENTAS(RESUMEN GLOBAL)'!K86</f>
        <v>1</v>
      </c>
      <c r="I86" s="8">
        <f>+G86*'[1]VENTAS(RESUMEN GLOBAL)'!F86</f>
        <v>15</v>
      </c>
      <c r="J86" s="8">
        <f>'[1]VENTAS(RESUMEN GLOBAL)'!G86*(1-'[1]VENTAS(RESUMEN GLOBAL)'!H86)</f>
        <v>7.5</v>
      </c>
      <c r="K86" s="8">
        <f t="shared" si="1"/>
        <v>7.5</v>
      </c>
      <c r="L86" s="8">
        <f>+'[1]VENTAS(RESUMEN GLOBAL)'!J86</f>
        <v>1.6299032924046506E-4</v>
      </c>
      <c r="M86" s="8">
        <f>+Tabla1[[#This Row],[utilidad x dia]]*7</f>
        <v>1.1409323046832555E-3</v>
      </c>
    </row>
    <row r="87" spans="1:13" x14ac:dyDescent="0.3">
      <c r="A87" s="6">
        <f>+'[1]VENTAS(RESUMEN GLOBAL)'!L87</f>
        <v>46015</v>
      </c>
      <c r="B87" s="6" t="str">
        <f>+'[1]VENTAS(RESUMEN GLOBAL)'!M87</f>
        <v>RIVULIS</v>
      </c>
      <c r="C87">
        <f>+'[1]VENTAS(RESUMEN GLOBAL)'!B87</f>
        <v>100400</v>
      </c>
      <c r="D87" t="str">
        <f>INDEX('[1]CÓDIGOS DE PRODUCTO'!$D$3:$D$1000,MATCH(C87,'[1]CÓDIGOS DE PRODUCTO'!$A$3:$A$1000,0))</f>
        <v>50202300 </v>
      </c>
      <c r="E87" t="str">
        <f>VLOOKUP(C87,'[1]CÓDIGOS DE PRODUCTO'!$A$4:$B$156,2,FALSE)</f>
        <v>Jumex</v>
      </c>
      <c r="F87" t="str">
        <f>INDEX('[1]CÓDIGOS DE PRODUCTO'!$C$3:$C$1000,MATCH(C87,'[1]CÓDIGOS DE PRODUCTO'!$A$3:$A$1000,0))</f>
        <v>Bebidas</v>
      </c>
      <c r="G87">
        <f>+'[1]VENTAS(RESUMEN GLOBAL)'!D87-'[1]VENTAS(RESUMEN GLOBAL)'!E87</f>
        <v>1</v>
      </c>
      <c r="H87" s="9">
        <f>+'[1]VENTAS(RESUMEN GLOBAL)'!K87</f>
        <v>1</v>
      </c>
      <c r="I87" s="8">
        <f>+G87*'[1]VENTAS(RESUMEN GLOBAL)'!F87</f>
        <v>15</v>
      </c>
      <c r="J87" s="8">
        <f>'[1]VENTAS(RESUMEN GLOBAL)'!G87*(1-'[1]VENTAS(RESUMEN GLOBAL)'!H87)</f>
        <v>7.5</v>
      </c>
      <c r="K87" s="8">
        <f t="shared" si="1"/>
        <v>7.5</v>
      </c>
      <c r="L87" s="8">
        <f>+'[1]VENTAS(RESUMEN GLOBAL)'!J87</f>
        <v>1.6299032924046506E-4</v>
      </c>
      <c r="M87" s="8">
        <f>+Tabla1[[#This Row],[utilidad x dia]]*7</f>
        <v>1.1409323046832555E-3</v>
      </c>
    </row>
    <row r="88" spans="1:13" x14ac:dyDescent="0.3">
      <c r="A88" s="6">
        <f>+'[1]VENTAS(RESUMEN GLOBAL)'!L88</f>
        <v>46015</v>
      </c>
      <c r="B88" s="6" t="str">
        <f>+'[1]VENTAS(RESUMEN GLOBAL)'!M88</f>
        <v>RIVULIS</v>
      </c>
      <c r="C88">
        <f>+'[1]VENTAS(RESUMEN GLOBAL)'!B88</f>
        <v>100600</v>
      </c>
      <c r="D88" t="str">
        <f>INDEX('[1]CÓDIGOS DE PRODUCTO'!$D$3:$D$1000,MATCH(C88,'[1]CÓDIGOS DE PRODUCTO'!$A$3:$A$1000,0))</f>
        <v>50202300 </v>
      </c>
      <c r="E88" t="str">
        <f>VLOOKUP(C88,'[1]CÓDIGOS DE PRODUCTO'!$A$4:$B$156,2,FALSE)</f>
        <v>Leche santa clara</v>
      </c>
      <c r="F88" t="str">
        <f>INDEX('[1]CÓDIGOS DE PRODUCTO'!$C$3:$C$1000,MATCH(C88,'[1]CÓDIGOS DE PRODUCTO'!$A$3:$A$1000,0))</f>
        <v>Bebidas</v>
      </c>
      <c r="G88">
        <f>+'[1]VENTAS(RESUMEN GLOBAL)'!D88-'[1]VENTAS(RESUMEN GLOBAL)'!E88</f>
        <v>4</v>
      </c>
      <c r="H88" s="9">
        <f>+'[1]VENTAS(RESUMEN GLOBAL)'!K88</f>
        <v>4</v>
      </c>
      <c r="I88" s="8">
        <f>+G88*'[1]VENTAS(RESUMEN GLOBAL)'!F88</f>
        <v>60</v>
      </c>
      <c r="J88" s="8">
        <f>'[1]VENTAS(RESUMEN GLOBAL)'!G88*(1-'[1]VENTAS(RESUMEN GLOBAL)'!H88)</f>
        <v>34.200000000000003</v>
      </c>
      <c r="K88" s="8">
        <f t="shared" si="1"/>
        <v>25.799999999999997</v>
      </c>
      <c r="L88" s="8">
        <f>+'[1]VENTAS(RESUMEN GLOBAL)'!J88</f>
        <v>5.606867325871998E-4</v>
      </c>
      <c r="M88" s="8">
        <f>+Tabla1[[#This Row],[utilidad x dia]]*7</f>
        <v>3.9248071281103988E-3</v>
      </c>
    </row>
    <row r="89" spans="1:13" x14ac:dyDescent="0.3">
      <c r="A89" s="6">
        <f>+'[1]VENTAS(RESUMEN GLOBAL)'!L89</f>
        <v>46015</v>
      </c>
      <c r="B89" s="6" t="str">
        <f>+'[1]VENTAS(RESUMEN GLOBAL)'!M89</f>
        <v>RIVULIS</v>
      </c>
      <c r="C89">
        <f>+'[1]VENTAS(RESUMEN GLOBAL)'!B89</f>
        <v>100600</v>
      </c>
      <c r="D89" t="str">
        <f>INDEX('[1]CÓDIGOS DE PRODUCTO'!$D$3:$D$1000,MATCH(C89,'[1]CÓDIGOS DE PRODUCTO'!$A$3:$A$1000,0))</f>
        <v>50202300 </v>
      </c>
      <c r="E89" t="str">
        <f>VLOOKUP(C89,'[1]CÓDIGOS DE PRODUCTO'!$A$4:$B$156,2,FALSE)</f>
        <v>Leche santa clara</v>
      </c>
      <c r="F89" t="str">
        <f>INDEX('[1]CÓDIGOS DE PRODUCTO'!$C$3:$C$1000,MATCH(C89,'[1]CÓDIGOS DE PRODUCTO'!$A$3:$A$1000,0))</f>
        <v>Bebidas</v>
      </c>
      <c r="G89">
        <f>+'[1]VENTAS(RESUMEN GLOBAL)'!D89-'[1]VENTAS(RESUMEN GLOBAL)'!E89</f>
        <v>1</v>
      </c>
      <c r="H89" s="9">
        <f>+'[1]VENTAS(RESUMEN GLOBAL)'!K89</f>
        <v>1</v>
      </c>
      <c r="I89" s="8">
        <f>+G89*'[1]VENTAS(RESUMEN GLOBAL)'!F89</f>
        <v>15</v>
      </c>
      <c r="J89" s="8">
        <f>'[1]VENTAS(RESUMEN GLOBAL)'!G89*(1-'[1]VENTAS(RESUMEN GLOBAL)'!H89)</f>
        <v>8.5500000000000007</v>
      </c>
      <c r="K89" s="8">
        <f t="shared" si="1"/>
        <v>6.4499999999999993</v>
      </c>
      <c r="L89" s="8">
        <f>+'[1]VENTAS(RESUMEN GLOBAL)'!J89</f>
        <v>1.4017168314679995E-4</v>
      </c>
      <c r="M89" s="8">
        <f>+Tabla1[[#This Row],[utilidad x dia]]*7</f>
        <v>9.812017820275997E-4</v>
      </c>
    </row>
    <row r="90" spans="1:13" x14ac:dyDescent="0.3">
      <c r="A90" s="6">
        <f>+'[1]VENTAS(RESUMEN GLOBAL)'!L90</f>
        <v>46015</v>
      </c>
      <c r="B90" s="6" t="str">
        <f>+'[1]VENTAS(RESUMEN GLOBAL)'!M90</f>
        <v>RIVULIS</v>
      </c>
      <c r="C90">
        <f>+'[1]VENTAS(RESUMEN GLOBAL)'!B90</f>
        <v>800900</v>
      </c>
      <c r="D90" t="str">
        <f>INDEX('[1]CÓDIGOS DE PRODUCTO'!$D$3:$D$1000,MATCH(C90,'[1]CÓDIGOS DE PRODUCTO'!$A$3:$A$1000,0))</f>
        <v>50181900 </v>
      </c>
      <c r="E90" t="str">
        <f>VLOOKUP(C90,'[1]CÓDIGOS DE PRODUCTO'!$A$4:$B$156,2,FALSE)</f>
        <v>MANTECADAS</v>
      </c>
      <c r="F90" t="str">
        <f>INDEX('[1]CÓDIGOS DE PRODUCTO'!$C$3:$C$1000,MATCH(C90,'[1]CÓDIGOS DE PRODUCTO'!$A$3:$A$1000,0))</f>
        <v>GALLETAS Y PAN DULCE</v>
      </c>
      <c r="G90">
        <f>+'[1]VENTAS(RESUMEN GLOBAL)'!D90-'[1]VENTAS(RESUMEN GLOBAL)'!E90</f>
        <v>6</v>
      </c>
      <c r="H90" s="9">
        <f>+'[1]VENTAS(RESUMEN GLOBAL)'!K90</f>
        <v>6</v>
      </c>
      <c r="I90" s="8">
        <f>+G90*'[1]VENTAS(RESUMEN GLOBAL)'!F90</f>
        <v>120</v>
      </c>
      <c r="J90" s="8">
        <f>'[1]VENTAS(RESUMEN GLOBAL)'!G90*(1-'[1]VENTAS(RESUMEN GLOBAL)'!H90)</f>
        <v>58.8</v>
      </c>
      <c r="K90" s="8">
        <f t="shared" si="1"/>
        <v>61.2</v>
      </c>
      <c r="L90" s="8">
        <f>+'[1]VENTAS(RESUMEN GLOBAL)'!J90</f>
        <v>1.330001086602195E-3</v>
      </c>
      <c r="M90" s="8">
        <f>+Tabla1[[#This Row],[utilidad x dia]]*7</f>
        <v>9.3100076062153647E-3</v>
      </c>
    </row>
    <row r="91" spans="1:13" x14ac:dyDescent="0.3">
      <c r="A91" s="6">
        <f>+'[1]VENTAS(RESUMEN GLOBAL)'!L91</f>
        <v>46015</v>
      </c>
      <c r="B91" s="6" t="str">
        <f>+'[1]VENTAS(RESUMEN GLOBAL)'!M91</f>
        <v>RIVULIS</v>
      </c>
      <c r="C91">
        <f>+'[1]VENTAS(RESUMEN GLOBAL)'!B91</f>
        <v>300700</v>
      </c>
      <c r="D91" t="str">
        <f>INDEX('[1]CÓDIGOS DE PRODUCTO'!$D$3:$D$1000,MATCH(C91,'[1]CÓDIGOS DE PRODUCTO'!$A$3:$A$1000,0))</f>
        <v>50161800 </v>
      </c>
      <c r="E91" t="str">
        <f>VLOOKUP(C91,'[1]CÓDIGOS DE PRODUCTO'!$A$4:$B$156,2,FALSE)</f>
        <v>ZUMBA GOMA</v>
      </c>
      <c r="F91" t="str">
        <f>INDEX('[1]CÓDIGOS DE PRODUCTO'!$C$3:$C$1000,MATCH(C91,'[1]CÓDIGOS DE PRODUCTO'!$A$3:$A$1000,0))</f>
        <v>Snacks &amp; Dulces</v>
      </c>
      <c r="G91">
        <f>+'[1]VENTAS(RESUMEN GLOBAL)'!D91-'[1]VENTAS(RESUMEN GLOBAL)'!E91</f>
        <v>2</v>
      </c>
      <c r="H91" s="9">
        <f>+'[1]VENTAS(RESUMEN GLOBAL)'!K91</f>
        <v>2</v>
      </c>
      <c r="I91" s="8">
        <f>+G91*'[1]VENTAS(RESUMEN GLOBAL)'!F91</f>
        <v>20</v>
      </c>
      <c r="J91" s="8">
        <f>'[1]VENTAS(RESUMEN GLOBAL)'!G91*(1-'[1]VENTAS(RESUMEN GLOBAL)'!H91)</f>
        <v>5.8000000000000007</v>
      </c>
      <c r="K91" s="8">
        <f t="shared" si="1"/>
        <v>14.2</v>
      </c>
      <c r="L91" s="8">
        <f>+'[1]VENTAS(RESUMEN GLOBAL)'!J91</f>
        <v>3.0859502336194719E-4</v>
      </c>
      <c r="M91" s="8">
        <f>+Tabla1[[#This Row],[utilidad x dia]]*7</f>
        <v>2.1601651635336306E-3</v>
      </c>
    </row>
    <row r="92" spans="1:13" x14ac:dyDescent="0.3">
      <c r="A92" s="6">
        <f>+'[1]VENTAS(RESUMEN GLOBAL)'!L92</f>
        <v>46015</v>
      </c>
      <c r="B92" s="6" t="str">
        <f>+'[1]VENTAS(RESUMEN GLOBAL)'!M92</f>
        <v>RIVULIS</v>
      </c>
      <c r="C92">
        <f>+'[1]VENTAS(RESUMEN GLOBAL)'!B92</f>
        <v>300200</v>
      </c>
      <c r="D92" t="str">
        <f>INDEX('[1]CÓDIGOS DE PRODUCTO'!$D$3:$D$1000,MATCH(C92,'[1]CÓDIGOS DE PRODUCTO'!$A$3:$A$1000,0))</f>
        <v>50161800 </v>
      </c>
      <c r="E92" t="str">
        <f>VLOOKUP(C92,'[1]CÓDIGOS DE PRODUCTO'!$A$4:$B$156,2,FALSE)</f>
        <v>SKWINKLES</v>
      </c>
      <c r="F92" t="str">
        <f>INDEX('[1]CÓDIGOS DE PRODUCTO'!$C$3:$C$1000,MATCH(C92,'[1]CÓDIGOS DE PRODUCTO'!$A$3:$A$1000,0))</f>
        <v>Snacks &amp; Dulces</v>
      </c>
      <c r="G92">
        <f>+'[1]VENTAS(RESUMEN GLOBAL)'!D92-'[1]VENTAS(RESUMEN GLOBAL)'!E92</f>
        <v>2</v>
      </c>
      <c r="H92" s="9">
        <f>+'[1]VENTAS(RESUMEN GLOBAL)'!K92</f>
        <v>2</v>
      </c>
      <c r="I92" s="8">
        <f>+G92*'[1]VENTAS(RESUMEN GLOBAL)'!F92</f>
        <v>40</v>
      </c>
      <c r="J92" s="8">
        <f>'[1]VENTAS(RESUMEN GLOBAL)'!G92*(1-'[1]VENTAS(RESUMEN GLOBAL)'!H92)</f>
        <v>15.2</v>
      </c>
      <c r="K92" s="8">
        <f t="shared" si="1"/>
        <v>24.8</v>
      </c>
      <c r="L92" s="8">
        <f>+'[1]VENTAS(RESUMEN GLOBAL)'!J92</f>
        <v>5.3895468868847118E-4</v>
      </c>
      <c r="M92" s="8">
        <f>+Tabla1[[#This Row],[utilidad x dia]]*7</f>
        <v>3.7726828208192982E-3</v>
      </c>
    </row>
    <row r="93" spans="1:13" x14ac:dyDescent="0.3">
      <c r="A93" s="6">
        <f>+'[1]VENTAS(RESUMEN GLOBAL)'!L93</f>
        <v>46015</v>
      </c>
      <c r="B93" s="6" t="str">
        <f>+'[1]VENTAS(RESUMEN GLOBAL)'!M93</f>
        <v>RIVULIS</v>
      </c>
      <c r="C93">
        <f>+'[1]VENTAS(RESUMEN GLOBAL)'!B93</f>
        <v>300100</v>
      </c>
      <c r="D93" t="str">
        <f>INDEX('[1]CÓDIGOS DE PRODUCTO'!$D$3:$D$1000,MATCH(C93,'[1]CÓDIGOS DE PRODUCTO'!$A$3:$A$1000,0))</f>
        <v>50161800 </v>
      </c>
      <c r="E93" t="str">
        <f>VLOOKUP(C93,'[1]CÓDIGOS DE PRODUCTO'!$A$4:$B$156,2,FALSE)</f>
        <v>Pelonetes</v>
      </c>
      <c r="F93" t="str">
        <f>INDEX('[1]CÓDIGOS DE PRODUCTO'!$C$3:$C$1000,MATCH(C93,'[1]CÓDIGOS DE PRODUCTO'!$A$3:$A$1000,0))</f>
        <v>Snacks &amp; Dulces</v>
      </c>
      <c r="G93">
        <f>+'[1]VENTAS(RESUMEN GLOBAL)'!D93-'[1]VENTAS(RESUMEN GLOBAL)'!E93</f>
        <v>7</v>
      </c>
      <c r="H93" s="9">
        <f>+'[1]VENTAS(RESUMEN GLOBAL)'!K93</f>
        <v>7</v>
      </c>
      <c r="I93" s="8">
        <f>+G93*'[1]VENTAS(RESUMEN GLOBAL)'!F93</f>
        <v>105</v>
      </c>
      <c r="J93" s="8">
        <f>'[1]VENTAS(RESUMEN GLOBAL)'!G93*(1-'[1]VENTAS(RESUMEN GLOBAL)'!H93)</f>
        <v>45.150000000000006</v>
      </c>
      <c r="K93" s="8">
        <f t="shared" si="1"/>
        <v>59.849999999999994</v>
      </c>
      <c r="L93" s="8">
        <f>+'[1]VENTAS(RESUMEN GLOBAL)'!J93</f>
        <v>1.3006628273389111E-3</v>
      </c>
      <c r="M93" s="8">
        <f>+Tabla1[[#This Row],[utilidad x dia]]*7</f>
        <v>9.1046397913723785E-3</v>
      </c>
    </row>
    <row r="94" spans="1:13" x14ac:dyDescent="0.3">
      <c r="A94" s="6">
        <f>+'[1]VENTAS(RESUMEN GLOBAL)'!L94</f>
        <v>46015</v>
      </c>
      <c r="B94" s="6" t="str">
        <f>+'[1]VENTAS(RESUMEN GLOBAL)'!M94</f>
        <v>RIVULIS</v>
      </c>
      <c r="C94">
        <f>+'[1]VENTAS(RESUMEN GLOBAL)'!B94</f>
        <v>900300</v>
      </c>
      <c r="D94">
        <f>INDEX('[1]CÓDIGOS DE PRODUCTO'!$D$3:$D$1000,MATCH(C94,'[1]CÓDIGOS DE PRODUCTO'!$A$3:$A$1000,0))</f>
        <v>50161815</v>
      </c>
      <c r="E94" t="str">
        <f>VLOOKUP(C94,'[1]CÓDIGOS DE PRODUCTO'!$A$4:$B$156,2,FALSE)</f>
        <v>CHICLES TRIDENT</v>
      </c>
      <c r="F94" t="str">
        <f>INDEX('[1]CÓDIGOS DE PRODUCTO'!$C$3:$C$1000,MATCH(C94,'[1]CÓDIGOS DE PRODUCTO'!$A$3:$A$1000,0))</f>
        <v>OTROS</v>
      </c>
      <c r="G94">
        <f>+'[1]VENTAS(RESUMEN GLOBAL)'!D94-'[1]VENTAS(RESUMEN GLOBAL)'!E94</f>
        <v>4</v>
      </c>
      <c r="H94" s="9">
        <f>+'[1]VENTAS(RESUMEN GLOBAL)'!K94</f>
        <v>4</v>
      </c>
      <c r="I94" s="8">
        <f>+G94*'[1]VENTAS(RESUMEN GLOBAL)'!F94</f>
        <v>100</v>
      </c>
      <c r="J94" s="8">
        <f>'[1]VENTAS(RESUMEN GLOBAL)'!G94*(1-'[1]VENTAS(RESUMEN GLOBAL)'!H94)</f>
        <v>60</v>
      </c>
      <c r="K94" s="8">
        <f t="shared" si="1"/>
        <v>40</v>
      </c>
      <c r="L94" s="8">
        <f>+'[1]VENTAS(RESUMEN GLOBAL)'!J94</f>
        <v>8.6928175594914699E-4</v>
      </c>
      <c r="M94" s="8">
        <f>+Tabla1[[#This Row],[utilidad x dia]]*7</f>
        <v>6.0849722916440294E-3</v>
      </c>
    </row>
    <row r="95" spans="1:13" x14ac:dyDescent="0.3">
      <c r="A95" s="6">
        <f>+'[1]VENTAS(RESUMEN GLOBAL)'!L95</f>
        <v>46015</v>
      </c>
      <c r="B95" s="6" t="str">
        <f>+'[1]VENTAS(RESUMEN GLOBAL)'!M95</f>
        <v>RIVULIS</v>
      </c>
      <c r="C95">
        <f>+'[1]VENTAS(RESUMEN GLOBAL)'!B95</f>
        <v>300400</v>
      </c>
      <c r="D95" t="str">
        <f>INDEX('[1]CÓDIGOS DE PRODUCTO'!$D$3:$D$1000,MATCH(C95,'[1]CÓDIGOS DE PRODUCTO'!$A$3:$A$1000,0))</f>
        <v>50161800 </v>
      </c>
      <c r="E95" t="str">
        <f>VLOOKUP(C95,'[1]CÓDIGOS DE PRODUCTO'!$A$4:$B$156,2,FALSE)</f>
        <v>Welchs GOMITAS</v>
      </c>
      <c r="F95" t="str">
        <f>INDEX('[1]CÓDIGOS DE PRODUCTO'!$C$3:$C$1000,MATCH(C95,'[1]CÓDIGOS DE PRODUCTO'!$A$3:$A$1000,0))</f>
        <v>Snacks &amp; Dulces</v>
      </c>
      <c r="G95">
        <f>+'[1]VENTAS(RESUMEN GLOBAL)'!D95-'[1]VENTAS(RESUMEN GLOBAL)'!E95</f>
        <v>6</v>
      </c>
      <c r="H95" s="9">
        <f>+'[1]VENTAS(RESUMEN GLOBAL)'!K95</f>
        <v>6</v>
      </c>
      <c r="I95" s="8">
        <f>+G95*'[1]VENTAS(RESUMEN GLOBAL)'!F95</f>
        <v>60</v>
      </c>
      <c r="J95" s="8">
        <f>'[1]VENTAS(RESUMEN GLOBAL)'!G95*(1-'[1]VENTAS(RESUMEN GLOBAL)'!H95)</f>
        <v>36</v>
      </c>
      <c r="K95" s="8">
        <f t="shared" si="1"/>
        <v>24</v>
      </c>
      <c r="L95" s="8">
        <f>+'[1]VENTAS(RESUMEN GLOBAL)'!J95</f>
        <v>5.2156905356948819E-4</v>
      </c>
      <c r="M95" s="8">
        <f>+Tabla1[[#This Row],[utilidad x dia]]*7</f>
        <v>3.6509833749864174E-3</v>
      </c>
    </row>
    <row r="96" spans="1:13" x14ac:dyDescent="0.3">
      <c r="A96" s="6">
        <f>+'[1]VENTAS(RESUMEN GLOBAL)'!L96</f>
        <v>46015</v>
      </c>
      <c r="B96" s="6" t="str">
        <f>+'[1]VENTAS(RESUMEN GLOBAL)'!M96</f>
        <v>RIVULIS</v>
      </c>
      <c r="C96">
        <f>+'[1]VENTAS(RESUMEN GLOBAL)'!B96</f>
        <v>700500</v>
      </c>
      <c r="D96" t="str">
        <f>INDEX('[1]CÓDIGOS DE PRODUCTO'!$D$3:$D$1000,MATCH(C96,'[1]CÓDIGOS DE PRODUCTO'!$A$3:$A$1000,0))</f>
        <v>50161511 </v>
      </c>
      <c r="E96" t="str">
        <f>VLOOKUP(C96,'[1]CÓDIGOS DE PRODUCTO'!$A$4:$B$156,2,FALSE)</f>
        <v>HERSHEYS BLANCO</v>
      </c>
      <c r="F96" t="str">
        <f>INDEX('[1]CÓDIGOS DE PRODUCTO'!$C$3:$C$1000,MATCH(C96,'[1]CÓDIGOS DE PRODUCTO'!$A$3:$A$1000,0))</f>
        <v>CHOCOLATES</v>
      </c>
      <c r="G96">
        <f>+'[1]VENTAS(RESUMEN GLOBAL)'!D96-'[1]VENTAS(RESUMEN GLOBAL)'!E96</f>
        <v>2</v>
      </c>
      <c r="H96" s="9">
        <f>+'[1]VENTAS(RESUMEN GLOBAL)'!K96</f>
        <v>2</v>
      </c>
      <c r="I96" s="8">
        <f>+G96*'[1]VENTAS(RESUMEN GLOBAL)'!F96</f>
        <v>30</v>
      </c>
      <c r="J96" s="8">
        <f>'[1]VENTAS(RESUMEN GLOBAL)'!G96*(1-'[1]VENTAS(RESUMEN GLOBAL)'!H96)</f>
        <v>12.900000000000002</v>
      </c>
      <c r="K96" s="8">
        <f t="shared" si="1"/>
        <v>17.099999999999998</v>
      </c>
      <c r="L96" s="8">
        <f>+'[1]VENTAS(RESUMEN GLOBAL)'!J96</f>
        <v>3.7161795066826029E-4</v>
      </c>
      <c r="M96" s="8">
        <f>+Tabla1[[#This Row],[utilidad x dia]]*7</f>
        <v>2.6013256546778222E-3</v>
      </c>
    </row>
    <row r="97" spans="1:13" x14ac:dyDescent="0.3">
      <c r="A97" s="6">
        <f>+'[1]VENTAS(RESUMEN GLOBAL)'!L97</f>
        <v>46015</v>
      </c>
      <c r="B97" s="6" t="str">
        <f>+'[1]VENTAS(RESUMEN GLOBAL)'!M97</f>
        <v>RIVULIS</v>
      </c>
      <c r="C97">
        <f>+'[1]VENTAS(RESUMEN GLOBAL)'!B97</f>
        <v>700400</v>
      </c>
      <c r="D97" t="str">
        <f>INDEX('[1]CÓDIGOS DE PRODUCTO'!$D$3:$D$1000,MATCH(C97,'[1]CÓDIGOS DE PRODUCTO'!$A$3:$A$1000,0))</f>
        <v>50161511 </v>
      </c>
      <c r="E97" t="str">
        <f>VLOOKUP(C97,'[1]CÓDIGOS DE PRODUCTO'!$A$4:$B$156,2,FALSE)</f>
        <v>KIT KAT</v>
      </c>
      <c r="F97" t="str">
        <f>INDEX('[1]CÓDIGOS DE PRODUCTO'!$C$3:$C$1000,MATCH(C97,'[1]CÓDIGOS DE PRODUCTO'!$A$3:$A$1000,0))</f>
        <v>CHOCOLATES</v>
      </c>
      <c r="G97">
        <f>+'[1]VENTAS(RESUMEN GLOBAL)'!D97-'[1]VENTAS(RESUMEN GLOBAL)'!E97</f>
        <v>1</v>
      </c>
      <c r="H97" s="9">
        <f>+'[1]VENTAS(RESUMEN GLOBAL)'!K97</f>
        <v>1</v>
      </c>
      <c r="I97" s="8">
        <f>+G97*'[1]VENTAS(RESUMEN GLOBAL)'!F97</f>
        <v>25</v>
      </c>
      <c r="J97" s="8">
        <f>'[1]VENTAS(RESUMEN GLOBAL)'!G97*(1-'[1]VENTAS(RESUMEN GLOBAL)'!H97)</f>
        <v>13</v>
      </c>
      <c r="K97" s="8">
        <f t="shared" si="1"/>
        <v>12</v>
      </c>
      <c r="L97" s="8">
        <f>+'[1]VENTAS(RESUMEN GLOBAL)'!J97</f>
        <v>2.607845267847441E-4</v>
      </c>
      <c r="M97" s="8">
        <f>+Tabla1[[#This Row],[utilidad x dia]]*7</f>
        <v>1.8254916874932087E-3</v>
      </c>
    </row>
    <row r="98" spans="1:13" x14ac:dyDescent="0.3">
      <c r="A98" s="6">
        <f>+'[1]VENTAS(RESUMEN GLOBAL)'!L98</f>
        <v>46015</v>
      </c>
      <c r="B98" s="6" t="str">
        <f>+'[1]VENTAS(RESUMEN GLOBAL)'!M98</f>
        <v>RIVULIS</v>
      </c>
      <c r="C98">
        <f>+'[1]VENTAS(RESUMEN GLOBAL)'!B98</f>
        <v>700800</v>
      </c>
      <c r="D98" t="str">
        <f>INDEX('[1]CÓDIGOS DE PRODUCTO'!$D$3:$D$1000,MATCH(C98,'[1]CÓDIGOS DE PRODUCTO'!$A$3:$A$1000,0))</f>
        <v>50161511 </v>
      </c>
      <c r="E98" t="str">
        <f>VLOOKUP(C98,'[1]CÓDIGOS DE PRODUCTO'!$A$4:$B$156,2,FALSE)</f>
        <v>Kinder delice</v>
      </c>
      <c r="F98" t="str">
        <f>INDEX('[1]CÓDIGOS DE PRODUCTO'!$C$3:$C$1000,MATCH(C98,'[1]CÓDIGOS DE PRODUCTO'!$A$3:$A$1000,0))</f>
        <v>CHOCOLATES</v>
      </c>
      <c r="G98">
        <f>+'[1]VENTAS(RESUMEN GLOBAL)'!D98-'[1]VENTAS(RESUMEN GLOBAL)'!E98</f>
        <v>5</v>
      </c>
      <c r="H98" s="9">
        <f>+'[1]VENTAS(RESUMEN GLOBAL)'!K98</f>
        <v>5</v>
      </c>
      <c r="I98" s="8">
        <f>+G98*'[1]VENTAS(RESUMEN GLOBAL)'!F98</f>
        <v>100</v>
      </c>
      <c r="J98" s="8">
        <f>'[1]VENTAS(RESUMEN GLOBAL)'!G98*(1-'[1]VENTAS(RESUMEN GLOBAL)'!H98)</f>
        <v>62</v>
      </c>
      <c r="K98" s="8">
        <f t="shared" si="1"/>
        <v>38</v>
      </c>
      <c r="L98" s="8">
        <f>+'[1]VENTAS(RESUMEN GLOBAL)'!J98</f>
        <v>8.2581766815168964E-4</v>
      </c>
      <c r="M98" s="8">
        <f>+Tabla1[[#This Row],[utilidad x dia]]*7</f>
        <v>5.7807236770618274E-3</v>
      </c>
    </row>
    <row r="99" spans="1:13" x14ac:dyDescent="0.3">
      <c r="A99" s="6">
        <f>+'[1]VENTAS(RESUMEN GLOBAL)'!L99</f>
        <v>46015</v>
      </c>
      <c r="B99" s="6" t="str">
        <f>+'[1]VENTAS(RESUMEN GLOBAL)'!M99</f>
        <v>RIVULIS</v>
      </c>
      <c r="C99">
        <f>+'[1]VENTAS(RESUMEN GLOBAL)'!B99</f>
        <v>700700</v>
      </c>
      <c r="D99" t="str">
        <f>INDEX('[1]CÓDIGOS DE PRODUCTO'!$D$3:$D$1000,MATCH(C99,'[1]CÓDIGOS DE PRODUCTO'!$A$3:$A$1000,0))</f>
        <v>50161511 </v>
      </c>
      <c r="E99" t="str">
        <f>VLOOKUP(C99,'[1]CÓDIGOS DE PRODUCTO'!$A$4:$B$156,2,FALSE)</f>
        <v>Milkiway</v>
      </c>
      <c r="F99" t="str">
        <f>INDEX('[1]CÓDIGOS DE PRODUCTO'!$C$3:$C$1000,MATCH(C99,'[1]CÓDIGOS DE PRODUCTO'!$A$3:$A$1000,0))</f>
        <v>CHOCOLATES</v>
      </c>
      <c r="G99">
        <f>+'[1]VENTAS(RESUMEN GLOBAL)'!D99-'[1]VENTAS(RESUMEN GLOBAL)'!E99</f>
        <v>0</v>
      </c>
      <c r="H99" s="9">
        <f>+'[1]VENTAS(RESUMEN GLOBAL)'!K99</f>
        <v>0</v>
      </c>
      <c r="I99" s="8">
        <f>+G99*'[1]VENTAS(RESUMEN GLOBAL)'!F99</f>
        <v>0</v>
      </c>
      <c r="J99" s="8">
        <f>'[1]VENTAS(RESUMEN GLOBAL)'!G99*(1-'[1]VENTAS(RESUMEN GLOBAL)'!H99)</f>
        <v>0</v>
      </c>
      <c r="K99" s="8">
        <f t="shared" si="1"/>
        <v>0</v>
      </c>
      <c r="L99" s="8">
        <f>+'[1]VENTAS(RESUMEN GLOBAL)'!J99</f>
        <v>0</v>
      </c>
      <c r="M99" s="8">
        <f>+Tabla1[[#This Row],[utilidad x dia]]*7</f>
        <v>0</v>
      </c>
    </row>
    <row r="100" spans="1:13" x14ac:dyDescent="0.3">
      <c r="A100" s="6">
        <f>+'[1]VENTAS(RESUMEN GLOBAL)'!L100</f>
        <v>46015</v>
      </c>
      <c r="B100" s="6" t="str">
        <f>+'[1]VENTAS(RESUMEN GLOBAL)'!M100</f>
        <v>RIVULIS</v>
      </c>
      <c r="C100">
        <f>+'[1]VENTAS(RESUMEN GLOBAL)'!B100</f>
        <v>700200</v>
      </c>
      <c r="D100" t="str">
        <f>INDEX('[1]CÓDIGOS DE PRODUCTO'!$D$3:$D$1000,MATCH(C100,'[1]CÓDIGOS DE PRODUCTO'!$A$3:$A$1000,0))</f>
        <v>50161511 </v>
      </c>
      <c r="E100" t="str">
        <f>VLOOKUP(C100,'[1]CÓDIGOS DE PRODUCTO'!$A$4:$B$156,2,FALSE)</f>
        <v>Snickers</v>
      </c>
      <c r="F100" t="str">
        <f>INDEX('[1]CÓDIGOS DE PRODUCTO'!$C$3:$C$1000,MATCH(C100,'[1]CÓDIGOS DE PRODUCTO'!$A$3:$A$1000,0))</f>
        <v>CHOCOLATES</v>
      </c>
      <c r="G100">
        <f>+'[1]VENTAS(RESUMEN GLOBAL)'!D100-'[1]VENTAS(RESUMEN GLOBAL)'!E100</f>
        <v>0</v>
      </c>
      <c r="H100" s="9">
        <f>+'[1]VENTAS(RESUMEN GLOBAL)'!K100</f>
        <v>0</v>
      </c>
      <c r="I100" s="8">
        <f>+G100*'[1]VENTAS(RESUMEN GLOBAL)'!F100</f>
        <v>0</v>
      </c>
      <c r="J100" s="8">
        <f>'[1]VENTAS(RESUMEN GLOBAL)'!G100*(1-'[1]VENTAS(RESUMEN GLOBAL)'!H100)</f>
        <v>0</v>
      </c>
      <c r="K100" s="8">
        <f t="shared" si="1"/>
        <v>0</v>
      </c>
      <c r="L100" s="8">
        <f>+'[1]VENTAS(RESUMEN GLOBAL)'!J100</f>
        <v>0</v>
      </c>
      <c r="M100" s="8">
        <f>+Tabla1[[#This Row],[utilidad x dia]]*7</f>
        <v>0</v>
      </c>
    </row>
    <row r="101" spans="1:13" x14ac:dyDescent="0.3">
      <c r="A101" s="6">
        <f>+'[1]VENTAS(RESUMEN GLOBAL)'!L101</f>
        <v>46015</v>
      </c>
      <c r="B101" s="6" t="str">
        <f>+'[1]VENTAS(RESUMEN GLOBAL)'!M101</f>
        <v>RIVULIS</v>
      </c>
      <c r="C101">
        <f>+'[1]VENTAS(RESUMEN GLOBAL)'!B101</f>
        <v>800500</v>
      </c>
      <c r="D101" t="str">
        <f>INDEX('[1]CÓDIGOS DE PRODUCTO'!$D$3:$D$1000,MATCH(C101,'[1]CÓDIGOS DE PRODUCTO'!$A$3:$A$1000,0))</f>
        <v>50181900 </v>
      </c>
      <c r="E101" t="str">
        <f>VLOOKUP(C101,'[1]CÓDIGOS DE PRODUCTO'!$A$4:$B$156,2,FALSE)</f>
        <v>RICE KRISPIES</v>
      </c>
      <c r="F101" t="str">
        <f>INDEX('[1]CÓDIGOS DE PRODUCTO'!$C$3:$C$1000,MATCH(C101,'[1]CÓDIGOS DE PRODUCTO'!$A$3:$A$1000,0))</f>
        <v>GALLETAS Y PAN DULCE</v>
      </c>
      <c r="G101">
        <f>+'[1]VENTAS(RESUMEN GLOBAL)'!D101-'[1]VENTAS(RESUMEN GLOBAL)'!E101</f>
        <v>3</v>
      </c>
      <c r="H101" s="9">
        <f>+'[1]VENTAS(RESUMEN GLOBAL)'!K101</f>
        <v>3</v>
      </c>
      <c r="I101" s="8">
        <f>+G101*'[1]VENTAS(RESUMEN GLOBAL)'!F101</f>
        <v>30</v>
      </c>
      <c r="J101" s="8">
        <f>'[1]VENTAS(RESUMEN GLOBAL)'!G101*(1-'[1]VENTAS(RESUMEN GLOBAL)'!H101)</f>
        <v>9.0000000000000018</v>
      </c>
      <c r="K101" s="8">
        <f t="shared" si="1"/>
        <v>21</v>
      </c>
      <c r="L101" s="8">
        <f>+'[1]VENTAS(RESUMEN GLOBAL)'!J101</f>
        <v>4.5637292187330217E-4</v>
      </c>
      <c r="M101" s="8">
        <f>+Tabla1[[#This Row],[utilidad x dia]]*7</f>
        <v>3.1946104531131152E-3</v>
      </c>
    </row>
    <row r="102" spans="1:13" x14ac:dyDescent="0.3">
      <c r="A102" s="6">
        <f>+'[1]VENTAS(RESUMEN GLOBAL)'!L102</f>
        <v>46015</v>
      </c>
      <c r="B102" s="6" t="str">
        <f>+'[1]VENTAS(RESUMEN GLOBAL)'!M102</f>
        <v>RIVULIS</v>
      </c>
      <c r="C102">
        <f>+'[1]VENTAS(RESUMEN GLOBAL)'!B102</f>
        <v>800700</v>
      </c>
      <c r="D102" t="str">
        <f>INDEX('[1]CÓDIGOS DE PRODUCTO'!$D$3:$D$1000,MATCH(C102,'[1]CÓDIGOS DE PRODUCTO'!$A$3:$A$1000,0))</f>
        <v>50181900 </v>
      </c>
      <c r="E102" t="str">
        <f>VLOOKUP(C102,'[1]CÓDIGOS DE PRODUCTO'!$A$4:$B$156,2,FALSE)</f>
        <v>BARRITAS PIÑA</v>
      </c>
      <c r="F102" t="str">
        <f>INDEX('[1]CÓDIGOS DE PRODUCTO'!$C$3:$C$1000,MATCH(C102,'[1]CÓDIGOS DE PRODUCTO'!$A$3:$A$1000,0))</f>
        <v>GALLETAS Y PAN DULCE</v>
      </c>
      <c r="G102">
        <f>+'[1]VENTAS(RESUMEN GLOBAL)'!D102-'[1]VENTAS(RESUMEN GLOBAL)'!E102</f>
        <v>1</v>
      </c>
      <c r="H102" s="9">
        <f>+'[1]VENTAS(RESUMEN GLOBAL)'!K102</f>
        <v>1</v>
      </c>
      <c r="I102" s="8">
        <f>+G102*'[1]VENTAS(RESUMEN GLOBAL)'!F102</f>
        <v>20</v>
      </c>
      <c r="J102" s="8">
        <f>'[1]VENTAS(RESUMEN GLOBAL)'!G102*(1-'[1]VENTAS(RESUMEN GLOBAL)'!H102)</f>
        <v>9</v>
      </c>
      <c r="K102" s="8">
        <f t="shared" si="1"/>
        <v>11</v>
      </c>
      <c r="L102" s="8">
        <f>+'[1]VENTAS(RESUMEN GLOBAL)'!J102</f>
        <v>2.3905248288601542E-4</v>
      </c>
      <c r="M102" s="8">
        <f>+Tabla1[[#This Row],[utilidad x dia]]*7</f>
        <v>1.6733673802021079E-3</v>
      </c>
    </row>
    <row r="103" spans="1:13" x14ac:dyDescent="0.3">
      <c r="A103" s="6">
        <f>+'[1]VENTAS(RESUMEN GLOBAL)'!L103</f>
        <v>46015</v>
      </c>
      <c r="B103" s="6" t="str">
        <f>+'[1]VENTAS(RESUMEN GLOBAL)'!M103</f>
        <v>RIVULIS</v>
      </c>
      <c r="C103">
        <f>+'[1]VENTAS(RESUMEN GLOBAL)'!B103</f>
        <v>800400</v>
      </c>
      <c r="D103" t="str">
        <f>INDEX('[1]CÓDIGOS DE PRODUCTO'!$D$3:$D$1000,MATCH(C103,'[1]CÓDIGOS DE PRODUCTO'!$A$3:$A$1000,0))</f>
        <v>50181900 </v>
      </c>
      <c r="E103" t="str">
        <f>VLOOKUP(C103,'[1]CÓDIGOS DE PRODUCTO'!$A$4:$B$156,2,FALSE)</f>
        <v>Barritas FRESA</v>
      </c>
      <c r="F103" t="str">
        <f>INDEX('[1]CÓDIGOS DE PRODUCTO'!$C$3:$C$1000,MATCH(C103,'[1]CÓDIGOS DE PRODUCTO'!$A$3:$A$1000,0))</f>
        <v>GALLETAS Y PAN DULCE</v>
      </c>
      <c r="G103">
        <f>+'[1]VENTAS(RESUMEN GLOBAL)'!D103-'[1]VENTAS(RESUMEN GLOBAL)'!E103</f>
        <v>0</v>
      </c>
      <c r="H103" s="9">
        <f>+'[1]VENTAS(RESUMEN GLOBAL)'!K103</f>
        <v>0</v>
      </c>
      <c r="I103" s="8">
        <f>+G103*'[1]VENTAS(RESUMEN GLOBAL)'!F103</f>
        <v>0</v>
      </c>
      <c r="J103" s="8">
        <f>'[1]VENTAS(RESUMEN GLOBAL)'!G103*(1-'[1]VENTAS(RESUMEN GLOBAL)'!H103)</f>
        <v>0</v>
      </c>
      <c r="K103" s="8">
        <f t="shared" si="1"/>
        <v>0</v>
      </c>
      <c r="L103" s="8">
        <f>+'[1]VENTAS(RESUMEN GLOBAL)'!J103</f>
        <v>0</v>
      </c>
      <c r="M103" s="8">
        <f>+Tabla1[[#This Row],[utilidad x dia]]*7</f>
        <v>0</v>
      </c>
    </row>
    <row r="104" spans="1:13" x14ac:dyDescent="0.3">
      <c r="A104" s="6">
        <f>+'[1]VENTAS(RESUMEN GLOBAL)'!L104</f>
        <v>46015</v>
      </c>
      <c r="B104" s="6" t="str">
        <f>+'[1]VENTAS(RESUMEN GLOBAL)'!M104</f>
        <v>RIVULIS</v>
      </c>
      <c r="C104">
        <f>+'[1]VENTAS(RESUMEN GLOBAL)'!B104</f>
        <v>800601</v>
      </c>
      <c r="D104" t="str">
        <f>INDEX('[1]CÓDIGOS DE PRODUCTO'!$D$3:$D$1000,MATCH(C104,'[1]CÓDIGOS DE PRODUCTO'!$A$3:$A$1000,0))</f>
        <v>50181900 </v>
      </c>
      <c r="E104" t="str">
        <f>VLOOKUP(C104,'[1]CÓDIGOS DE PRODUCTO'!$A$4:$B$156,2,FALSE)</f>
        <v>CREMAX AZULES</v>
      </c>
      <c r="F104" t="str">
        <f>INDEX('[1]CÓDIGOS DE PRODUCTO'!$C$3:$C$1000,MATCH(C104,'[1]CÓDIGOS DE PRODUCTO'!$A$3:$A$1000,0))</f>
        <v>GALLETAS Y PAN DULCE</v>
      </c>
      <c r="G104">
        <f>+'[1]VENTAS(RESUMEN GLOBAL)'!D104-'[1]VENTAS(RESUMEN GLOBAL)'!E104</f>
        <v>3</v>
      </c>
      <c r="H104" s="9">
        <f>+'[1]VENTAS(RESUMEN GLOBAL)'!K104</f>
        <v>3</v>
      </c>
      <c r="I104" s="8">
        <f>+G104*'[1]VENTAS(RESUMEN GLOBAL)'!F104</f>
        <v>45</v>
      </c>
      <c r="J104" s="8">
        <f>'[1]VENTAS(RESUMEN GLOBAL)'!G104*(1-'[1]VENTAS(RESUMEN GLOBAL)'!H104)</f>
        <v>20.249999999999996</v>
      </c>
      <c r="K104" s="8">
        <f t="shared" si="1"/>
        <v>24.750000000000004</v>
      </c>
      <c r="L104" s="8">
        <f>+'[1]VENTAS(RESUMEN GLOBAL)'!J104</f>
        <v>5.3786808649353482E-4</v>
      </c>
      <c r="M104" s="8">
        <f>+Tabla1[[#This Row],[utilidad x dia]]*7</f>
        <v>3.7650766054547436E-3</v>
      </c>
    </row>
    <row r="105" spans="1:13" x14ac:dyDescent="0.3">
      <c r="A105" s="6">
        <f>+'[1]VENTAS(RESUMEN GLOBAL)'!L105</f>
        <v>46015</v>
      </c>
      <c r="B105" s="6" t="str">
        <f>+'[1]VENTAS(RESUMEN GLOBAL)'!M105</f>
        <v>RIVULIS</v>
      </c>
      <c r="C105">
        <f>+'[1]VENTAS(RESUMEN GLOBAL)'!B105</f>
        <v>800600</v>
      </c>
      <c r="D105" t="str">
        <f>INDEX('[1]CÓDIGOS DE PRODUCTO'!$D$3:$D$1000,MATCH(C105,'[1]CÓDIGOS DE PRODUCTO'!$A$3:$A$1000,0))</f>
        <v>50181900 </v>
      </c>
      <c r="E105" t="str">
        <f>VLOOKUP(C105,'[1]CÓDIGOS DE PRODUCTO'!$A$4:$B$156,2,FALSE)</f>
        <v>CREMAX</v>
      </c>
      <c r="F105" t="str">
        <f>INDEX('[1]CÓDIGOS DE PRODUCTO'!$C$3:$C$1000,MATCH(C105,'[1]CÓDIGOS DE PRODUCTO'!$A$3:$A$1000,0))</f>
        <v>GALLETAS Y PAN DULCE</v>
      </c>
      <c r="G105">
        <f>+'[1]VENTAS(RESUMEN GLOBAL)'!D105-'[1]VENTAS(RESUMEN GLOBAL)'!E105</f>
        <v>2</v>
      </c>
      <c r="H105" s="9">
        <f>+'[1]VENTAS(RESUMEN GLOBAL)'!K105</f>
        <v>2</v>
      </c>
      <c r="I105" s="8">
        <f>+G105*'[1]VENTAS(RESUMEN GLOBAL)'!F105</f>
        <v>30</v>
      </c>
      <c r="J105" s="8">
        <f>'[1]VENTAS(RESUMEN GLOBAL)'!G105*(1-'[1]VENTAS(RESUMEN GLOBAL)'!H105)</f>
        <v>13.499999999999998</v>
      </c>
      <c r="K105" s="8">
        <f t="shared" si="1"/>
        <v>16.5</v>
      </c>
      <c r="L105" s="8">
        <f>+'[1]VENTAS(RESUMEN GLOBAL)'!J105</f>
        <v>3.5857872432902316E-4</v>
      </c>
      <c r="M105" s="8">
        <f>+Tabla1[[#This Row],[utilidad x dia]]*7</f>
        <v>2.5100510703031623E-3</v>
      </c>
    </row>
    <row r="106" spans="1:13" x14ac:dyDescent="0.3">
      <c r="A106" s="6">
        <f>+'[1]VENTAS(RESUMEN GLOBAL)'!L106</f>
        <v>46015</v>
      </c>
      <c r="B106" s="6" t="str">
        <f>+'[1]VENTAS(RESUMEN GLOBAL)'!M106</f>
        <v>RIVULIS</v>
      </c>
      <c r="C106">
        <f>+'[1]VENTAS(RESUMEN GLOBAL)'!B106</f>
        <v>800800</v>
      </c>
      <c r="D106" t="str">
        <f>INDEX('[1]CÓDIGOS DE PRODUCTO'!$D$3:$D$1000,MATCH(C106,'[1]CÓDIGOS DE PRODUCTO'!$A$3:$A$1000,0))</f>
        <v>50181900 </v>
      </c>
      <c r="E106" t="str">
        <f>VLOOKUP(C106,'[1]CÓDIGOS DE PRODUCTO'!$A$4:$B$156,2,FALSE)</f>
        <v>DORADITAS</v>
      </c>
      <c r="F106" t="str">
        <f>INDEX('[1]CÓDIGOS DE PRODUCTO'!$C$3:$C$1000,MATCH(C106,'[1]CÓDIGOS DE PRODUCTO'!$A$3:$A$1000,0))</f>
        <v>GALLETAS Y PAN DULCE</v>
      </c>
      <c r="G106">
        <f>+'[1]VENTAS(RESUMEN GLOBAL)'!D106-'[1]VENTAS(RESUMEN GLOBAL)'!E106</f>
        <v>0</v>
      </c>
      <c r="H106" s="9">
        <f>+'[1]VENTAS(RESUMEN GLOBAL)'!K106</f>
        <v>0</v>
      </c>
      <c r="I106" s="8">
        <f>+G106*'[1]VENTAS(RESUMEN GLOBAL)'!F106</f>
        <v>0</v>
      </c>
      <c r="J106" s="8">
        <f>'[1]VENTAS(RESUMEN GLOBAL)'!G106*(1-'[1]VENTAS(RESUMEN GLOBAL)'!H106)</f>
        <v>0</v>
      </c>
      <c r="K106" s="8">
        <f t="shared" si="1"/>
        <v>0</v>
      </c>
      <c r="L106" s="8">
        <f>+'[1]VENTAS(RESUMEN GLOBAL)'!J106</f>
        <v>0</v>
      </c>
      <c r="M106" s="8">
        <f>+Tabla1[[#This Row],[utilidad x dia]]*7</f>
        <v>0</v>
      </c>
    </row>
    <row r="107" spans="1:13" x14ac:dyDescent="0.3">
      <c r="A107" s="6">
        <f>+'[1]VENTAS(RESUMEN GLOBAL)'!L107</f>
        <v>46015</v>
      </c>
      <c r="B107" s="6" t="str">
        <f>+'[1]VENTAS(RESUMEN GLOBAL)'!M107</f>
        <v>RIVULIS</v>
      </c>
      <c r="C107">
        <f>+'[1]VENTAS(RESUMEN GLOBAL)'!B107</f>
        <v>801000</v>
      </c>
      <c r="D107" t="str">
        <f>INDEX('[1]CÓDIGOS DE PRODUCTO'!$D$3:$D$1000,MATCH(C107,'[1]CÓDIGOS DE PRODUCTO'!$A$3:$A$1000,0))</f>
        <v>50181900 </v>
      </c>
      <c r="E107" t="str">
        <f>VLOOKUP(C107,'[1]CÓDIGOS DE PRODUCTO'!$A$4:$B$156,2,FALSE)</f>
        <v>BRAN FRUIT</v>
      </c>
      <c r="F107" t="str">
        <f>INDEX('[1]CÓDIGOS DE PRODUCTO'!$C$3:$C$1000,MATCH(C107,'[1]CÓDIGOS DE PRODUCTO'!$A$3:$A$1000,0))</f>
        <v>GALLETAS Y PAN DULCE</v>
      </c>
      <c r="G107">
        <f>+'[1]VENTAS(RESUMEN GLOBAL)'!D107-'[1]VENTAS(RESUMEN GLOBAL)'!E107</f>
        <v>1</v>
      </c>
      <c r="H107" s="9">
        <f>+'[1]VENTAS(RESUMEN GLOBAL)'!K107</f>
        <v>1</v>
      </c>
      <c r="I107" s="8">
        <f>+G107*'[1]VENTAS(RESUMEN GLOBAL)'!F107</f>
        <v>15</v>
      </c>
      <c r="J107" s="8">
        <f>'[1]VENTAS(RESUMEN GLOBAL)'!G107*(1-'[1]VENTAS(RESUMEN GLOBAL)'!H107)</f>
        <v>9</v>
      </c>
      <c r="K107" s="8">
        <f t="shared" si="1"/>
        <v>6</v>
      </c>
      <c r="L107" s="8">
        <f>+'[1]VENTAS(RESUMEN GLOBAL)'!J107</f>
        <v>1.3039226339237205E-4</v>
      </c>
      <c r="M107" s="8">
        <f>+Tabla1[[#This Row],[utilidad x dia]]*7</f>
        <v>9.1274584374660434E-4</v>
      </c>
    </row>
    <row r="108" spans="1:13" x14ac:dyDescent="0.3">
      <c r="A108" s="6">
        <f>+'[1]VENTAS(RESUMEN GLOBAL)'!L108</f>
        <v>46015</v>
      </c>
      <c r="B108" s="6" t="str">
        <f>+'[1]VENTAS(RESUMEN GLOBAL)'!M108</f>
        <v>RIVULIS</v>
      </c>
      <c r="C108">
        <f>+'[1]VENTAS(RESUMEN GLOBAL)'!B108</f>
        <v>801100</v>
      </c>
      <c r="D108" t="str">
        <f>INDEX('[1]CÓDIGOS DE PRODUCTO'!$D$3:$D$1000,MATCH(C108,'[1]CÓDIGOS DE PRODUCTO'!$A$3:$A$1000,0))</f>
        <v>50181900 </v>
      </c>
      <c r="E108" t="str">
        <f>VLOOKUP(C108,'[1]CÓDIGOS DE PRODUCTO'!$A$4:$B$156,2,FALSE)</f>
        <v>GALLETA ARCOÍRIS</v>
      </c>
      <c r="F108" t="str">
        <f>INDEX('[1]CÓDIGOS DE PRODUCTO'!$C$3:$C$1000,MATCH(C108,'[1]CÓDIGOS DE PRODUCTO'!$A$3:$A$1000,0))</f>
        <v>GALLETAS Y PAN DULCE</v>
      </c>
      <c r="G108">
        <f>+'[1]VENTAS(RESUMEN GLOBAL)'!D108-'[1]VENTAS(RESUMEN GLOBAL)'!E108</f>
        <v>9</v>
      </c>
      <c r="H108" s="9">
        <f>+'[1]VENTAS(RESUMEN GLOBAL)'!K108</f>
        <v>9</v>
      </c>
      <c r="I108" s="8">
        <f>+G108*'[1]VENTAS(RESUMEN GLOBAL)'!F108</f>
        <v>180</v>
      </c>
      <c r="J108" s="8">
        <f>'[1]VENTAS(RESUMEN GLOBAL)'!G108*(1-'[1]VENTAS(RESUMEN GLOBAL)'!H108)</f>
        <v>80.999999999999986</v>
      </c>
      <c r="K108" s="8">
        <f t="shared" si="1"/>
        <v>99.000000000000014</v>
      </c>
      <c r="L108" s="8">
        <f>+'[1]VENTAS(RESUMEN GLOBAL)'!J108</f>
        <v>2.1514723459741393E-3</v>
      </c>
      <c r="M108" s="8">
        <f>+Tabla1[[#This Row],[utilidad x dia]]*7</f>
        <v>1.5060306421818975E-2</v>
      </c>
    </row>
    <row r="109" spans="1:13" x14ac:dyDescent="0.3">
      <c r="A109" s="6">
        <f>+'[1]VENTAS(RESUMEN GLOBAL)'!L109</f>
        <v>46015</v>
      </c>
      <c r="B109" s="6" t="str">
        <f>+'[1]VENTAS(RESUMEN GLOBAL)'!M109</f>
        <v>RIVULIS</v>
      </c>
      <c r="C109">
        <f>+'[1]VENTAS(RESUMEN GLOBAL)'!B109</f>
        <v>801200</v>
      </c>
      <c r="D109" t="str">
        <f>INDEX('[1]CÓDIGOS DE PRODUCTO'!$D$3:$D$1000,MATCH(C109,'[1]CÓDIGOS DE PRODUCTO'!$A$3:$A$1000,0))</f>
        <v>50181900 </v>
      </c>
      <c r="E109" t="str">
        <f>VLOOKUP(C109,'[1]CÓDIGOS DE PRODUCTO'!$A$4:$B$156,2,FALSE)</f>
        <v>CANELITAS</v>
      </c>
      <c r="F109" t="str">
        <f>INDEX('[1]CÓDIGOS DE PRODUCTO'!$C$3:$C$1000,MATCH(C109,'[1]CÓDIGOS DE PRODUCTO'!$A$3:$A$1000,0))</f>
        <v>GALLETAS Y PAN DULCE</v>
      </c>
      <c r="G109">
        <f>+'[1]VENTAS(RESUMEN GLOBAL)'!D109-'[1]VENTAS(RESUMEN GLOBAL)'!E109</f>
        <v>6</v>
      </c>
      <c r="H109" s="9">
        <f>+'[1]VENTAS(RESUMEN GLOBAL)'!K109</f>
        <v>6</v>
      </c>
      <c r="I109" s="8">
        <f>+G109*'[1]VENTAS(RESUMEN GLOBAL)'!F109</f>
        <v>120</v>
      </c>
      <c r="J109" s="8">
        <f>'[1]VENTAS(RESUMEN GLOBAL)'!G109*(1-'[1]VENTAS(RESUMEN GLOBAL)'!H109)</f>
        <v>53.999999999999993</v>
      </c>
      <c r="K109" s="8">
        <f t="shared" si="1"/>
        <v>66</v>
      </c>
      <c r="L109" s="8">
        <f>+'[1]VENTAS(RESUMEN GLOBAL)'!J109</f>
        <v>1.4343148973160926E-3</v>
      </c>
      <c r="M109" s="8">
        <f>+Tabla1[[#This Row],[utilidad x dia]]*7</f>
        <v>1.0040204281212649E-2</v>
      </c>
    </row>
    <row r="110" spans="1:13" x14ac:dyDescent="0.3">
      <c r="A110" s="6">
        <f>+'[1]VENTAS(RESUMEN GLOBAL)'!L110</f>
        <v>46015</v>
      </c>
      <c r="B110" s="6" t="str">
        <f>+'[1]VENTAS(RESUMEN GLOBAL)'!M110</f>
        <v>RIVULIS</v>
      </c>
      <c r="C110">
        <f>+'[1]VENTAS(RESUMEN GLOBAL)'!B110</f>
        <v>800200</v>
      </c>
      <c r="D110" t="str">
        <f>INDEX('[1]CÓDIGOS DE PRODUCTO'!$D$3:$D$1000,MATCH(C110,'[1]CÓDIGOS DE PRODUCTO'!$A$3:$A$1000,0))</f>
        <v>50181900 </v>
      </c>
      <c r="E110" t="str">
        <f>VLOOKUP(C110,'[1]CÓDIGOS DE PRODUCTO'!$A$4:$B$156,2,FALSE)</f>
        <v>Príncipe (6 PZ-63 GR)</v>
      </c>
      <c r="F110" t="str">
        <f>INDEX('[1]CÓDIGOS DE PRODUCTO'!$C$3:$C$1000,MATCH(C110,'[1]CÓDIGOS DE PRODUCTO'!$A$3:$A$1000,0))</f>
        <v>GALLETAS Y PAN DULCE</v>
      </c>
      <c r="G110">
        <f>+'[1]VENTAS(RESUMEN GLOBAL)'!D110-'[1]VENTAS(RESUMEN GLOBAL)'!E110</f>
        <v>3</v>
      </c>
      <c r="H110" s="9">
        <f>+'[1]VENTAS(RESUMEN GLOBAL)'!K110</f>
        <v>3</v>
      </c>
      <c r="I110" s="8">
        <f>+G110*'[1]VENTAS(RESUMEN GLOBAL)'!F110</f>
        <v>60</v>
      </c>
      <c r="J110" s="8">
        <f>'[1]VENTAS(RESUMEN GLOBAL)'!G110*(1-'[1]VENTAS(RESUMEN GLOBAL)'!H110)</f>
        <v>21</v>
      </c>
      <c r="K110" s="8">
        <f t="shared" si="1"/>
        <v>39</v>
      </c>
      <c r="L110" s="8">
        <f>+'[1]VENTAS(RESUMEN GLOBAL)'!J110</f>
        <v>8.4754971205041837E-4</v>
      </c>
      <c r="M110" s="8">
        <f>+Tabla1[[#This Row],[utilidad x dia]]*7</f>
        <v>5.9328479843529288E-3</v>
      </c>
    </row>
    <row r="111" spans="1:13" x14ac:dyDescent="0.3">
      <c r="A111" s="6">
        <f>+'[1]VENTAS(RESUMEN GLOBAL)'!L111</f>
        <v>46015</v>
      </c>
      <c r="B111" s="6" t="str">
        <f>+'[1]VENTAS(RESUMEN GLOBAL)'!M111</f>
        <v>RIVULIS</v>
      </c>
      <c r="C111">
        <f>+'[1]VENTAS(RESUMEN GLOBAL)'!B111</f>
        <v>100200</v>
      </c>
      <c r="D111" t="str">
        <f>INDEX('[1]CÓDIGOS DE PRODUCTO'!$D$3:$D$1000,MATCH(C111,'[1]CÓDIGOS DE PRODUCTO'!$A$3:$A$1000,0))</f>
        <v>50202300 </v>
      </c>
      <c r="E111" t="str">
        <f>VLOOKUP(C111,'[1]CÓDIGOS DE PRODUCTO'!$A$4:$B$156,2,FALSE)</f>
        <v>Agua SAMS</v>
      </c>
      <c r="F111" t="str">
        <f>INDEX('[1]CÓDIGOS DE PRODUCTO'!$C$3:$C$1000,MATCH(C111,'[1]CÓDIGOS DE PRODUCTO'!$A$3:$A$1000,0))</f>
        <v>Bebidas</v>
      </c>
      <c r="G111">
        <f>+'[1]VENTAS(RESUMEN GLOBAL)'!D111-'[1]VENTAS(RESUMEN GLOBAL)'!E111</f>
        <v>0</v>
      </c>
      <c r="H111" s="9">
        <f>+'[1]VENTAS(RESUMEN GLOBAL)'!K111</f>
        <v>0</v>
      </c>
      <c r="I111" s="8">
        <f>+G111*'[1]VENTAS(RESUMEN GLOBAL)'!F111</f>
        <v>0</v>
      </c>
      <c r="J111" s="8">
        <f>'[1]VENTAS(RESUMEN GLOBAL)'!G111*(1-'[1]VENTAS(RESUMEN GLOBAL)'!H111)</f>
        <v>0</v>
      </c>
      <c r="K111" s="8">
        <f t="shared" si="1"/>
        <v>0</v>
      </c>
      <c r="L111" s="8">
        <f>+'[1]VENTAS(RESUMEN GLOBAL)'!J111</f>
        <v>0</v>
      </c>
      <c r="M111" s="8">
        <f>+Tabla1[[#This Row],[utilidad x dia]]*7</f>
        <v>0</v>
      </c>
    </row>
    <row r="112" spans="1:13" x14ac:dyDescent="0.3">
      <c r="A112" s="6">
        <f>+'[1]VENTAS(RESUMEN GLOBAL)'!L112</f>
        <v>46015</v>
      </c>
      <c r="B112" s="6" t="str">
        <f>+'[1]VENTAS(RESUMEN GLOBAL)'!M112</f>
        <v>RIVULIS</v>
      </c>
      <c r="C112">
        <f>+'[1]VENTAS(RESUMEN GLOBAL)'!B112</f>
        <v>100200</v>
      </c>
      <c r="D112" t="str">
        <f>INDEX('[1]CÓDIGOS DE PRODUCTO'!$D$3:$D$1000,MATCH(C112,'[1]CÓDIGOS DE PRODUCTO'!$A$3:$A$1000,0))</f>
        <v>50202300 </v>
      </c>
      <c r="E112" t="str">
        <f>VLOOKUP(C112,'[1]CÓDIGOS DE PRODUCTO'!$A$4:$B$156,2,FALSE)</f>
        <v>Agua SAMS</v>
      </c>
      <c r="F112" t="str">
        <f>INDEX('[1]CÓDIGOS DE PRODUCTO'!$C$3:$C$1000,MATCH(C112,'[1]CÓDIGOS DE PRODUCTO'!$A$3:$A$1000,0))</f>
        <v>Bebidas</v>
      </c>
      <c r="G112">
        <f>+'[1]VENTAS(RESUMEN GLOBAL)'!D112-'[1]VENTAS(RESUMEN GLOBAL)'!E112</f>
        <v>1</v>
      </c>
      <c r="H112" s="9">
        <f>+'[1]VENTAS(RESUMEN GLOBAL)'!K112</f>
        <v>1</v>
      </c>
      <c r="I112" s="8">
        <f>+G112*'[1]VENTAS(RESUMEN GLOBAL)'!F112</f>
        <v>15</v>
      </c>
      <c r="J112" s="8">
        <f>'[1]VENTAS(RESUMEN GLOBAL)'!G112*(1-'[1]VENTAS(RESUMEN GLOBAL)'!H112)</f>
        <v>2.9999999999999991</v>
      </c>
      <c r="K112" s="8">
        <f t="shared" si="1"/>
        <v>12</v>
      </c>
      <c r="L112" s="8">
        <f>+'[1]VENTAS(RESUMEN GLOBAL)'!J112</f>
        <v>2.607845267847441E-4</v>
      </c>
      <c r="M112" s="8">
        <f>+Tabla1[[#This Row],[utilidad x dia]]*7</f>
        <v>1.8254916874932087E-3</v>
      </c>
    </row>
    <row r="113" spans="1:13" x14ac:dyDescent="0.3">
      <c r="A113" s="6">
        <f>+'[1]VENTAS(RESUMEN GLOBAL)'!L113</f>
        <v>46015</v>
      </c>
      <c r="B113" s="6" t="str">
        <f>+'[1]VENTAS(RESUMEN GLOBAL)'!M113</f>
        <v>RIVULIS</v>
      </c>
      <c r="C113">
        <f>+'[1]VENTAS(RESUMEN GLOBAL)'!B113</f>
        <v>100900</v>
      </c>
      <c r="D113" t="str">
        <f>INDEX('[1]CÓDIGOS DE PRODUCTO'!$D$3:$D$1000,MATCH(C113,'[1]CÓDIGOS DE PRODUCTO'!$A$3:$A$1000,0))</f>
        <v>50202300 </v>
      </c>
      <c r="E113" t="str">
        <f>VLOOKUP(C113,'[1]CÓDIGOS DE PRODUCTO'!$A$4:$B$156,2,FALSE)</f>
        <v>VOLT</v>
      </c>
      <c r="F113" t="str">
        <f>INDEX('[1]CÓDIGOS DE PRODUCTO'!$C$3:$C$1000,MATCH(C113,'[1]CÓDIGOS DE PRODUCTO'!$A$3:$A$1000,0))</f>
        <v>Bebidas</v>
      </c>
      <c r="G113">
        <f>+'[1]VENTAS(RESUMEN GLOBAL)'!D113-'[1]VENTAS(RESUMEN GLOBAL)'!E113</f>
        <v>4</v>
      </c>
      <c r="H113" s="9">
        <f>+'[1]VENTAS(RESUMEN GLOBAL)'!K113</f>
        <v>4</v>
      </c>
      <c r="I113" s="8">
        <f>+G113*'[1]VENTAS(RESUMEN GLOBAL)'!F113</f>
        <v>80</v>
      </c>
      <c r="J113" s="8">
        <f>'[1]VENTAS(RESUMEN GLOBAL)'!G113*(1-'[1]VENTAS(RESUMEN GLOBAL)'!H113)</f>
        <v>48</v>
      </c>
      <c r="K113" s="8">
        <f t="shared" si="1"/>
        <v>32</v>
      </c>
      <c r="L113" s="8">
        <f>+'[1]VENTAS(RESUMEN GLOBAL)'!J113</f>
        <v>6.9542540475931759E-4</v>
      </c>
      <c r="M113" s="8">
        <f>+Tabla1[[#This Row],[utilidad x dia]]*7</f>
        <v>4.8679778333152231E-3</v>
      </c>
    </row>
    <row r="114" spans="1:13" x14ac:dyDescent="0.3">
      <c r="A114" s="6">
        <f>+'[1]VENTAS(RESUMEN GLOBAL)'!L114</f>
        <v>46015</v>
      </c>
      <c r="B114" s="6" t="str">
        <f>+'[1]VENTAS(RESUMEN GLOBAL)'!M114</f>
        <v>RIVULIS</v>
      </c>
      <c r="C114">
        <f>+'[1]VENTAS(RESUMEN GLOBAL)'!B114</f>
        <v>100300</v>
      </c>
      <c r="D114" t="str">
        <f>INDEX('[1]CÓDIGOS DE PRODUCTO'!$D$3:$D$1000,MATCH(C114,'[1]CÓDIGOS DE PRODUCTO'!$A$3:$A$1000,0))</f>
        <v>50202300 </v>
      </c>
      <c r="E114" t="str">
        <f>VLOOKUP(C114,'[1]CÓDIGOS DE PRODUCTO'!$A$4:$B$156,2,FALSE)</f>
        <v>Gatorade</v>
      </c>
      <c r="F114" t="str">
        <f>INDEX('[1]CÓDIGOS DE PRODUCTO'!$C$3:$C$1000,MATCH(C114,'[1]CÓDIGOS DE PRODUCTO'!$A$3:$A$1000,0))</f>
        <v>Bebidas</v>
      </c>
      <c r="G114">
        <f>+'[1]VENTAS(RESUMEN GLOBAL)'!D114-'[1]VENTAS(RESUMEN GLOBAL)'!E114</f>
        <v>1</v>
      </c>
      <c r="H114" s="9">
        <f>+'[1]VENTAS(RESUMEN GLOBAL)'!K114</f>
        <v>1</v>
      </c>
      <c r="I114" s="8">
        <f>+G114*'[1]VENTAS(RESUMEN GLOBAL)'!F114</f>
        <v>25</v>
      </c>
      <c r="J114" s="8">
        <f>'[1]VENTAS(RESUMEN GLOBAL)'!G114*(1-'[1]VENTAS(RESUMEN GLOBAL)'!H114)</f>
        <v>12.5</v>
      </c>
      <c r="K114" s="8">
        <f t="shared" si="1"/>
        <v>12.5</v>
      </c>
      <c r="L114" s="8">
        <f>+'[1]VENTAS(RESUMEN GLOBAL)'!J114</f>
        <v>2.7165054873410846E-4</v>
      </c>
      <c r="M114" s="8">
        <f>+Tabla1[[#This Row],[utilidad x dia]]*7</f>
        <v>1.9015538411387592E-3</v>
      </c>
    </row>
    <row r="115" spans="1:13" x14ac:dyDescent="0.3">
      <c r="A115" s="6">
        <f>+'[1]VENTAS(RESUMEN GLOBAL)'!L115</f>
        <v>46015</v>
      </c>
      <c r="B115" s="6" t="str">
        <f>+'[1]VENTAS(RESUMEN GLOBAL)'!M115</f>
        <v>RIVULIS</v>
      </c>
      <c r="C115">
        <f>+'[1]VENTAS(RESUMEN GLOBAL)'!B115</f>
        <v>100800</v>
      </c>
      <c r="D115" t="str">
        <f>INDEX('[1]CÓDIGOS DE PRODUCTO'!$D$3:$D$1000,MATCH(C115,'[1]CÓDIGOS DE PRODUCTO'!$A$3:$A$1000,0))</f>
        <v>50202300 </v>
      </c>
      <c r="E115" t="str">
        <f>VLOOKUP(C115,'[1]CÓDIGOS DE PRODUCTO'!$A$4:$B$156,2,FALSE)</f>
        <v>TÉ VERDE KIRKLAND</v>
      </c>
      <c r="F115" t="str">
        <f>INDEX('[1]CÓDIGOS DE PRODUCTO'!$C$3:$C$1000,MATCH(C115,'[1]CÓDIGOS DE PRODUCTO'!$A$3:$A$1000,0))</f>
        <v>Bebidas</v>
      </c>
      <c r="G115">
        <f>+'[1]VENTAS(RESUMEN GLOBAL)'!D115-'[1]VENTAS(RESUMEN GLOBAL)'!E115</f>
        <v>0</v>
      </c>
      <c r="H115" s="9">
        <f>+'[1]VENTAS(RESUMEN GLOBAL)'!K115</f>
        <v>0</v>
      </c>
      <c r="I115" s="8">
        <f>+G115*'[1]VENTAS(RESUMEN GLOBAL)'!F115</f>
        <v>0</v>
      </c>
      <c r="J115" s="8">
        <f>'[1]VENTAS(RESUMEN GLOBAL)'!G115*(1-'[1]VENTAS(RESUMEN GLOBAL)'!H115)</f>
        <v>0</v>
      </c>
      <c r="K115" s="8">
        <f t="shared" si="1"/>
        <v>0</v>
      </c>
      <c r="L115" s="8">
        <f>+'[1]VENTAS(RESUMEN GLOBAL)'!J115</f>
        <v>0</v>
      </c>
      <c r="M115" s="8">
        <f>+Tabla1[[#This Row],[utilidad x dia]]*7</f>
        <v>0</v>
      </c>
    </row>
    <row r="116" spans="1:13" x14ac:dyDescent="0.3">
      <c r="A116" s="6">
        <f>+'[1]VENTAS(RESUMEN GLOBAL)'!L116</f>
        <v>46015</v>
      </c>
      <c r="B116" s="6" t="str">
        <f>+'[1]VENTAS(RESUMEN GLOBAL)'!M116</f>
        <v>RIVULIS</v>
      </c>
      <c r="C116">
        <f>+'[1]VENTAS(RESUMEN GLOBAL)'!B116</f>
        <v>801300</v>
      </c>
      <c r="D116" t="str">
        <f>INDEX('[1]CÓDIGOS DE PRODUCTO'!$D$3:$D$1000,MATCH(C116,'[1]CÓDIGOS DE PRODUCTO'!$A$3:$A$1000,0))</f>
        <v>50181900 </v>
      </c>
      <c r="E116" t="str">
        <f>VLOOKUP(C116,'[1]CÓDIGOS DE PRODUCTO'!$A$4:$B$156,2,FALSE)</f>
        <v>OREO GDE</v>
      </c>
      <c r="F116" t="str">
        <f>INDEX('[1]CÓDIGOS DE PRODUCTO'!$C$3:$C$1000,MATCH(C116,'[1]CÓDIGOS DE PRODUCTO'!$A$3:$A$1000,0))</f>
        <v>GALLETAS Y PAN DULCE</v>
      </c>
      <c r="G116">
        <f>+'[1]VENTAS(RESUMEN GLOBAL)'!D116-'[1]VENTAS(RESUMEN GLOBAL)'!E116</f>
        <v>5</v>
      </c>
      <c r="H116" s="9">
        <f>+'[1]VENTAS(RESUMEN GLOBAL)'!K116</f>
        <v>5</v>
      </c>
      <c r="I116" s="8">
        <f>+G116*'[1]VENTAS(RESUMEN GLOBAL)'!F116</f>
        <v>150</v>
      </c>
      <c r="J116" s="8">
        <f>'[1]VENTAS(RESUMEN GLOBAL)'!G116*(1-'[1]VENTAS(RESUMEN GLOBAL)'!H116)</f>
        <v>75</v>
      </c>
      <c r="K116" s="8">
        <f t="shared" si="1"/>
        <v>75</v>
      </c>
      <c r="L116" s="8">
        <f>+'[1]VENTAS(RESUMEN GLOBAL)'!J116</f>
        <v>1.6299032924046507E-3</v>
      </c>
      <c r="M116" s="8">
        <f>+Tabla1[[#This Row],[utilidad x dia]]*7</f>
        <v>1.1409323046832554E-2</v>
      </c>
    </row>
    <row r="117" spans="1:13" x14ac:dyDescent="0.3">
      <c r="A117" s="6">
        <f>+'[1]VENTAS(RESUMEN GLOBAL)'!L117</f>
        <v>0</v>
      </c>
      <c r="B117" s="6">
        <f>+'[1]VENTAS(RESUMEN GLOBAL)'!M117</f>
        <v>0</v>
      </c>
      <c r="C117">
        <f>+'[1]VENTAS(RESUMEN GLOBAL)'!B117</f>
        <v>0</v>
      </c>
      <c r="D117" t="e">
        <f>INDEX('[1]CÓDIGOS DE PRODUCTO'!$D$3:$D$1000,MATCH(C117,'[1]CÓDIGOS DE PRODUCTO'!$A$3:$A$1000,0))</f>
        <v>#N/A</v>
      </c>
      <c r="E117">
        <f>VLOOKUP(C117,'[1]CÓDIGOS DE PRODUCTO'!$A$4:$B$156,2,FALSE)</f>
        <v>0</v>
      </c>
      <c r="F117">
        <f>INDEX('[1]CÓDIGOS DE PRODUCTO'!$C$3:$C$1000,MATCH(C117,'[1]CÓDIGOS DE PRODUCTO'!$A$3:$A$1000,0))</f>
        <v>0</v>
      </c>
      <c r="G117">
        <f>+'[1]VENTAS(RESUMEN GLOBAL)'!D117-'[1]VENTAS(RESUMEN GLOBAL)'!E117</f>
        <v>0</v>
      </c>
      <c r="H117" s="9">
        <f>+'[1]VENTAS(RESUMEN GLOBAL)'!K117</f>
        <v>0</v>
      </c>
      <c r="I117" s="8">
        <f>+G117*'[1]VENTAS(RESUMEN GLOBAL)'!F117</f>
        <v>0</v>
      </c>
      <c r="J117" s="8">
        <f>'[1]VENTAS(RESUMEN GLOBAL)'!G117*(1-'[1]VENTAS(RESUMEN GLOBAL)'!H117)</f>
        <v>0</v>
      </c>
      <c r="K117" s="8">
        <f t="shared" si="1"/>
        <v>0</v>
      </c>
      <c r="L117" s="8">
        <f>+'[1]VENTAS(RESUMEN GLOBAL)'!J117</f>
        <v>0</v>
      </c>
      <c r="M117" s="8">
        <f>+Tabla1[[#This Row],[utilidad x dia]]*7</f>
        <v>0</v>
      </c>
    </row>
    <row r="118" spans="1:13" x14ac:dyDescent="0.3">
      <c r="A118" s="6">
        <f>+'[1]VENTAS(RESUMEN GLOBAL)'!L118</f>
        <v>46024</v>
      </c>
      <c r="B118" s="6" t="str">
        <f>+'[1]VENTAS(RESUMEN GLOBAL)'!M118</f>
        <v>RIVULIS</v>
      </c>
      <c r="C118">
        <f>+'[1]VENTAS(RESUMEN GLOBAL)'!B118</f>
        <v>600300</v>
      </c>
      <c r="D118" t="str">
        <f>INDEX('[1]CÓDIGOS DE PRODUCTO'!$D$3:$D$1000,MATCH(C118,'[1]CÓDIGOS DE PRODUCTO'!$A$3:$A$1000,0))</f>
        <v>50192109 </v>
      </c>
      <c r="E118" t="str">
        <f>VLOOKUP(C118,'[1]CÓDIGOS DE PRODUCTO'!$A$4:$B$156,2,FALSE)</f>
        <v>TAKIS FUEGO</v>
      </c>
      <c r="F118" t="str">
        <f>INDEX('[1]CÓDIGOS DE PRODUCTO'!$C$3:$C$1000,MATCH(C118,'[1]CÓDIGOS DE PRODUCTO'!$A$3:$A$1000,0))</f>
        <v>Papas fritas</v>
      </c>
      <c r="G118">
        <f>+'[1]VENTAS(RESUMEN GLOBAL)'!D118-'[1]VENTAS(RESUMEN GLOBAL)'!E118</f>
        <v>1</v>
      </c>
      <c r="H118" s="9">
        <f>+'[1]VENTAS(RESUMEN GLOBAL)'!K118</f>
        <v>0.875</v>
      </c>
      <c r="I118" s="8">
        <f>+G118*'[1]VENTAS(RESUMEN GLOBAL)'!F118</f>
        <v>25</v>
      </c>
      <c r="J118" s="8">
        <f>'[1]VENTAS(RESUMEN GLOBAL)'!G118*(1-'[1]VENTAS(RESUMEN GLOBAL)'!H118)</f>
        <v>10.25</v>
      </c>
      <c r="K118" s="8">
        <f t="shared" si="1"/>
        <v>14.75</v>
      </c>
      <c r="L118" s="8">
        <f>+'[1]VENTAS(RESUMEN GLOBAL)'!J118</f>
        <v>1.84375</v>
      </c>
      <c r="M118" s="8">
        <f>+Tabla1[[#This Row],[utilidad x dia]]*7</f>
        <v>12.90625</v>
      </c>
    </row>
    <row r="119" spans="1:13" x14ac:dyDescent="0.3">
      <c r="A119" s="6">
        <f>+'[1]VENTAS(RESUMEN GLOBAL)'!L119</f>
        <v>46024</v>
      </c>
      <c r="B119" s="6" t="str">
        <f>+'[1]VENTAS(RESUMEN GLOBAL)'!M119</f>
        <v>RIVULIS</v>
      </c>
      <c r="C119">
        <f>+'[1]VENTAS(RESUMEN GLOBAL)'!B119</f>
        <v>6005101</v>
      </c>
      <c r="D119" t="str">
        <f>INDEX('[1]CÓDIGOS DE PRODUCTO'!$D$3:$D$1000,MATCH(C119,'[1]CÓDIGOS DE PRODUCTO'!$A$3:$A$1000,0))</f>
        <v>50192109 </v>
      </c>
      <c r="E119" t="str">
        <f>VLOOKUP(C119,'[1]CÓDIGOS DE PRODUCTO'!$A$4:$B$156,2,FALSE)</f>
        <v>SABRITAS AMARILLAS</v>
      </c>
      <c r="F119" t="str">
        <f>INDEX('[1]CÓDIGOS DE PRODUCTO'!$C$3:$C$1000,MATCH(C119,'[1]CÓDIGOS DE PRODUCTO'!$A$3:$A$1000,0))</f>
        <v>Papas fritas</v>
      </c>
      <c r="G119">
        <f>+'[1]VENTAS(RESUMEN GLOBAL)'!D119-'[1]VENTAS(RESUMEN GLOBAL)'!E119</f>
        <v>0</v>
      </c>
      <c r="H119" s="9">
        <f>+'[1]VENTAS(RESUMEN GLOBAL)'!K119</f>
        <v>0</v>
      </c>
      <c r="I119" s="8">
        <f>+G119*'[1]VENTAS(RESUMEN GLOBAL)'!F119</f>
        <v>0</v>
      </c>
      <c r="J119" s="8">
        <f>'[1]VENTAS(RESUMEN GLOBAL)'!G119*(1-'[1]VENTAS(RESUMEN GLOBAL)'!H119)</f>
        <v>0</v>
      </c>
      <c r="K119" s="8">
        <f t="shared" si="1"/>
        <v>0</v>
      </c>
      <c r="L119" s="8">
        <f>+'[1]VENTAS(RESUMEN GLOBAL)'!J119</f>
        <v>0</v>
      </c>
      <c r="M119" s="8">
        <f>+Tabla1[[#This Row],[utilidad x dia]]*7</f>
        <v>0</v>
      </c>
    </row>
    <row r="120" spans="1:13" x14ac:dyDescent="0.3">
      <c r="A120" s="6">
        <f>+'[1]VENTAS(RESUMEN GLOBAL)'!L120</f>
        <v>46024</v>
      </c>
      <c r="B120" s="6" t="str">
        <f>+'[1]VENTAS(RESUMEN GLOBAL)'!M120</f>
        <v>RIVULIS</v>
      </c>
      <c r="C120">
        <f>+'[1]VENTAS(RESUMEN GLOBAL)'!B120</f>
        <v>6005102</v>
      </c>
      <c r="D120" t="str">
        <f>INDEX('[1]CÓDIGOS DE PRODUCTO'!$D$3:$D$1000,MATCH(C120,'[1]CÓDIGOS DE PRODUCTO'!$A$3:$A$1000,0))</f>
        <v>50192109 </v>
      </c>
      <c r="E120" t="str">
        <f>VLOOKUP(C120,'[1]CÓDIGOS DE PRODUCTO'!$A$4:$B$156,2,FALSE)</f>
        <v>RUFFLES</v>
      </c>
      <c r="F120" t="str">
        <f>INDEX('[1]CÓDIGOS DE PRODUCTO'!$C$3:$C$1000,MATCH(C120,'[1]CÓDIGOS DE PRODUCTO'!$A$3:$A$1000,0))</f>
        <v>Papas fritas</v>
      </c>
      <c r="G120">
        <f>+'[1]VENTAS(RESUMEN GLOBAL)'!D120-'[1]VENTAS(RESUMEN GLOBAL)'!E120</f>
        <v>1</v>
      </c>
      <c r="H120" s="9">
        <f>+'[1]VENTAS(RESUMEN GLOBAL)'!K120</f>
        <v>0.875</v>
      </c>
      <c r="I120" s="8">
        <f>+G120*'[1]VENTAS(RESUMEN GLOBAL)'!F120</f>
        <v>25</v>
      </c>
      <c r="J120" s="8">
        <f>'[1]VENTAS(RESUMEN GLOBAL)'!G120*(1-'[1]VENTAS(RESUMEN GLOBAL)'!H120)</f>
        <v>8.5</v>
      </c>
      <c r="K120" s="8">
        <f t="shared" si="1"/>
        <v>16.5</v>
      </c>
      <c r="L120" s="8">
        <f>+'[1]VENTAS(RESUMEN GLOBAL)'!J120</f>
        <v>2.0625</v>
      </c>
      <c r="M120" s="8">
        <f>+Tabla1[[#This Row],[utilidad x dia]]*7</f>
        <v>14.4375</v>
      </c>
    </row>
    <row r="121" spans="1:13" x14ac:dyDescent="0.3">
      <c r="A121" s="6">
        <f>+'[1]VENTAS(RESUMEN GLOBAL)'!L121</f>
        <v>46024</v>
      </c>
      <c r="B121" s="6" t="str">
        <f>+'[1]VENTAS(RESUMEN GLOBAL)'!M121</f>
        <v>RIVULIS</v>
      </c>
      <c r="C121">
        <f>+'[1]VENTAS(RESUMEN GLOBAL)'!B121</f>
        <v>6005103</v>
      </c>
      <c r="D121" t="str">
        <f>INDEX('[1]CÓDIGOS DE PRODUCTO'!$D$3:$D$1000,MATCH(C121,'[1]CÓDIGOS DE PRODUCTO'!$A$3:$A$1000,0))</f>
        <v>50192109 </v>
      </c>
      <c r="E121" t="str">
        <f>VLOOKUP(C121,'[1]CÓDIGOS DE PRODUCTO'!$A$4:$B$156,2,FALSE)</f>
        <v>DORITOS ROJOS</v>
      </c>
      <c r="F121" t="str">
        <f>INDEX('[1]CÓDIGOS DE PRODUCTO'!$C$3:$C$1000,MATCH(C121,'[1]CÓDIGOS DE PRODUCTO'!$A$3:$A$1000,0))</f>
        <v>Papas fritas</v>
      </c>
      <c r="G121">
        <f>+'[1]VENTAS(RESUMEN GLOBAL)'!D121-'[1]VENTAS(RESUMEN GLOBAL)'!E121</f>
        <v>2</v>
      </c>
      <c r="H121" s="9">
        <f>+'[1]VENTAS(RESUMEN GLOBAL)'!K121</f>
        <v>1.75</v>
      </c>
      <c r="I121" s="8">
        <f>+G121*'[1]VENTAS(RESUMEN GLOBAL)'!F121</f>
        <v>50</v>
      </c>
      <c r="J121" s="8">
        <f>'[1]VENTAS(RESUMEN GLOBAL)'!G121*(1-'[1]VENTAS(RESUMEN GLOBAL)'!H121)</f>
        <v>17</v>
      </c>
      <c r="K121" s="8">
        <f t="shared" si="1"/>
        <v>33</v>
      </c>
      <c r="L121" s="8">
        <f>+'[1]VENTAS(RESUMEN GLOBAL)'!J121</f>
        <v>4.125</v>
      </c>
      <c r="M121" s="8">
        <f>+Tabla1[[#This Row],[utilidad x dia]]*7</f>
        <v>28.875</v>
      </c>
    </row>
    <row r="122" spans="1:13" x14ac:dyDescent="0.3">
      <c r="A122" s="6">
        <f>+'[1]VENTAS(RESUMEN GLOBAL)'!L122</f>
        <v>46024</v>
      </c>
      <c r="B122" s="6" t="str">
        <f>+'[1]VENTAS(RESUMEN GLOBAL)'!M122</f>
        <v>RIVULIS</v>
      </c>
      <c r="C122">
        <f>+'[1]VENTAS(RESUMEN GLOBAL)'!B122</f>
        <v>600101</v>
      </c>
      <c r="D122" t="str">
        <f>INDEX('[1]CÓDIGOS DE PRODUCTO'!$D$3:$D$1000,MATCH(C122,'[1]CÓDIGOS DE PRODUCTO'!$A$3:$A$1000,0))</f>
        <v>50192109 </v>
      </c>
      <c r="E122" t="str">
        <f>VLOOKUP(C122,'[1]CÓDIGOS DE PRODUCTO'!$A$4:$B$156,2,FALSE)</f>
        <v>CHIPS VERDES</v>
      </c>
      <c r="F122" t="str">
        <f>INDEX('[1]CÓDIGOS DE PRODUCTO'!$C$3:$C$1000,MATCH(C122,'[1]CÓDIGOS DE PRODUCTO'!$A$3:$A$1000,0))</f>
        <v>Papas fritas</v>
      </c>
      <c r="G122">
        <f>+'[1]VENTAS(RESUMEN GLOBAL)'!D122-'[1]VENTAS(RESUMEN GLOBAL)'!E122</f>
        <v>0</v>
      </c>
      <c r="H122" s="9">
        <f>+'[1]VENTAS(RESUMEN GLOBAL)'!K122</f>
        <v>0</v>
      </c>
      <c r="I122" s="8">
        <f>+G122*'[1]VENTAS(RESUMEN GLOBAL)'!F122</f>
        <v>0</v>
      </c>
      <c r="J122" s="8">
        <f>'[1]VENTAS(RESUMEN GLOBAL)'!G122*(1-'[1]VENTAS(RESUMEN GLOBAL)'!H122)</f>
        <v>0</v>
      </c>
      <c r="K122" s="8">
        <f t="shared" si="1"/>
        <v>0</v>
      </c>
      <c r="L122" s="8">
        <f>+'[1]VENTAS(RESUMEN GLOBAL)'!J122</f>
        <v>0</v>
      </c>
      <c r="M122" s="8">
        <f>+Tabla1[[#This Row],[utilidad x dia]]*7</f>
        <v>0</v>
      </c>
    </row>
    <row r="123" spans="1:13" x14ac:dyDescent="0.3">
      <c r="A123" s="6">
        <f>+'[1]VENTAS(RESUMEN GLOBAL)'!L123</f>
        <v>46024</v>
      </c>
      <c r="B123" s="6" t="str">
        <f>+'[1]VENTAS(RESUMEN GLOBAL)'!M123</f>
        <v>RIVULIS</v>
      </c>
      <c r="C123">
        <f>+'[1]VENTAS(RESUMEN GLOBAL)'!B123</f>
        <v>600102</v>
      </c>
      <c r="D123" t="str">
        <f>INDEX('[1]CÓDIGOS DE PRODUCTO'!$D$3:$D$1000,MATCH(C123,'[1]CÓDIGOS DE PRODUCTO'!$A$3:$A$1000,0))</f>
        <v>50192109 </v>
      </c>
      <c r="E123" t="str">
        <f>VLOOKUP(C123,'[1]CÓDIGOS DE PRODUCTO'!$A$4:$B$156,2,FALSE)</f>
        <v>RUNNERS</v>
      </c>
      <c r="F123" t="str">
        <f>INDEX('[1]CÓDIGOS DE PRODUCTO'!$C$3:$C$1000,MATCH(C123,'[1]CÓDIGOS DE PRODUCTO'!$A$3:$A$1000,0))</f>
        <v>Papas fritas</v>
      </c>
      <c r="G123">
        <f>+'[1]VENTAS(RESUMEN GLOBAL)'!D123-'[1]VENTAS(RESUMEN GLOBAL)'!E123</f>
        <v>0</v>
      </c>
      <c r="H123" s="9">
        <f>+'[1]VENTAS(RESUMEN GLOBAL)'!K123</f>
        <v>0</v>
      </c>
      <c r="I123" s="8">
        <f>+G123*'[1]VENTAS(RESUMEN GLOBAL)'!F123</f>
        <v>0</v>
      </c>
      <c r="J123" s="8">
        <f>'[1]VENTAS(RESUMEN GLOBAL)'!G123*(1-'[1]VENTAS(RESUMEN GLOBAL)'!H123)</f>
        <v>0</v>
      </c>
      <c r="K123" s="8">
        <f t="shared" si="1"/>
        <v>0</v>
      </c>
      <c r="L123" s="8">
        <f>+'[1]VENTAS(RESUMEN GLOBAL)'!J123</f>
        <v>0</v>
      </c>
      <c r="M123" s="8">
        <f>+Tabla1[[#This Row],[utilidad x dia]]*7</f>
        <v>0</v>
      </c>
    </row>
    <row r="124" spans="1:13" x14ac:dyDescent="0.3">
      <c r="A124" s="6">
        <f>+'[1]VENTAS(RESUMEN GLOBAL)'!L124</f>
        <v>46024</v>
      </c>
      <c r="B124" s="6" t="str">
        <f>+'[1]VENTAS(RESUMEN GLOBAL)'!M124</f>
        <v>RIVULIS</v>
      </c>
      <c r="C124">
        <f>+'[1]VENTAS(RESUMEN GLOBAL)'!B124</f>
        <v>6005104</v>
      </c>
      <c r="D124" t="str">
        <f>INDEX('[1]CÓDIGOS DE PRODUCTO'!$D$3:$D$1000,MATCH(C124,'[1]CÓDIGOS DE PRODUCTO'!$A$3:$A$1000,0))</f>
        <v>50192109 </v>
      </c>
      <c r="E124" t="str">
        <f>VLOOKUP(C124,'[1]CÓDIGOS DE PRODUCTO'!$A$4:$B$156,2,FALSE)</f>
        <v>RANCHERITOS</v>
      </c>
      <c r="F124" t="str">
        <f>INDEX('[1]CÓDIGOS DE PRODUCTO'!$C$3:$C$1000,MATCH(C124,'[1]CÓDIGOS DE PRODUCTO'!$A$3:$A$1000,0))</f>
        <v>Papas fritas</v>
      </c>
      <c r="G124">
        <f>+'[1]VENTAS(RESUMEN GLOBAL)'!D124-'[1]VENTAS(RESUMEN GLOBAL)'!E124</f>
        <v>1</v>
      </c>
      <c r="H124" s="9">
        <f>+'[1]VENTAS(RESUMEN GLOBAL)'!K124</f>
        <v>0.875</v>
      </c>
      <c r="I124" s="8">
        <f>+G124*'[1]VENTAS(RESUMEN GLOBAL)'!F124</f>
        <v>25</v>
      </c>
      <c r="J124" s="8">
        <f>'[1]VENTAS(RESUMEN GLOBAL)'!G124*(1-'[1]VENTAS(RESUMEN GLOBAL)'!H124)</f>
        <v>8.5</v>
      </c>
      <c r="K124" s="8">
        <f t="shared" si="1"/>
        <v>16.5</v>
      </c>
      <c r="L124" s="8">
        <f>+'[1]VENTAS(RESUMEN GLOBAL)'!J124</f>
        <v>2.0625</v>
      </c>
      <c r="M124" s="8">
        <f>+Tabla1[[#This Row],[utilidad x dia]]*7</f>
        <v>14.4375</v>
      </c>
    </row>
    <row r="125" spans="1:13" x14ac:dyDescent="0.3">
      <c r="A125" s="6">
        <f>+'[1]VENTAS(RESUMEN GLOBAL)'!L125</f>
        <v>46024</v>
      </c>
      <c r="B125" s="6" t="str">
        <f>+'[1]VENTAS(RESUMEN GLOBAL)'!M125</f>
        <v>RIVULIS</v>
      </c>
      <c r="C125">
        <f>+'[1]VENTAS(RESUMEN GLOBAL)'!B125</f>
        <v>600600</v>
      </c>
      <c r="D125" t="str">
        <f>INDEX('[1]CÓDIGOS DE PRODUCTO'!$D$3:$D$1000,MATCH(C125,'[1]CÓDIGOS DE PRODUCTO'!$A$3:$A$1000,0))</f>
        <v>50192109 </v>
      </c>
      <c r="E125" t="str">
        <f>VLOOKUP(C125,'[1]CÓDIGOS DE PRODUCTO'!$A$4:$B$156,2,FALSE)</f>
        <v>CHICHARRON SURTIDO</v>
      </c>
      <c r="F125" t="str">
        <f>INDEX('[1]CÓDIGOS DE PRODUCTO'!$C$3:$C$1000,MATCH(C125,'[1]CÓDIGOS DE PRODUCTO'!$A$3:$A$1000,0))</f>
        <v>Papas fritas</v>
      </c>
      <c r="G125">
        <f>+'[1]VENTAS(RESUMEN GLOBAL)'!D125-'[1]VENTAS(RESUMEN GLOBAL)'!E125</f>
        <v>3</v>
      </c>
      <c r="H125" s="9">
        <f>+'[1]VENTAS(RESUMEN GLOBAL)'!K125</f>
        <v>2.625</v>
      </c>
      <c r="I125" s="8">
        <f>+G125*'[1]VENTAS(RESUMEN GLOBAL)'!F125</f>
        <v>75</v>
      </c>
      <c r="J125" s="8">
        <f>'[1]VENTAS(RESUMEN GLOBAL)'!G125*(1-'[1]VENTAS(RESUMEN GLOBAL)'!H125)</f>
        <v>35.25</v>
      </c>
      <c r="K125" s="8">
        <f t="shared" si="1"/>
        <v>39.75</v>
      </c>
      <c r="L125" s="8">
        <f>+'[1]VENTAS(RESUMEN GLOBAL)'!J125</f>
        <v>4.96875</v>
      </c>
      <c r="M125" s="8">
        <f>+Tabla1[[#This Row],[utilidad x dia]]*7</f>
        <v>34.78125</v>
      </c>
    </row>
    <row r="126" spans="1:13" x14ac:dyDescent="0.3">
      <c r="A126" s="6">
        <f>+'[1]VENTAS(RESUMEN GLOBAL)'!L126</f>
        <v>46024</v>
      </c>
      <c r="B126" s="6" t="str">
        <f>+'[1]VENTAS(RESUMEN GLOBAL)'!M126</f>
        <v>RIVULIS</v>
      </c>
      <c r="C126">
        <f>+'[1]VENTAS(RESUMEN GLOBAL)'!B126</f>
        <v>600500</v>
      </c>
      <c r="D126" t="str">
        <f>INDEX('[1]CÓDIGOS DE PRODUCTO'!$D$3:$D$1000,MATCH(C126,'[1]CÓDIGOS DE PRODUCTO'!$A$3:$A$1000,0))</f>
        <v>50192109 </v>
      </c>
      <c r="E126" t="str">
        <f>VLOOKUP(C126,'[1]CÓDIGOS DE PRODUCTO'!$A$4:$B$156,2,FALSE)</f>
        <v>SABRIMAYOREO</v>
      </c>
      <c r="F126" t="str">
        <f>INDEX('[1]CÓDIGOS DE PRODUCTO'!$C$3:$C$1000,MATCH(C126,'[1]CÓDIGOS DE PRODUCTO'!$A$3:$A$1000,0))</f>
        <v>Papas fritas</v>
      </c>
      <c r="G126">
        <f>+'[1]VENTAS(RESUMEN GLOBAL)'!D126-'[1]VENTAS(RESUMEN GLOBAL)'!E126</f>
        <v>0</v>
      </c>
      <c r="H126" s="9">
        <f>+'[1]VENTAS(RESUMEN GLOBAL)'!K126</f>
        <v>0</v>
      </c>
      <c r="I126" s="8">
        <f>+G126*'[1]VENTAS(RESUMEN GLOBAL)'!F126</f>
        <v>0</v>
      </c>
      <c r="J126" s="8">
        <f>'[1]VENTAS(RESUMEN GLOBAL)'!G126*(1-'[1]VENTAS(RESUMEN GLOBAL)'!H126)</f>
        <v>0</v>
      </c>
      <c r="K126" s="8">
        <f t="shared" si="1"/>
        <v>0</v>
      </c>
      <c r="L126" s="8">
        <f>+'[1]VENTAS(RESUMEN GLOBAL)'!J126</f>
        <v>0</v>
      </c>
      <c r="M126" s="8">
        <f>+Tabla1[[#This Row],[utilidad x dia]]*7</f>
        <v>0</v>
      </c>
    </row>
    <row r="127" spans="1:13" x14ac:dyDescent="0.3">
      <c r="A127" s="6">
        <f>+'[1]VENTAS(RESUMEN GLOBAL)'!L127</f>
        <v>46024</v>
      </c>
      <c r="B127" s="6" t="str">
        <f>+'[1]VENTAS(RESUMEN GLOBAL)'!M127</f>
        <v>RIVULIS</v>
      </c>
      <c r="C127">
        <f>+'[1]VENTAS(RESUMEN GLOBAL)'!B127</f>
        <v>600400</v>
      </c>
      <c r="D127" t="str">
        <f>INDEX('[1]CÓDIGOS DE PRODUCTO'!$D$3:$D$1000,MATCH(C127,'[1]CÓDIGOS DE PRODUCTO'!$A$3:$A$1000,0))</f>
        <v>50192109 </v>
      </c>
      <c r="E127" t="str">
        <f>VLOOKUP(C127,'[1]CÓDIGOS DE PRODUCTO'!$A$4:$B$156,2,FALSE)</f>
        <v>FRITOS (CHORIZO U OTROS)</v>
      </c>
      <c r="F127" t="str">
        <f>INDEX('[1]CÓDIGOS DE PRODUCTO'!$C$3:$C$1000,MATCH(C127,'[1]CÓDIGOS DE PRODUCTO'!$A$3:$A$1000,0))</f>
        <v>Papas fritas</v>
      </c>
      <c r="G127">
        <f>+'[1]VENTAS(RESUMEN GLOBAL)'!D127-'[1]VENTAS(RESUMEN GLOBAL)'!E127</f>
        <v>1</v>
      </c>
      <c r="H127" s="9">
        <f>+'[1]VENTAS(RESUMEN GLOBAL)'!K127</f>
        <v>0.875</v>
      </c>
      <c r="I127" s="8">
        <f>+G127*'[1]VENTAS(RESUMEN GLOBAL)'!F127</f>
        <v>20</v>
      </c>
      <c r="J127" s="8">
        <f>'[1]VENTAS(RESUMEN GLOBAL)'!G127*(1-'[1]VENTAS(RESUMEN GLOBAL)'!H127)</f>
        <v>8.2000000000000011</v>
      </c>
      <c r="K127" s="8">
        <f t="shared" si="1"/>
        <v>11.799999999999999</v>
      </c>
      <c r="L127" s="8">
        <f>+'[1]VENTAS(RESUMEN GLOBAL)'!J127</f>
        <v>1.4749999999999999</v>
      </c>
      <c r="M127" s="8">
        <f>+Tabla1[[#This Row],[utilidad x dia]]*7</f>
        <v>10.324999999999999</v>
      </c>
    </row>
    <row r="128" spans="1:13" x14ac:dyDescent="0.3">
      <c r="A128" s="6">
        <f>+'[1]VENTAS(RESUMEN GLOBAL)'!L128</f>
        <v>46024</v>
      </c>
      <c r="B128" s="6" t="str">
        <f>+'[1]VENTAS(RESUMEN GLOBAL)'!M128</f>
        <v>RIVULIS</v>
      </c>
      <c r="C128">
        <f>+'[1]VENTAS(RESUMEN GLOBAL)'!B128</f>
        <v>100400</v>
      </c>
      <c r="D128" t="str">
        <f>INDEX('[1]CÓDIGOS DE PRODUCTO'!$D$3:$D$1000,MATCH(C128,'[1]CÓDIGOS DE PRODUCTO'!$A$3:$A$1000,0))</f>
        <v>50202300 </v>
      </c>
      <c r="E128" t="str">
        <f>VLOOKUP(C128,'[1]CÓDIGOS DE PRODUCTO'!$A$4:$B$156,2,FALSE)</f>
        <v>Jumex</v>
      </c>
      <c r="F128" t="str">
        <f>INDEX('[1]CÓDIGOS DE PRODUCTO'!$C$3:$C$1000,MATCH(C128,'[1]CÓDIGOS DE PRODUCTO'!$A$3:$A$1000,0))</f>
        <v>Bebidas</v>
      </c>
      <c r="G128">
        <f>+'[1]VENTAS(RESUMEN GLOBAL)'!D128-'[1]VENTAS(RESUMEN GLOBAL)'!E128</f>
        <v>2</v>
      </c>
      <c r="H128" s="9">
        <f>+'[1]VENTAS(RESUMEN GLOBAL)'!K128</f>
        <v>1.75</v>
      </c>
      <c r="I128" s="8">
        <f>+G128*'[1]VENTAS(RESUMEN GLOBAL)'!F128</f>
        <v>30</v>
      </c>
      <c r="J128" s="8">
        <f>'[1]VENTAS(RESUMEN GLOBAL)'!G128*(1-'[1]VENTAS(RESUMEN GLOBAL)'!H128)</f>
        <v>15</v>
      </c>
      <c r="K128" s="8">
        <f t="shared" si="1"/>
        <v>15</v>
      </c>
      <c r="L128" s="8">
        <f>+'[1]VENTAS(RESUMEN GLOBAL)'!J128</f>
        <v>1.875</v>
      </c>
      <c r="M128" s="8">
        <f>+Tabla1[[#This Row],[utilidad x dia]]*7</f>
        <v>13.125</v>
      </c>
    </row>
    <row r="129" spans="1:13" x14ac:dyDescent="0.3">
      <c r="A129" s="6">
        <f>+'[1]VENTAS(RESUMEN GLOBAL)'!L129</f>
        <v>46024</v>
      </c>
      <c r="B129" s="6" t="str">
        <f>+'[1]VENTAS(RESUMEN GLOBAL)'!M129</f>
        <v>RIVULIS</v>
      </c>
      <c r="C129">
        <f>+'[1]VENTAS(RESUMEN GLOBAL)'!B129</f>
        <v>100400</v>
      </c>
      <c r="D129" t="str">
        <f>INDEX('[1]CÓDIGOS DE PRODUCTO'!$D$3:$D$1000,MATCH(C129,'[1]CÓDIGOS DE PRODUCTO'!$A$3:$A$1000,0))</f>
        <v>50202300 </v>
      </c>
      <c r="E129" t="str">
        <f>VLOOKUP(C129,'[1]CÓDIGOS DE PRODUCTO'!$A$4:$B$156,2,FALSE)</f>
        <v>Jumex</v>
      </c>
      <c r="F129" t="str">
        <f>INDEX('[1]CÓDIGOS DE PRODUCTO'!$C$3:$C$1000,MATCH(C129,'[1]CÓDIGOS DE PRODUCTO'!$A$3:$A$1000,0))</f>
        <v>Bebidas</v>
      </c>
      <c r="G129">
        <f>+'[1]VENTAS(RESUMEN GLOBAL)'!D129-'[1]VENTAS(RESUMEN GLOBAL)'!E129</f>
        <v>0</v>
      </c>
      <c r="H129" s="9">
        <f>+'[1]VENTAS(RESUMEN GLOBAL)'!K129</f>
        <v>0</v>
      </c>
      <c r="I129" s="8">
        <f>+G129*'[1]VENTAS(RESUMEN GLOBAL)'!F129</f>
        <v>0</v>
      </c>
      <c r="J129" s="8">
        <f>'[1]VENTAS(RESUMEN GLOBAL)'!G129*(1-'[1]VENTAS(RESUMEN GLOBAL)'!H129)</f>
        <v>0</v>
      </c>
      <c r="K129" s="8">
        <f t="shared" si="1"/>
        <v>0</v>
      </c>
      <c r="L129" s="8">
        <f>+'[1]VENTAS(RESUMEN GLOBAL)'!J129</f>
        <v>0</v>
      </c>
      <c r="M129" s="8">
        <f>+Tabla1[[#This Row],[utilidad x dia]]*7</f>
        <v>0</v>
      </c>
    </row>
    <row r="130" spans="1:13" x14ac:dyDescent="0.3">
      <c r="A130" s="6">
        <f>+'[1]VENTAS(RESUMEN GLOBAL)'!L130</f>
        <v>46024</v>
      </c>
      <c r="B130" s="6" t="str">
        <f>+'[1]VENTAS(RESUMEN GLOBAL)'!M130</f>
        <v>RIVULIS</v>
      </c>
      <c r="C130">
        <f>+'[1]VENTAS(RESUMEN GLOBAL)'!B130</f>
        <v>100600</v>
      </c>
      <c r="D130" t="str">
        <f>INDEX('[1]CÓDIGOS DE PRODUCTO'!$D$3:$D$1000,MATCH(C130,'[1]CÓDIGOS DE PRODUCTO'!$A$3:$A$1000,0))</f>
        <v>50202300 </v>
      </c>
      <c r="E130" t="str">
        <f>VLOOKUP(C130,'[1]CÓDIGOS DE PRODUCTO'!$A$4:$B$156,2,FALSE)</f>
        <v>Leche santa clara</v>
      </c>
      <c r="F130" t="str">
        <f>INDEX('[1]CÓDIGOS DE PRODUCTO'!$C$3:$C$1000,MATCH(C130,'[1]CÓDIGOS DE PRODUCTO'!$A$3:$A$1000,0))</f>
        <v>Bebidas</v>
      </c>
      <c r="G130">
        <f>+'[1]VENTAS(RESUMEN GLOBAL)'!D130-'[1]VENTAS(RESUMEN GLOBAL)'!E130</f>
        <v>1</v>
      </c>
      <c r="H130" s="9">
        <f>+'[1]VENTAS(RESUMEN GLOBAL)'!K130</f>
        <v>0.875</v>
      </c>
      <c r="I130" s="8">
        <f>+G130*'[1]VENTAS(RESUMEN GLOBAL)'!F130</f>
        <v>15</v>
      </c>
      <c r="J130" s="8">
        <f>'[1]VENTAS(RESUMEN GLOBAL)'!G130*(1-'[1]VENTAS(RESUMEN GLOBAL)'!H130)</f>
        <v>8.5500000000000007</v>
      </c>
      <c r="K130" s="8">
        <f t="shared" si="1"/>
        <v>6.4499999999999993</v>
      </c>
      <c r="L130" s="8">
        <f>+'[1]VENTAS(RESUMEN GLOBAL)'!J130</f>
        <v>0.80625000000000002</v>
      </c>
      <c r="M130" s="8">
        <f>+Tabla1[[#This Row],[utilidad x dia]]*7</f>
        <v>5.6437499999999998</v>
      </c>
    </row>
    <row r="131" spans="1:13" x14ac:dyDescent="0.3">
      <c r="A131" s="6">
        <f>+'[1]VENTAS(RESUMEN GLOBAL)'!L131</f>
        <v>46024</v>
      </c>
      <c r="B131" s="6" t="str">
        <f>+'[1]VENTAS(RESUMEN GLOBAL)'!M131</f>
        <v>RIVULIS</v>
      </c>
      <c r="C131">
        <f>+'[1]VENTAS(RESUMEN GLOBAL)'!B131</f>
        <v>100600</v>
      </c>
      <c r="D131" t="str">
        <f>INDEX('[1]CÓDIGOS DE PRODUCTO'!$D$3:$D$1000,MATCH(C131,'[1]CÓDIGOS DE PRODUCTO'!$A$3:$A$1000,0))</f>
        <v>50202300 </v>
      </c>
      <c r="E131" t="str">
        <f>VLOOKUP(C131,'[1]CÓDIGOS DE PRODUCTO'!$A$4:$B$156,2,FALSE)</f>
        <v>Leche santa clara</v>
      </c>
      <c r="F131" t="str">
        <f>INDEX('[1]CÓDIGOS DE PRODUCTO'!$C$3:$C$1000,MATCH(C131,'[1]CÓDIGOS DE PRODUCTO'!$A$3:$A$1000,0))</f>
        <v>Bebidas</v>
      </c>
      <c r="G131">
        <f>+'[1]VENTAS(RESUMEN GLOBAL)'!D131-'[1]VENTAS(RESUMEN GLOBAL)'!E131</f>
        <v>1</v>
      </c>
      <c r="H131" s="9">
        <f>+'[1]VENTAS(RESUMEN GLOBAL)'!K131</f>
        <v>0.875</v>
      </c>
      <c r="I131" s="8">
        <f>+G131*'[1]VENTAS(RESUMEN GLOBAL)'!F131</f>
        <v>15</v>
      </c>
      <c r="J131" s="8">
        <f>'[1]VENTAS(RESUMEN GLOBAL)'!G131*(1-'[1]VENTAS(RESUMEN GLOBAL)'!H131)</f>
        <v>8.5500000000000007</v>
      </c>
      <c r="K131" s="8">
        <f t="shared" ref="K131:K194" si="2">+I131-J131</f>
        <v>6.4499999999999993</v>
      </c>
      <c r="L131" s="8">
        <f>+'[1]VENTAS(RESUMEN GLOBAL)'!J131</f>
        <v>0.80625000000000002</v>
      </c>
      <c r="M131" s="8">
        <f>+Tabla1[[#This Row],[utilidad x dia]]*7</f>
        <v>5.6437499999999998</v>
      </c>
    </row>
    <row r="132" spans="1:13" x14ac:dyDescent="0.3">
      <c r="A132" s="6">
        <f>+'[1]VENTAS(RESUMEN GLOBAL)'!L132</f>
        <v>46024</v>
      </c>
      <c r="B132" s="6" t="str">
        <f>+'[1]VENTAS(RESUMEN GLOBAL)'!M132</f>
        <v>RIVULIS</v>
      </c>
      <c r="C132">
        <f>+'[1]VENTAS(RESUMEN GLOBAL)'!B132</f>
        <v>800900</v>
      </c>
      <c r="D132" t="str">
        <f>INDEX('[1]CÓDIGOS DE PRODUCTO'!$D$3:$D$1000,MATCH(C132,'[1]CÓDIGOS DE PRODUCTO'!$A$3:$A$1000,0))</f>
        <v>50181900 </v>
      </c>
      <c r="E132" t="str">
        <f>VLOOKUP(C132,'[1]CÓDIGOS DE PRODUCTO'!$A$4:$B$156,2,FALSE)</f>
        <v>MANTECADAS</v>
      </c>
      <c r="F132" t="str">
        <f>INDEX('[1]CÓDIGOS DE PRODUCTO'!$C$3:$C$1000,MATCH(C132,'[1]CÓDIGOS DE PRODUCTO'!$A$3:$A$1000,0))</f>
        <v>GALLETAS Y PAN DULCE</v>
      </c>
      <c r="G132">
        <f>+'[1]VENTAS(RESUMEN GLOBAL)'!D132-'[1]VENTAS(RESUMEN GLOBAL)'!E132</f>
        <v>1</v>
      </c>
      <c r="H132" s="9">
        <f>+'[1]VENTAS(RESUMEN GLOBAL)'!K132</f>
        <v>0.875</v>
      </c>
      <c r="I132" s="8">
        <f>+G132*'[1]VENTAS(RESUMEN GLOBAL)'!F132</f>
        <v>20</v>
      </c>
      <c r="J132" s="8">
        <f>'[1]VENTAS(RESUMEN GLOBAL)'!G132*(1-'[1]VENTAS(RESUMEN GLOBAL)'!H132)</f>
        <v>9.8000000000000007</v>
      </c>
      <c r="K132" s="8">
        <f t="shared" si="2"/>
        <v>10.199999999999999</v>
      </c>
      <c r="L132" s="8">
        <f>+'[1]VENTAS(RESUMEN GLOBAL)'!J132</f>
        <v>1.2749999999999999</v>
      </c>
      <c r="M132" s="8">
        <f>+Tabla1[[#This Row],[utilidad x dia]]*7</f>
        <v>8.9249999999999989</v>
      </c>
    </row>
    <row r="133" spans="1:13" x14ac:dyDescent="0.3">
      <c r="A133" s="6">
        <f>+'[1]VENTAS(RESUMEN GLOBAL)'!L133</f>
        <v>46024</v>
      </c>
      <c r="B133" s="6" t="str">
        <f>+'[1]VENTAS(RESUMEN GLOBAL)'!M133</f>
        <v>RIVULIS</v>
      </c>
      <c r="C133">
        <f>+'[1]VENTAS(RESUMEN GLOBAL)'!B133</f>
        <v>300700</v>
      </c>
      <c r="D133" t="str">
        <f>INDEX('[1]CÓDIGOS DE PRODUCTO'!$D$3:$D$1000,MATCH(C133,'[1]CÓDIGOS DE PRODUCTO'!$A$3:$A$1000,0))</f>
        <v>50161800 </v>
      </c>
      <c r="E133" t="str">
        <f>VLOOKUP(C133,'[1]CÓDIGOS DE PRODUCTO'!$A$4:$B$156,2,FALSE)</f>
        <v>ZUMBA GOMA</v>
      </c>
      <c r="F133" t="str">
        <f>INDEX('[1]CÓDIGOS DE PRODUCTO'!$C$3:$C$1000,MATCH(C133,'[1]CÓDIGOS DE PRODUCTO'!$A$3:$A$1000,0))</f>
        <v>Snacks &amp; Dulces</v>
      </c>
      <c r="G133">
        <f>+'[1]VENTAS(RESUMEN GLOBAL)'!D133-'[1]VENTAS(RESUMEN GLOBAL)'!E133</f>
        <v>0</v>
      </c>
      <c r="H133" s="9">
        <f>+'[1]VENTAS(RESUMEN GLOBAL)'!K133</f>
        <v>0</v>
      </c>
      <c r="I133" s="8">
        <f>+G133*'[1]VENTAS(RESUMEN GLOBAL)'!F133</f>
        <v>0</v>
      </c>
      <c r="J133" s="8">
        <f>'[1]VENTAS(RESUMEN GLOBAL)'!G133*(1-'[1]VENTAS(RESUMEN GLOBAL)'!H133)</f>
        <v>0</v>
      </c>
      <c r="K133" s="8">
        <f t="shared" si="2"/>
        <v>0</v>
      </c>
      <c r="L133" s="8">
        <f>+'[1]VENTAS(RESUMEN GLOBAL)'!J133</f>
        <v>0</v>
      </c>
      <c r="M133" s="8">
        <f>+Tabla1[[#This Row],[utilidad x dia]]*7</f>
        <v>0</v>
      </c>
    </row>
    <row r="134" spans="1:13" x14ac:dyDescent="0.3">
      <c r="A134" s="6">
        <f>+'[1]VENTAS(RESUMEN GLOBAL)'!L134</f>
        <v>46024</v>
      </c>
      <c r="B134" s="6" t="str">
        <f>+'[1]VENTAS(RESUMEN GLOBAL)'!M134</f>
        <v>RIVULIS</v>
      </c>
      <c r="C134">
        <f>+'[1]VENTAS(RESUMEN GLOBAL)'!B134</f>
        <v>300200</v>
      </c>
      <c r="D134" t="str">
        <f>INDEX('[1]CÓDIGOS DE PRODUCTO'!$D$3:$D$1000,MATCH(C134,'[1]CÓDIGOS DE PRODUCTO'!$A$3:$A$1000,0))</f>
        <v>50161800 </v>
      </c>
      <c r="E134" t="str">
        <f>VLOOKUP(C134,'[1]CÓDIGOS DE PRODUCTO'!$A$4:$B$156,2,FALSE)</f>
        <v>SKWINKLES</v>
      </c>
      <c r="F134" t="str">
        <f>INDEX('[1]CÓDIGOS DE PRODUCTO'!$C$3:$C$1000,MATCH(C134,'[1]CÓDIGOS DE PRODUCTO'!$A$3:$A$1000,0))</f>
        <v>Snacks &amp; Dulces</v>
      </c>
      <c r="G134">
        <f>+'[1]VENTAS(RESUMEN GLOBAL)'!D134-'[1]VENTAS(RESUMEN GLOBAL)'!E134</f>
        <v>0</v>
      </c>
      <c r="H134" s="9">
        <f>+'[1]VENTAS(RESUMEN GLOBAL)'!K134</f>
        <v>0</v>
      </c>
      <c r="I134" s="8">
        <f>+G134*'[1]VENTAS(RESUMEN GLOBAL)'!F134</f>
        <v>0</v>
      </c>
      <c r="J134" s="8">
        <f>'[1]VENTAS(RESUMEN GLOBAL)'!G134*(1-'[1]VENTAS(RESUMEN GLOBAL)'!H134)</f>
        <v>0</v>
      </c>
      <c r="K134" s="8">
        <f t="shared" si="2"/>
        <v>0</v>
      </c>
      <c r="L134" s="8">
        <f>+'[1]VENTAS(RESUMEN GLOBAL)'!J134</f>
        <v>0</v>
      </c>
      <c r="M134" s="8">
        <f>+Tabla1[[#This Row],[utilidad x dia]]*7</f>
        <v>0</v>
      </c>
    </row>
    <row r="135" spans="1:13" x14ac:dyDescent="0.3">
      <c r="A135" s="6">
        <f>+'[1]VENTAS(RESUMEN GLOBAL)'!L135</f>
        <v>46024</v>
      </c>
      <c r="B135" s="6" t="str">
        <f>+'[1]VENTAS(RESUMEN GLOBAL)'!M135</f>
        <v>RIVULIS</v>
      </c>
      <c r="C135">
        <f>+'[1]VENTAS(RESUMEN GLOBAL)'!B135</f>
        <v>300100</v>
      </c>
      <c r="D135" t="str">
        <f>INDEX('[1]CÓDIGOS DE PRODUCTO'!$D$3:$D$1000,MATCH(C135,'[1]CÓDIGOS DE PRODUCTO'!$A$3:$A$1000,0))</f>
        <v>50161800 </v>
      </c>
      <c r="E135" t="str">
        <f>VLOOKUP(C135,'[1]CÓDIGOS DE PRODUCTO'!$A$4:$B$156,2,FALSE)</f>
        <v>Pelonetes</v>
      </c>
      <c r="F135" t="str">
        <f>INDEX('[1]CÓDIGOS DE PRODUCTO'!$C$3:$C$1000,MATCH(C135,'[1]CÓDIGOS DE PRODUCTO'!$A$3:$A$1000,0))</f>
        <v>Snacks &amp; Dulces</v>
      </c>
      <c r="G135">
        <f>+'[1]VENTAS(RESUMEN GLOBAL)'!D135-'[1]VENTAS(RESUMEN GLOBAL)'!E135</f>
        <v>1</v>
      </c>
      <c r="H135" s="9">
        <f>+'[1]VENTAS(RESUMEN GLOBAL)'!K135</f>
        <v>0.875</v>
      </c>
      <c r="I135" s="8">
        <f>+G135*'[1]VENTAS(RESUMEN GLOBAL)'!F135</f>
        <v>15</v>
      </c>
      <c r="J135" s="8">
        <f>'[1]VENTAS(RESUMEN GLOBAL)'!G135*(1-'[1]VENTAS(RESUMEN GLOBAL)'!H135)</f>
        <v>6.4500000000000011</v>
      </c>
      <c r="K135" s="8">
        <f t="shared" si="2"/>
        <v>8.5499999999999989</v>
      </c>
      <c r="L135" s="8">
        <f>+'[1]VENTAS(RESUMEN GLOBAL)'!J135</f>
        <v>1.0687499999999999</v>
      </c>
      <c r="M135" s="8">
        <f>+Tabla1[[#This Row],[utilidad x dia]]*7</f>
        <v>7.4812499999999993</v>
      </c>
    </row>
    <row r="136" spans="1:13" x14ac:dyDescent="0.3">
      <c r="A136" s="6">
        <f>+'[1]VENTAS(RESUMEN GLOBAL)'!L136</f>
        <v>46024</v>
      </c>
      <c r="B136" s="6" t="str">
        <f>+'[1]VENTAS(RESUMEN GLOBAL)'!M136</f>
        <v>RIVULIS</v>
      </c>
      <c r="C136">
        <f>+'[1]VENTAS(RESUMEN GLOBAL)'!B136</f>
        <v>900300</v>
      </c>
      <c r="D136">
        <f>INDEX('[1]CÓDIGOS DE PRODUCTO'!$D$3:$D$1000,MATCH(C136,'[1]CÓDIGOS DE PRODUCTO'!$A$3:$A$1000,0))</f>
        <v>50161815</v>
      </c>
      <c r="E136" t="str">
        <f>VLOOKUP(C136,'[1]CÓDIGOS DE PRODUCTO'!$A$4:$B$156,2,FALSE)</f>
        <v>CHICLES TRIDENT</v>
      </c>
      <c r="F136" t="str">
        <f>INDEX('[1]CÓDIGOS DE PRODUCTO'!$C$3:$C$1000,MATCH(C136,'[1]CÓDIGOS DE PRODUCTO'!$A$3:$A$1000,0))</f>
        <v>OTROS</v>
      </c>
      <c r="G136">
        <f>+'[1]VENTAS(RESUMEN GLOBAL)'!D136-'[1]VENTAS(RESUMEN GLOBAL)'!E136</f>
        <v>0</v>
      </c>
      <c r="H136" s="9">
        <f>+'[1]VENTAS(RESUMEN GLOBAL)'!K136</f>
        <v>0</v>
      </c>
      <c r="I136" s="8">
        <f>+G136*'[1]VENTAS(RESUMEN GLOBAL)'!F136</f>
        <v>0</v>
      </c>
      <c r="J136" s="8">
        <f>'[1]VENTAS(RESUMEN GLOBAL)'!G136*(1-'[1]VENTAS(RESUMEN GLOBAL)'!H136)</f>
        <v>0</v>
      </c>
      <c r="K136" s="8">
        <f t="shared" si="2"/>
        <v>0</v>
      </c>
      <c r="L136" s="8">
        <f>+'[1]VENTAS(RESUMEN GLOBAL)'!J136</f>
        <v>0</v>
      </c>
      <c r="M136" s="8">
        <f>+Tabla1[[#This Row],[utilidad x dia]]*7</f>
        <v>0</v>
      </c>
    </row>
    <row r="137" spans="1:13" x14ac:dyDescent="0.3">
      <c r="A137" s="6">
        <f>+'[1]VENTAS(RESUMEN GLOBAL)'!L137</f>
        <v>46024</v>
      </c>
      <c r="B137" s="6" t="str">
        <f>+'[1]VENTAS(RESUMEN GLOBAL)'!M137</f>
        <v>RIVULIS</v>
      </c>
      <c r="C137">
        <f>+'[1]VENTAS(RESUMEN GLOBAL)'!B137</f>
        <v>300400</v>
      </c>
      <c r="D137" t="str">
        <f>INDEX('[1]CÓDIGOS DE PRODUCTO'!$D$3:$D$1000,MATCH(C137,'[1]CÓDIGOS DE PRODUCTO'!$A$3:$A$1000,0))</f>
        <v>50161800 </v>
      </c>
      <c r="E137" t="str">
        <f>VLOOKUP(C137,'[1]CÓDIGOS DE PRODUCTO'!$A$4:$B$156,2,FALSE)</f>
        <v>Welchs GOMITAS</v>
      </c>
      <c r="F137" t="str">
        <f>INDEX('[1]CÓDIGOS DE PRODUCTO'!$C$3:$C$1000,MATCH(C137,'[1]CÓDIGOS DE PRODUCTO'!$A$3:$A$1000,0))</f>
        <v>Snacks &amp; Dulces</v>
      </c>
      <c r="G137">
        <f>+'[1]VENTAS(RESUMEN GLOBAL)'!D137-'[1]VENTAS(RESUMEN GLOBAL)'!E137</f>
        <v>1</v>
      </c>
      <c r="H137" s="9">
        <f>+'[1]VENTAS(RESUMEN GLOBAL)'!K137</f>
        <v>0.875</v>
      </c>
      <c r="I137" s="8">
        <f>+G137*'[1]VENTAS(RESUMEN GLOBAL)'!F137</f>
        <v>10</v>
      </c>
      <c r="J137" s="8">
        <f>'[1]VENTAS(RESUMEN GLOBAL)'!G137*(1-'[1]VENTAS(RESUMEN GLOBAL)'!H137)</f>
        <v>6</v>
      </c>
      <c r="K137" s="8">
        <f t="shared" si="2"/>
        <v>4</v>
      </c>
      <c r="L137" s="8">
        <f>+'[1]VENTAS(RESUMEN GLOBAL)'!J137</f>
        <v>0.5</v>
      </c>
      <c r="M137" s="8">
        <f>+Tabla1[[#This Row],[utilidad x dia]]*7</f>
        <v>3.5</v>
      </c>
    </row>
    <row r="138" spans="1:13" x14ac:dyDescent="0.3">
      <c r="A138" s="6">
        <f>+'[1]VENTAS(RESUMEN GLOBAL)'!L138</f>
        <v>46024</v>
      </c>
      <c r="B138" s="6" t="str">
        <f>+'[1]VENTAS(RESUMEN GLOBAL)'!M138</f>
        <v>RIVULIS</v>
      </c>
      <c r="C138">
        <f>+'[1]VENTAS(RESUMEN GLOBAL)'!B138</f>
        <v>700500</v>
      </c>
      <c r="D138" t="str">
        <f>INDEX('[1]CÓDIGOS DE PRODUCTO'!$D$3:$D$1000,MATCH(C138,'[1]CÓDIGOS DE PRODUCTO'!$A$3:$A$1000,0))</f>
        <v>50161511 </v>
      </c>
      <c r="E138" t="str">
        <f>VLOOKUP(C138,'[1]CÓDIGOS DE PRODUCTO'!$A$4:$B$156,2,FALSE)</f>
        <v>HERSHEYS BLANCO</v>
      </c>
      <c r="F138" t="str">
        <f>INDEX('[1]CÓDIGOS DE PRODUCTO'!$C$3:$C$1000,MATCH(C138,'[1]CÓDIGOS DE PRODUCTO'!$A$3:$A$1000,0))</f>
        <v>CHOCOLATES</v>
      </c>
      <c r="G138">
        <f>+'[1]VENTAS(RESUMEN GLOBAL)'!D138-'[1]VENTAS(RESUMEN GLOBAL)'!E138</f>
        <v>1</v>
      </c>
      <c r="H138" s="9">
        <f>+'[1]VENTAS(RESUMEN GLOBAL)'!K138</f>
        <v>0.875</v>
      </c>
      <c r="I138" s="8">
        <f>+G138*'[1]VENTAS(RESUMEN GLOBAL)'!F138</f>
        <v>15</v>
      </c>
      <c r="J138" s="8">
        <f>'[1]VENTAS(RESUMEN GLOBAL)'!G138*(1-'[1]VENTAS(RESUMEN GLOBAL)'!H138)</f>
        <v>6.4500000000000011</v>
      </c>
      <c r="K138" s="8">
        <f t="shared" si="2"/>
        <v>8.5499999999999989</v>
      </c>
      <c r="L138" s="8">
        <f>+'[1]VENTAS(RESUMEN GLOBAL)'!J138</f>
        <v>1.0687499999999999</v>
      </c>
      <c r="M138" s="8">
        <f>+Tabla1[[#This Row],[utilidad x dia]]*7</f>
        <v>7.4812499999999993</v>
      </c>
    </row>
    <row r="139" spans="1:13" x14ac:dyDescent="0.3">
      <c r="A139" s="6">
        <f>+'[1]VENTAS(RESUMEN GLOBAL)'!L139</f>
        <v>46024</v>
      </c>
      <c r="B139" s="6" t="str">
        <f>+'[1]VENTAS(RESUMEN GLOBAL)'!M139</f>
        <v>RIVULIS</v>
      </c>
      <c r="C139">
        <f>+'[1]VENTAS(RESUMEN GLOBAL)'!B139</f>
        <v>700400</v>
      </c>
      <c r="D139" t="str">
        <f>INDEX('[1]CÓDIGOS DE PRODUCTO'!$D$3:$D$1000,MATCH(C139,'[1]CÓDIGOS DE PRODUCTO'!$A$3:$A$1000,0))</f>
        <v>50161511 </v>
      </c>
      <c r="E139" t="str">
        <f>VLOOKUP(C139,'[1]CÓDIGOS DE PRODUCTO'!$A$4:$B$156,2,FALSE)</f>
        <v>KIT KAT</v>
      </c>
      <c r="F139" t="str">
        <f>INDEX('[1]CÓDIGOS DE PRODUCTO'!$C$3:$C$1000,MATCH(C139,'[1]CÓDIGOS DE PRODUCTO'!$A$3:$A$1000,0))</f>
        <v>CHOCOLATES</v>
      </c>
      <c r="G139">
        <f>+'[1]VENTAS(RESUMEN GLOBAL)'!D139-'[1]VENTAS(RESUMEN GLOBAL)'!E139</f>
        <v>0</v>
      </c>
      <c r="H139" s="9">
        <f>+'[1]VENTAS(RESUMEN GLOBAL)'!K139</f>
        <v>0</v>
      </c>
      <c r="I139" s="8">
        <f>+G139*'[1]VENTAS(RESUMEN GLOBAL)'!F139</f>
        <v>0</v>
      </c>
      <c r="J139" s="8">
        <f>'[1]VENTAS(RESUMEN GLOBAL)'!G139*(1-'[1]VENTAS(RESUMEN GLOBAL)'!H139)</f>
        <v>0</v>
      </c>
      <c r="K139" s="8">
        <f t="shared" si="2"/>
        <v>0</v>
      </c>
      <c r="L139" s="8">
        <f>+'[1]VENTAS(RESUMEN GLOBAL)'!J139</f>
        <v>0</v>
      </c>
      <c r="M139" s="8">
        <f>+Tabla1[[#This Row],[utilidad x dia]]*7</f>
        <v>0</v>
      </c>
    </row>
    <row r="140" spans="1:13" x14ac:dyDescent="0.3">
      <c r="A140" s="6">
        <f>+'[1]VENTAS(RESUMEN GLOBAL)'!L140</f>
        <v>46024</v>
      </c>
      <c r="B140" s="6" t="str">
        <f>+'[1]VENTAS(RESUMEN GLOBAL)'!M140</f>
        <v>RIVULIS</v>
      </c>
      <c r="C140">
        <f>+'[1]VENTAS(RESUMEN GLOBAL)'!B140</f>
        <v>700800</v>
      </c>
      <c r="D140" t="str">
        <f>INDEX('[1]CÓDIGOS DE PRODUCTO'!$D$3:$D$1000,MATCH(C140,'[1]CÓDIGOS DE PRODUCTO'!$A$3:$A$1000,0))</f>
        <v>50161511 </v>
      </c>
      <c r="E140" t="str">
        <f>VLOOKUP(C140,'[1]CÓDIGOS DE PRODUCTO'!$A$4:$B$156,2,FALSE)</f>
        <v>Kinder delice</v>
      </c>
      <c r="F140" t="str">
        <f>INDEX('[1]CÓDIGOS DE PRODUCTO'!$C$3:$C$1000,MATCH(C140,'[1]CÓDIGOS DE PRODUCTO'!$A$3:$A$1000,0))</f>
        <v>CHOCOLATES</v>
      </c>
      <c r="G140">
        <f>+'[1]VENTAS(RESUMEN GLOBAL)'!D140-'[1]VENTAS(RESUMEN GLOBAL)'!E140</f>
        <v>1</v>
      </c>
      <c r="H140" s="9">
        <f>+'[1]VENTAS(RESUMEN GLOBAL)'!K140</f>
        <v>0.875</v>
      </c>
      <c r="I140" s="8">
        <f>+G140*'[1]VENTAS(RESUMEN GLOBAL)'!F140</f>
        <v>20</v>
      </c>
      <c r="J140" s="8">
        <f>'[1]VENTAS(RESUMEN GLOBAL)'!G140*(1-'[1]VENTAS(RESUMEN GLOBAL)'!H140)</f>
        <v>12.4</v>
      </c>
      <c r="K140" s="8">
        <f t="shared" si="2"/>
        <v>7.6</v>
      </c>
      <c r="L140" s="8">
        <f>+'[1]VENTAS(RESUMEN GLOBAL)'!J140</f>
        <v>0.95</v>
      </c>
      <c r="M140" s="8">
        <f>+Tabla1[[#This Row],[utilidad x dia]]*7</f>
        <v>6.6499999999999995</v>
      </c>
    </row>
    <row r="141" spans="1:13" x14ac:dyDescent="0.3">
      <c r="A141" s="6">
        <f>+'[1]VENTAS(RESUMEN GLOBAL)'!L141</f>
        <v>46024</v>
      </c>
      <c r="B141" s="6" t="str">
        <f>+'[1]VENTAS(RESUMEN GLOBAL)'!M141</f>
        <v>RIVULIS</v>
      </c>
      <c r="C141">
        <f>+'[1]VENTAS(RESUMEN GLOBAL)'!B141</f>
        <v>700700</v>
      </c>
      <c r="D141" t="str">
        <f>INDEX('[1]CÓDIGOS DE PRODUCTO'!$D$3:$D$1000,MATCH(C141,'[1]CÓDIGOS DE PRODUCTO'!$A$3:$A$1000,0))</f>
        <v>50161511 </v>
      </c>
      <c r="E141" t="str">
        <f>VLOOKUP(C141,'[1]CÓDIGOS DE PRODUCTO'!$A$4:$B$156,2,FALSE)</f>
        <v>Milkiway</v>
      </c>
      <c r="F141" t="str">
        <f>INDEX('[1]CÓDIGOS DE PRODUCTO'!$C$3:$C$1000,MATCH(C141,'[1]CÓDIGOS DE PRODUCTO'!$A$3:$A$1000,0))</f>
        <v>CHOCOLATES</v>
      </c>
      <c r="G141">
        <f>+'[1]VENTAS(RESUMEN GLOBAL)'!D141-'[1]VENTAS(RESUMEN GLOBAL)'!E141</f>
        <v>0</v>
      </c>
      <c r="H141" s="9">
        <f>+'[1]VENTAS(RESUMEN GLOBAL)'!K141</f>
        <v>0</v>
      </c>
      <c r="I141" s="8">
        <f>+G141*'[1]VENTAS(RESUMEN GLOBAL)'!F141</f>
        <v>0</v>
      </c>
      <c r="J141" s="8">
        <f>'[1]VENTAS(RESUMEN GLOBAL)'!G141*(1-'[1]VENTAS(RESUMEN GLOBAL)'!H141)</f>
        <v>0</v>
      </c>
      <c r="K141" s="8">
        <f t="shared" si="2"/>
        <v>0</v>
      </c>
      <c r="L141" s="8">
        <f>+'[1]VENTAS(RESUMEN GLOBAL)'!J141</f>
        <v>0</v>
      </c>
      <c r="M141" s="8">
        <f>+Tabla1[[#This Row],[utilidad x dia]]*7</f>
        <v>0</v>
      </c>
    </row>
    <row r="142" spans="1:13" x14ac:dyDescent="0.3">
      <c r="A142" s="6">
        <f>+'[1]VENTAS(RESUMEN GLOBAL)'!L142</f>
        <v>46024</v>
      </c>
      <c r="B142" s="6" t="str">
        <f>+'[1]VENTAS(RESUMEN GLOBAL)'!M142</f>
        <v>RIVULIS</v>
      </c>
      <c r="C142">
        <f>+'[1]VENTAS(RESUMEN GLOBAL)'!B142</f>
        <v>700200</v>
      </c>
      <c r="D142" t="str">
        <f>INDEX('[1]CÓDIGOS DE PRODUCTO'!$D$3:$D$1000,MATCH(C142,'[1]CÓDIGOS DE PRODUCTO'!$A$3:$A$1000,0))</f>
        <v>50161511 </v>
      </c>
      <c r="E142" t="str">
        <f>VLOOKUP(C142,'[1]CÓDIGOS DE PRODUCTO'!$A$4:$B$156,2,FALSE)</f>
        <v>Snickers</v>
      </c>
      <c r="F142" t="str">
        <f>INDEX('[1]CÓDIGOS DE PRODUCTO'!$C$3:$C$1000,MATCH(C142,'[1]CÓDIGOS DE PRODUCTO'!$A$3:$A$1000,0))</f>
        <v>CHOCOLATES</v>
      </c>
      <c r="G142">
        <f>+'[1]VENTAS(RESUMEN GLOBAL)'!D142-'[1]VENTAS(RESUMEN GLOBAL)'!E142</f>
        <v>3</v>
      </c>
      <c r="H142" s="9">
        <f>+'[1]VENTAS(RESUMEN GLOBAL)'!K142</f>
        <v>2.625</v>
      </c>
      <c r="I142" s="8">
        <f>+G142*'[1]VENTAS(RESUMEN GLOBAL)'!F142</f>
        <v>75</v>
      </c>
      <c r="J142" s="8">
        <f>'[1]VENTAS(RESUMEN GLOBAL)'!G142*(1-'[1]VENTAS(RESUMEN GLOBAL)'!H142)</f>
        <v>42.000000000000007</v>
      </c>
      <c r="K142" s="8">
        <f t="shared" si="2"/>
        <v>32.999999999999993</v>
      </c>
      <c r="L142" s="8">
        <f>+'[1]VENTAS(RESUMEN GLOBAL)'!J142</f>
        <v>4.125</v>
      </c>
      <c r="M142" s="8">
        <f>+Tabla1[[#This Row],[utilidad x dia]]*7</f>
        <v>28.875</v>
      </c>
    </row>
    <row r="143" spans="1:13" x14ac:dyDescent="0.3">
      <c r="A143" s="6">
        <f>+'[1]VENTAS(RESUMEN GLOBAL)'!L143</f>
        <v>46024</v>
      </c>
      <c r="B143" s="6" t="str">
        <f>+'[1]VENTAS(RESUMEN GLOBAL)'!M143</f>
        <v>RIVULIS</v>
      </c>
      <c r="C143">
        <f>+'[1]VENTAS(RESUMEN GLOBAL)'!B143</f>
        <v>800500</v>
      </c>
      <c r="D143" t="str">
        <f>INDEX('[1]CÓDIGOS DE PRODUCTO'!$D$3:$D$1000,MATCH(C143,'[1]CÓDIGOS DE PRODUCTO'!$A$3:$A$1000,0))</f>
        <v>50181900 </v>
      </c>
      <c r="E143" t="str">
        <f>VLOOKUP(C143,'[1]CÓDIGOS DE PRODUCTO'!$A$4:$B$156,2,FALSE)</f>
        <v>RICE KRISPIES</v>
      </c>
      <c r="F143" t="str">
        <f>INDEX('[1]CÓDIGOS DE PRODUCTO'!$C$3:$C$1000,MATCH(C143,'[1]CÓDIGOS DE PRODUCTO'!$A$3:$A$1000,0))</f>
        <v>GALLETAS Y PAN DULCE</v>
      </c>
      <c r="G143">
        <f>+'[1]VENTAS(RESUMEN GLOBAL)'!D143-'[1]VENTAS(RESUMEN GLOBAL)'!E143</f>
        <v>1</v>
      </c>
      <c r="H143" s="9">
        <f>+'[1]VENTAS(RESUMEN GLOBAL)'!K143</f>
        <v>0.875</v>
      </c>
      <c r="I143" s="8">
        <f>+G143*'[1]VENTAS(RESUMEN GLOBAL)'!F143</f>
        <v>10</v>
      </c>
      <c r="J143" s="8">
        <f>'[1]VENTAS(RESUMEN GLOBAL)'!G143*(1-'[1]VENTAS(RESUMEN GLOBAL)'!H143)</f>
        <v>3.0000000000000004</v>
      </c>
      <c r="K143" s="8">
        <f t="shared" si="2"/>
        <v>7</v>
      </c>
      <c r="L143" s="8">
        <f>+'[1]VENTAS(RESUMEN GLOBAL)'!J143</f>
        <v>0.875</v>
      </c>
      <c r="M143" s="8">
        <f>+Tabla1[[#This Row],[utilidad x dia]]*7</f>
        <v>6.125</v>
      </c>
    </row>
    <row r="144" spans="1:13" x14ac:dyDescent="0.3">
      <c r="A144" s="6">
        <f>+'[1]VENTAS(RESUMEN GLOBAL)'!L144</f>
        <v>46024</v>
      </c>
      <c r="B144" s="6" t="str">
        <f>+'[1]VENTAS(RESUMEN GLOBAL)'!M144</f>
        <v>RIVULIS</v>
      </c>
      <c r="C144">
        <f>+'[1]VENTAS(RESUMEN GLOBAL)'!B144</f>
        <v>800700</v>
      </c>
      <c r="D144" t="str">
        <f>INDEX('[1]CÓDIGOS DE PRODUCTO'!$D$3:$D$1000,MATCH(C144,'[1]CÓDIGOS DE PRODUCTO'!$A$3:$A$1000,0))</f>
        <v>50181900 </v>
      </c>
      <c r="E144" t="str">
        <f>VLOOKUP(C144,'[1]CÓDIGOS DE PRODUCTO'!$A$4:$B$156,2,FALSE)</f>
        <v>BARRITAS PIÑA</v>
      </c>
      <c r="F144" t="str">
        <f>INDEX('[1]CÓDIGOS DE PRODUCTO'!$C$3:$C$1000,MATCH(C144,'[1]CÓDIGOS DE PRODUCTO'!$A$3:$A$1000,0))</f>
        <v>GALLETAS Y PAN DULCE</v>
      </c>
      <c r="G144">
        <f>+'[1]VENTAS(RESUMEN GLOBAL)'!D144-'[1]VENTAS(RESUMEN GLOBAL)'!E144</f>
        <v>1</v>
      </c>
      <c r="H144" s="9">
        <f>+'[1]VENTAS(RESUMEN GLOBAL)'!K144</f>
        <v>0.875</v>
      </c>
      <c r="I144" s="8">
        <f>+G144*'[1]VENTAS(RESUMEN GLOBAL)'!F144</f>
        <v>20</v>
      </c>
      <c r="J144" s="8">
        <f>'[1]VENTAS(RESUMEN GLOBAL)'!G144*(1-'[1]VENTAS(RESUMEN GLOBAL)'!H144)</f>
        <v>9</v>
      </c>
      <c r="K144" s="8">
        <f t="shared" si="2"/>
        <v>11</v>
      </c>
      <c r="L144" s="8">
        <f>+'[1]VENTAS(RESUMEN GLOBAL)'!J144</f>
        <v>1.375</v>
      </c>
      <c r="M144" s="8">
        <f>+Tabla1[[#This Row],[utilidad x dia]]*7</f>
        <v>9.625</v>
      </c>
    </row>
    <row r="145" spans="1:13" x14ac:dyDescent="0.3">
      <c r="A145" s="6">
        <f>+'[1]VENTAS(RESUMEN GLOBAL)'!L145</f>
        <v>46024</v>
      </c>
      <c r="B145" s="6" t="str">
        <f>+'[1]VENTAS(RESUMEN GLOBAL)'!M145</f>
        <v>RIVULIS</v>
      </c>
      <c r="C145">
        <f>+'[1]VENTAS(RESUMEN GLOBAL)'!B145</f>
        <v>800400</v>
      </c>
      <c r="D145" t="str">
        <f>INDEX('[1]CÓDIGOS DE PRODUCTO'!$D$3:$D$1000,MATCH(C145,'[1]CÓDIGOS DE PRODUCTO'!$A$3:$A$1000,0))</f>
        <v>50181900 </v>
      </c>
      <c r="E145" t="str">
        <f>VLOOKUP(C145,'[1]CÓDIGOS DE PRODUCTO'!$A$4:$B$156,2,FALSE)</f>
        <v>Barritas FRESA</v>
      </c>
      <c r="F145" t="str">
        <f>INDEX('[1]CÓDIGOS DE PRODUCTO'!$C$3:$C$1000,MATCH(C145,'[1]CÓDIGOS DE PRODUCTO'!$A$3:$A$1000,0))</f>
        <v>GALLETAS Y PAN DULCE</v>
      </c>
      <c r="G145">
        <f>+'[1]VENTAS(RESUMEN GLOBAL)'!D145-'[1]VENTAS(RESUMEN GLOBAL)'!E145</f>
        <v>1</v>
      </c>
      <c r="H145" s="9">
        <f>+'[1]VENTAS(RESUMEN GLOBAL)'!K145</f>
        <v>0.875</v>
      </c>
      <c r="I145" s="8">
        <f>+G145*'[1]VENTAS(RESUMEN GLOBAL)'!F145</f>
        <v>20</v>
      </c>
      <c r="J145" s="8">
        <f>'[1]VENTAS(RESUMEN GLOBAL)'!G145*(1-'[1]VENTAS(RESUMEN GLOBAL)'!H145)</f>
        <v>9</v>
      </c>
      <c r="K145" s="8">
        <f t="shared" si="2"/>
        <v>11</v>
      </c>
      <c r="L145" s="8">
        <f>+'[1]VENTAS(RESUMEN GLOBAL)'!J145</f>
        <v>1.375</v>
      </c>
      <c r="M145" s="8">
        <f>+Tabla1[[#This Row],[utilidad x dia]]*7</f>
        <v>9.625</v>
      </c>
    </row>
    <row r="146" spans="1:13" x14ac:dyDescent="0.3">
      <c r="A146" s="6">
        <f>+'[1]VENTAS(RESUMEN GLOBAL)'!L146</f>
        <v>46024</v>
      </c>
      <c r="B146" s="6" t="str">
        <f>+'[1]VENTAS(RESUMEN GLOBAL)'!M146</f>
        <v>RIVULIS</v>
      </c>
      <c r="C146">
        <f>+'[1]VENTAS(RESUMEN GLOBAL)'!B146</f>
        <v>800601</v>
      </c>
      <c r="D146" t="str">
        <f>INDEX('[1]CÓDIGOS DE PRODUCTO'!$D$3:$D$1000,MATCH(C146,'[1]CÓDIGOS DE PRODUCTO'!$A$3:$A$1000,0))</f>
        <v>50181900 </v>
      </c>
      <c r="E146" t="str">
        <f>VLOOKUP(C146,'[1]CÓDIGOS DE PRODUCTO'!$A$4:$B$156,2,FALSE)</f>
        <v>CREMAX AZULES</v>
      </c>
      <c r="F146" t="str">
        <f>INDEX('[1]CÓDIGOS DE PRODUCTO'!$C$3:$C$1000,MATCH(C146,'[1]CÓDIGOS DE PRODUCTO'!$A$3:$A$1000,0))</f>
        <v>GALLETAS Y PAN DULCE</v>
      </c>
      <c r="G146">
        <f>+'[1]VENTAS(RESUMEN GLOBAL)'!D146-'[1]VENTAS(RESUMEN GLOBAL)'!E146</f>
        <v>1</v>
      </c>
      <c r="H146" s="9">
        <f>+'[1]VENTAS(RESUMEN GLOBAL)'!K146</f>
        <v>0.875</v>
      </c>
      <c r="I146" s="8">
        <f>+G146*'[1]VENTAS(RESUMEN GLOBAL)'!F146</f>
        <v>15</v>
      </c>
      <c r="J146" s="8">
        <f>'[1]VENTAS(RESUMEN GLOBAL)'!G146*(1-'[1]VENTAS(RESUMEN GLOBAL)'!H146)</f>
        <v>6.7499999999999991</v>
      </c>
      <c r="K146" s="8">
        <f t="shared" si="2"/>
        <v>8.25</v>
      </c>
      <c r="L146" s="8">
        <f>+'[1]VENTAS(RESUMEN GLOBAL)'!J146</f>
        <v>1.03125</v>
      </c>
      <c r="M146" s="8">
        <f>+Tabla1[[#This Row],[utilidad x dia]]*7</f>
        <v>7.21875</v>
      </c>
    </row>
    <row r="147" spans="1:13" x14ac:dyDescent="0.3">
      <c r="A147" s="6">
        <f>+'[1]VENTAS(RESUMEN GLOBAL)'!L147</f>
        <v>46024</v>
      </c>
      <c r="B147" s="6" t="str">
        <f>+'[1]VENTAS(RESUMEN GLOBAL)'!M147</f>
        <v>RIVULIS</v>
      </c>
      <c r="C147">
        <f>+'[1]VENTAS(RESUMEN GLOBAL)'!B147</f>
        <v>800600</v>
      </c>
      <c r="D147" t="str">
        <f>INDEX('[1]CÓDIGOS DE PRODUCTO'!$D$3:$D$1000,MATCH(C147,'[1]CÓDIGOS DE PRODUCTO'!$A$3:$A$1000,0))</f>
        <v>50181900 </v>
      </c>
      <c r="E147" t="str">
        <f>VLOOKUP(C147,'[1]CÓDIGOS DE PRODUCTO'!$A$4:$B$156,2,FALSE)</f>
        <v>CREMAX</v>
      </c>
      <c r="F147" t="str">
        <f>INDEX('[1]CÓDIGOS DE PRODUCTO'!$C$3:$C$1000,MATCH(C147,'[1]CÓDIGOS DE PRODUCTO'!$A$3:$A$1000,0))</f>
        <v>GALLETAS Y PAN DULCE</v>
      </c>
      <c r="G147">
        <f>+'[1]VENTAS(RESUMEN GLOBAL)'!D147-'[1]VENTAS(RESUMEN GLOBAL)'!E147</f>
        <v>0</v>
      </c>
      <c r="H147" s="9">
        <f>+'[1]VENTAS(RESUMEN GLOBAL)'!K147</f>
        <v>0</v>
      </c>
      <c r="I147" s="8">
        <f>+G147*'[1]VENTAS(RESUMEN GLOBAL)'!F147</f>
        <v>0</v>
      </c>
      <c r="J147" s="8">
        <f>'[1]VENTAS(RESUMEN GLOBAL)'!G147*(1-'[1]VENTAS(RESUMEN GLOBAL)'!H147)</f>
        <v>0</v>
      </c>
      <c r="K147" s="8">
        <f t="shared" si="2"/>
        <v>0</v>
      </c>
      <c r="L147" s="8">
        <f>+'[1]VENTAS(RESUMEN GLOBAL)'!J147</f>
        <v>0</v>
      </c>
      <c r="M147" s="8">
        <f>+Tabla1[[#This Row],[utilidad x dia]]*7</f>
        <v>0</v>
      </c>
    </row>
    <row r="148" spans="1:13" x14ac:dyDescent="0.3">
      <c r="A148" s="6">
        <f>+'[1]VENTAS(RESUMEN GLOBAL)'!L148</f>
        <v>46024</v>
      </c>
      <c r="B148" s="6" t="str">
        <f>+'[1]VENTAS(RESUMEN GLOBAL)'!M148</f>
        <v>RIVULIS</v>
      </c>
      <c r="C148">
        <f>+'[1]VENTAS(RESUMEN GLOBAL)'!B148</f>
        <v>800800</v>
      </c>
      <c r="D148" t="str">
        <f>INDEX('[1]CÓDIGOS DE PRODUCTO'!$D$3:$D$1000,MATCH(C148,'[1]CÓDIGOS DE PRODUCTO'!$A$3:$A$1000,0))</f>
        <v>50181900 </v>
      </c>
      <c r="E148" t="str">
        <f>VLOOKUP(C148,'[1]CÓDIGOS DE PRODUCTO'!$A$4:$B$156,2,FALSE)</f>
        <v>DORADITAS</v>
      </c>
      <c r="F148" t="str">
        <f>INDEX('[1]CÓDIGOS DE PRODUCTO'!$C$3:$C$1000,MATCH(C148,'[1]CÓDIGOS DE PRODUCTO'!$A$3:$A$1000,0))</f>
        <v>GALLETAS Y PAN DULCE</v>
      </c>
      <c r="G148">
        <f>+'[1]VENTAS(RESUMEN GLOBAL)'!D148-'[1]VENTAS(RESUMEN GLOBAL)'!E148</f>
        <v>1</v>
      </c>
      <c r="H148" s="9">
        <f>+'[1]VENTAS(RESUMEN GLOBAL)'!K148</f>
        <v>0.875</v>
      </c>
      <c r="I148" s="8">
        <f>+G148*'[1]VENTAS(RESUMEN GLOBAL)'!F148</f>
        <v>15</v>
      </c>
      <c r="J148" s="8">
        <f>'[1]VENTAS(RESUMEN GLOBAL)'!G148*(1-'[1]VENTAS(RESUMEN GLOBAL)'!H148)</f>
        <v>9.75</v>
      </c>
      <c r="K148" s="8">
        <f t="shared" si="2"/>
        <v>5.25</v>
      </c>
      <c r="L148" s="8">
        <f>+'[1]VENTAS(RESUMEN GLOBAL)'!J148</f>
        <v>0.65625</v>
      </c>
      <c r="M148" s="8">
        <f>+Tabla1[[#This Row],[utilidad x dia]]*7</f>
        <v>4.59375</v>
      </c>
    </row>
    <row r="149" spans="1:13" x14ac:dyDescent="0.3">
      <c r="A149" s="6">
        <f>+'[1]VENTAS(RESUMEN GLOBAL)'!L149</f>
        <v>46024</v>
      </c>
      <c r="B149" s="6" t="str">
        <f>+'[1]VENTAS(RESUMEN GLOBAL)'!M149</f>
        <v>RIVULIS</v>
      </c>
      <c r="C149">
        <f>+'[1]VENTAS(RESUMEN GLOBAL)'!B149</f>
        <v>801000</v>
      </c>
      <c r="D149" t="str">
        <f>INDEX('[1]CÓDIGOS DE PRODUCTO'!$D$3:$D$1000,MATCH(C149,'[1]CÓDIGOS DE PRODUCTO'!$A$3:$A$1000,0))</f>
        <v>50181900 </v>
      </c>
      <c r="E149" t="str">
        <f>VLOOKUP(C149,'[1]CÓDIGOS DE PRODUCTO'!$A$4:$B$156,2,FALSE)</f>
        <v>BRAN FRUIT</v>
      </c>
      <c r="F149" t="str">
        <f>INDEX('[1]CÓDIGOS DE PRODUCTO'!$C$3:$C$1000,MATCH(C149,'[1]CÓDIGOS DE PRODUCTO'!$A$3:$A$1000,0))</f>
        <v>GALLETAS Y PAN DULCE</v>
      </c>
      <c r="G149">
        <f>+'[1]VENTAS(RESUMEN GLOBAL)'!D149-'[1]VENTAS(RESUMEN GLOBAL)'!E149</f>
        <v>1</v>
      </c>
      <c r="H149" s="9">
        <f>+'[1]VENTAS(RESUMEN GLOBAL)'!K149</f>
        <v>0.875</v>
      </c>
      <c r="I149" s="8">
        <f>+G149*'[1]VENTAS(RESUMEN GLOBAL)'!F149</f>
        <v>15</v>
      </c>
      <c r="J149" s="8">
        <f>'[1]VENTAS(RESUMEN GLOBAL)'!G149*(1-'[1]VENTAS(RESUMEN GLOBAL)'!H149)</f>
        <v>9</v>
      </c>
      <c r="K149" s="8">
        <f t="shared" si="2"/>
        <v>6</v>
      </c>
      <c r="L149" s="8">
        <f>+'[1]VENTAS(RESUMEN GLOBAL)'!J149</f>
        <v>0.75</v>
      </c>
      <c r="M149" s="8">
        <f>+Tabla1[[#This Row],[utilidad x dia]]*7</f>
        <v>5.25</v>
      </c>
    </row>
    <row r="150" spans="1:13" x14ac:dyDescent="0.3">
      <c r="A150" s="6">
        <f>+'[1]VENTAS(RESUMEN GLOBAL)'!L150</f>
        <v>46024</v>
      </c>
      <c r="B150" s="6" t="str">
        <f>+'[1]VENTAS(RESUMEN GLOBAL)'!M150</f>
        <v>RIVULIS</v>
      </c>
      <c r="C150">
        <f>+'[1]VENTAS(RESUMEN GLOBAL)'!B150</f>
        <v>801100</v>
      </c>
      <c r="D150" t="str">
        <f>INDEX('[1]CÓDIGOS DE PRODUCTO'!$D$3:$D$1000,MATCH(C150,'[1]CÓDIGOS DE PRODUCTO'!$A$3:$A$1000,0))</f>
        <v>50181900 </v>
      </c>
      <c r="E150" t="str">
        <f>VLOOKUP(C150,'[1]CÓDIGOS DE PRODUCTO'!$A$4:$B$156,2,FALSE)</f>
        <v>GALLETA ARCOÍRIS</v>
      </c>
      <c r="F150" t="str">
        <f>INDEX('[1]CÓDIGOS DE PRODUCTO'!$C$3:$C$1000,MATCH(C150,'[1]CÓDIGOS DE PRODUCTO'!$A$3:$A$1000,0))</f>
        <v>GALLETAS Y PAN DULCE</v>
      </c>
      <c r="G150">
        <f>+'[1]VENTAS(RESUMEN GLOBAL)'!D150-'[1]VENTAS(RESUMEN GLOBAL)'!E150</f>
        <v>3</v>
      </c>
      <c r="H150" s="9">
        <f>+'[1]VENTAS(RESUMEN GLOBAL)'!K150</f>
        <v>2.625</v>
      </c>
      <c r="I150" s="8">
        <f>+G150*'[1]VENTAS(RESUMEN GLOBAL)'!F150</f>
        <v>60</v>
      </c>
      <c r="J150" s="8">
        <f>'[1]VENTAS(RESUMEN GLOBAL)'!G150*(1-'[1]VENTAS(RESUMEN GLOBAL)'!H150)</f>
        <v>26.999999999999996</v>
      </c>
      <c r="K150" s="8">
        <f t="shared" si="2"/>
        <v>33</v>
      </c>
      <c r="L150" s="8">
        <f>+'[1]VENTAS(RESUMEN GLOBAL)'!J150</f>
        <v>4.125</v>
      </c>
      <c r="M150" s="8">
        <f>+Tabla1[[#This Row],[utilidad x dia]]*7</f>
        <v>28.875</v>
      </c>
    </row>
    <row r="151" spans="1:13" x14ac:dyDescent="0.3">
      <c r="A151" s="6">
        <f>+'[1]VENTAS(RESUMEN GLOBAL)'!L151</f>
        <v>46024</v>
      </c>
      <c r="B151" s="6" t="str">
        <f>+'[1]VENTAS(RESUMEN GLOBAL)'!M151</f>
        <v>RIVULIS</v>
      </c>
      <c r="C151">
        <f>+'[1]VENTAS(RESUMEN GLOBAL)'!B151</f>
        <v>801200</v>
      </c>
      <c r="D151" t="str">
        <f>INDEX('[1]CÓDIGOS DE PRODUCTO'!$D$3:$D$1000,MATCH(C151,'[1]CÓDIGOS DE PRODUCTO'!$A$3:$A$1000,0))</f>
        <v>50181900 </v>
      </c>
      <c r="E151" t="str">
        <f>VLOOKUP(C151,'[1]CÓDIGOS DE PRODUCTO'!$A$4:$B$156,2,FALSE)</f>
        <v>CANELITAS</v>
      </c>
      <c r="F151" t="str">
        <f>INDEX('[1]CÓDIGOS DE PRODUCTO'!$C$3:$C$1000,MATCH(C151,'[1]CÓDIGOS DE PRODUCTO'!$A$3:$A$1000,0))</f>
        <v>GALLETAS Y PAN DULCE</v>
      </c>
      <c r="G151">
        <f>+'[1]VENTAS(RESUMEN GLOBAL)'!D151-'[1]VENTAS(RESUMEN GLOBAL)'!E151</f>
        <v>0</v>
      </c>
      <c r="H151" s="9">
        <f>+'[1]VENTAS(RESUMEN GLOBAL)'!K151</f>
        <v>0</v>
      </c>
      <c r="I151" s="8">
        <f>+G151*'[1]VENTAS(RESUMEN GLOBAL)'!F151</f>
        <v>0</v>
      </c>
      <c r="J151" s="8">
        <f>'[1]VENTAS(RESUMEN GLOBAL)'!G151*(1-'[1]VENTAS(RESUMEN GLOBAL)'!H151)</f>
        <v>0</v>
      </c>
      <c r="K151" s="8">
        <f t="shared" si="2"/>
        <v>0</v>
      </c>
      <c r="L151" s="8">
        <f>+'[1]VENTAS(RESUMEN GLOBAL)'!J151</f>
        <v>0</v>
      </c>
      <c r="M151" s="8">
        <f>+Tabla1[[#This Row],[utilidad x dia]]*7</f>
        <v>0</v>
      </c>
    </row>
    <row r="152" spans="1:13" x14ac:dyDescent="0.3">
      <c r="A152" s="6">
        <f>+'[1]VENTAS(RESUMEN GLOBAL)'!L152</f>
        <v>46024</v>
      </c>
      <c r="B152" s="6" t="str">
        <f>+'[1]VENTAS(RESUMEN GLOBAL)'!M152</f>
        <v>RIVULIS</v>
      </c>
      <c r="C152">
        <f>+'[1]VENTAS(RESUMEN GLOBAL)'!B152</f>
        <v>800200</v>
      </c>
      <c r="D152" t="str">
        <f>INDEX('[1]CÓDIGOS DE PRODUCTO'!$D$3:$D$1000,MATCH(C152,'[1]CÓDIGOS DE PRODUCTO'!$A$3:$A$1000,0))</f>
        <v>50181900 </v>
      </c>
      <c r="E152" t="str">
        <f>VLOOKUP(C152,'[1]CÓDIGOS DE PRODUCTO'!$A$4:$B$156,2,FALSE)</f>
        <v>Príncipe (6 PZ-63 GR)</v>
      </c>
      <c r="F152" t="str">
        <f>INDEX('[1]CÓDIGOS DE PRODUCTO'!$C$3:$C$1000,MATCH(C152,'[1]CÓDIGOS DE PRODUCTO'!$A$3:$A$1000,0))</f>
        <v>GALLETAS Y PAN DULCE</v>
      </c>
      <c r="G152">
        <f>+'[1]VENTAS(RESUMEN GLOBAL)'!D152-'[1]VENTAS(RESUMEN GLOBAL)'!E152</f>
        <v>0</v>
      </c>
      <c r="H152" s="9">
        <f>+'[1]VENTAS(RESUMEN GLOBAL)'!K152</f>
        <v>0</v>
      </c>
      <c r="I152" s="8">
        <f>+G152*'[1]VENTAS(RESUMEN GLOBAL)'!F152</f>
        <v>0</v>
      </c>
      <c r="J152" s="8">
        <f>'[1]VENTAS(RESUMEN GLOBAL)'!G152*(1-'[1]VENTAS(RESUMEN GLOBAL)'!H152)</f>
        <v>0</v>
      </c>
      <c r="K152" s="8">
        <f t="shared" si="2"/>
        <v>0</v>
      </c>
      <c r="L152" s="8">
        <f>+'[1]VENTAS(RESUMEN GLOBAL)'!J152</f>
        <v>0</v>
      </c>
      <c r="M152" s="8">
        <f>+Tabla1[[#This Row],[utilidad x dia]]*7</f>
        <v>0</v>
      </c>
    </row>
    <row r="153" spans="1:13" x14ac:dyDescent="0.3">
      <c r="A153" s="6">
        <f>+'[1]VENTAS(RESUMEN GLOBAL)'!L153</f>
        <v>46024</v>
      </c>
      <c r="B153" s="6" t="str">
        <f>+'[1]VENTAS(RESUMEN GLOBAL)'!M153</f>
        <v>RIVULIS</v>
      </c>
      <c r="C153">
        <f>+'[1]VENTAS(RESUMEN GLOBAL)'!B153</f>
        <v>100200</v>
      </c>
      <c r="D153" t="str">
        <f>INDEX('[1]CÓDIGOS DE PRODUCTO'!$D$3:$D$1000,MATCH(C153,'[1]CÓDIGOS DE PRODUCTO'!$A$3:$A$1000,0))</f>
        <v>50202300 </v>
      </c>
      <c r="E153" t="str">
        <f>VLOOKUP(C153,'[1]CÓDIGOS DE PRODUCTO'!$A$4:$B$156,2,FALSE)</f>
        <v>Agua SAMS</v>
      </c>
      <c r="F153" t="str">
        <f>INDEX('[1]CÓDIGOS DE PRODUCTO'!$C$3:$C$1000,MATCH(C153,'[1]CÓDIGOS DE PRODUCTO'!$A$3:$A$1000,0))</f>
        <v>Bebidas</v>
      </c>
      <c r="G153">
        <f>+'[1]VENTAS(RESUMEN GLOBAL)'!D153-'[1]VENTAS(RESUMEN GLOBAL)'!E153</f>
        <v>0</v>
      </c>
      <c r="H153" s="9">
        <f>+'[1]VENTAS(RESUMEN GLOBAL)'!K153</f>
        <v>0</v>
      </c>
      <c r="I153" s="8">
        <f>+G153*'[1]VENTAS(RESUMEN GLOBAL)'!F153</f>
        <v>0</v>
      </c>
      <c r="J153" s="8">
        <f>'[1]VENTAS(RESUMEN GLOBAL)'!G153*(1-'[1]VENTAS(RESUMEN GLOBAL)'!H153)</f>
        <v>0</v>
      </c>
      <c r="K153" s="8">
        <f t="shared" si="2"/>
        <v>0</v>
      </c>
      <c r="L153" s="8">
        <f>+'[1]VENTAS(RESUMEN GLOBAL)'!J153</f>
        <v>0</v>
      </c>
      <c r="M153" s="8">
        <f>+Tabla1[[#This Row],[utilidad x dia]]*7</f>
        <v>0</v>
      </c>
    </row>
    <row r="154" spans="1:13" x14ac:dyDescent="0.3">
      <c r="A154" s="6">
        <f>+'[1]VENTAS(RESUMEN GLOBAL)'!L154</f>
        <v>46024</v>
      </c>
      <c r="B154" s="6" t="str">
        <f>+'[1]VENTAS(RESUMEN GLOBAL)'!M154</f>
        <v>RIVULIS</v>
      </c>
      <c r="C154">
        <f>+'[1]VENTAS(RESUMEN GLOBAL)'!B154</f>
        <v>100200</v>
      </c>
      <c r="D154" t="str">
        <f>INDEX('[1]CÓDIGOS DE PRODUCTO'!$D$3:$D$1000,MATCH(C154,'[1]CÓDIGOS DE PRODUCTO'!$A$3:$A$1000,0))</f>
        <v>50202300 </v>
      </c>
      <c r="E154" t="str">
        <f>VLOOKUP(C154,'[1]CÓDIGOS DE PRODUCTO'!$A$4:$B$156,2,FALSE)</f>
        <v>Agua SAMS</v>
      </c>
      <c r="F154" t="str">
        <f>INDEX('[1]CÓDIGOS DE PRODUCTO'!$C$3:$C$1000,MATCH(C154,'[1]CÓDIGOS DE PRODUCTO'!$A$3:$A$1000,0))</f>
        <v>Bebidas</v>
      </c>
      <c r="G154">
        <f>+'[1]VENTAS(RESUMEN GLOBAL)'!D154-'[1]VENTAS(RESUMEN GLOBAL)'!E154</f>
        <v>1</v>
      </c>
      <c r="H154" s="9">
        <f>+'[1]VENTAS(RESUMEN GLOBAL)'!K154</f>
        <v>0.875</v>
      </c>
      <c r="I154" s="8">
        <f>+G154*'[1]VENTAS(RESUMEN GLOBAL)'!F154</f>
        <v>15</v>
      </c>
      <c r="J154" s="8">
        <f>'[1]VENTAS(RESUMEN GLOBAL)'!G154*(1-'[1]VENTAS(RESUMEN GLOBAL)'!H154)</f>
        <v>2.9999999999999991</v>
      </c>
      <c r="K154" s="8">
        <f t="shared" si="2"/>
        <v>12</v>
      </c>
      <c r="L154" s="8">
        <f>+'[1]VENTAS(RESUMEN GLOBAL)'!J154</f>
        <v>1.5</v>
      </c>
      <c r="M154" s="8">
        <f>+Tabla1[[#This Row],[utilidad x dia]]*7</f>
        <v>10.5</v>
      </c>
    </row>
    <row r="155" spans="1:13" x14ac:dyDescent="0.3">
      <c r="A155" s="6">
        <f>+'[1]VENTAS(RESUMEN GLOBAL)'!L155</f>
        <v>46024</v>
      </c>
      <c r="B155" s="6" t="str">
        <f>+'[1]VENTAS(RESUMEN GLOBAL)'!M155</f>
        <v>RIVULIS</v>
      </c>
      <c r="C155">
        <f>+'[1]VENTAS(RESUMEN GLOBAL)'!B155</f>
        <v>100900</v>
      </c>
      <c r="D155" t="str">
        <f>INDEX('[1]CÓDIGOS DE PRODUCTO'!$D$3:$D$1000,MATCH(C155,'[1]CÓDIGOS DE PRODUCTO'!$A$3:$A$1000,0))</f>
        <v>50202300 </v>
      </c>
      <c r="E155" t="str">
        <f>VLOOKUP(C155,'[1]CÓDIGOS DE PRODUCTO'!$A$4:$B$156,2,FALSE)</f>
        <v>VOLT</v>
      </c>
      <c r="F155" t="str">
        <f>INDEX('[1]CÓDIGOS DE PRODUCTO'!$C$3:$C$1000,MATCH(C155,'[1]CÓDIGOS DE PRODUCTO'!$A$3:$A$1000,0))</f>
        <v>Bebidas</v>
      </c>
      <c r="G155">
        <f>+'[1]VENTAS(RESUMEN GLOBAL)'!D155-'[1]VENTAS(RESUMEN GLOBAL)'!E155</f>
        <v>0</v>
      </c>
      <c r="H155" s="9">
        <f>+'[1]VENTAS(RESUMEN GLOBAL)'!K155</f>
        <v>0</v>
      </c>
      <c r="I155" s="8">
        <f>+G155*'[1]VENTAS(RESUMEN GLOBAL)'!F155</f>
        <v>0</v>
      </c>
      <c r="J155" s="8">
        <f>'[1]VENTAS(RESUMEN GLOBAL)'!G155*(1-'[1]VENTAS(RESUMEN GLOBAL)'!H155)</f>
        <v>0</v>
      </c>
      <c r="K155" s="8">
        <f t="shared" si="2"/>
        <v>0</v>
      </c>
      <c r="L155" s="8">
        <f>+'[1]VENTAS(RESUMEN GLOBAL)'!J155</f>
        <v>0</v>
      </c>
      <c r="M155" s="8">
        <f>+Tabla1[[#This Row],[utilidad x dia]]*7</f>
        <v>0</v>
      </c>
    </row>
    <row r="156" spans="1:13" x14ac:dyDescent="0.3">
      <c r="A156" s="6">
        <f>+'[1]VENTAS(RESUMEN GLOBAL)'!L156</f>
        <v>46024</v>
      </c>
      <c r="B156" s="6" t="str">
        <f>+'[1]VENTAS(RESUMEN GLOBAL)'!M156</f>
        <v>RIVULIS</v>
      </c>
      <c r="C156">
        <f>+'[1]VENTAS(RESUMEN GLOBAL)'!B156</f>
        <v>100300</v>
      </c>
      <c r="D156" t="str">
        <f>INDEX('[1]CÓDIGOS DE PRODUCTO'!$D$3:$D$1000,MATCH(C156,'[1]CÓDIGOS DE PRODUCTO'!$A$3:$A$1000,0))</f>
        <v>50202300 </v>
      </c>
      <c r="E156" t="str">
        <f>VLOOKUP(C156,'[1]CÓDIGOS DE PRODUCTO'!$A$4:$B$156,2,FALSE)</f>
        <v>Gatorade</v>
      </c>
      <c r="F156" t="str">
        <f>INDEX('[1]CÓDIGOS DE PRODUCTO'!$C$3:$C$1000,MATCH(C156,'[1]CÓDIGOS DE PRODUCTO'!$A$3:$A$1000,0))</f>
        <v>Bebidas</v>
      </c>
      <c r="G156">
        <f>+'[1]VENTAS(RESUMEN GLOBAL)'!D156-'[1]VENTAS(RESUMEN GLOBAL)'!E156</f>
        <v>0</v>
      </c>
      <c r="H156" s="9">
        <f>+'[1]VENTAS(RESUMEN GLOBAL)'!K156</f>
        <v>0</v>
      </c>
      <c r="I156" s="8">
        <f>+G156*'[1]VENTAS(RESUMEN GLOBAL)'!F156</f>
        <v>0</v>
      </c>
      <c r="J156" s="8">
        <f>'[1]VENTAS(RESUMEN GLOBAL)'!G156*(1-'[1]VENTAS(RESUMEN GLOBAL)'!H156)</f>
        <v>0</v>
      </c>
      <c r="K156" s="8">
        <f t="shared" si="2"/>
        <v>0</v>
      </c>
      <c r="L156" s="8">
        <f>+'[1]VENTAS(RESUMEN GLOBAL)'!J156</f>
        <v>0</v>
      </c>
      <c r="M156" s="8">
        <f>+Tabla1[[#This Row],[utilidad x dia]]*7</f>
        <v>0</v>
      </c>
    </row>
    <row r="157" spans="1:13" x14ac:dyDescent="0.3">
      <c r="A157" s="6">
        <f>+'[1]VENTAS(RESUMEN GLOBAL)'!L157</f>
        <v>46024</v>
      </c>
      <c r="B157" s="6" t="str">
        <f>+'[1]VENTAS(RESUMEN GLOBAL)'!M157</f>
        <v>RIVULIS</v>
      </c>
      <c r="C157">
        <f>+'[1]VENTAS(RESUMEN GLOBAL)'!B157</f>
        <v>100800</v>
      </c>
      <c r="D157" t="str">
        <f>INDEX('[1]CÓDIGOS DE PRODUCTO'!$D$3:$D$1000,MATCH(C157,'[1]CÓDIGOS DE PRODUCTO'!$A$3:$A$1000,0))</f>
        <v>50202300 </v>
      </c>
      <c r="E157" t="str">
        <f>VLOOKUP(C157,'[1]CÓDIGOS DE PRODUCTO'!$A$4:$B$156,2,FALSE)</f>
        <v>TÉ VERDE KIRKLAND</v>
      </c>
      <c r="F157" t="str">
        <f>INDEX('[1]CÓDIGOS DE PRODUCTO'!$C$3:$C$1000,MATCH(C157,'[1]CÓDIGOS DE PRODUCTO'!$A$3:$A$1000,0))</f>
        <v>Bebidas</v>
      </c>
      <c r="G157">
        <f>+'[1]VENTAS(RESUMEN GLOBAL)'!D157-'[1]VENTAS(RESUMEN GLOBAL)'!E157</f>
        <v>0</v>
      </c>
      <c r="H157" s="9">
        <f>+'[1]VENTAS(RESUMEN GLOBAL)'!K157</f>
        <v>0</v>
      </c>
      <c r="I157" s="8">
        <f>+G157*'[1]VENTAS(RESUMEN GLOBAL)'!F157</f>
        <v>0</v>
      </c>
      <c r="J157" s="8">
        <f>'[1]VENTAS(RESUMEN GLOBAL)'!G157*(1-'[1]VENTAS(RESUMEN GLOBAL)'!H157)</f>
        <v>0</v>
      </c>
      <c r="K157" s="8">
        <f t="shared" si="2"/>
        <v>0</v>
      </c>
      <c r="L157" s="8">
        <f>+'[1]VENTAS(RESUMEN GLOBAL)'!J157</f>
        <v>0</v>
      </c>
      <c r="M157" s="8">
        <f>+Tabla1[[#This Row],[utilidad x dia]]*7</f>
        <v>0</v>
      </c>
    </row>
    <row r="158" spans="1:13" x14ac:dyDescent="0.3">
      <c r="A158" s="6">
        <f>+'[1]VENTAS(RESUMEN GLOBAL)'!L158</f>
        <v>46024</v>
      </c>
      <c r="B158" s="6" t="str">
        <f>+'[1]VENTAS(RESUMEN GLOBAL)'!M158</f>
        <v>RIVULIS</v>
      </c>
      <c r="C158">
        <f>+'[1]VENTAS(RESUMEN GLOBAL)'!B158</f>
        <v>801300</v>
      </c>
      <c r="D158" t="str">
        <f>INDEX('[1]CÓDIGOS DE PRODUCTO'!$D$3:$D$1000,MATCH(C158,'[1]CÓDIGOS DE PRODUCTO'!$A$3:$A$1000,0))</f>
        <v>50181900 </v>
      </c>
      <c r="E158" t="str">
        <f>VLOOKUP(C158,'[1]CÓDIGOS DE PRODUCTO'!$A$4:$B$156,2,FALSE)</f>
        <v>OREO GDE</v>
      </c>
      <c r="F158" t="str">
        <f>INDEX('[1]CÓDIGOS DE PRODUCTO'!$C$3:$C$1000,MATCH(C158,'[1]CÓDIGOS DE PRODUCTO'!$A$3:$A$1000,0))</f>
        <v>GALLETAS Y PAN DULCE</v>
      </c>
      <c r="G158">
        <f>+'[1]VENTAS(RESUMEN GLOBAL)'!D158-'[1]VENTAS(RESUMEN GLOBAL)'!E158</f>
        <v>3</v>
      </c>
      <c r="H158" s="9">
        <f>+'[1]VENTAS(RESUMEN GLOBAL)'!K158</f>
        <v>2.625</v>
      </c>
      <c r="I158" s="8">
        <f>+G158*'[1]VENTAS(RESUMEN GLOBAL)'!F158</f>
        <v>90</v>
      </c>
      <c r="J158" s="8">
        <f>'[1]VENTAS(RESUMEN GLOBAL)'!G158*(1-'[1]VENTAS(RESUMEN GLOBAL)'!H158)</f>
        <v>45</v>
      </c>
      <c r="K158" s="8">
        <f t="shared" si="2"/>
        <v>45</v>
      </c>
      <c r="L158" s="8">
        <f>+'[1]VENTAS(RESUMEN GLOBAL)'!J158</f>
        <v>5.625</v>
      </c>
      <c r="M158" s="8">
        <f>+Tabla1[[#This Row],[utilidad x dia]]*7</f>
        <v>39.375</v>
      </c>
    </row>
    <row r="159" spans="1:13" x14ac:dyDescent="0.3">
      <c r="A159" s="6">
        <f>+'[1]VENTAS(RESUMEN GLOBAL)'!L159</f>
        <v>0</v>
      </c>
      <c r="B159" s="6">
        <f>+'[1]VENTAS(RESUMEN GLOBAL)'!M159</f>
        <v>0</v>
      </c>
      <c r="C159">
        <f>+'[1]VENTAS(RESUMEN GLOBAL)'!B159</f>
        <v>0</v>
      </c>
      <c r="D159" t="e">
        <f>INDEX('[1]CÓDIGOS DE PRODUCTO'!$D$3:$D$1000,MATCH(C159,'[1]CÓDIGOS DE PRODUCTO'!$A$3:$A$1000,0))</f>
        <v>#N/A</v>
      </c>
      <c r="E159">
        <f>VLOOKUP(C159,'[1]CÓDIGOS DE PRODUCTO'!$A$4:$B$156,2,FALSE)</f>
        <v>0</v>
      </c>
      <c r="F159">
        <f>INDEX('[1]CÓDIGOS DE PRODUCTO'!$C$3:$C$1000,MATCH(C159,'[1]CÓDIGOS DE PRODUCTO'!$A$3:$A$1000,0))</f>
        <v>0</v>
      </c>
      <c r="G159">
        <f>+'[1]VENTAS(RESUMEN GLOBAL)'!D159-'[1]VENTAS(RESUMEN GLOBAL)'!E159</f>
        <v>0</v>
      </c>
      <c r="H159" s="9">
        <f>+'[1]VENTAS(RESUMEN GLOBAL)'!K159</f>
        <v>0</v>
      </c>
      <c r="I159" s="8">
        <f>+G159*'[1]VENTAS(RESUMEN GLOBAL)'!F159</f>
        <v>0</v>
      </c>
      <c r="J159" s="8">
        <f>'[1]VENTAS(RESUMEN GLOBAL)'!G159*(1-'[1]VENTAS(RESUMEN GLOBAL)'!H159)</f>
        <v>0</v>
      </c>
      <c r="K159" s="8">
        <f t="shared" si="2"/>
        <v>0</v>
      </c>
      <c r="L159" s="8">
        <f>+'[1]VENTAS(RESUMEN GLOBAL)'!J159</f>
        <v>0</v>
      </c>
      <c r="M159" s="8">
        <f>+Tabla1[[#This Row],[utilidad x dia]]*7</f>
        <v>0</v>
      </c>
    </row>
    <row r="160" spans="1:13" x14ac:dyDescent="0.3">
      <c r="A160" s="6">
        <f>+'[1]VENTAS(RESUMEN GLOBAL)'!L160</f>
        <v>46029</v>
      </c>
      <c r="B160" s="6" t="str">
        <f>+'[1]VENTAS(RESUMEN GLOBAL)'!M160</f>
        <v>RIVULIS</v>
      </c>
      <c r="C160">
        <f>+'[1]VENTAS(RESUMEN GLOBAL)'!B160</f>
        <v>600300</v>
      </c>
      <c r="D160" t="str">
        <f>INDEX('[1]CÓDIGOS DE PRODUCTO'!$D$3:$D$1000,MATCH(C160,'[1]CÓDIGOS DE PRODUCTO'!$A$3:$A$1000,0))</f>
        <v>50192109 </v>
      </c>
      <c r="E160" t="str">
        <f>VLOOKUP(C160,'[1]CÓDIGOS DE PRODUCTO'!$A$4:$B$156,2,FALSE)</f>
        <v>TAKIS FUEGO</v>
      </c>
      <c r="F160" t="str">
        <f>INDEX('[1]CÓDIGOS DE PRODUCTO'!$C$3:$C$1000,MATCH(C160,'[1]CÓDIGOS DE PRODUCTO'!$A$3:$A$1000,0))</f>
        <v>Papas fritas</v>
      </c>
      <c r="G160">
        <f>+'[1]VENTAS(RESUMEN GLOBAL)'!D160-'[1]VENTAS(RESUMEN GLOBAL)'!E160</f>
        <v>12</v>
      </c>
      <c r="H160" s="9">
        <f>+'[1]VENTAS(RESUMEN GLOBAL)'!K160</f>
        <v>16.8</v>
      </c>
      <c r="I160" s="8">
        <f>+G160*'[1]VENTAS(RESUMEN GLOBAL)'!F160</f>
        <v>300</v>
      </c>
      <c r="J160" s="8">
        <f>'[1]VENTAS(RESUMEN GLOBAL)'!G160*(1-'[1]VENTAS(RESUMEN GLOBAL)'!H160)</f>
        <v>123.00000000000001</v>
      </c>
      <c r="K160" s="8">
        <f t="shared" si="2"/>
        <v>177</v>
      </c>
      <c r="L160" s="8">
        <f>+'[1]VENTAS(RESUMEN GLOBAL)'!J160</f>
        <v>35.4</v>
      </c>
      <c r="M160" s="8">
        <f>+Tabla1[[#This Row],[utilidad x dia]]*7</f>
        <v>247.79999999999998</v>
      </c>
    </row>
    <row r="161" spans="1:13" x14ac:dyDescent="0.3">
      <c r="A161" s="6">
        <f>+'[1]VENTAS(RESUMEN GLOBAL)'!L161</f>
        <v>46029</v>
      </c>
      <c r="B161" s="6" t="str">
        <f>+'[1]VENTAS(RESUMEN GLOBAL)'!M161</f>
        <v>RIVULIS</v>
      </c>
      <c r="C161">
        <f>+'[1]VENTAS(RESUMEN GLOBAL)'!B161</f>
        <v>6005101</v>
      </c>
      <c r="D161" t="str">
        <f>INDEX('[1]CÓDIGOS DE PRODUCTO'!$D$3:$D$1000,MATCH(C161,'[1]CÓDIGOS DE PRODUCTO'!$A$3:$A$1000,0))</f>
        <v>50192109 </v>
      </c>
      <c r="E161" t="str">
        <f>VLOOKUP(C161,'[1]CÓDIGOS DE PRODUCTO'!$A$4:$B$156,2,FALSE)</f>
        <v>SABRITAS AMARILLAS</v>
      </c>
      <c r="F161" t="str">
        <f>INDEX('[1]CÓDIGOS DE PRODUCTO'!$C$3:$C$1000,MATCH(C161,'[1]CÓDIGOS DE PRODUCTO'!$A$3:$A$1000,0))</f>
        <v>Papas fritas</v>
      </c>
      <c r="G161">
        <f>+'[1]VENTAS(RESUMEN GLOBAL)'!D161-'[1]VENTAS(RESUMEN GLOBAL)'!E161</f>
        <v>2</v>
      </c>
      <c r="H161" s="9">
        <f>+'[1]VENTAS(RESUMEN GLOBAL)'!K161</f>
        <v>2.8000000000000003</v>
      </c>
      <c r="I161" s="8">
        <f>+G161*'[1]VENTAS(RESUMEN GLOBAL)'!F161</f>
        <v>50</v>
      </c>
      <c r="J161" s="8">
        <f>'[1]VENTAS(RESUMEN GLOBAL)'!G161*(1-'[1]VENTAS(RESUMEN GLOBAL)'!H161)</f>
        <v>17</v>
      </c>
      <c r="K161" s="8">
        <f t="shared" si="2"/>
        <v>33</v>
      </c>
      <c r="L161" s="8">
        <f>+'[1]VENTAS(RESUMEN GLOBAL)'!J161</f>
        <v>6.6</v>
      </c>
      <c r="M161" s="8">
        <f>+Tabla1[[#This Row],[utilidad x dia]]*7</f>
        <v>46.199999999999996</v>
      </c>
    </row>
    <row r="162" spans="1:13" x14ac:dyDescent="0.3">
      <c r="A162" s="6">
        <f>+'[1]VENTAS(RESUMEN GLOBAL)'!L162</f>
        <v>46029</v>
      </c>
      <c r="B162" s="6" t="str">
        <f>+'[1]VENTAS(RESUMEN GLOBAL)'!M162</f>
        <v>RIVULIS</v>
      </c>
      <c r="C162">
        <f>+'[1]VENTAS(RESUMEN GLOBAL)'!B162</f>
        <v>6005102</v>
      </c>
      <c r="D162" t="str">
        <f>INDEX('[1]CÓDIGOS DE PRODUCTO'!$D$3:$D$1000,MATCH(C162,'[1]CÓDIGOS DE PRODUCTO'!$A$3:$A$1000,0))</f>
        <v>50192109 </v>
      </c>
      <c r="E162" t="str">
        <f>VLOOKUP(C162,'[1]CÓDIGOS DE PRODUCTO'!$A$4:$B$156,2,FALSE)</f>
        <v>RUFFLES</v>
      </c>
      <c r="F162" t="str">
        <f>INDEX('[1]CÓDIGOS DE PRODUCTO'!$C$3:$C$1000,MATCH(C162,'[1]CÓDIGOS DE PRODUCTO'!$A$3:$A$1000,0))</f>
        <v>Papas fritas</v>
      </c>
      <c r="G162">
        <f>+'[1]VENTAS(RESUMEN GLOBAL)'!D162-'[1]VENTAS(RESUMEN GLOBAL)'!E162</f>
        <v>2</v>
      </c>
      <c r="H162" s="9">
        <f>+'[1]VENTAS(RESUMEN GLOBAL)'!K162</f>
        <v>2.8000000000000003</v>
      </c>
      <c r="I162" s="8">
        <f>+G162*'[1]VENTAS(RESUMEN GLOBAL)'!F162</f>
        <v>50</v>
      </c>
      <c r="J162" s="8">
        <f>'[1]VENTAS(RESUMEN GLOBAL)'!G162*(1-'[1]VENTAS(RESUMEN GLOBAL)'!H162)</f>
        <v>17</v>
      </c>
      <c r="K162" s="8">
        <f t="shared" si="2"/>
        <v>33</v>
      </c>
      <c r="L162" s="8">
        <f>+'[1]VENTAS(RESUMEN GLOBAL)'!J162</f>
        <v>6.6</v>
      </c>
      <c r="M162" s="8">
        <f>+Tabla1[[#This Row],[utilidad x dia]]*7</f>
        <v>46.199999999999996</v>
      </c>
    </row>
    <row r="163" spans="1:13" x14ac:dyDescent="0.3">
      <c r="A163" s="6">
        <f>+'[1]VENTAS(RESUMEN GLOBAL)'!L163</f>
        <v>46029</v>
      </c>
      <c r="B163" s="6" t="str">
        <f>+'[1]VENTAS(RESUMEN GLOBAL)'!M163</f>
        <v>RIVULIS</v>
      </c>
      <c r="C163">
        <f>+'[1]VENTAS(RESUMEN GLOBAL)'!B163</f>
        <v>6005103</v>
      </c>
      <c r="D163" t="str">
        <f>INDEX('[1]CÓDIGOS DE PRODUCTO'!$D$3:$D$1000,MATCH(C163,'[1]CÓDIGOS DE PRODUCTO'!$A$3:$A$1000,0))</f>
        <v>50192109 </v>
      </c>
      <c r="E163" t="str">
        <f>VLOOKUP(C163,'[1]CÓDIGOS DE PRODUCTO'!$A$4:$B$156,2,FALSE)</f>
        <v>DORITOS ROJOS</v>
      </c>
      <c r="F163" t="str">
        <f>INDEX('[1]CÓDIGOS DE PRODUCTO'!$C$3:$C$1000,MATCH(C163,'[1]CÓDIGOS DE PRODUCTO'!$A$3:$A$1000,0))</f>
        <v>Papas fritas</v>
      </c>
      <c r="G163">
        <f>+'[1]VENTAS(RESUMEN GLOBAL)'!D163-'[1]VENTAS(RESUMEN GLOBAL)'!E163</f>
        <v>3</v>
      </c>
      <c r="H163" s="9">
        <f>+'[1]VENTAS(RESUMEN GLOBAL)'!K163</f>
        <v>4.2</v>
      </c>
      <c r="I163" s="8">
        <f>+G163*'[1]VENTAS(RESUMEN GLOBAL)'!F163</f>
        <v>75</v>
      </c>
      <c r="J163" s="8">
        <f>'[1]VENTAS(RESUMEN GLOBAL)'!G163*(1-'[1]VENTAS(RESUMEN GLOBAL)'!H163)</f>
        <v>25.499999999999996</v>
      </c>
      <c r="K163" s="8">
        <f t="shared" si="2"/>
        <v>49.5</v>
      </c>
      <c r="L163" s="8">
        <f>+'[1]VENTAS(RESUMEN GLOBAL)'!J163</f>
        <v>9.9</v>
      </c>
      <c r="M163" s="8">
        <f>+Tabla1[[#This Row],[utilidad x dia]]*7</f>
        <v>69.3</v>
      </c>
    </row>
    <row r="164" spans="1:13" x14ac:dyDescent="0.3">
      <c r="A164" s="6">
        <f>+'[1]VENTAS(RESUMEN GLOBAL)'!L164</f>
        <v>46029</v>
      </c>
      <c r="B164" s="6" t="str">
        <f>+'[1]VENTAS(RESUMEN GLOBAL)'!M164</f>
        <v>RIVULIS</v>
      </c>
      <c r="C164">
        <f>+'[1]VENTAS(RESUMEN GLOBAL)'!B164</f>
        <v>600101</v>
      </c>
      <c r="D164" t="str">
        <f>INDEX('[1]CÓDIGOS DE PRODUCTO'!$D$3:$D$1000,MATCH(C164,'[1]CÓDIGOS DE PRODUCTO'!$A$3:$A$1000,0))</f>
        <v>50192109 </v>
      </c>
      <c r="E164" t="str">
        <f>VLOOKUP(C164,'[1]CÓDIGOS DE PRODUCTO'!$A$4:$B$156,2,FALSE)</f>
        <v>CHIPS VERDES</v>
      </c>
      <c r="F164" t="str">
        <f>INDEX('[1]CÓDIGOS DE PRODUCTO'!$C$3:$C$1000,MATCH(C164,'[1]CÓDIGOS DE PRODUCTO'!$A$3:$A$1000,0))</f>
        <v>Papas fritas</v>
      </c>
      <c r="G164">
        <f>+'[1]VENTAS(RESUMEN GLOBAL)'!D164-'[1]VENTAS(RESUMEN GLOBAL)'!E164</f>
        <v>5</v>
      </c>
      <c r="H164" s="9">
        <f>+'[1]VENTAS(RESUMEN GLOBAL)'!K164</f>
        <v>7</v>
      </c>
      <c r="I164" s="8">
        <f>+G164*'[1]VENTAS(RESUMEN GLOBAL)'!F164</f>
        <v>125</v>
      </c>
      <c r="J164" s="8">
        <f>'[1]VENTAS(RESUMEN GLOBAL)'!G164*(1-'[1]VENTAS(RESUMEN GLOBAL)'!H164)</f>
        <v>45</v>
      </c>
      <c r="K164" s="8">
        <f t="shared" si="2"/>
        <v>80</v>
      </c>
      <c r="L164" s="8">
        <f>+'[1]VENTAS(RESUMEN GLOBAL)'!J164</f>
        <v>16</v>
      </c>
      <c r="M164" s="8">
        <f>+Tabla1[[#This Row],[utilidad x dia]]*7</f>
        <v>112</v>
      </c>
    </row>
    <row r="165" spans="1:13" x14ac:dyDescent="0.3">
      <c r="A165" s="6">
        <f>+'[1]VENTAS(RESUMEN GLOBAL)'!L165</f>
        <v>46029</v>
      </c>
      <c r="B165" s="6" t="str">
        <f>+'[1]VENTAS(RESUMEN GLOBAL)'!M165</f>
        <v>RIVULIS</v>
      </c>
      <c r="C165">
        <f>+'[1]VENTAS(RESUMEN GLOBAL)'!B165</f>
        <v>600102</v>
      </c>
      <c r="D165" t="str">
        <f>INDEX('[1]CÓDIGOS DE PRODUCTO'!$D$3:$D$1000,MATCH(C165,'[1]CÓDIGOS DE PRODUCTO'!$A$3:$A$1000,0))</f>
        <v>50192109 </v>
      </c>
      <c r="E165" t="str">
        <f>VLOOKUP(C165,'[1]CÓDIGOS DE PRODUCTO'!$A$4:$B$156,2,FALSE)</f>
        <v>RUNNERS</v>
      </c>
      <c r="F165" t="str">
        <f>INDEX('[1]CÓDIGOS DE PRODUCTO'!$C$3:$C$1000,MATCH(C165,'[1]CÓDIGOS DE PRODUCTO'!$A$3:$A$1000,0))</f>
        <v>Papas fritas</v>
      </c>
      <c r="G165">
        <f>+'[1]VENTAS(RESUMEN GLOBAL)'!D165-'[1]VENTAS(RESUMEN GLOBAL)'!E165</f>
        <v>0</v>
      </c>
      <c r="H165" s="9">
        <f>+'[1]VENTAS(RESUMEN GLOBAL)'!K165</f>
        <v>0</v>
      </c>
      <c r="I165" s="8">
        <f>+G165*'[1]VENTAS(RESUMEN GLOBAL)'!F165</f>
        <v>0</v>
      </c>
      <c r="J165" s="8">
        <f>'[1]VENTAS(RESUMEN GLOBAL)'!G165*(1-'[1]VENTAS(RESUMEN GLOBAL)'!H165)</f>
        <v>0</v>
      </c>
      <c r="K165" s="8">
        <f t="shared" si="2"/>
        <v>0</v>
      </c>
      <c r="L165" s="8">
        <f>+'[1]VENTAS(RESUMEN GLOBAL)'!J165</f>
        <v>0</v>
      </c>
      <c r="M165" s="8">
        <f>+Tabla1[[#This Row],[utilidad x dia]]*7</f>
        <v>0</v>
      </c>
    </row>
    <row r="166" spans="1:13" x14ac:dyDescent="0.3">
      <c r="A166" s="6">
        <f>+'[1]VENTAS(RESUMEN GLOBAL)'!L166</f>
        <v>46029</v>
      </c>
      <c r="B166" s="6" t="str">
        <f>+'[1]VENTAS(RESUMEN GLOBAL)'!M166</f>
        <v>RIVULIS</v>
      </c>
      <c r="C166">
        <f>+'[1]VENTAS(RESUMEN GLOBAL)'!B166</f>
        <v>6005104</v>
      </c>
      <c r="D166" t="str">
        <f>INDEX('[1]CÓDIGOS DE PRODUCTO'!$D$3:$D$1000,MATCH(C166,'[1]CÓDIGOS DE PRODUCTO'!$A$3:$A$1000,0))</f>
        <v>50192109 </v>
      </c>
      <c r="E166" t="str">
        <f>VLOOKUP(C166,'[1]CÓDIGOS DE PRODUCTO'!$A$4:$B$156,2,FALSE)</f>
        <v>RANCHERITOS</v>
      </c>
      <c r="F166" t="str">
        <f>INDEX('[1]CÓDIGOS DE PRODUCTO'!$C$3:$C$1000,MATCH(C166,'[1]CÓDIGOS DE PRODUCTO'!$A$3:$A$1000,0))</f>
        <v>Papas fritas</v>
      </c>
      <c r="G166">
        <f>+'[1]VENTAS(RESUMEN GLOBAL)'!D166-'[1]VENTAS(RESUMEN GLOBAL)'!E166</f>
        <v>4</v>
      </c>
      <c r="H166" s="9">
        <f>+'[1]VENTAS(RESUMEN GLOBAL)'!K166</f>
        <v>5.6000000000000005</v>
      </c>
      <c r="I166" s="8">
        <f>+G166*'[1]VENTAS(RESUMEN GLOBAL)'!F166</f>
        <v>100</v>
      </c>
      <c r="J166" s="8">
        <f>'[1]VENTAS(RESUMEN GLOBAL)'!G166*(1-'[1]VENTAS(RESUMEN GLOBAL)'!H166)</f>
        <v>34</v>
      </c>
      <c r="K166" s="8">
        <f t="shared" si="2"/>
        <v>66</v>
      </c>
      <c r="L166" s="8">
        <f>+'[1]VENTAS(RESUMEN GLOBAL)'!J166</f>
        <v>13.2</v>
      </c>
      <c r="M166" s="8">
        <f>+Tabla1[[#This Row],[utilidad x dia]]*7</f>
        <v>92.399999999999991</v>
      </c>
    </row>
    <row r="167" spans="1:13" x14ac:dyDescent="0.3">
      <c r="A167" s="6">
        <f>+'[1]VENTAS(RESUMEN GLOBAL)'!L167</f>
        <v>46029</v>
      </c>
      <c r="B167" s="6" t="str">
        <f>+'[1]VENTAS(RESUMEN GLOBAL)'!M167</f>
        <v>RIVULIS</v>
      </c>
      <c r="C167">
        <f>+'[1]VENTAS(RESUMEN GLOBAL)'!B167</f>
        <v>600600</v>
      </c>
      <c r="D167" t="str">
        <f>INDEX('[1]CÓDIGOS DE PRODUCTO'!$D$3:$D$1000,MATCH(C167,'[1]CÓDIGOS DE PRODUCTO'!$A$3:$A$1000,0))</f>
        <v>50192109 </v>
      </c>
      <c r="E167" t="str">
        <f>VLOOKUP(C167,'[1]CÓDIGOS DE PRODUCTO'!$A$4:$B$156,2,FALSE)</f>
        <v>CHICHARRON SURTIDO</v>
      </c>
      <c r="F167" t="str">
        <f>INDEX('[1]CÓDIGOS DE PRODUCTO'!$C$3:$C$1000,MATCH(C167,'[1]CÓDIGOS DE PRODUCTO'!$A$3:$A$1000,0))</f>
        <v>Papas fritas</v>
      </c>
      <c r="G167">
        <f>+'[1]VENTAS(RESUMEN GLOBAL)'!D167-'[1]VENTAS(RESUMEN GLOBAL)'!E167</f>
        <v>4</v>
      </c>
      <c r="H167" s="9">
        <f>+'[1]VENTAS(RESUMEN GLOBAL)'!K167</f>
        <v>5.6000000000000005</v>
      </c>
      <c r="I167" s="8">
        <f>+G167*'[1]VENTAS(RESUMEN GLOBAL)'!F167</f>
        <v>100</v>
      </c>
      <c r="J167" s="8">
        <f>'[1]VENTAS(RESUMEN GLOBAL)'!G167*(1-'[1]VENTAS(RESUMEN GLOBAL)'!H167)</f>
        <v>47</v>
      </c>
      <c r="K167" s="8">
        <f t="shared" si="2"/>
        <v>53</v>
      </c>
      <c r="L167" s="8">
        <f>+'[1]VENTAS(RESUMEN GLOBAL)'!J167</f>
        <v>10.6</v>
      </c>
      <c r="M167" s="8">
        <f>+Tabla1[[#This Row],[utilidad x dia]]*7</f>
        <v>74.2</v>
      </c>
    </row>
    <row r="168" spans="1:13" x14ac:dyDescent="0.3">
      <c r="A168" s="6">
        <f>+'[1]VENTAS(RESUMEN GLOBAL)'!L168</f>
        <v>46029</v>
      </c>
      <c r="B168" s="6" t="str">
        <f>+'[1]VENTAS(RESUMEN GLOBAL)'!M168</f>
        <v>RIVULIS</v>
      </c>
      <c r="C168">
        <f>+'[1]VENTAS(RESUMEN GLOBAL)'!B168</f>
        <v>600500</v>
      </c>
      <c r="D168" t="str">
        <f>INDEX('[1]CÓDIGOS DE PRODUCTO'!$D$3:$D$1000,MATCH(C168,'[1]CÓDIGOS DE PRODUCTO'!$A$3:$A$1000,0))</f>
        <v>50192109 </v>
      </c>
      <c r="E168" t="str">
        <f>VLOOKUP(C168,'[1]CÓDIGOS DE PRODUCTO'!$A$4:$B$156,2,FALSE)</f>
        <v>SABRIMAYOREO</v>
      </c>
      <c r="F168" t="str">
        <f>INDEX('[1]CÓDIGOS DE PRODUCTO'!$C$3:$C$1000,MATCH(C168,'[1]CÓDIGOS DE PRODUCTO'!$A$3:$A$1000,0))</f>
        <v>Papas fritas</v>
      </c>
      <c r="G168">
        <f>+'[1]VENTAS(RESUMEN GLOBAL)'!D168-'[1]VENTAS(RESUMEN GLOBAL)'!E168</f>
        <v>0</v>
      </c>
      <c r="H168" s="9">
        <f>+'[1]VENTAS(RESUMEN GLOBAL)'!K168</f>
        <v>0</v>
      </c>
      <c r="I168" s="8">
        <f>+G168*'[1]VENTAS(RESUMEN GLOBAL)'!F168</f>
        <v>0</v>
      </c>
      <c r="J168" s="8">
        <f>'[1]VENTAS(RESUMEN GLOBAL)'!G168*(1-'[1]VENTAS(RESUMEN GLOBAL)'!H168)</f>
        <v>0</v>
      </c>
      <c r="K168" s="8">
        <f t="shared" si="2"/>
        <v>0</v>
      </c>
      <c r="L168" s="8">
        <f>+'[1]VENTAS(RESUMEN GLOBAL)'!J168</f>
        <v>0</v>
      </c>
      <c r="M168" s="8">
        <f>+Tabla1[[#This Row],[utilidad x dia]]*7</f>
        <v>0</v>
      </c>
    </row>
    <row r="169" spans="1:13" x14ac:dyDescent="0.3">
      <c r="A169" s="6">
        <f>+'[1]VENTAS(RESUMEN GLOBAL)'!L169</f>
        <v>46029</v>
      </c>
      <c r="B169" s="6" t="str">
        <f>+'[1]VENTAS(RESUMEN GLOBAL)'!M169</f>
        <v>RIVULIS</v>
      </c>
      <c r="C169">
        <f>+'[1]VENTAS(RESUMEN GLOBAL)'!B169</f>
        <v>600400</v>
      </c>
      <c r="D169" t="str">
        <f>INDEX('[1]CÓDIGOS DE PRODUCTO'!$D$3:$D$1000,MATCH(C169,'[1]CÓDIGOS DE PRODUCTO'!$A$3:$A$1000,0))</f>
        <v>50192109 </v>
      </c>
      <c r="E169" t="str">
        <f>VLOOKUP(C169,'[1]CÓDIGOS DE PRODUCTO'!$A$4:$B$156,2,FALSE)</f>
        <v>FRITOS (CHORIZO U OTROS)</v>
      </c>
      <c r="F169" t="str">
        <f>INDEX('[1]CÓDIGOS DE PRODUCTO'!$C$3:$C$1000,MATCH(C169,'[1]CÓDIGOS DE PRODUCTO'!$A$3:$A$1000,0))</f>
        <v>Papas fritas</v>
      </c>
      <c r="G169">
        <f>+'[1]VENTAS(RESUMEN GLOBAL)'!D169-'[1]VENTAS(RESUMEN GLOBAL)'!E169</f>
        <v>6</v>
      </c>
      <c r="H169" s="9">
        <f>+'[1]VENTAS(RESUMEN GLOBAL)'!K169</f>
        <v>8.4</v>
      </c>
      <c r="I169" s="8">
        <f>+G169*'[1]VENTAS(RESUMEN GLOBAL)'!F169</f>
        <v>120</v>
      </c>
      <c r="J169" s="8">
        <f>'[1]VENTAS(RESUMEN GLOBAL)'!G169*(1-'[1]VENTAS(RESUMEN GLOBAL)'!H169)</f>
        <v>49.2</v>
      </c>
      <c r="K169" s="8">
        <f t="shared" si="2"/>
        <v>70.8</v>
      </c>
      <c r="L169" s="8">
        <f>+'[1]VENTAS(RESUMEN GLOBAL)'!J169</f>
        <v>14.16</v>
      </c>
      <c r="M169" s="8">
        <f>+Tabla1[[#This Row],[utilidad x dia]]*7</f>
        <v>99.12</v>
      </c>
    </row>
    <row r="170" spans="1:13" x14ac:dyDescent="0.3">
      <c r="A170" s="6">
        <f>+'[1]VENTAS(RESUMEN GLOBAL)'!L170</f>
        <v>46029</v>
      </c>
      <c r="B170" s="6" t="str">
        <f>+'[1]VENTAS(RESUMEN GLOBAL)'!M170</f>
        <v>RIVULIS</v>
      </c>
      <c r="C170">
        <f>+'[1]VENTAS(RESUMEN GLOBAL)'!B170</f>
        <v>100400</v>
      </c>
      <c r="D170" t="str">
        <f>INDEX('[1]CÓDIGOS DE PRODUCTO'!$D$3:$D$1000,MATCH(C170,'[1]CÓDIGOS DE PRODUCTO'!$A$3:$A$1000,0))</f>
        <v>50202300 </v>
      </c>
      <c r="E170" t="str">
        <f>VLOOKUP(C170,'[1]CÓDIGOS DE PRODUCTO'!$A$4:$B$156,2,FALSE)</f>
        <v>Jumex</v>
      </c>
      <c r="F170" t="str">
        <f>INDEX('[1]CÓDIGOS DE PRODUCTO'!$C$3:$C$1000,MATCH(C170,'[1]CÓDIGOS DE PRODUCTO'!$A$3:$A$1000,0))</f>
        <v>Bebidas</v>
      </c>
      <c r="G170">
        <f>+'[1]VENTAS(RESUMEN GLOBAL)'!D170-'[1]VENTAS(RESUMEN GLOBAL)'!E170</f>
        <v>1</v>
      </c>
      <c r="H170" s="9">
        <f>+'[1]VENTAS(RESUMEN GLOBAL)'!K170</f>
        <v>1.4000000000000001</v>
      </c>
      <c r="I170" s="8">
        <f>+G170*'[1]VENTAS(RESUMEN GLOBAL)'!F170</f>
        <v>15</v>
      </c>
      <c r="J170" s="8">
        <f>'[1]VENTAS(RESUMEN GLOBAL)'!G170*(1-'[1]VENTAS(RESUMEN GLOBAL)'!H170)</f>
        <v>7.5</v>
      </c>
      <c r="K170" s="8">
        <f t="shared" si="2"/>
        <v>7.5</v>
      </c>
      <c r="L170" s="8">
        <f>+'[1]VENTAS(RESUMEN GLOBAL)'!J170</f>
        <v>1.5</v>
      </c>
      <c r="M170" s="8">
        <f>+Tabla1[[#This Row],[utilidad x dia]]*7</f>
        <v>10.5</v>
      </c>
    </row>
    <row r="171" spans="1:13" x14ac:dyDescent="0.3">
      <c r="A171" s="6">
        <f>+'[1]VENTAS(RESUMEN GLOBAL)'!L171</f>
        <v>46029</v>
      </c>
      <c r="B171" s="6" t="str">
        <f>+'[1]VENTAS(RESUMEN GLOBAL)'!M171</f>
        <v>RIVULIS</v>
      </c>
      <c r="C171">
        <f>+'[1]VENTAS(RESUMEN GLOBAL)'!B171</f>
        <v>100400</v>
      </c>
      <c r="D171" t="str">
        <f>INDEX('[1]CÓDIGOS DE PRODUCTO'!$D$3:$D$1000,MATCH(C171,'[1]CÓDIGOS DE PRODUCTO'!$A$3:$A$1000,0))</f>
        <v>50202300 </v>
      </c>
      <c r="E171" t="str">
        <f>VLOOKUP(C171,'[1]CÓDIGOS DE PRODUCTO'!$A$4:$B$156,2,FALSE)</f>
        <v>Jumex</v>
      </c>
      <c r="F171" t="str">
        <f>INDEX('[1]CÓDIGOS DE PRODUCTO'!$C$3:$C$1000,MATCH(C171,'[1]CÓDIGOS DE PRODUCTO'!$A$3:$A$1000,0))</f>
        <v>Bebidas</v>
      </c>
      <c r="G171">
        <f>+'[1]VENTAS(RESUMEN GLOBAL)'!D171-'[1]VENTAS(RESUMEN GLOBAL)'!E171</f>
        <v>1</v>
      </c>
      <c r="H171" s="9">
        <f>+'[1]VENTAS(RESUMEN GLOBAL)'!K171</f>
        <v>1.4000000000000001</v>
      </c>
      <c r="I171" s="8">
        <f>+G171*'[1]VENTAS(RESUMEN GLOBAL)'!F171</f>
        <v>15</v>
      </c>
      <c r="J171" s="8">
        <f>'[1]VENTAS(RESUMEN GLOBAL)'!G171*(1-'[1]VENTAS(RESUMEN GLOBAL)'!H171)</f>
        <v>7.5</v>
      </c>
      <c r="K171" s="8">
        <f t="shared" si="2"/>
        <v>7.5</v>
      </c>
      <c r="L171" s="8">
        <f>+'[1]VENTAS(RESUMEN GLOBAL)'!J171</f>
        <v>1.5</v>
      </c>
      <c r="M171" s="8">
        <f>+Tabla1[[#This Row],[utilidad x dia]]*7</f>
        <v>10.5</v>
      </c>
    </row>
    <row r="172" spans="1:13" x14ac:dyDescent="0.3">
      <c r="A172" s="6">
        <f>+'[1]VENTAS(RESUMEN GLOBAL)'!L172</f>
        <v>46029</v>
      </c>
      <c r="B172" s="6" t="str">
        <f>+'[1]VENTAS(RESUMEN GLOBAL)'!M172</f>
        <v>RIVULIS</v>
      </c>
      <c r="C172">
        <f>+'[1]VENTAS(RESUMEN GLOBAL)'!B172</f>
        <v>100600</v>
      </c>
      <c r="D172" t="str">
        <f>INDEX('[1]CÓDIGOS DE PRODUCTO'!$D$3:$D$1000,MATCH(C172,'[1]CÓDIGOS DE PRODUCTO'!$A$3:$A$1000,0))</f>
        <v>50202300 </v>
      </c>
      <c r="E172" t="str">
        <f>VLOOKUP(C172,'[1]CÓDIGOS DE PRODUCTO'!$A$4:$B$156,2,FALSE)</f>
        <v>Leche santa clara</v>
      </c>
      <c r="F172" t="str">
        <f>INDEX('[1]CÓDIGOS DE PRODUCTO'!$C$3:$C$1000,MATCH(C172,'[1]CÓDIGOS DE PRODUCTO'!$A$3:$A$1000,0))</f>
        <v>Bebidas</v>
      </c>
      <c r="G172">
        <f>+'[1]VENTAS(RESUMEN GLOBAL)'!D172-'[1]VENTAS(RESUMEN GLOBAL)'!E172</f>
        <v>1</v>
      </c>
      <c r="H172" s="9">
        <f>+'[1]VENTAS(RESUMEN GLOBAL)'!K172</f>
        <v>1.4000000000000001</v>
      </c>
      <c r="I172" s="8">
        <f>+G172*'[1]VENTAS(RESUMEN GLOBAL)'!F172</f>
        <v>15</v>
      </c>
      <c r="J172" s="8">
        <f>'[1]VENTAS(RESUMEN GLOBAL)'!G172*(1-'[1]VENTAS(RESUMEN GLOBAL)'!H172)</f>
        <v>8.5500000000000007</v>
      </c>
      <c r="K172" s="8">
        <f t="shared" si="2"/>
        <v>6.4499999999999993</v>
      </c>
      <c r="L172" s="8">
        <f>+'[1]VENTAS(RESUMEN GLOBAL)'!J172</f>
        <v>1.29</v>
      </c>
      <c r="M172" s="8">
        <f>+Tabla1[[#This Row],[utilidad x dia]]*7</f>
        <v>9.0300000000000011</v>
      </c>
    </row>
    <row r="173" spans="1:13" x14ac:dyDescent="0.3">
      <c r="A173" s="6">
        <f>+'[1]VENTAS(RESUMEN GLOBAL)'!L173</f>
        <v>46029</v>
      </c>
      <c r="B173" s="6" t="str">
        <f>+'[1]VENTAS(RESUMEN GLOBAL)'!M173</f>
        <v>RIVULIS</v>
      </c>
      <c r="C173">
        <f>+'[1]VENTAS(RESUMEN GLOBAL)'!B173</f>
        <v>100600</v>
      </c>
      <c r="D173" t="str">
        <f>INDEX('[1]CÓDIGOS DE PRODUCTO'!$D$3:$D$1000,MATCH(C173,'[1]CÓDIGOS DE PRODUCTO'!$A$3:$A$1000,0))</f>
        <v>50202300 </v>
      </c>
      <c r="E173" t="str">
        <f>VLOOKUP(C173,'[1]CÓDIGOS DE PRODUCTO'!$A$4:$B$156,2,FALSE)</f>
        <v>Leche santa clara</v>
      </c>
      <c r="F173" t="str">
        <f>INDEX('[1]CÓDIGOS DE PRODUCTO'!$C$3:$C$1000,MATCH(C173,'[1]CÓDIGOS DE PRODUCTO'!$A$3:$A$1000,0))</f>
        <v>Bebidas</v>
      </c>
      <c r="G173">
        <f>+'[1]VENTAS(RESUMEN GLOBAL)'!D173-'[1]VENTAS(RESUMEN GLOBAL)'!E173</f>
        <v>8</v>
      </c>
      <c r="H173" s="9">
        <f>+'[1]VENTAS(RESUMEN GLOBAL)'!K173</f>
        <v>11.200000000000001</v>
      </c>
      <c r="I173" s="8">
        <f>+G173*'[1]VENTAS(RESUMEN GLOBAL)'!F173</f>
        <v>120</v>
      </c>
      <c r="J173" s="8">
        <f>'[1]VENTAS(RESUMEN GLOBAL)'!G173*(1-'[1]VENTAS(RESUMEN GLOBAL)'!H173)</f>
        <v>68.400000000000006</v>
      </c>
      <c r="K173" s="8">
        <f t="shared" si="2"/>
        <v>51.599999999999994</v>
      </c>
      <c r="L173" s="8">
        <f>+'[1]VENTAS(RESUMEN GLOBAL)'!J173</f>
        <v>10.32</v>
      </c>
      <c r="M173" s="8">
        <f>+Tabla1[[#This Row],[utilidad x dia]]*7</f>
        <v>72.240000000000009</v>
      </c>
    </row>
    <row r="174" spans="1:13" x14ac:dyDescent="0.3">
      <c r="A174" s="6">
        <f>+'[1]VENTAS(RESUMEN GLOBAL)'!L174</f>
        <v>46029</v>
      </c>
      <c r="B174" s="6" t="str">
        <f>+'[1]VENTAS(RESUMEN GLOBAL)'!M174</f>
        <v>RIVULIS</v>
      </c>
      <c r="C174">
        <f>+'[1]VENTAS(RESUMEN GLOBAL)'!B174</f>
        <v>800900</v>
      </c>
      <c r="D174" t="str">
        <f>INDEX('[1]CÓDIGOS DE PRODUCTO'!$D$3:$D$1000,MATCH(C174,'[1]CÓDIGOS DE PRODUCTO'!$A$3:$A$1000,0))</f>
        <v>50181900 </v>
      </c>
      <c r="E174" t="str">
        <f>VLOOKUP(C174,'[1]CÓDIGOS DE PRODUCTO'!$A$4:$B$156,2,FALSE)</f>
        <v>MANTECADAS</v>
      </c>
      <c r="F174" t="str">
        <f>INDEX('[1]CÓDIGOS DE PRODUCTO'!$C$3:$C$1000,MATCH(C174,'[1]CÓDIGOS DE PRODUCTO'!$A$3:$A$1000,0))</f>
        <v>GALLETAS Y PAN DULCE</v>
      </c>
      <c r="G174">
        <f>+'[1]VENTAS(RESUMEN GLOBAL)'!D174-'[1]VENTAS(RESUMEN GLOBAL)'!E174</f>
        <v>2</v>
      </c>
      <c r="H174" s="9">
        <f>+'[1]VENTAS(RESUMEN GLOBAL)'!K174</f>
        <v>2.8000000000000003</v>
      </c>
      <c r="I174" s="8">
        <f>+G174*'[1]VENTAS(RESUMEN GLOBAL)'!F174</f>
        <v>40</v>
      </c>
      <c r="J174" s="8">
        <f>'[1]VENTAS(RESUMEN GLOBAL)'!G174*(1-'[1]VENTAS(RESUMEN GLOBAL)'!H174)</f>
        <v>19.600000000000001</v>
      </c>
      <c r="K174" s="8">
        <f t="shared" si="2"/>
        <v>20.399999999999999</v>
      </c>
      <c r="L174" s="8">
        <f>+'[1]VENTAS(RESUMEN GLOBAL)'!J174</f>
        <v>4.08</v>
      </c>
      <c r="M174" s="8">
        <f>+Tabla1[[#This Row],[utilidad x dia]]*7</f>
        <v>28.560000000000002</v>
      </c>
    </row>
    <row r="175" spans="1:13" x14ac:dyDescent="0.3">
      <c r="A175" s="6">
        <f>+'[1]VENTAS(RESUMEN GLOBAL)'!L175</f>
        <v>46029</v>
      </c>
      <c r="B175" s="6" t="str">
        <f>+'[1]VENTAS(RESUMEN GLOBAL)'!M175</f>
        <v>RIVULIS</v>
      </c>
      <c r="C175">
        <f>+'[1]VENTAS(RESUMEN GLOBAL)'!B175</f>
        <v>300700</v>
      </c>
      <c r="D175" t="str">
        <f>INDEX('[1]CÓDIGOS DE PRODUCTO'!$D$3:$D$1000,MATCH(C175,'[1]CÓDIGOS DE PRODUCTO'!$A$3:$A$1000,0))</f>
        <v>50161800 </v>
      </c>
      <c r="E175" t="str">
        <f>VLOOKUP(C175,'[1]CÓDIGOS DE PRODUCTO'!$A$4:$B$156,2,FALSE)</f>
        <v>ZUMBA GOMA</v>
      </c>
      <c r="F175" t="str">
        <f>INDEX('[1]CÓDIGOS DE PRODUCTO'!$C$3:$C$1000,MATCH(C175,'[1]CÓDIGOS DE PRODUCTO'!$A$3:$A$1000,0))</f>
        <v>Snacks &amp; Dulces</v>
      </c>
      <c r="G175">
        <f>+'[1]VENTAS(RESUMEN GLOBAL)'!D175-'[1]VENTAS(RESUMEN GLOBAL)'!E175</f>
        <v>2</v>
      </c>
      <c r="H175" s="9">
        <f>+'[1]VENTAS(RESUMEN GLOBAL)'!K175</f>
        <v>2.8000000000000003</v>
      </c>
      <c r="I175" s="8">
        <f>+G175*'[1]VENTAS(RESUMEN GLOBAL)'!F175</f>
        <v>20</v>
      </c>
      <c r="J175" s="8">
        <f>'[1]VENTAS(RESUMEN GLOBAL)'!G175*(1-'[1]VENTAS(RESUMEN GLOBAL)'!H175)</f>
        <v>5.8000000000000007</v>
      </c>
      <c r="K175" s="8">
        <f t="shared" si="2"/>
        <v>14.2</v>
      </c>
      <c r="L175" s="8">
        <f>+'[1]VENTAS(RESUMEN GLOBAL)'!J175</f>
        <v>2.84</v>
      </c>
      <c r="M175" s="8">
        <f>+Tabla1[[#This Row],[utilidad x dia]]*7</f>
        <v>19.88</v>
      </c>
    </row>
    <row r="176" spans="1:13" x14ac:dyDescent="0.3">
      <c r="A176" s="6">
        <f>+'[1]VENTAS(RESUMEN GLOBAL)'!L176</f>
        <v>46029</v>
      </c>
      <c r="B176" s="6" t="str">
        <f>+'[1]VENTAS(RESUMEN GLOBAL)'!M176</f>
        <v>RIVULIS</v>
      </c>
      <c r="C176">
        <f>+'[1]VENTAS(RESUMEN GLOBAL)'!B176</f>
        <v>300200</v>
      </c>
      <c r="D176" t="str">
        <f>INDEX('[1]CÓDIGOS DE PRODUCTO'!$D$3:$D$1000,MATCH(C176,'[1]CÓDIGOS DE PRODUCTO'!$A$3:$A$1000,0))</f>
        <v>50161800 </v>
      </c>
      <c r="E176" t="str">
        <f>VLOOKUP(C176,'[1]CÓDIGOS DE PRODUCTO'!$A$4:$B$156,2,FALSE)</f>
        <v>SKWINKLES</v>
      </c>
      <c r="F176" t="str">
        <f>INDEX('[1]CÓDIGOS DE PRODUCTO'!$C$3:$C$1000,MATCH(C176,'[1]CÓDIGOS DE PRODUCTO'!$A$3:$A$1000,0))</f>
        <v>Snacks &amp; Dulces</v>
      </c>
      <c r="G176">
        <f>+'[1]VENTAS(RESUMEN GLOBAL)'!D176-'[1]VENTAS(RESUMEN GLOBAL)'!E176</f>
        <v>0</v>
      </c>
      <c r="H176" s="9">
        <f>+'[1]VENTAS(RESUMEN GLOBAL)'!K176</f>
        <v>0</v>
      </c>
      <c r="I176" s="8">
        <f>+G176*'[1]VENTAS(RESUMEN GLOBAL)'!F176</f>
        <v>0</v>
      </c>
      <c r="J176" s="8">
        <f>'[1]VENTAS(RESUMEN GLOBAL)'!G176*(1-'[1]VENTAS(RESUMEN GLOBAL)'!H176)</f>
        <v>0</v>
      </c>
      <c r="K176" s="8">
        <f t="shared" si="2"/>
        <v>0</v>
      </c>
      <c r="L176" s="8">
        <f>+'[1]VENTAS(RESUMEN GLOBAL)'!J176</f>
        <v>0</v>
      </c>
      <c r="M176" s="8">
        <f>+Tabla1[[#This Row],[utilidad x dia]]*7</f>
        <v>0</v>
      </c>
    </row>
    <row r="177" spans="1:13" x14ac:dyDescent="0.3">
      <c r="A177" s="6">
        <f>+'[1]VENTAS(RESUMEN GLOBAL)'!L177</f>
        <v>46029</v>
      </c>
      <c r="B177" s="6" t="str">
        <f>+'[1]VENTAS(RESUMEN GLOBAL)'!M177</f>
        <v>RIVULIS</v>
      </c>
      <c r="C177">
        <f>+'[1]VENTAS(RESUMEN GLOBAL)'!B177</f>
        <v>300100</v>
      </c>
      <c r="D177" t="str">
        <f>INDEX('[1]CÓDIGOS DE PRODUCTO'!$D$3:$D$1000,MATCH(C177,'[1]CÓDIGOS DE PRODUCTO'!$A$3:$A$1000,0))</f>
        <v>50161800 </v>
      </c>
      <c r="E177" t="str">
        <f>VLOOKUP(C177,'[1]CÓDIGOS DE PRODUCTO'!$A$4:$B$156,2,FALSE)</f>
        <v>Pelonetes</v>
      </c>
      <c r="F177" t="str">
        <f>INDEX('[1]CÓDIGOS DE PRODUCTO'!$C$3:$C$1000,MATCH(C177,'[1]CÓDIGOS DE PRODUCTO'!$A$3:$A$1000,0))</f>
        <v>Snacks &amp; Dulces</v>
      </c>
      <c r="G177">
        <f>+'[1]VENTAS(RESUMEN GLOBAL)'!D177-'[1]VENTAS(RESUMEN GLOBAL)'!E177</f>
        <v>1</v>
      </c>
      <c r="H177" s="9">
        <f>+'[1]VENTAS(RESUMEN GLOBAL)'!K177</f>
        <v>1.4000000000000001</v>
      </c>
      <c r="I177" s="8">
        <f>+G177*'[1]VENTAS(RESUMEN GLOBAL)'!F177</f>
        <v>15</v>
      </c>
      <c r="J177" s="8">
        <f>'[1]VENTAS(RESUMEN GLOBAL)'!G177*(1-'[1]VENTAS(RESUMEN GLOBAL)'!H177)</f>
        <v>6.4500000000000011</v>
      </c>
      <c r="K177" s="8">
        <f t="shared" si="2"/>
        <v>8.5499999999999989</v>
      </c>
      <c r="L177" s="8">
        <f>+'[1]VENTAS(RESUMEN GLOBAL)'!J177</f>
        <v>1.7099999999999997</v>
      </c>
      <c r="M177" s="8">
        <f>+Tabla1[[#This Row],[utilidad x dia]]*7</f>
        <v>11.969999999999999</v>
      </c>
    </row>
    <row r="178" spans="1:13" x14ac:dyDescent="0.3">
      <c r="A178" s="6">
        <f>+'[1]VENTAS(RESUMEN GLOBAL)'!L178</f>
        <v>46029</v>
      </c>
      <c r="B178" s="6" t="str">
        <f>+'[1]VENTAS(RESUMEN GLOBAL)'!M178</f>
        <v>RIVULIS</v>
      </c>
      <c r="C178">
        <f>+'[1]VENTAS(RESUMEN GLOBAL)'!B178</f>
        <v>900300</v>
      </c>
      <c r="D178">
        <f>INDEX('[1]CÓDIGOS DE PRODUCTO'!$D$3:$D$1000,MATCH(C178,'[1]CÓDIGOS DE PRODUCTO'!$A$3:$A$1000,0))</f>
        <v>50161815</v>
      </c>
      <c r="E178" t="str">
        <f>VLOOKUP(C178,'[1]CÓDIGOS DE PRODUCTO'!$A$4:$B$156,2,FALSE)</f>
        <v>CHICLES TRIDENT</v>
      </c>
      <c r="F178" t="str">
        <f>INDEX('[1]CÓDIGOS DE PRODUCTO'!$C$3:$C$1000,MATCH(C178,'[1]CÓDIGOS DE PRODUCTO'!$A$3:$A$1000,0))</f>
        <v>OTROS</v>
      </c>
      <c r="G178">
        <f>+'[1]VENTAS(RESUMEN GLOBAL)'!D178-'[1]VENTAS(RESUMEN GLOBAL)'!E178</f>
        <v>1</v>
      </c>
      <c r="H178" s="9">
        <f>+'[1]VENTAS(RESUMEN GLOBAL)'!K178</f>
        <v>1.4000000000000001</v>
      </c>
      <c r="I178" s="8">
        <f>+G178*'[1]VENTAS(RESUMEN GLOBAL)'!F178</f>
        <v>25</v>
      </c>
      <c r="J178" s="8">
        <f>'[1]VENTAS(RESUMEN GLOBAL)'!G178*(1-'[1]VENTAS(RESUMEN GLOBAL)'!H178)</f>
        <v>15</v>
      </c>
      <c r="K178" s="8">
        <f t="shared" si="2"/>
        <v>10</v>
      </c>
      <c r="L178" s="8">
        <f>+'[1]VENTAS(RESUMEN GLOBAL)'!J178</f>
        <v>2</v>
      </c>
      <c r="M178" s="8">
        <f>+Tabla1[[#This Row],[utilidad x dia]]*7</f>
        <v>14</v>
      </c>
    </row>
    <row r="179" spans="1:13" x14ac:dyDescent="0.3">
      <c r="A179" s="6">
        <f>+'[1]VENTAS(RESUMEN GLOBAL)'!L179</f>
        <v>46029</v>
      </c>
      <c r="B179" s="6" t="str">
        <f>+'[1]VENTAS(RESUMEN GLOBAL)'!M179</f>
        <v>RIVULIS</v>
      </c>
      <c r="C179">
        <f>+'[1]VENTAS(RESUMEN GLOBAL)'!B179</f>
        <v>300400</v>
      </c>
      <c r="D179" t="str">
        <f>INDEX('[1]CÓDIGOS DE PRODUCTO'!$D$3:$D$1000,MATCH(C179,'[1]CÓDIGOS DE PRODUCTO'!$A$3:$A$1000,0))</f>
        <v>50161800 </v>
      </c>
      <c r="E179" t="str">
        <f>VLOOKUP(C179,'[1]CÓDIGOS DE PRODUCTO'!$A$4:$B$156,2,FALSE)</f>
        <v>Welchs GOMITAS</v>
      </c>
      <c r="F179" t="str">
        <f>INDEX('[1]CÓDIGOS DE PRODUCTO'!$C$3:$C$1000,MATCH(C179,'[1]CÓDIGOS DE PRODUCTO'!$A$3:$A$1000,0))</f>
        <v>Snacks &amp; Dulces</v>
      </c>
      <c r="G179">
        <f>+'[1]VENTAS(RESUMEN GLOBAL)'!D179-'[1]VENTAS(RESUMEN GLOBAL)'!E179</f>
        <v>2</v>
      </c>
      <c r="H179" s="9">
        <f>+'[1]VENTAS(RESUMEN GLOBAL)'!K179</f>
        <v>2.8000000000000003</v>
      </c>
      <c r="I179" s="8">
        <f>+G179*'[1]VENTAS(RESUMEN GLOBAL)'!F179</f>
        <v>20</v>
      </c>
      <c r="J179" s="8">
        <f>'[1]VENTAS(RESUMEN GLOBAL)'!G179*(1-'[1]VENTAS(RESUMEN GLOBAL)'!H179)</f>
        <v>12</v>
      </c>
      <c r="K179" s="8">
        <f t="shared" si="2"/>
        <v>8</v>
      </c>
      <c r="L179" s="8">
        <f>+'[1]VENTAS(RESUMEN GLOBAL)'!J179</f>
        <v>1.6</v>
      </c>
      <c r="M179" s="8">
        <f>+Tabla1[[#This Row],[utilidad x dia]]*7</f>
        <v>11.200000000000001</v>
      </c>
    </row>
    <row r="180" spans="1:13" x14ac:dyDescent="0.3">
      <c r="A180" s="6">
        <f>+'[1]VENTAS(RESUMEN GLOBAL)'!L180</f>
        <v>46029</v>
      </c>
      <c r="B180" s="6" t="str">
        <f>+'[1]VENTAS(RESUMEN GLOBAL)'!M180</f>
        <v>RIVULIS</v>
      </c>
      <c r="C180">
        <f>+'[1]VENTAS(RESUMEN GLOBAL)'!B180</f>
        <v>700500</v>
      </c>
      <c r="D180" t="str">
        <f>INDEX('[1]CÓDIGOS DE PRODUCTO'!$D$3:$D$1000,MATCH(C180,'[1]CÓDIGOS DE PRODUCTO'!$A$3:$A$1000,0))</f>
        <v>50161511 </v>
      </c>
      <c r="E180" t="str">
        <f>VLOOKUP(C180,'[1]CÓDIGOS DE PRODUCTO'!$A$4:$B$156,2,FALSE)</f>
        <v>HERSHEYS BLANCO</v>
      </c>
      <c r="F180" t="str">
        <f>INDEX('[1]CÓDIGOS DE PRODUCTO'!$C$3:$C$1000,MATCH(C180,'[1]CÓDIGOS DE PRODUCTO'!$A$3:$A$1000,0))</f>
        <v>CHOCOLATES</v>
      </c>
      <c r="G180">
        <f>+'[1]VENTAS(RESUMEN GLOBAL)'!D180-'[1]VENTAS(RESUMEN GLOBAL)'!E180</f>
        <v>3</v>
      </c>
      <c r="H180" s="9">
        <f>+'[1]VENTAS(RESUMEN GLOBAL)'!K180</f>
        <v>4.2</v>
      </c>
      <c r="I180" s="8">
        <f>+G180*'[1]VENTAS(RESUMEN GLOBAL)'!F180</f>
        <v>45</v>
      </c>
      <c r="J180" s="8">
        <f>'[1]VENTAS(RESUMEN GLOBAL)'!G180*(1-'[1]VENTAS(RESUMEN GLOBAL)'!H180)</f>
        <v>19.350000000000001</v>
      </c>
      <c r="K180" s="8">
        <f t="shared" si="2"/>
        <v>25.65</v>
      </c>
      <c r="L180" s="8">
        <f>+'[1]VENTAS(RESUMEN GLOBAL)'!J180</f>
        <v>5.13</v>
      </c>
      <c r="M180" s="8">
        <f>+Tabla1[[#This Row],[utilidad x dia]]*7</f>
        <v>35.909999999999997</v>
      </c>
    </row>
    <row r="181" spans="1:13" x14ac:dyDescent="0.3">
      <c r="A181" s="6">
        <f>+'[1]VENTAS(RESUMEN GLOBAL)'!L181</f>
        <v>46029</v>
      </c>
      <c r="B181" s="6" t="str">
        <f>+'[1]VENTAS(RESUMEN GLOBAL)'!M181</f>
        <v>RIVULIS</v>
      </c>
      <c r="C181">
        <f>+'[1]VENTAS(RESUMEN GLOBAL)'!B181</f>
        <v>700400</v>
      </c>
      <c r="D181" t="str">
        <f>INDEX('[1]CÓDIGOS DE PRODUCTO'!$D$3:$D$1000,MATCH(C181,'[1]CÓDIGOS DE PRODUCTO'!$A$3:$A$1000,0))</f>
        <v>50161511 </v>
      </c>
      <c r="E181" t="str">
        <f>VLOOKUP(C181,'[1]CÓDIGOS DE PRODUCTO'!$A$4:$B$156,2,FALSE)</f>
        <v>KIT KAT</v>
      </c>
      <c r="F181" t="str">
        <f>INDEX('[1]CÓDIGOS DE PRODUCTO'!$C$3:$C$1000,MATCH(C181,'[1]CÓDIGOS DE PRODUCTO'!$A$3:$A$1000,0))</f>
        <v>CHOCOLATES</v>
      </c>
      <c r="G181">
        <f>+'[1]VENTAS(RESUMEN GLOBAL)'!D181-'[1]VENTAS(RESUMEN GLOBAL)'!E181</f>
        <v>1</v>
      </c>
      <c r="H181" s="9">
        <f>+'[1]VENTAS(RESUMEN GLOBAL)'!K181</f>
        <v>1.4000000000000001</v>
      </c>
      <c r="I181" s="8">
        <f>+G181*'[1]VENTAS(RESUMEN GLOBAL)'!F181</f>
        <v>25</v>
      </c>
      <c r="J181" s="8">
        <f>'[1]VENTAS(RESUMEN GLOBAL)'!G181*(1-'[1]VENTAS(RESUMEN GLOBAL)'!H181)</f>
        <v>13</v>
      </c>
      <c r="K181" s="8">
        <f t="shared" si="2"/>
        <v>12</v>
      </c>
      <c r="L181" s="8">
        <f>+'[1]VENTAS(RESUMEN GLOBAL)'!J181</f>
        <v>2.4</v>
      </c>
      <c r="M181" s="8">
        <f>+Tabla1[[#This Row],[utilidad x dia]]*7</f>
        <v>16.8</v>
      </c>
    </row>
    <row r="182" spans="1:13" x14ac:dyDescent="0.3">
      <c r="A182" s="6">
        <f>+'[1]VENTAS(RESUMEN GLOBAL)'!L182</f>
        <v>46029</v>
      </c>
      <c r="B182" s="6" t="str">
        <f>+'[1]VENTAS(RESUMEN GLOBAL)'!M182</f>
        <v>RIVULIS</v>
      </c>
      <c r="C182">
        <f>+'[1]VENTAS(RESUMEN GLOBAL)'!B182</f>
        <v>700800</v>
      </c>
      <c r="D182" t="str">
        <f>INDEX('[1]CÓDIGOS DE PRODUCTO'!$D$3:$D$1000,MATCH(C182,'[1]CÓDIGOS DE PRODUCTO'!$A$3:$A$1000,0))</f>
        <v>50161511 </v>
      </c>
      <c r="E182" t="str">
        <f>VLOOKUP(C182,'[1]CÓDIGOS DE PRODUCTO'!$A$4:$B$156,2,FALSE)</f>
        <v>Kinder delice</v>
      </c>
      <c r="F182" t="str">
        <f>INDEX('[1]CÓDIGOS DE PRODUCTO'!$C$3:$C$1000,MATCH(C182,'[1]CÓDIGOS DE PRODUCTO'!$A$3:$A$1000,0))</f>
        <v>CHOCOLATES</v>
      </c>
      <c r="G182">
        <f>+'[1]VENTAS(RESUMEN GLOBAL)'!D182-'[1]VENTAS(RESUMEN GLOBAL)'!E182</f>
        <v>3</v>
      </c>
      <c r="H182" s="9">
        <f>+'[1]VENTAS(RESUMEN GLOBAL)'!K182</f>
        <v>4.2</v>
      </c>
      <c r="I182" s="8">
        <f>+G182*'[1]VENTAS(RESUMEN GLOBAL)'!F182</f>
        <v>60</v>
      </c>
      <c r="J182" s="8">
        <f>'[1]VENTAS(RESUMEN GLOBAL)'!G182*(1-'[1]VENTAS(RESUMEN GLOBAL)'!H182)</f>
        <v>37.200000000000003</v>
      </c>
      <c r="K182" s="8">
        <f t="shared" si="2"/>
        <v>22.799999999999997</v>
      </c>
      <c r="L182" s="8">
        <f>+'[1]VENTAS(RESUMEN GLOBAL)'!J182</f>
        <v>4.5600000000000005</v>
      </c>
      <c r="M182" s="8">
        <f>+Tabla1[[#This Row],[utilidad x dia]]*7</f>
        <v>31.92</v>
      </c>
    </row>
    <row r="183" spans="1:13" x14ac:dyDescent="0.3">
      <c r="A183" s="6">
        <f>+'[1]VENTAS(RESUMEN GLOBAL)'!L183</f>
        <v>46029</v>
      </c>
      <c r="B183" s="6" t="str">
        <f>+'[1]VENTAS(RESUMEN GLOBAL)'!M183</f>
        <v>RIVULIS</v>
      </c>
      <c r="C183">
        <f>+'[1]VENTAS(RESUMEN GLOBAL)'!B183</f>
        <v>700700</v>
      </c>
      <c r="D183" t="str">
        <f>INDEX('[1]CÓDIGOS DE PRODUCTO'!$D$3:$D$1000,MATCH(C183,'[1]CÓDIGOS DE PRODUCTO'!$A$3:$A$1000,0))</f>
        <v>50161511 </v>
      </c>
      <c r="E183" t="str">
        <f>VLOOKUP(C183,'[1]CÓDIGOS DE PRODUCTO'!$A$4:$B$156,2,FALSE)</f>
        <v>Milkiway</v>
      </c>
      <c r="F183" t="str">
        <f>INDEX('[1]CÓDIGOS DE PRODUCTO'!$C$3:$C$1000,MATCH(C183,'[1]CÓDIGOS DE PRODUCTO'!$A$3:$A$1000,0))</f>
        <v>CHOCOLATES</v>
      </c>
      <c r="G183">
        <f>+'[1]VENTAS(RESUMEN GLOBAL)'!D183-'[1]VENTAS(RESUMEN GLOBAL)'!E183</f>
        <v>3</v>
      </c>
      <c r="H183" s="9">
        <f>+'[1]VENTAS(RESUMEN GLOBAL)'!K183</f>
        <v>4.2</v>
      </c>
      <c r="I183" s="8">
        <f>+G183*'[1]VENTAS(RESUMEN GLOBAL)'!F183</f>
        <v>75</v>
      </c>
      <c r="J183" s="8">
        <f>'[1]VENTAS(RESUMEN GLOBAL)'!G183*(1-'[1]VENTAS(RESUMEN GLOBAL)'!H183)</f>
        <v>42.000000000000007</v>
      </c>
      <c r="K183" s="8">
        <f t="shared" si="2"/>
        <v>32.999999999999993</v>
      </c>
      <c r="L183" s="8">
        <f>+'[1]VENTAS(RESUMEN GLOBAL)'!J183</f>
        <v>6.6</v>
      </c>
      <c r="M183" s="8">
        <f>+Tabla1[[#This Row],[utilidad x dia]]*7</f>
        <v>46.199999999999996</v>
      </c>
    </row>
    <row r="184" spans="1:13" x14ac:dyDescent="0.3">
      <c r="A184" s="6">
        <f>+'[1]VENTAS(RESUMEN GLOBAL)'!L184</f>
        <v>46029</v>
      </c>
      <c r="B184" s="6" t="str">
        <f>+'[1]VENTAS(RESUMEN GLOBAL)'!M184</f>
        <v>RIVULIS</v>
      </c>
      <c r="C184">
        <f>+'[1]VENTAS(RESUMEN GLOBAL)'!B184</f>
        <v>700200</v>
      </c>
      <c r="D184" t="str">
        <f>INDEX('[1]CÓDIGOS DE PRODUCTO'!$D$3:$D$1000,MATCH(C184,'[1]CÓDIGOS DE PRODUCTO'!$A$3:$A$1000,0))</f>
        <v>50161511 </v>
      </c>
      <c r="E184" t="str">
        <f>VLOOKUP(C184,'[1]CÓDIGOS DE PRODUCTO'!$A$4:$B$156,2,FALSE)</f>
        <v>Snickers</v>
      </c>
      <c r="F184" t="str">
        <f>INDEX('[1]CÓDIGOS DE PRODUCTO'!$C$3:$C$1000,MATCH(C184,'[1]CÓDIGOS DE PRODUCTO'!$A$3:$A$1000,0))</f>
        <v>CHOCOLATES</v>
      </c>
      <c r="G184">
        <f>+'[1]VENTAS(RESUMEN GLOBAL)'!D184-'[1]VENTAS(RESUMEN GLOBAL)'!E184</f>
        <v>4</v>
      </c>
      <c r="H184" s="9">
        <f>+'[1]VENTAS(RESUMEN GLOBAL)'!K184</f>
        <v>5.6000000000000005</v>
      </c>
      <c r="I184" s="8">
        <f>+G184*'[1]VENTAS(RESUMEN GLOBAL)'!F184</f>
        <v>100</v>
      </c>
      <c r="J184" s="8">
        <f>'[1]VENTAS(RESUMEN GLOBAL)'!G184*(1-'[1]VENTAS(RESUMEN GLOBAL)'!H184)</f>
        <v>56.000000000000007</v>
      </c>
      <c r="K184" s="8">
        <f t="shared" si="2"/>
        <v>43.999999999999993</v>
      </c>
      <c r="L184" s="8">
        <f>+'[1]VENTAS(RESUMEN GLOBAL)'!J184</f>
        <v>8.8000000000000007</v>
      </c>
      <c r="M184" s="8">
        <f>+Tabla1[[#This Row],[utilidad x dia]]*7</f>
        <v>61.600000000000009</v>
      </c>
    </row>
    <row r="185" spans="1:13" x14ac:dyDescent="0.3">
      <c r="A185" s="6">
        <f>+'[1]VENTAS(RESUMEN GLOBAL)'!L185</f>
        <v>46029</v>
      </c>
      <c r="B185" s="6" t="str">
        <f>+'[1]VENTAS(RESUMEN GLOBAL)'!M185</f>
        <v>RIVULIS</v>
      </c>
      <c r="C185">
        <f>+'[1]VENTAS(RESUMEN GLOBAL)'!B185</f>
        <v>800500</v>
      </c>
      <c r="D185" t="str">
        <f>INDEX('[1]CÓDIGOS DE PRODUCTO'!$D$3:$D$1000,MATCH(C185,'[1]CÓDIGOS DE PRODUCTO'!$A$3:$A$1000,0))</f>
        <v>50181900 </v>
      </c>
      <c r="E185" t="str">
        <f>VLOOKUP(C185,'[1]CÓDIGOS DE PRODUCTO'!$A$4:$B$156,2,FALSE)</f>
        <v>RICE KRISPIES</v>
      </c>
      <c r="F185" t="str">
        <f>INDEX('[1]CÓDIGOS DE PRODUCTO'!$C$3:$C$1000,MATCH(C185,'[1]CÓDIGOS DE PRODUCTO'!$A$3:$A$1000,0))</f>
        <v>GALLETAS Y PAN DULCE</v>
      </c>
      <c r="G185">
        <f>+'[1]VENTAS(RESUMEN GLOBAL)'!D185-'[1]VENTAS(RESUMEN GLOBAL)'!E185</f>
        <v>2</v>
      </c>
      <c r="H185" s="9">
        <f>+'[1]VENTAS(RESUMEN GLOBAL)'!K185</f>
        <v>2.8000000000000003</v>
      </c>
      <c r="I185" s="8">
        <f>+G185*'[1]VENTAS(RESUMEN GLOBAL)'!F185</f>
        <v>20</v>
      </c>
      <c r="J185" s="8">
        <f>'[1]VENTAS(RESUMEN GLOBAL)'!G185*(1-'[1]VENTAS(RESUMEN GLOBAL)'!H185)</f>
        <v>6.0000000000000009</v>
      </c>
      <c r="K185" s="8">
        <f t="shared" si="2"/>
        <v>14</v>
      </c>
      <c r="L185" s="8">
        <f>+'[1]VENTAS(RESUMEN GLOBAL)'!J185</f>
        <v>2.8</v>
      </c>
      <c r="M185" s="8">
        <f>+Tabla1[[#This Row],[utilidad x dia]]*7</f>
        <v>19.599999999999998</v>
      </c>
    </row>
    <row r="186" spans="1:13" x14ac:dyDescent="0.3">
      <c r="A186" s="6">
        <f>+'[1]VENTAS(RESUMEN GLOBAL)'!L186</f>
        <v>46029</v>
      </c>
      <c r="B186" s="6" t="str">
        <f>+'[1]VENTAS(RESUMEN GLOBAL)'!M186</f>
        <v>RIVULIS</v>
      </c>
      <c r="C186">
        <f>+'[1]VENTAS(RESUMEN GLOBAL)'!B186</f>
        <v>800700</v>
      </c>
      <c r="D186" t="str">
        <f>INDEX('[1]CÓDIGOS DE PRODUCTO'!$D$3:$D$1000,MATCH(C186,'[1]CÓDIGOS DE PRODUCTO'!$A$3:$A$1000,0))</f>
        <v>50181900 </v>
      </c>
      <c r="E186" t="str">
        <f>VLOOKUP(C186,'[1]CÓDIGOS DE PRODUCTO'!$A$4:$B$156,2,FALSE)</f>
        <v>BARRITAS PIÑA</v>
      </c>
      <c r="F186" t="str">
        <f>INDEX('[1]CÓDIGOS DE PRODUCTO'!$C$3:$C$1000,MATCH(C186,'[1]CÓDIGOS DE PRODUCTO'!$A$3:$A$1000,0))</f>
        <v>GALLETAS Y PAN DULCE</v>
      </c>
      <c r="G186">
        <f>+'[1]VENTAS(RESUMEN GLOBAL)'!D186-'[1]VENTAS(RESUMEN GLOBAL)'!E186</f>
        <v>0</v>
      </c>
      <c r="H186" s="9">
        <f>+'[1]VENTAS(RESUMEN GLOBAL)'!K186</f>
        <v>0</v>
      </c>
      <c r="I186" s="8">
        <f>+G186*'[1]VENTAS(RESUMEN GLOBAL)'!F186</f>
        <v>0</v>
      </c>
      <c r="J186" s="8">
        <f>'[1]VENTAS(RESUMEN GLOBAL)'!G186*(1-'[1]VENTAS(RESUMEN GLOBAL)'!H186)</f>
        <v>0</v>
      </c>
      <c r="K186" s="8">
        <f t="shared" si="2"/>
        <v>0</v>
      </c>
      <c r="L186" s="8">
        <f>+'[1]VENTAS(RESUMEN GLOBAL)'!J186</f>
        <v>0</v>
      </c>
      <c r="M186" s="8">
        <f>+Tabla1[[#This Row],[utilidad x dia]]*7</f>
        <v>0</v>
      </c>
    </row>
    <row r="187" spans="1:13" x14ac:dyDescent="0.3">
      <c r="A187" s="6">
        <f>+'[1]VENTAS(RESUMEN GLOBAL)'!L187</f>
        <v>46029</v>
      </c>
      <c r="B187" s="6" t="str">
        <f>+'[1]VENTAS(RESUMEN GLOBAL)'!M187</f>
        <v>RIVULIS</v>
      </c>
      <c r="C187">
        <f>+'[1]VENTAS(RESUMEN GLOBAL)'!B187</f>
        <v>800400</v>
      </c>
      <c r="D187" t="str">
        <f>INDEX('[1]CÓDIGOS DE PRODUCTO'!$D$3:$D$1000,MATCH(C187,'[1]CÓDIGOS DE PRODUCTO'!$A$3:$A$1000,0))</f>
        <v>50181900 </v>
      </c>
      <c r="E187" t="str">
        <f>VLOOKUP(C187,'[1]CÓDIGOS DE PRODUCTO'!$A$4:$B$156,2,FALSE)</f>
        <v>Barritas FRESA</v>
      </c>
      <c r="F187" t="str">
        <f>INDEX('[1]CÓDIGOS DE PRODUCTO'!$C$3:$C$1000,MATCH(C187,'[1]CÓDIGOS DE PRODUCTO'!$A$3:$A$1000,0))</f>
        <v>GALLETAS Y PAN DULCE</v>
      </c>
      <c r="G187">
        <f>+'[1]VENTAS(RESUMEN GLOBAL)'!D187-'[1]VENTAS(RESUMEN GLOBAL)'!E187</f>
        <v>0</v>
      </c>
      <c r="H187" s="9">
        <f>+'[1]VENTAS(RESUMEN GLOBAL)'!K187</f>
        <v>0</v>
      </c>
      <c r="I187" s="8">
        <f>+G187*'[1]VENTAS(RESUMEN GLOBAL)'!F187</f>
        <v>0</v>
      </c>
      <c r="J187" s="8">
        <f>'[1]VENTAS(RESUMEN GLOBAL)'!G187*(1-'[1]VENTAS(RESUMEN GLOBAL)'!H187)</f>
        <v>0</v>
      </c>
      <c r="K187" s="8">
        <f t="shared" si="2"/>
        <v>0</v>
      </c>
      <c r="L187" s="8">
        <f>+'[1]VENTAS(RESUMEN GLOBAL)'!J187</f>
        <v>0</v>
      </c>
      <c r="M187" s="8">
        <f>+Tabla1[[#This Row],[utilidad x dia]]*7</f>
        <v>0</v>
      </c>
    </row>
    <row r="188" spans="1:13" x14ac:dyDescent="0.3">
      <c r="A188" s="6">
        <f>+'[1]VENTAS(RESUMEN GLOBAL)'!L188</f>
        <v>46029</v>
      </c>
      <c r="B188" s="6" t="str">
        <f>+'[1]VENTAS(RESUMEN GLOBAL)'!M188</f>
        <v>RIVULIS</v>
      </c>
      <c r="C188">
        <f>+'[1]VENTAS(RESUMEN GLOBAL)'!B188</f>
        <v>800601</v>
      </c>
      <c r="D188" t="str">
        <f>INDEX('[1]CÓDIGOS DE PRODUCTO'!$D$3:$D$1000,MATCH(C188,'[1]CÓDIGOS DE PRODUCTO'!$A$3:$A$1000,0))</f>
        <v>50181900 </v>
      </c>
      <c r="E188" t="str">
        <f>VLOOKUP(C188,'[1]CÓDIGOS DE PRODUCTO'!$A$4:$B$156,2,FALSE)</f>
        <v>CREMAX AZULES</v>
      </c>
      <c r="F188" t="str">
        <f>INDEX('[1]CÓDIGOS DE PRODUCTO'!$C$3:$C$1000,MATCH(C188,'[1]CÓDIGOS DE PRODUCTO'!$A$3:$A$1000,0))</f>
        <v>GALLETAS Y PAN DULCE</v>
      </c>
      <c r="G188">
        <f>+'[1]VENTAS(RESUMEN GLOBAL)'!D188-'[1]VENTAS(RESUMEN GLOBAL)'!E188</f>
        <v>0</v>
      </c>
      <c r="H188" s="9">
        <f>+'[1]VENTAS(RESUMEN GLOBAL)'!K188</f>
        <v>0</v>
      </c>
      <c r="I188" s="8">
        <f>+G188*'[1]VENTAS(RESUMEN GLOBAL)'!F188</f>
        <v>0</v>
      </c>
      <c r="J188" s="8">
        <f>'[1]VENTAS(RESUMEN GLOBAL)'!G188*(1-'[1]VENTAS(RESUMEN GLOBAL)'!H188)</f>
        <v>0</v>
      </c>
      <c r="K188" s="8">
        <f t="shared" si="2"/>
        <v>0</v>
      </c>
      <c r="L188" s="8">
        <f>+'[1]VENTAS(RESUMEN GLOBAL)'!J188</f>
        <v>0</v>
      </c>
      <c r="M188" s="8">
        <f>+Tabla1[[#This Row],[utilidad x dia]]*7</f>
        <v>0</v>
      </c>
    </row>
    <row r="189" spans="1:13" x14ac:dyDescent="0.3">
      <c r="A189" s="6">
        <f>+'[1]VENTAS(RESUMEN GLOBAL)'!L189</f>
        <v>46029</v>
      </c>
      <c r="B189" s="6" t="str">
        <f>+'[1]VENTAS(RESUMEN GLOBAL)'!M189</f>
        <v>RIVULIS</v>
      </c>
      <c r="C189">
        <f>+'[1]VENTAS(RESUMEN GLOBAL)'!B189</f>
        <v>800600</v>
      </c>
      <c r="D189" t="str">
        <f>INDEX('[1]CÓDIGOS DE PRODUCTO'!$D$3:$D$1000,MATCH(C189,'[1]CÓDIGOS DE PRODUCTO'!$A$3:$A$1000,0))</f>
        <v>50181900 </v>
      </c>
      <c r="E189" t="str">
        <f>VLOOKUP(C189,'[1]CÓDIGOS DE PRODUCTO'!$A$4:$B$156,2,FALSE)</f>
        <v>CREMAX</v>
      </c>
      <c r="F189" t="str">
        <f>INDEX('[1]CÓDIGOS DE PRODUCTO'!$C$3:$C$1000,MATCH(C189,'[1]CÓDIGOS DE PRODUCTO'!$A$3:$A$1000,0))</f>
        <v>GALLETAS Y PAN DULCE</v>
      </c>
      <c r="G189">
        <f>+'[1]VENTAS(RESUMEN GLOBAL)'!D189-'[1]VENTAS(RESUMEN GLOBAL)'!E189</f>
        <v>3</v>
      </c>
      <c r="H189" s="9">
        <f>+'[1]VENTAS(RESUMEN GLOBAL)'!K189</f>
        <v>4.2</v>
      </c>
      <c r="I189" s="8">
        <f>+G189*'[1]VENTAS(RESUMEN GLOBAL)'!F189</f>
        <v>45</v>
      </c>
      <c r="J189" s="8">
        <f>'[1]VENTAS(RESUMEN GLOBAL)'!G189*(1-'[1]VENTAS(RESUMEN GLOBAL)'!H189)</f>
        <v>20.249999999999996</v>
      </c>
      <c r="K189" s="8">
        <f t="shared" si="2"/>
        <v>24.750000000000004</v>
      </c>
      <c r="L189" s="8">
        <f>+'[1]VENTAS(RESUMEN GLOBAL)'!J189</f>
        <v>4.9500000000000011</v>
      </c>
      <c r="M189" s="8">
        <f>+Tabla1[[#This Row],[utilidad x dia]]*7</f>
        <v>34.650000000000006</v>
      </c>
    </row>
    <row r="190" spans="1:13" x14ac:dyDescent="0.3">
      <c r="A190" s="6">
        <f>+'[1]VENTAS(RESUMEN GLOBAL)'!L190</f>
        <v>46029</v>
      </c>
      <c r="B190" s="6" t="str">
        <f>+'[1]VENTAS(RESUMEN GLOBAL)'!M190</f>
        <v>RIVULIS</v>
      </c>
      <c r="C190">
        <f>+'[1]VENTAS(RESUMEN GLOBAL)'!B190</f>
        <v>800800</v>
      </c>
      <c r="D190" t="str">
        <f>INDEX('[1]CÓDIGOS DE PRODUCTO'!$D$3:$D$1000,MATCH(C190,'[1]CÓDIGOS DE PRODUCTO'!$A$3:$A$1000,0))</f>
        <v>50181900 </v>
      </c>
      <c r="E190" t="str">
        <f>VLOOKUP(C190,'[1]CÓDIGOS DE PRODUCTO'!$A$4:$B$156,2,FALSE)</f>
        <v>DORADITAS</v>
      </c>
      <c r="F190" t="str">
        <f>INDEX('[1]CÓDIGOS DE PRODUCTO'!$C$3:$C$1000,MATCH(C190,'[1]CÓDIGOS DE PRODUCTO'!$A$3:$A$1000,0))</f>
        <v>GALLETAS Y PAN DULCE</v>
      </c>
      <c r="G190">
        <f>+'[1]VENTAS(RESUMEN GLOBAL)'!D190-'[1]VENTAS(RESUMEN GLOBAL)'!E190</f>
        <v>1</v>
      </c>
      <c r="H190" s="9">
        <f>+'[1]VENTAS(RESUMEN GLOBAL)'!K190</f>
        <v>1.4000000000000001</v>
      </c>
      <c r="I190" s="8">
        <f>+G190*'[1]VENTAS(RESUMEN GLOBAL)'!F190</f>
        <v>15</v>
      </c>
      <c r="J190" s="8">
        <f>'[1]VENTAS(RESUMEN GLOBAL)'!G190*(1-'[1]VENTAS(RESUMEN GLOBAL)'!H190)</f>
        <v>9.75</v>
      </c>
      <c r="K190" s="8">
        <f t="shared" si="2"/>
        <v>5.25</v>
      </c>
      <c r="L190" s="8">
        <f>+'[1]VENTAS(RESUMEN GLOBAL)'!J190</f>
        <v>1.05</v>
      </c>
      <c r="M190" s="8">
        <f>+Tabla1[[#This Row],[utilidad x dia]]*7</f>
        <v>7.3500000000000005</v>
      </c>
    </row>
    <row r="191" spans="1:13" x14ac:dyDescent="0.3">
      <c r="A191" s="6">
        <f>+'[1]VENTAS(RESUMEN GLOBAL)'!L191</f>
        <v>46029</v>
      </c>
      <c r="B191" s="6" t="str">
        <f>+'[1]VENTAS(RESUMEN GLOBAL)'!M191</f>
        <v>RIVULIS</v>
      </c>
      <c r="C191">
        <f>+'[1]VENTAS(RESUMEN GLOBAL)'!B191</f>
        <v>801000</v>
      </c>
      <c r="D191" t="str">
        <f>INDEX('[1]CÓDIGOS DE PRODUCTO'!$D$3:$D$1000,MATCH(C191,'[1]CÓDIGOS DE PRODUCTO'!$A$3:$A$1000,0))</f>
        <v>50181900 </v>
      </c>
      <c r="E191" t="str">
        <f>VLOOKUP(C191,'[1]CÓDIGOS DE PRODUCTO'!$A$4:$B$156,2,FALSE)</f>
        <v>BRAN FRUIT</v>
      </c>
      <c r="F191" t="str">
        <f>INDEX('[1]CÓDIGOS DE PRODUCTO'!$C$3:$C$1000,MATCH(C191,'[1]CÓDIGOS DE PRODUCTO'!$A$3:$A$1000,0))</f>
        <v>GALLETAS Y PAN DULCE</v>
      </c>
      <c r="G191">
        <f>+'[1]VENTAS(RESUMEN GLOBAL)'!D191-'[1]VENTAS(RESUMEN GLOBAL)'!E191</f>
        <v>3</v>
      </c>
      <c r="H191" s="9">
        <f>+'[1]VENTAS(RESUMEN GLOBAL)'!K191</f>
        <v>4.2</v>
      </c>
      <c r="I191" s="8">
        <f>+G191*'[1]VENTAS(RESUMEN GLOBAL)'!F191</f>
        <v>45</v>
      </c>
      <c r="J191" s="8">
        <f>'[1]VENTAS(RESUMEN GLOBAL)'!G191*(1-'[1]VENTAS(RESUMEN GLOBAL)'!H191)</f>
        <v>27</v>
      </c>
      <c r="K191" s="8">
        <f t="shared" si="2"/>
        <v>18</v>
      </c>
      <c r="L191" s="8">
        <f>+'[1]VENTAS(RESUMEN GLOBAL)'!J191</f>
        <v>3.6</v>
      </c>
      <c r="M191" s="8">
        <f>+Tabla1[[#This Row],[utilidad x dia]]*7</f>
        <v>25.2</v>
      </c>
    </row>
    <row r="192" spans="1:13" x14ac:dyDescent="0.3">
      <c r="A192" s="6">
        <f>+'[1]VENTAS(RESUMEN GLOBAL)'!L192</f>
        <v>46029</v>
      </c>
      <c r="B192" s="6" t="str">
        <f>+'[1]VENTAS(RESUMEN GLOBAL)'!M192</f>
        <v>RIVULIS</v>
      </c>
      <c r="C192">
        <f>+'[1]VENTAS(RESUMEN GLOBAL)'!B192</f>
        <v>801100</v>
      </c>
      <c r="D192" t="str">
        <f>INDEX('[1]CÓDIGOS DE PRODUCTO'!$D$3:$D$1000,MATCH(C192,'[1]CÓDIGOS DE PRODUCTO'!$A$3:$A$1000,0))</f>
        <v>50181900 </v>
      </c>
      <c r="E192" t="str">
        <f>VLOOKUP(C192,'[1]CÓDIGOS DE PRODUCTO'!$A$4:$B$156,2,FALSE)</f>
        <v>GALLETA ARCOÍRIS</v>
      </c>
      <c r="F192" t="str">
        <f>INDEX('[1]CÓDIGOS DE PRODUCTO'!$C$3:$C$1000,MATCH(C192,'[1]CÓDIGOS DE PRODUCTO'!$A$3:$A$1000,0))</f>
        <v>GALLETAS Y PAN DULCE</v>
      </c>
      <c r="G192">
        <f>+'[1]VENTAS(RESUMEN GLOBAL)'!D192-'[1]VENTAS(RESUMEN GLOBAL)'!E192</f>
        <v>2</v>
      </c>
      <c r="H192" s="9">
        <f>+'[1]VENTAS(RESUMEN GLOBAL)'!K192</f>
        <v>2.8000000000000003</v>
      </c>
      <c r="I192" s="8">
        <f>+G192*'[1]VENTAS(RESUMEN GLOBAL)'!F192</f>
        <v>40</v>
      </c>
      <c r="J192" s="8">
        <f>'[1]VENTAS(RESUMEN GLOBAL)'!G192*(1-'[1]VENTAS(RESUMEN GLOBAL)'!H192)</f>
        <v>18</v>
      </c>
      <c r="K192" s="8">
        <f t="shared" si="2"/>
        <v>22</v>
      </c>
      <c r="L192" s="8">
        <f>+'[1]VENTAS(RESUMEN GLOBAL)'!J192</f>
        <v>4.4000000000000004</v>
      </c>
      <c r="M192" s="8">
        <f>+Tabla1[[#This Row],[utilidad x dia]]*7</f>
        <v>30.800000000000004</v>
      </c>
    </row>
    <row r="193" spans="1:13" x14ac:dyDescent="0.3">
      <c r="A193" s="6">
        <f>+'[1]VENTAS(RESUMEN GLOBAL)'!L193</f>
        <v>46029</v>
      </c>
      <c r="B193" s="6" t="str">
        <f>+'[1]VENTAS(RESUMEN GLOBAL)'!M193</f>
        <v>RIVULIS</v>
      </c>
      <c r="C193">
        <f>+'[1]VENTAS(RESUMEN GLOBAL)'!B193</f>
        <v>801200</v>
      </c>
      <c r="D193" t="str">
        <f>INDEX('[1]CÓDIGOS DE PRODUCTO'!$D$3:$D$1000,MATCH(C193,'[1]CÓDIGOS DE PRODUCTO'!$A$3:$A$1000,0))</f>
        <v>50181900 </v>
      </c>
      <c r="E193" t="str">
        <f>VLOOKUP(C193,'[1]CÓDIGOS DE PRODUCTO'!$A$4:$B$156,2,FALSE)</f>
        <v>CANELITAS</v>
      </c>
      <c r="F193" t="str">
        <f>INDEX('[1]CÓDIGOS DE PRODUCTO'!$C$3:$C$1000,MATCH(C193,'[1]CÓDIGOS DE PRODUCTO'!$A$3:$A$1000,0))</f>
        <v>GALLETAS Y PAN DULCE</v>
      </c>
      <c r="G193">
        <f>+'[1]VENTAS(RESUMEN GLOBAL)'!D193-'[1]VENTAS(RESUMEN GLOBAL)'!E193</f>
        <v>3</v>
      </c>
      <c r="H193" s="9">
        <f>+'[1]VENTAS(RESUMEN GLOBAL)'!K193</f>
        <v>4.2</v>
      </c>
      <c r="I193" s="8">
        <f>+G193*'[1]VENTAS(RESUMEN GLOBAL)'!F193</f>
        <v>60</v>
      </c>
      <c r="J193" s="8">
        <f>'[1]VENTAS(RESUMEN GLOBAL)'!G193*(1-'[1]VENTAS(RESUMEN GLOBAL)'!H193)</f>
        <v>26.999999999999996</v>
      </c>
      <c r="K193" s="8">
        <f t="shared" si="2"/>
        <v>33</v>
      </c>
      <c r="L193" s="8">
        <f>+'[1]VENTAS(RESUMEN GLOBAL)'!J193</f>
        <v>6.6</v>
      </c>
      <c r="M193" s="8">
        <f>+Tabla1[[#This Row],[utilidad x dia]]*7</f>
        <v>46.199999999999996</v>
      </c>
    </row>
    <row r="194" spans="1:13" x14ac:dyDescent="0.3">
      <c r="A194" s="6">
        <f>+'[1]VENTAS(RESUMEN GLOBAL)'!L194</f>
        <v>46029</v>
      </c>
      <c r="B194" s="6" t="str">
        <f>+'[1]VENTAS(RESUMEN GLOBAL)'!M194</f>
        <v>RIVULIS</v>
      </c>
      <c r="C194">
        <f>+'[1]VENTAS(RESUMEN GLOBAL)'!B194</f>
        <v>800200</v>
      </c>
      <c r="D194" t="str">
        <f>INDEX('[1]CÓDIGOS DE PRODUCTO'!$D$3:$D$1000,MATCH(C194,'[1]CÓDIGOS DE PRODUCTO'!$A$3:$A$1000,0))</f>
        <v>50181900 </v>
      </c>
      <c r="E194" t="str">
        <f>VLOOKUP(C194,'[1]CÓDIGOS DE PRODUCTO'!$A$4:$B$156,2,FALSE)</f>
        <v>Príncipe (6 PZ-63 GR)</v>
      </c>
      <c r="F194" t="str">
        <f>INDEX('[1]CÓDIGOS DE PRODUCTO'!$C$3:$C$1000,MATCH(C194,'[1]CÓDIGOS DE PRODUCTO'!$A$3:$A$1000,0))</f>
        <v>GALLETAS Y PAN DULCE</v>
      </c>
      <c r="G194">
        <f>+'[1]VENTAS(RESUMEN GLOBAL)'!D194-'[1]VENTAS(RESUMEN GLOBAL)'!E194</f>
        <v>3</v>
      </c>
      <c r="H194" s="9">
        <f>+'[1]VENTAS(RESUMEN GLOBAL)'!K194</f>
        <v>4.2</v>
      </c>
      <c r="I194" s="8">
        <f>+G194*'[1]VENTAS(RESUMEN GLOBAL)'!F194</f>
        <v>60</v>
      </c>
      <c r="J194" s="8">
        <f>'[1]VENTAS(RESUMEN GLOBAL)'!G194*(1-'[1]VENTAS(RESUMEN GLOBAL)'!H194)</f>
        <v>21</v>
      </c>
      <c r="K194" s="8">
        <f t="shared" si="2"/>
        <v>39</v>
      </c>
      <c r="L194" s="8">
        <f>+'[1]VENTAS(RESUMEN GLOBAL)'!J194</f>
        <v>7.8</v>
      </c>
      <c r="M194" s="8">
        <f>+Tabla1[[#This Row],[utilidad x dia]]*7</f>
        <v>54.6</v>
      </c>
    </row>
    <row r="195" spans="1:13" x14ac:dyDescent="0.3">
      <c r="A195" s="6">
        <f>+'[1]VENTAS(RESUMEN GLOBAL)'!L195</f>
        <v>46029</v>
      </c>
      <c r="B195" s="6" t="str">
        <f>+'[1]VENTAS(RESUMEN GLOBAL)'!M195</f>
        <v>RIVULIS</v>
      </c>
      <c r="C195">
        <f>+'[1]VENTAS(RESUMEN GLOBAL)'!B195</f>
        <v>100200</v>
      </c>
      <c r="D195" t="str">
        <f>INDEX('[1]CÓDIGOS DE PRODUCTO'!$D$3:$D$1000,MATCH(C195,'[1]CÓDIGOS DE PRODUCTO'!$A$3:$A$1000,0))</f>
        <v>50202300 </v>
      </c>
      <c r="E195" t="str">
        <f>VLOOKUP(C195,'[1]CÓDIGOS DE PRODUCTO'!$A$4:$B$156,2,FALSE)</f>
        <v>Agua SAMS</v>
      </c>
      <c r="F195" t="str">
        <f>INDEX('[1]CÓDIGOS DE PRODUCTO'!$C$3:$C$1000,MATCH(C195,'[1]CÓDIGOS DE PRODUCTO'!$A$3:$A$1000,0))</f>
        <v>Bebidas</v>
      </c>
      <c r="G195">
        <f>+'[1]VENTAS(RESUMEN GLOBAL)'!D195-'[1]VENTAS(RESUMEN GLOBAL)'!E195</f>
        <v>1</v>
      </c>
      <c r="H195" s="9">
        <f>+'[1]VENTAS(RESUMEN GLOBAL)'!K195</f>
        <v>1.4000000000000001</v>
      </c>
      <c r="I195" s="8">
        <f>+G195*'[1]VENTAS(RESUMEN GLOBAL)'!F195</f>
        <v>15</v>
      </c>
      <c r="J195" s="8">
        <f>'[1]VENTAS(RESUMEN GLOBAL)'!G195*(1-'[1]VENTAS(RESUMEN GLOBAL)'!H195)</f>
        <v>2.9999999999999991</v>
      </c>
      <c r="K195" s="8">
        <f t="shared" ref="K195:K258" si="3">+I195-J195</f>
        <v>12</v>
      </c>
      <c r="L195" s="8">
        <f>+'[1]VENTAS(RESUMEN GLOBAL)'!J195</f>
        <v>2.4</v>
      </c>
      <c r="M195" s="8">
        <f>+Tabla1[[#This Row],[utilidad x dia]]*7</f>
        <v>16.8</v>
      </c>
    </row>
    <row r="196" spans="1:13" x14ac:dyDescent="0.3">
      <c r="A196" s="6">
        <f>+'[1]VENTAS(RESUMEN GLOBAL)'!L196</f>
        <v>46029</v>
      </c>
      <c r="B196" s="6" t="str">
        <f>+'[1]VENTAS(RESUMEN GLOBAL)'!M196</f>
        <v>RIVULIS</v>
      </c>
      <c r="C196">
        <f>+'[1]VENTAS(RESUMEN GLOBAL)'!B196</f>
        <v>100200</v>
      </c>
      <c r="D196" t="str">
        <f>INDEX('[1]CÓDIGOS DE PRODUCTO'!$D$3:$D$1000,MATCH(C196,'[1]CÓDIGOS DE PRODUCTO'!$A$3:$A$1000,0))</f>
        <v>50202300 </v>
      </c>
      <c r="E196" t="str">
        <f>VLOOKUP(C196,'[1]CÓDIGOS DE PRODUCTO'!$A$4:$B$156,2,FALSE)</f>
        <v>Agua SAMS</v>
      </c>
      <c r="F196" t="str">
        <f>INDEX('[1]CÓDIGOS DE PRODUCTO'!$C$3:$C$1000,MATCH(C196,'[1]CÓDIGOS DE PRODUCTO'!$A$3:$A$1000,0))</f>
        <v>Bebidas</v>
      </c>
      <c r="G196">
        <f>+'[1]VENTAS(RESUMEN GLOBAL)'!D196-'[1]VENTAS(RESUMEN GLOBAL)'!E196</f>
        <v>3</v>
      </c>
      <c r="H196" s="9">
        <f>+'[1]VENTAS(RESUMEN GLOBAL)'!K196</f>
        <v>4.2</v>
      </c>
      <c r="I196" s="8">
        <f>+G196*'[1]VENTAS(RESUMEN GLOBAL)'!F196</f>
        <v>45</v>
      </c>
      <c r="J196" s="8">
        <f>'[1]VENTAS(RESUMEN GLOBAL)'!G196*(1-'[1]VENTAS(RESUMEN GLOBAL)'!H196)</f>
        <v>8.9999999999999982</v>
      </c>
      <c r="K196" s="8">
        <f t="shared" si="3"/>
        <v>36</v>
      </c>
      <c r="L196" s="8">
        <f>+'[1]VENTAS(RESUMEN GLOBAL)'!J196</f>
        <v>7.2</v>
      </c>
      <c r="M196" s="8">
        <f>+Tabla1[[#This Row],[utilidad x dia]]*7</f>
        <v>50.4</v>
      </c>
    </row>
    <row r="197" spans="1:13" x14ac:dyDescent="0.3">
      <c r="A197" s="6">
        <f>+'[1]VENTAS(RESUMEN GLOBAL)'!L197</f>
        <v>46029</v>
      </c>
      <c r="B197" s="6" t="str">
        <f>+'[1]VENTAS(RESUMEN GLOBAL)'!M197</f>
        <v>RIVULIS</v>
      </c>
      <c r="C197">
        <f>+'[1]VENTAS(RESUMEN GLOBAL)'!B197</f>
        <v>100900</v>
      </c>
      <c r="D197" t="str">
        <f>INDEX('[1]CÓDIGOS DE PRODUCTO'!$D$3:$D$1000,MATCH(C197,'[1]CÓDIGOS DE PRODUCTO'!$A$3:$A$1000,0))</f>
        <v>50202300 </v>
      </c>
      <c r="E197" t="str">
        <f>VLOOKUP(C197,'[1]CÓDIGOS DE PRODUCTO'!$A$4:$B$156,2,FALSE)</f>
        <v>VOLT</v>
      </c>
      <c r="F197" t="str">
        <f>INDEX('[1]CÓDIGOS DE PRODUCTO'!$C$3:$C$1000,MATCH(C197,'[1]CÓDIGOS DE PRODUCTO'!$A$3:$A$1000,0))</f>
        <v>Bebidas</v>
      </c>
      <c r="G197">
        <f>+'[1]VENTAS(RESUMEN GLOBAL)'!D197-'[1]VENTAS(RESUMEN GLOBAL)'!E197</f>
        <v>3</v>
      </c>
      <c r="H197" s="9">
        <f>+'[1]VENTAS(RESUMEN GLOBAL)'!K197</f>
        <v>4.2</v>
      </c>
      <c r="I197" s="8">
        <f>+G197*'[1]VENTAS(RESUMEN GLOBAL)'!F197</f>
        <v>60</v>
      </c>
      <c r="J197" s="8">
        <f>'[1]VENTAS(RESUMEN GLOBAL)'!G197*(1-'[1]VENTAS(RESUMEN GLOBAL)'!H197)</f>
        <v>42</v>
      </c>
      <c r="K197" s="8">
        <f t="shared" si="3"/>
        <v>18</v>
      </c>
      <c r="L197" s="8">
        <f>+'[1]VENTAS(RESUMEN GLOBAL)'!J197</f>
        <v>3.6</v>
      </c>
      <c r="M197" s="8">
        <f>+Tabla1[[#This Row],[utilidad x dia]]*7</f>
        <v>25.2</v>
      </c>
    </row>
    <row r="198" spans="1:13" x14ac:dyDescent="0.3">
      <c r="A198" s="6">
        <f>+'[1]VENTAS(RESUMEN GLOBAL)'!L198</f>
        <v>46029</v>
      </c>
      <c r="B198" s="6" t="str">
        <f>+'[1]VENTAS(RESUMEN GLOBAL)'!M198</f>
        <v>RIVULIS</v>
      </c>
      <c r="C198">
        <f>+'[1]VENTAS(RESUMEN GLOBAL)'!B198</f>
        <v>100300</v>
      </c>
      <c r="D198" t="str">
        <f>INDEX('[1]CÓDIGOS DE PRODUCTO'!$D$3:$D$1000,MATCH(C198,'[1]CÓDIGOS DE PRODUCTO'!$A$3:$A$1000,0))</f>
        <v>50202300 </v>
      </c>
      <c r="E198" t="str">
        <f>VLOOKUP(C198,'[1]CÓDIGOS DE PRODUCTO'!$A$4:$B$156,2,FALSE)</f>
        <v>Gatorade</v>
      </c>
      <c r="F198" t="str">
        <f>INDEX('[1]CÓDIGOS DE PRODUCTO'!$C$3:$C$1000,MATCH(C198,'[1]CÓDIGOS DE PRODUCTO'!$A$3:$A$1000,0))</f>
        <v>Bebidas</v>
      </c>
      <c r="G198">
        <f>+'[1]VENTAS(RESUMEN GLOBAL)'!D198-'[1]VENTAS(RESUMEN GLOBAL)'!E198</f>
        <v>2</v>
      </c>
      <c r="H198" s="9">
        <f>+'[1]VENTAS(RESUMEN GLOBAL)'!K198</f>
        <v>2.8000000000000003</v>
      </c>
      <c r="I198" s="8">
        <f>+G198*'[1]VENTAS(RESUMEN GLOBAL)'!F198</f>
        <v>50</v>
      </c>
      <c r="J198" s="8">
        <f>'[1]VENTAS(RESUMEN GLOBAL)'!G198*(1-'[1]VENTAS(RESUMEN GLOBAL)'!H198)</f>
        <v>32</v>
      </c>
      <c r="K198" s="8">
        <f t="shared" si="3"/>
        <v>18</v>
      </c>
      <c r="L198" s="8">
        <f>+'[1]VENTAS(RESUMEN GLOBAL)'!J198</f>
        <v>3.6</v>
      </c>
      <c r="M198" s="8">
        <f>+Tabla1[[#This Row],[utilidad x dia]]*7</f>
        <v>25.2</v>
      </c>
    </row>
    <row r="199" spans="1:13" x14ac:dyDescent="0.3">
      <c r="A199" s="6">
        <f>+'[1]VENTAS(RESUMEN GLOBAL)'!L199</f>
        <v>46029</v>
      </c>
      <c r="B199" s="6" t="str">
        <f>+'[1]VENTAS(RESUMEN GLOBAL)'!M199</f>
        <v>RIVULIS</v>
      </c>
      <c r="C199">
        <f>+'[1]VENTAS(RESUMEN GLOBAL)'!B199</f>
        <v>100800</v>
      </c>
      <c r="D199" t="str">
        <f>INDEX('[1]CÓDIGOS DE PRODUCTO'!$D$3:$D$1000,MATCH(C199,'[1]CÓDIGOS DE PRODUCTO'!$A$3:$A$1000,0))</f>
        <v>50202300 </v>
      </c>
      <c r="E199" t="str">
        <f>VLOOKUP(C199,'[1]CÓDIGOS DE PRODUCTO'!$A$4:$B$156,2,FALSE)</f>
        <v>TÉ VERDE KIRKLAND</v>
      </c>
      <c r="F199" t="str">
        <f>INDEX('[1]CÓDIGOS DE PRODUCTO'!$C$3:$C$1000,MATCH(C199,'[1]CÓDIGOS DE PRODUCTO'!$A$3:$A$1000,0))</f>
        <v>Bebidas</v>
      </c>
      <c r="G199">
        <f>+'[1]VENTAS(RESUMEN GLOBAL)'!D199-'[1]VENTAS(RESUMEN GLOBAL)'!E199</f>
        <v>1</v>
      </c>
      <c r="H199" s="9">
        <f>+'[1]VENTAS(RESUMEN GLOBAL)'!K199</f>
        <v>1.4000000000000001</v>
      </c>
      <c r="I199" s="8">
        <f>+G199*'[1]VENTAS(RESUMEN GLOBAL)'!F199</f>
        <v>18</v>
      </c>
      <c r="J199" s="8">
        <f>'[1]VENTAS(RESUMEN GLOBAL)'!G199*(1-'[1]VENTAS(RESUMEN GLOBAL)'!H199)</f>
        <v>3.419999999999999</v>
      </c>
      <c r="K199" s="8">
        <f t="shared" si="3"/>
        <v>14.580000000000002</v>
      </c>
      <c r="L199" s="8">
        <f>+'[1]VENTAS(RESUMEN GLOBAL)'!J199</f>
        <v>2.9160000000000004</v>
      </c>
      <c r="M199" s="8">
        <f>+Tabla1[[#This Row],[utilidad x dia]]*7</f>
        <v>20.412000000000003</v>
      </c>
    </row>
    <row r="200" spans="1:13" x14ac:dyDescent="0.3">
      <c r="A200" s="6">
        <f>+'[1]VENTAS(RESUMEN GLOBAL)'!L200</f>
        <v>46029</v>
      </c>
      <c r="B200" s="6" t="str">
        <f>+'[1]VENTAS(RESUMEN GLOBAL)'!M200</f>
        <v>RIVULIS</v>
      </c>
      <c r="C200">
        <f>+'[1]VENTAS(RESUMEN GLOBAL)'!B200</f>
        <v>801300</v>
      </c>
      <c r="D200" t="str">
        <f>INDEX('[1]CÓDIGOS DE PRODUCTO'!$D$3:$D$1000,MATCH(C200,'[1]CÓDIGOS DE PRODUCTO'!$A$3:$A$1000,0))</f>
        <v>50181900 </v>
      </c>
      <c r="E200" t="str">
        <f>VLOOKUP(C200,'[1]CÓDIGOS DE PRODUCTO'!$A$4:$B$156,2,FALSE)</f>
        <v>OREO GDE</v>
      </c>
      <c r="F200" t="str">
        <f>INDEX('[1]CÓDIGOS DE PRODUCTO'!$C$3:$C$1000,MATCH(C200,'[1]CÓDIGOS DE PRODUCTO'!$A$3:$A$1000,0))</f>
        <v>GALLETAS Y PAN DULCE</v>
      </c>
      <c r="G200">
        <f>+'[1]VENTAS(RESUMEN GLOBAL)'!D200-'[1]VENTAS(RESUMEN GLOBAL)'!E200</f>
        <v>7</v>
      </c>
      <c r="H200" s="9">
        <f>+'[1]VENTAS(RESUMEN GLOBAL)'!K200</f>
        <v>9.7999999999999989</v>
      </c>
      <c r="I200" s="8">
        <f>+G200*'[1]VENTAS(RESUMEN GLOBAL)'!F200</f>
        <v>210</v>
      </c>
      <c r="J200" s="8">
        <f>'[1]VENTAS(RESUMEN GLOBAL)'!G200*(1-'[1]VENTAS(RESUMEN GLOBAL)'!H200)</f>
        <v>105</v>
      </c>
      <c r="K200" s="8">
        <f t="shared" si="3"/>
        <v>105</v>
      </c>
      <c r="L200" s="8">
        <f>+'[1]VENTAS(RESUMEN GLOBAL)'!J200</f>
        <v>21</v>
      </c>
      <c r="M200" s="8">
        <f>+Tabla1[[#This Row],[utilidad x dia]]*7</f>
        <v>147</v>
      </c>
    </row>
    <row r="201" spans="1:13" x14ac:dyDescent="0.3">
      <c r="A201" s="6">
        <f>+'[1]VENTAS(RESUMEN GLOBAL)'!L201</f>
        <v>0</v>
      </c>
      <c r="B201" s="6">
        <f>+'[1]VENTAS(RESUMEN GLOBAL)'!M201</f>
        <v>0</v>
      </c>
      <c r="C201">
        <f>+'[1]VENTAS(RESUMEN GLOBAL)'!B201</f>
        <v>0</v>
      </c>
      <c r="D201" t="e">
        <f>INDEX('[1]CÓDIGOS DE PRODUCTO'!$D$3:$D$1000,MATCH(C201,'[1]CÓDIGOS DE PRODUCTO'!$A$3:$A$1000,0))</f>
        <v>#N/A</v>
      </c>
      <c r="E201">
        <f>VLOOKUP(C201,'[1]CÓDIGOS DE PRODUCTO'!$A$4:$B$156,2,FALSE)</f>
        <v>0</v>
      </c>
      <c r="F201">
        <f>INDEX('[1]CÓDIGOS DE PRODUCTO'!$C$3:$C$1000,MATCH(C201,'[1]CÓDIGOS DE PRODUCTO'!$A$3:$A$1000,0))</f>
        <v>0</v>
      </c>
      <c r="G201">
        <f>+'[1]VENTAS(RESUMEN GLOBAL)'!D201-'[1]VENTAS(RESUMEN GLOBAL)'!E201</f>
        <v>0</v>
      </c>
      <c r="H201" s="9">
        <f>+'[1]VENTAS(RESUMEN GLOBAL)'!K201</f>
        <v>0</v>
      </c>
      <c r="I201" s="8">
        <f>+G201*'[1]VENTAS(RESUMEN GLOBAL)'!F201</f>
        <v>0</v>
      </c>
      <c r="J201" s="8">
        <f>'[1]VENTAS(RESUMEN GLOBAL)'!G201*(1-'[1]VENTAS(RESUMEN GLOBAL)'!H201)</f>
        <v>0</v>
      </c>
      <c r="K201" s="8">
        <f t="shared" si="3"/>
        <v>0</v>
      </c>
      <c r="L201" s="8">
        <f>+'[1]VENTAS(RESUMEN GLOBAL)'!J201</f>
        <v>0</v>
      </c>
      <c r="M201" s="8">
        <f>+Tabla1[[#This Row],[utilidad x dia]]*7</f>
        <v>0</v>
      </c>
    </row>
    <row r="202" spans="1:13" x14ac:dyDescent="0.3">
      <c r="A202" s="6">
        <f>+'[1]VENTAS(RESUMEN GLOBAL)'!L202</f>
        <v>46034</v>
      </c>
      <c r="B202" s="6" t="str">
        <f>+'[1]VENTAS(RESUMEN GLOBAL)'!M202</f>
        <v>RIVULIS</v>
      </c>
      <c r="C202">
        <f>+'[1]VENTAS(RESUMEN GLOBAL)'!B202</f>
        <v>600300</v>
      </c>
      <c r="D202" t="str">
        <f>INDEX('[1]CÓDIGOS DE PRODUCTO'!$D$3:$D$1000,MATCH(C202,'[1]CÓDIGOS DE PRODUCTO'!$A$3:$A$1000,0))</f>
        <v>50192109 </v>
      </c>
      <c r="E202" t="str">
        <f>VLOOKUP(C202,'[1]CÓDIGOS DE PRODUCTO'!$A$4:$B$156,2,FALSE)</f>
        <v>TAKIS FUEGO</v>
      </c>
      <c r="F202" t="str">
        <f>INDEX('[1]CÓDIGOS DE PRODUCTO'!$C$3:$C$1000,MATCH(C202,'[1]CÓDIGOS DE PRODUCTO'!$A$3:$A$1000,0))</f>
        <v>Papas fritas</v>
      </c>
      <c r="G202">
        <f>+'[1]VENTAS(RESUMEN GLOBAL)'!D202-'[1]VENTAS(RESUMEN GLOBAL)'!E202</f>
        <v>12</v>
      </c>
      <c r="H202" s="9">
        <f>+'[1]VENTAS(RESUMEN GLOBAL)'!K202</f>
        <v>16.8</v>
      </c>
      <c r="I202" s="8">
        <f>+G202*'[1]VENTAS(RESUMEN GLOBAL)'!F202</f>
        <v>300</v>
      </c>
      <c r="J202" s="8">
        <f>'[1]VENTAS(RESUMEN GLOBAL)'!G202*(1-'[1]VENTAS(RESUMEN GLOBAL)'!H202)</f>
        <v>123.00000000000001</v>
      </c>
      <c r="K202" s="8">
        <f t="shared" si="3"/>
        <v>177</v>
      </c>
      <c r="L202" s="8">
        <f>+'[1]VENTAS(RESUMEN GLOBAL)'!J202</f>
        <v>35.4</v>
      </c>
      <c r="M202" s="8">
        <f>+Tabla1[[#This Row],[utilidad x dia]]*7</f>
        <v>247.79999999999998</v>
      </c>
    </row>
    <row r="203" spans="1:13" x14ac:dyDescent="0.3">
      <c r="A203" s="6">
        <f>+'[1]VENTAS(RESUMEN GLOBAL)'!L203</f>
        <v>46034</v>
      </c>
      <c r="B203" s="6" t="str">
        <f>+'[1]VENTAS(RESUMEN GLOBAL)'!M203</f>
        <v>RIVULIS</v>
      </c>
      <c r="C203">
        <f>+'[1]VENTAS(RESUMEN GLOBAL)'!B203</f>
        <v>6005101</v>
      </c>
      <c r="D203" t="str">
        <f>INDEX('[1]CÓDIGOS DE PRODUCTO'!$D$3:$D$1000,MATCH(C203,'[1]CÓDIGOS DE PRODUCTO'!$A$3:$A$1000,0))</f>
        <v>50192109 </v>
      </c>
      <c r="E203" t="str">
        <f>VLOOKUP(C203,'[1]CÓDIGOS DE PRODUCTO'!$A$4:$B$156,2,FALSE)</f>
        <v>SABRITAS AMARILLAS</v>
      </c>
      <c r="F203" t="str">
        <f>INDEX('[1]CÓDIGOS DE PRODUCTO'!$C$3:$C$1000,MATCH(C203,'[1]CÓDIGOS DE PRODUCTO'!$A$3:$A$1000,0))</f>
        <v>Papas fritas</v>
      </c>
      <c r="G203">
        <f>+'[1]VENTAS(RESUMEN GLOBAL)'!D203-'[1]VENTAS(RESUMEN GLOBAL)'!E203</f>
        <v>6</v>
      </c>
      <c r="H203" s="9">
        <f>+'[1]VENTAS(RESUMEN GLOBAL)'!K203</f>
        <v>8.4</v>
      </c>
      <c r="I203" s="8">
        <f>+G203*'[1]VENTAS(RESUMEN GLOBAL)'!F203</f>
        <v>150</v>
      </c>
      <c r="J203" s="8">
        <f>'[1]VENTAS(RESUMEN GLOBAL)'!G203*(1-'[1]VENTAS(RESUMEN GLOBAL)'!H203)</f>
        <v>50.999999999999993</v>
      </c>
      <c r="K203" s="8">
        <f t="shared" si="3"/>
        <v>99</v>
      </c>
      <c r="L203" s="8">
        <f>+'[1]VENTAS(RESUMEN GLOBAL)'!J203</f>
        <v>19.8</v>
      </c>
      <c r="M203" s="8">
        <f>+Tabla1[[#This Row],[utilidad x dia]]*7</f>
        <v>138.6</v>
      </c>
    </row>
    <row r="204" spans="1:13" x14ac:dyDescent="0.3">
      <c r="A204" s="6">
        <f>+'[1]VENTAS(RESUMEN GLOBAL)'!L204</f>
        <v>46034</v>
      </c>
      <c r="B204" s="6" t="str">
        <f>+'[1]VENTAS(RESUMEN GLOBAL)'!M204</f>
        <v>RIVULIS</v>
      </c>
      <c r="C204">
        <f>+'[1]VENTAS(RESUMEN GLOBAL)'!B204</f>
        <v>6005102</v>
      </c>
      <c r="D204" t="str">
        <f>INDEX('[1]CÓDIGOS DE PRODUCTO'!$D$3:$D$1000,MATCH(C204,'[1]CÓDIGOS DE PRODUCTO'!$A$3:$A$1000,0))</f>
        <v>50192109 </v>
      </c>
      <c r="E204" t="str">
        <f>VLOOKUP(C204,'[1]CÓDIGOS DE PRODUCTO'!$A$4:$B$156,2,FALSE)</f>
        <v>RUFFLES</v>
      </c>
      <c r="F204" t="str">
        <f>INDEX('[1]CÓDIGOS DE PRODUCTO'!$C$3:$C$1000,MATCH(C204,'[1]CÓDIGOS DE PRODUCTO'!$A$3:$A$1000,0))</f>
        <v>Papas fritas</v>
      </c>
      <c r="G204">
        <f>+'[1]VENTAS(RESUMEN GLOBAL)'!D204-'[1]VENTAS(RESUMEN GLOBAL)'!E204</f>
        <v>5</v>
      </c>
      <c r="H204" s="9">
        <f>+'[1]VENTAS(RESUMEN GLOBAL)'!K204</f>
        <v>7</v>
      </c>
      <c r="I204" s="8">
        <f>+G204*'[1]VENTAS(RESUMEN GLOBAL)'!F204</f>
        <v>125</v>
      </c>
      <c r="J204" s="8">
        <f>'[1]VENTAS(RESUMEN GLOBAL)'!G204*(1-'[1]VENTAS(RESUMEN GLOBAL)'!H204)</f>
        <v>42.499999999999993</v>
      </c>
      <c r="K204" s="8">
        <f t="shared" si="3"/>
        <v>82.5</v>
      </c>
      <c r="L204" s="8">
        <f>+'[1]VENTAS(RESUMEN GLOBAL)'!J204</f>
        <v>16.5</v>
      </c>
      <c r="M204" s="8">
        <f>+Tabla1[[#This Row],[utilidad x dia]]*7</f>
        <v>115.5</v>
      </c>
    </row>
    <row r="205" spans="1:13" x14ac:dyDescent="0.3">
      <c r="A205" s="6">
        <f>+'[1]VENTAS(RESUMEN GLOBAL)'!L205</f>
        <v>46034</v>
      </c>
      <c r="B205" s="6" t="str">
        <f>+'[1]VENTAS(RESUMEN GLOBAL)'!M205</f>
        <v>RIVULIS</v>
      </c>
      <c r="C205">
        <f>+'[1]VENTAS(RESUMEN GLOBAL)'!B205</f>
        <v>6005103</v>
      </c>
      <c r="D205" t="str">
        <f>INDEX('[1]CÓDIGOS DE PRODUCTO'!$D$3:$D$1000,MATCH(C205,'[1]CÓDIGOS DE PRODUCTO'!$A$3:$A$1000,0))</f>
        <v>50192109 </v>
      </c>
      <c r="E205" t="str">
        <f>VLOOKUP(C205,'[1]CÓDIGOS DE PRODUCTO'!$A$4:$B$156,2,FALSE)</f>
        <v>DORITOS ROJOS</v>
      </c>
      <c r="F205" t="str">
        <f>INDEX('[1]CÓDIGOS DE PRODUCTO'!$C$3:$C$1000,MATCH(C205,'[1]CÓDIGOS DE PRODUCTO'!$A$3:$A$1000,0))</f>
        <v>Papas fritas</v>
      </c>
      <c r="G205">
        <f>+'[1]VENTAS(RESUMEN GLOBAL)'!D205-'[1]VENTAS(RESUMEN GLOBAL)'!E205</f>
        <v>3</v>
      </c>
      <c r="H205" s="9">
        <f>+'[1]VENTAS(RESUMEN GLOBAL)'!K205</f>
        <v>4.2</v>
      </c>
      <c r="I205" s="8">
        <f>+G205*'[1]VENTAS(RESUMEN GLOBAL)'!F205</f>
        <v>75</v>
      </c>
      <c r="J205" s="8">
        <f>'[1]VENTAS(RESUMEN GLOBAL)'!G205*(1-'[1]VENTAS(RESUMEN GLOBAL)'!H205)</f>
        <v>25.499999999999996</v>
      </c>
      <c r="K205" s="8">
        <f t="shared" si="3"/>
        <v>49.5</v>
      </c>
      <c r="L205" s="8">
        <f>+'[1]VENTAS(RESUMEN GLOBAL)'!J205</f>
        <v>9.9</v>
      </c>
      <c r="M205" s="8">
        <f>+Tabla1[[#This Row],[utilidad x dia]]*7</f>
        <v>69.3</v>
      </c>
    </row>
    <row r="206" spans="1:13" x14ac:dyDescent="0.3">
      <c r="A206" s="6">
        <f>+'[1]VENTAS(RESUMEN GLOBAL)'!L206</f>
        <v>46034</v>
      </c>
      <c r="B206" s="6" t="str">
        <f>+'[1]VENTAS(RESUMEN GLOBAL)'!M206</f>
        <v>RIVULIS</v>
      </c>
      <c r="C206">
        <f>+'[1]VENTAS(RESUMEN GLOBAL)'!B206</f>
        <v>600101</v>
      </c>
      <c r="D206" t="str">
        <f>INDEX('[1]CÓDIGOS DE PRODUCTO'!$D$3:$D$1000,MATCH(C206,'[1]CÓDIGOS DE PRODUCTO'!$A$3:$A$1000,0))</f>
        <v>50192109 </v>
      </c>
      <c r="E206" t="str">
        <f>VLOOKUP(C206,'[1]CÓDIGOS DE PRODUCTO'!$A$4:$B$156,2,FALSE)</f>
        <v>CHIPS VERDES</v>
      </c>
      <c r="F206" t="str">
        <f>INDEX('[1]CÓDIGOS DE PRODUCTO'!$C$3:$C$1000,MATCH(C206,'[1]CÓDIGOS DE PRODUCTO'!$A$3:$A$1000,0))</f>
        <v>Papas fritas</v>
      </c>
      <c r="G206">
        <f>+'[1]VENTAS(RESUMEN GLOBAL)'!D206-'[1]VENTAS(RESUMEN GLOBAL)'!E206</f>
        <v>2</v>
      </c>
      <c r="H206" s="9">
        <f>+'[1]VENTAS(RESUMEN GLOBAL)'!K206</f>
        <v>2.8000000000000003</v>
      </c>
      <c r="I206" s="8">
        <f>+G206*'[1]VENTAS(RESUMEN GLOBAL)'!F206</f>
        <v>50</v>
      </c>
      <c r="J206" s="8">
        <f>'[1]VENTAS(RESUMEN GLOBAL)'!G206*(1-'[1]VENTAS(RESUMEN GLOBAL)'!H206)</f>
        <v>18</v>
      </c>
      <c r="K206" s="8">
        <f t="shared" si="3"/>
        <v>32</v>
      </c>
      <c r="L206" s="8">
        <f>+'[1]VENTAS(RESUMEN GLOBAL)'!J206</f>
        <v>6.4</v>
      </c>
      <c r="M206" s="8">
        <f>+Tabla1[[#This Row],[utilidad x dia]]*7</f>
        <v>44.800000000000004</v>
      </c>
    </row>
    <row r="207" spans="1:13" x14ac:dyDescent="0.3">
      <c r="A207" s="6">
        <f>+'[1]VENTAS(RESUMEN GLOBAL)'!L207</f>
        <v>46034</v>
      </c>
      <c r="B207" s="6" t="str">
        <f>+'[1]VENTAS(RESUMEN GLOBAL)'!M207</f>
        <v>RIVULIS</v>
      </c>
      <c r="C207">
        <f>+'[1]VENTAS(RESUMEN GLOBAL)'!B207</f>
        <v>600102</v>
      </c>
      <c r="D207" t="str">
        <f>INDEX('[1]CÓDIGOS DE PRODUCTO'!$D$3:$D$1000,MATCH(C207,'[1]CÓDIGOS DE PRODUCTO'!$A$3:$A$1000,0))</f>
        <v>50192109 </v>
      </c>
      <c r="E207" t="str">
        <f>VLOOKUP(C207,'[1]CÓDIGOS DE PRODUCTO'!$A$4:$B$156,2,FALSE)</f>
        <v>RUNNERS</v>
      </c>
      <c r="F207" t="str">
        <f>INDEX('[1]CÓDIGOS DE PRODUCTO'!$C$3:$C$1000,MATCH(C207,'[1]CÓDIGOS DE PRODUCTO'!$A$3:$A$1000,0))</f>
        <v>Papas fritas</v>
      </c>
      <c r="G207">
        <f>+'[1]VENTAS(RESUMEN GLOBAL)'!D207-'[1]VENTAS(RESUMEN GLOBAL)'!E207</f>
        <v>2</v>
      </c>
      <c r="H207" s="9">
        <f>+'[1]VENTAS(RESUMEN GLOBAL)'!K207</f>
        <v>2.8000000000000003</v>
      </c>
      <c r="I207" s="8">
        <f>+G207*'[1]VENTAS(RESUMEN GLOBAL)'!F207</f>
        <v>50</v>
      </c>
      <c r="J207" s="8">
        <f>'[1]VENTAS(RESUMEN GLOBAL)'!G207*(1-'[1]VENTAS(RESUMEN GLOBAL)'!H207)</f>
        <v>18</v>
      </c>
      <c r="K207" s="8">
        <f t="shared" si="3"/>
        <v>32</v>
      </c>
      <c r="L207" s="8">
        <f>+'[1]VENTAS(RESUMEN GLOBAL)'!J207</f>
        <v>6.4</v>
      </c>
      <c r="M207" s="8">
        <f>+Tabla1[[#This Row],[utilidad x dia]]*7</f>
        <v>44.800000000000004</v>
      </c>
    </row>
    <row r="208" spans="1:13" x14ac:dyDescent="0.3">
      <c r="A208" s="6">
        <f>+'[1]VENTAS(RESUMEN GLOBAL)'!L208</f>
        <v>46034</v>
      </c>
      <c r="B208" s="6" t="str">
        <f>+'[1]VENTAS(RESUMEN GLOBAL)'!M208</f>
        <v>RIVULIS</v>
      </c>
      <c r="C208">
        <f>+'[1]VENTAS(RESUMEN GLOBAL)'!B208</f>
        <v>6005104</v>
      </c>
      <c r="D208" t="str">
        <f>INDEX('[1]CÓDIGOS DE PRODUCTO'!$D$3:$D$1000,MATCH(C208,'[1]CÓDIGOS DE PRODUCTO'!$A$3:$A$1000,0))</f>
        <v>50192109 </v>
      </c>
      <c r="E208" t="str">
        <f>VLOOKUP(C208,'[1]CÓDIGOS DE PRODUCTO'!$A$4:$B$156,2,FALSE)</f>
        <v>RANCHERITOS</v>
      </c>
      <c r="F208" t="str">
        <f>INDEX('[1]CÓDIGOS DE PRODUCTO'!$C$3:$C$1000,MATCH(C208,'[1]CÓDIGOS DE PRODUCTO'!$A$3:$A$1000,0))</f>
        <v>Papas fritas</v>
      </c>
      <c r="G208">
        <f>+'[1]VENTAS(RESUMEN GLOBAL)'!D208-'[1]VENTAS(RESUMEN GLOBAL)'!E208</f>
        <v>1</v>
      </c>
      <c r="H208" s="9">
        <f>+'[1]VENTAS(RESUMEN GLOBAL)'!K208</f>
        <v>1.4000000000000001</v>
      </c>
      <c r="I208" s="8">
        <f>+G208*'[1]VENTAS(RESUMEN GLOBAL)'!F208</f>
        <v>25</v>
      </c>
      <c r="J208" s="8">
        <f>'[1]VENTAS(RESUMEN GLOBAL)'!G208*(1-'[1]VENTAS(RESUMEN GLOBAL)'!H208)</f>
        <v>8.5</v>
      </c>
      <c r="K208" s="8">
        <f t="shared" si="3"/>
        <v>16.5</v>
      </c>
      <c r="L208" s="8">
        <f>+'[1]VENTAS(RESUMEN GLOBAL)'!J208</f>
        <v>3.3</v>
      </c>
      <c r="M208" s="8">
        <f>+Tabla1[[#This Row],[utilidad x dia]]*7</f>
        <v>23.099999999999998</v>
      </c>
    </row>
    <row r="209" spans="1:13" x14ac:dyDescent="0.3">
      <c r="A209" s="6">
        <f>+'[1]VENTAS(RESUMEN GLOBAL)'!L209</f>
        <v>46034</v>
      </c>
      <c r="B209" s="6" t="str">
        <f>+'[1]VENTAS(RESUMEN GLOBAL)'!M209</f>
        <v>RIVULIS</v>
      </c>
      <c r="C209">
        <f>+'[1]VENTAS(RESUMEN GLOBAL)'!B209</f>
        <v>600600</v>
      </c>
      <c r="D209" t="str">
        <f>INDEX('[1]CÓDIGOS DE PRODUCTO'!$D$3:$D$1000,MATCH(C209,'[1]CÓDIGOS DE PRODUCTO'!$A$3:$A$1000,0))</f>
        <v>50192109 </v>
      </c>
      <c r="E209" t="str">
        <f>VLOOKUP(C209,'[1]CÓDIGOS DE PRODUCTO'!$A$4:$B$156,2,FALSE)</f>
        <v>CHICHARRON SURTIDO</v>
      </c>
      <c r="F209" t="str">
        <f>INDEX('[1]CÓDIGOS DE PRODUCTO'!$C$3:$C$1000,MATCH(C209,'[1]CÓDIGOS DE PRODUCTO'!$A$3:$A$1000,0))</f>
        <v>Papas fritas</v>
      </c>
      <c r="G209">
        <f>+'[1]VENTAS(RESUMEN GLOBAL)'!D209-'[1]VENTAS(RESUMEN GLOBAL)'!E209</f>
        <v>2</v>
      </c>
      <c r="H209" s="9">
        <f>+'[1]VENTAS(RESUMEN GLOBAL)'!K209</f>
        <v>2.8000000000000003</v>
      </c>
      <c r="I209" s="8">
        <f>+G209*'[1]VENTAS(RESUMEN GLOBAL)'!F209</f>
        <v>50</v>
      </c>
      <c r="J209" s="8">
        <f>'[1]VENTAS(RESUMEN GLOBAL)'!G209*(1-'[1]VENTAS(RESUMEN GLOBAL)'!H209)</f>
        <v>23.5</v>
      </c>
      <c r="K209" s="8">
        <f t="shared" si="3"/>
        <v>26.5</v>
      </c>
      <c r="L209" s="8">
        <f>+'[1]VENTAS(RESUMEN GLOBAL)'!J209</f>
        <v>5.3</v>
      </c>
      <c r="M209" s="8">
        <f>+Tabla1[[#This Row],[utilidad x dia]]*7</f>
        <v>37.1</v>
      </c>
    </row>
    <row r="210" spans="1:13" x14ac:dyDescent="0.3">
      <c r="A210" s="6">
        <f>+'[1]VENTAS(RESUMEN GLOBAL)'!L210</f>
        <v>46034</v>
      </c>
      <c r="B210" s="6" t="str">
        <f>+'[1]VENTAS(RESUMEN GLOBAL)'!M210</f>
        <v>RIVULIS</v>
      </c>
      <c r="C210">
        <f>+'[1]VENTAS(RESUMEN GLOBAL)'!B210</f>
        <v>600500</v>
      </c>
      <c r="D210" t="str">
        <f>INDEX('[1]CÓDIGOS DE PRODUCTO'!$D$3:$D$1000,MATCH(C210,'[1]CÓDIGOS DE PRODUCTO'!$A$3:$A$1000,0))</f>
        <v>50192109 </v>
      </c>
      <c r="E210" t="str">
        <f>VLOOKUP(C210,'[1]CÓDIGOS DE PRODUCTO'!$A$4:$B$156,2,FALSE)</f>
        <v>SABRIMAYOREO</v>
      </c>
      <c r="F210" t="str">
        <f>INDEX('[1]CÓDIGOS DE PRODUCTO'!$C$3:$C$1000,MATCH(C210,'[1]CÓDIGOS DE PRODUCTO'!$A$3:$A$1000,0))</f>
        <v>Papas fritas</v>
      </c>
      <c r="G210">
        <f>+'[1]VENTAS(RESUMEN GLOBAL)'!D210-'[1]VENTAS(RESUMEN GLOBAL)'!E210</f>
        <v>0</v>
      </c>
      <c r="H210" s="9">
        <f>+'[1]VENTAS(RESUMEN GLOBAL)'!K210</f>
        <v>0</v>
      </c>
      <c r="I210" s="8">
        <f>+G210*'[1]VENTAS(RESUMEN GLOBAL)'!F210</f>
        <v>0</v>
      </c>
      <c r="J210" s="8">
        <f>'[1]VENTAS(RESUMEN GLOBAL)'!G210*(1-'[1]VENTAS(RESUMEN GLOBAL)'!H210)</f>
        <v>0</v>
      </c>
      <c r="K210" s="8">
        <f t="shared" si="3"/>
        <v>0</v>
      </c>
      <c r="L210" s="8">
        <f>+'[1]VENTAS(RESUMEN GLOBAL)'!J210</f>
        <v>0</v>
      </c>
      <c r="M210" s="8">
        <f>+Tabla1[[#This Row],[utilidad x dia]]*7</f>
        <v>0</v>
      </c>
    </row>
    <row r="211" spans="1:13" x14ac:dyDescent="0.3">
      <c r="A211" s="6">
        <f>+'[1]VENTAS(RESUMEN GLOBAL)'!L211</f>
        <v>46034</v>
      </c>
      <c r="B211" s="6" t="str">
        <f>+'[1]VENTAS(RESUMEN GLOBAL)'!M211</f>
        <v>RIVULIS</v>
      </c>
      <c r="C211">
        <f>+'[1]VENTAS(RESUMEN GLOBAL)'!B211</f>
        <v>600400</v>
      </c>
      <c r="D211" t="str">
        <f>INDEX('[1]CÓDIGOS DE PRODUCTO'!$D$3:$D$1000,MATCH(C211,'[1]CÓDIGOS DE PRODUCTO'!$A$3:$A$1000,0))</f>
        <v>50192109 </v>
      </c>
      <c r="E211" t="str">
        <f>VLOOKUP(C211,'[1]CÓDIGOS DE PRODUCTO'!$A$4:$B$156,2,FALSE)</f>
        <v>FRITOS (CHORIZO U OTROS)</v>
      </c>
      <c r="F211" t="str">
        <f>INDEX('[1]CÓDIGOS DE PRODUCTO'!$C$3:$C$1000,MATCH(C211,'[1]CÓDIGOS DE PRODUCTO'!$A$3:$A$1000,0))</f>
        <v>Papas fritas</v>
      </c>
      <c r="G211">
        <f>+'[1]VENTAS(RESUMEN GLOBAL)'!D211-'[1]VENTAS(RESUMEN GLOBAL)'!E211</f>
        <v>6</v>
      </c>
      <c r="H211" s="9">
        <f>+'[1]VENTAS(RESUMEN GLOBAL)'!K211</f>
        <v>8.4</v>
      </c>
      <c r="I211" s="8">
        <f>+G211*'[1]VENTAS(RESUMEN GLOBAL)'!F211</f>
        <v>120</v>
      </c>
      <c r="J211" s="8">
        <f>'[1]VENTAS(RESUMEN GLOBAL)'!G211*(1-'[1]VENTAS(RESUMEN GLOBAL)'!H211)</f>
        <v>49.2</v>
      </c>
      <c r="K211" s="8">
        <f t="shared" si="3"/>
        <v>70.8</v>
      </c>
      <c r="L211" s="8">
        <f>+'[1]VENTAS(RESUMEN GLOBAL)'!J211</f>
        <v>14.16</v>
      </c>
      <c r="M211" s="8">
        <f>+Tabla1[[#This Row],[utilidad x dia]]*7</f>
        <v>99.12</v>
      </c>
    </row>
    <row r="212" spans="1:13" x14ac:dyDescent="0.3">
      <c r="A212" s="6">
        <f>+'[1]VENTAS(RESUMEN GLOBAL)'!L212</f>
        <v>46034</v>
      </c>
      <c r="B212" s="6" t="str">
        <f>+'[1]VENTAS(RESUMEN GLOBAL)'!M212</f>
        <v>RIVULIS</v>
      </c>
      <c r="C212">
        <f>+'[1]VENTAS(RESUMEN GLOBAL)'!B212</f>
        <v>100400</v>
      </c>
      <c r="D212" t="str">
        <f>INDEX('[1]CÓDIGOS DE PRODUCTO'!$D$3:$D$1000,MATCH(C212,'[1]CÓDIGOS DE PRODUCTO'!$A$3:$A$1000,0))</f>
        <v>50202300 </v>
      </c>
      <c r="E212" t="str">
        <f>VLOOKUP(C212,'[1]CÓDIGOS DE PRODUCTO'!$A$4:$B$156,2,FALSE)</f>
        <v>Jumex</v>
      </c>
      <c r="F212" t="str">
        <f>INDEX('[1]CÓDIGOS DE PRODUCTO'!$C$3:$C$1000,MATCH(C212,'[1]CÓDIGOS DE PRODUCTO'!$A$3:$A$1000,0))</f>
        <v>Bebidas</v>
      </c>
      <c r="G212">
        <f>+'[1]VENTAS(RESUMEN GLOBAL)'!D212-'[1]VENTAS(RESUMEN GLOBAL)'!E212</f>
        <v>2</v>
      </c>
      <c r="H212" s="9">
        <f>+'[1]VENTAS(RESUMEN GLOBAL)'!K212</f>
        <v>2.8000000000000003</v>
      </c>
      <c r="I212" s="8">
        <f>+G212*'[1]VENTAS(RESUMEN GLOBAL)'!F212</f>
        <v>30</v>
      </c>
      <c r="J212" s="8">
        <f>'[1]VENTAS(RESUMEN GLOBAL)'!G212*(1-'[1]VENTAS(RESUMEN GLOBAL)'!H212)</f>
        <v>15</v>
      </c>
      <c r="K212" s="8">
        <f t="shared" si="3"/>
        <v>15</v>
      </c>
      <c r="L212" s="8">
        <f>+'[1]VENTAS(RESUMEN GLOBAL)'!J212</f>
        <v>3</v>
      </c>
      <c r="M212" s="8">
        <f>+Tabla1[[#This Row],[utilidad x dia]]*7</f>
        <v>21</v>
      </c>
    </row>
    <row r="213" spans="1:13" x14ac:dyDescent="0.3">
      <c r="A213" s="6">
        <f>+'[1]VENTAS(RESUMEN GLOBAL)'!L213</f>
        <v>46034</v>
      </c>
      <c r="B213" s="6" t="str">
        <f>+'[1]VENTAS(RESUMEN GLOBAL)'!M213</f>
        <v>RIVULIS</v>
      </c>
      <c r="C213">
        <f>+'[1]VENTAS(RESUMEN GLOBAL)'!B213</f>
        <v>100400</v>
      </c>
      <c r="D213" t="str">
        <f>INDEX('[1]CÓDIGOS DE PRODUCTO'!$D$3:$D$1000,MATCH(C213,'[1]CÓDIGOS DE PRODUCTO'!$A$3:$A$1000,0))</f>
        <v>50202300 </v>
      </c>
      <c r="E213" t="str">
        <f>VLOOKUP(C213,'[1]CÓDIGOS DE PRODUCTO'!$A$4:$B$156,2,FALSE)</f>
        <v>Jumex</v>
      </c>
      <c r="F213" t="str">
        <f>INDEX('[1]CÓDIGOS DE PRODUCTO'!$C$3:$C$1000,MATCH(C213,'[1]CÓDIGOS DE PRODUCTO'!$A$3:$A$1000,0))</f>
        <v>Bebidas</v>
      </c>
      <c r="G213">
        <f>+'[1]VENTAS(RESUMEN GLOBAL)'!D213-'[1]VENTAS(RESUMEN GLOBAL)'!E213</f>
        <v>2</v>
      </c>
      <c r="H213" s="9">
        <f>+'[1]VENTAS(RESUMEN GLOBAL)'!K213</f>
        <v>2.8000000000000003</v>
      </c>
      <c r="I213" s="8">
        <f>+G213*'[1]VENTAS(RESUMEN GLOBAL)'!F213</f>
        <v>30</v>
      </c>
      <c r="J213" s="8">
        <f>'[1]VENTAS(RESUMEN GLOBAL)'!G213*(1-'[1]VENTAS(RESUMEN GLOBAL)'!H213)</f>
        <v>15</v>
      </c>
      <c r="K213" s="8">
        <f t="shared" si="3"/>
        <v>15</v>
      </c>
      <c r="L213" s="8">
        <f>+'[1]VENTAS(RESUMEN GLOBAL)'!J213</f>
        <v>3</v>
      </c>
      <c r="M213" s="8">
        <f>+Tabla1[[#This Row],[utilidad x dia]]*7</f>
        <v>21</v>
      </c>
    </row>
    <row r="214" spans="1:13" x14ac:dyDescent="0.3">
      <c r="A214" s="6">
        <f>+'[1]VENTAS(RESUMEN GLOBAL)'!L214</f>
        <v>46034</v>
      </c>
      <c r="B214" s="6" t="str">
        <f>+'[1]VENTAS(RESUMEN GLOBAL)'!M214</f>
        <v>RIVULIS</v>
      </c>
      <c r="C214">
        <f>+'[1]VENTAS(RESUMEN GLOBAL)'!B214</f>
        <v>100600</v>
      </c>
      <c r="D214" t="str">
        <f>INDEX('[1]CÓDIGOS DE PRODUCTO'!$D$3:$D$1000,MATCH(C214,'[1]CÓDIGOS DE PRODUCTO'!$A$3:$A$1000,0))</f>
        <v>50202300 </v>
      </c>
      <c r="E214" t="str">
        <f>VLOOKUP(C214,'[1]CÓDIGOS DE PRODUCTO'!$A$4:$B$156,2,FALSE)</f>
        <v>Leche santa clara</v>
      </c>
      <c r="F214" t="str">
        <f>INDEX('[1]CÓDIGOS DE PRODUCTO'!$C$3:$C$1000,MATCH(C214,'[1]CÓDIGOS DE PRODUCTO'!$A$3:$A$1000,0))</f>
        <v>Bebidas</v>
      </c>
      <c r="G214">
        <f>+'[1]VENTAS(RESUMEN GLOBAL)'!D214-'[1]VENTAS(RESUMEN GLOBAL)'!E214</f>
        <v>1</v>
      </c>
      <c r="H214" s="9">
        <f>+'[1]VENTAS(RESUMEN GLOBAL)'!K214</f>
        <v>1.4000000000000001</v>
      </c>
      <c r="I214" s="8">
        <f>+G214*'[1]VENTAS(RESUMEN GLOBAL)'!F214</f>
        <v>15</v>
      </c>
      <c r="J214" s="8">
        <f>'[1]VENTAS(RESUMEN GLOBAL)'!G214*(1-'[1]VENTAS(RESUMEN GLOBAL)'!H214)</f>
        <v>8.5500000000000007</v>
      </c>
      <c r="K214" s="8">
        <f t="shared" si="3"/>
        <v>6.4499999999999993</v>
      </c>
      <c r="L214" s="8">
        <f>+'[1]VENTAS(RESUMEN GLOBAL)'!J214</f>
        <v>1.29</v>
      </c>
      <c r="M214" s="8">
        <f>+Tabla1[[#This Row],[utilidad x dia]]*7</f>
        <v>9.0300000000000011</v>
      </c>
    </row>
    <row r="215" spans="1:13" x14ac:dyDescent="0.3">
      <c r="A215" s="6">
        <f>+'[1]VENTAS(RESUMEN GLOBAL)'!L215</f>
        <v>46034</v>
      </c>
      <c r="B215" s="6" t="str">
        <f>+'[1]VENTAS(RESUMEN GLOBAL)'!M215</f>
        <v>RIVULIS</v>
      </c>
      <c r="C215">
        <f>+'[1]VENTAS(RESUMEN GLOBAL)'!B215</f>
        <v>100600</v>
      </c>
      <c r="D215" t="str">
        <f>INDEX('[1]CÓDIGOS DE PRODUCTO'!$D$3:$D$1000,MATCH(C215,'[1]CÓDIGOS DE PRODUCTO'!$A$3:$A$1000,0))</f>
        <v>50202300 </v>
      </c>
      <c r="E215" t="str">
        <f>VLOOKUP(C215,'[1]CÓDIGOS DE PRODUCTO'!$A$4:$B$156,2,FALSE)</f>
        <v>Leche santa clara</v>
      </c>
      <c r="F215" t="str">
        <f>INDEX('[1]CÓDIGOS DE PRODUCTO'!$C$3:$C$1000,MATCH(C215,'[1]CÓDIGOS DE PRODUCTO'!$A$3:$A$1000,0))</f>
        <v>Bebidas</v>
      </c>
      <c r="G215">
        <f>+'[1]VENTAS(RESUMEN GLOBAL)'!D215-'[1]VENTAS(RESUMEN GLOBAL)'!E215</f>
        <v>2</v>
      </c>
      <c r="H215" s="9">
        <f>+'[1]VENTAS(RESUMEN GLOBAL)'!K215</f>
        <v>2.8000000000000003</v>
      </c>
      <c r="I215" s="8">
        <f>+G215*'[1]VENTAS(RESUMEN GLOBAL)'!F215</f>
        <v>30</v>
      </c>
      <c r="J215" s="8">
        <f>'[1]VENTAS(RESUMEN GLOBAL)'!G215*(1-'[1]VENTAS(RESUMEN GLOBAL)'!H215)</f>
        <v>17.100000000000001</v>
      </c>
      <c r="K215" s="8">
        <f t="shared" si="3"/>
        <v>12.899999999999999</v>
      </c>
      <c r="L215" s="8">
        <f>+'[1]VENTAS(RESUMEN GLOBAL)'!J215</f>
        <v>2.58</v>
      </c>
      <c r="M215" s="8">
        <f>+Tabla1[[#This Row],[utilidad x dia]]*7</f>
        <v>18.060000000000002</v>
      </c>
    </row>
    <row r="216" spans="1:13" x14ac:dyDescent="0.3">
      <c r="A216" s="6">
        <f>+'[1]VENTAS(RESUMEN GLOBAL)'!L216</f>
        <v>46034</v>
      </c>
      <c r="B216" s="6" t="str">
        <f>+'[1]VENTAS(RESUMEN GLOBAL)'!M216</f>
        <v>RIVULIS</v>
      </c>
      <c r="C216">
        <f>+'[1]VENTAS(RESUMEN GLOBAL)'!B216</f>
        <v>800900</v>
      </c>
      <c r="D216" t="str">
        <f>INDEX('[1]CÓDIGOS DE PRODUCTO'!$D$3:$D$1000,MATCH(C216,'[1]CÓDIGOS DE PRODUCTO'!$A$3:$A$1000,0))</f>
        <v>50181900 </v>
      </c>
      <c r="E216" t="str">
        <f>VLOOKUP(C216,'[1]CÓDIGOS DE PRODUCTO'!$A$4:$B$156,2,FALSE)</f>
        <v>MANTECADAS</v>
      </c>
      <c r="F216" t="str">
        <f>INDEX('[1]CÓDIGOS DE PRODUCTO'!$C$3:$C$1000,MATCH(C216,'[1]CÓDIGOS DE PRODUCTO'!$A$3:$A$1000,0))</f>
        <v>GALLETAS Y PAN DULCE</v>
      </c>
      <c r="G216">
        <f>+'[1]VENTAS(RESUMEN GLOBAL)'!D216-'[1]VENTAS(RESUMEN GLOBAL)'!E216</f>
        <v>3</v>
      </c>
      <c r="H216" s="9">
        <f>+'[1]VENTAS(RESUMEN GLOBAL)'!K216</f>
        <v>4.2</v>
      </c>
      <c r="I216" s="8">
        <f>+G216*'[1]VENTAS(RESUMEN GLOBAL)'!F216</f>
        <v>60</v>
      </c>
      <c r="J216" s="8">
        <f>'[1]VENTAS(RESUMEN GLOBAL)'!G216*(1-'[1]VENTAS(RESUMEN GLOBAL)'!H216)</f>
        <v>29.4</v>
      </c>
      <c r="K216" s="8">
        <f t="shared" si="3"/>
        <v>30.6</v>
      </c>
      <c r="L216" s="8">
        <f>+'[1]VENTAS(RESUMEN GLOBAL)'!J216</f>
        <v>6.12</v>
      </c>
      <c r="M216" s="8">
        <f>+Tabla1[[#This Row],[utilidad x dia]]*7</f>
        <v>42.84</v>
      </c>
    </row>
    <row r="217" spans="1:13" x14ac:dyDescent="0.3">
      <c r="A217" s="6">
        <f>+'[1]VENTAS(RESUMEN GLOBAL)'!L217</f>
        <v>46034</v>
      </c>
      <c r="B217" s="6" t="str">
        <f>+'[1]VENTAS(RESUMEN GLOBAL)'!M217</f>
        <v>RIVULIS</v>
      </c>
      <c r="C217">
        <f>+'[1]VENTAS(RESUMEN GLOBAL)'!B217</f>
        <v>300700</v>
      </c>
      <c r="D217" t="str">
        <f>INDEX('[1]CÓDIGOS DE PRODUCTO'!$D$3:$D$1000,MATCH(C217,'[1]CÓDIGOS DE PRODUCTO'!$A$3:$A$1000,0))</f>
        <v>50161800 </v>
      </c>
      <c r="E217" t="str">
        <f>VLOOKUP(C217,'[1]CÓDIGOS DE PRODUCTO'!$A$4:$B$156,2,FALSE)</f>
        <v>ZUMBA GOMA</v>
      </c>
      <c r="F217" t="str">
        <f>INDEX('[1]CÓDIGOS DE PRODUCTO'!$C$3:$C$1000,MATCH(C217,'[1]CÓDIGOS DE PRODUCTO'!$A$3:$A$1000,0))</f>
        <v>Snacks &amp; Dulces</v>
      </c>
      <c r="G217">
        <f>+'[1]VENTAS(RESUMEN GLOBAL)'!D217-'[1]VENTAS(RESUMEN GLOBAL)'!E217</f>
        <v>5</v>
      </c>
      <c r="H217" s="9">
        <f>+'[1]VENTAS(RESUMEN GLOBAL)'!K217</f>
        <v>7</v>
      </c>
      <c r="I217" s="8">
        <f>+G217*'[1]VENTAS(RESUMEN GLOBAL)'!F217</f>
        <v>50</v>
      </c>
      <c r="J217" s="8">
        <f>'[1]VENTAS(RESUMEN GLOBAL)'!G217*(1-'[1]VENTAS(RESUMEN GLOBAL)'!H217)</f>
        <v>14.500000000000002</v>
      </c>
      <c r="K217" s="8">
        <f t="shared" si="3"/>
        <v>35.5</v>
      </c>
      <c r="L217" s="8">
        <f>+'[1]VENTAS(RESUMEN GLOBAL)'!J217</f>
        <v>7.1</v>
      </c>
      <c r="M217" s="8">
        <f>+Tabla1[[#This Row],[utilidad x dia]]*7</f>
        <v>49.699999999999996</v>
      </c>
    </row>
    <row r="218" spans="1:13" x14ac:dyDescent="0.3">
      <c r="A218" s="6">
        <f>+'[1]VENTAS(RESUMEN GLOBAL)'!L218</f>
        <v>46034</v>
      </c>
      <c r="B218" s="6" t="str">
        <f>+'[1]VENTAS(RESUMEN GLOBAL)'!M218</f>
        <v>RIVULIS</v>
      </c>
      <c r="C218">
        <f>+'[1]VENTAS(RESUMEN GLOBAL)'!B218</f>
        <v>300200</v>
      </c>
      <c r="D218" t="str">
        <f>INDEX('[1]CÓDIGOS DE PRODUCTO'!$D$3:$D$1000,MATCH(C218,'[1]CÓDIGOS DE PRODUCTO'!$A$3:$A$1000,0))</f>
        <v>50161800 </v>
      </c>
      <c r="E218" t="str">
        <f>VLOOKUP(C218,'[1]CÓDIGOS DE PRODUCTO'!$A$4:$B$156,2,FALSE)</f>
        <v>SKWINKLES</v>
      </c>
      <c r="F218" t="str">
        <f>INDEX('[1]CÓDIGOS DE PRODUCTO'!$C$3:$C$1000,MATCH(C218,'[1]CÓDIGOS DE PRODUCTO'!$A$3:$A$1000,0))</f>
        <v>Snacks &amp; Dulces</v>
      </c>
      <c r="G218">
        <f>+'[1]VENTAS(RESUMEN GLOBAL)'!D218-'[1]VENTAS(RESUMEN GLOBAL)'!E218</f>
        <v>0</v>
      </c>
      <c r="H218" s="9">
        <f>+'[1]VENTAS(RESUMEN GLOBAL)'!K218</f>
        <v>0</v>
      </c>
      <c r="I218" s="8">
        <f>+G218*'[1]VENTAS(RESUMEN GLOBAL)'!F218</f>
        <v>0</v>
      </c>
      <c r="J218" s="8">
        <f>'[1]VENTAS(RESUMEN GLOBAL)'!G218*(1-'[1]VENTAS(RESUMEN GLOBAL)'!H218)</f>
        <v>0</v>
      </c>
      <c r="K218" s="8">
        <f t="shared" si="3"/>
        <v>0</v>
      </c>
      <c r="L218" s="8">
        <f>+'[1]VENTAS(RESUMEN GLOBAL)'!J218</f>
        <v>0</v>
      </c>
      <c r="M218" s="8">
        <f>+Tabla1[[#This Row],[utilidad x dia]]*7</f>
        <v>0</v>
      </c>
    </row>
    <row r="219" spans="1:13" x14ac:dyDescent="0.3">
      <c r="A219" s="6">
        <f>+'[1]VENTAS(RESUMEN GLOBAL)'!L219</f>
        <v>46034</v>
      </c>
      <c r="B219" s="6" t="str">
        <f>+'[1]VENTAS(RESUMEN GLOBAL)'!M219</f>
        <v>RIVULIS</v>
      </c>
      <c r="C219">
        <f>+'[1]VENTAS(RESUMEN GLOBAL)'!B219</f>
        <v>300100</v>
      </c>
      <c r="D219" t="str">
        <f>INDEX('[1]CÓDIGOS DE PRODUCTO'!$D$3:$D$1000,MATCH(C219,'[1]CÓDIGOS DE PRODUCTO'!$A$3:$A$1000,0))</f>
        <v>50161800 </v>
      </c>
      <c r="E219" t="str">
        <f>VLOOKUP(C219,'[1]CÓDIGOS DE PRODUCTO'!$A$4:$B$156,2,FALSE)</f>
        <v>Pelonetes</v>
      </c>
      <c r="F219" t="str">
        <f>INDEX('[1]CÓDIGOS DE PRODUCTO'!$C$3:$C$1000,MATCH(C219,'[1]CÓDIGOS DE PRODUCTO'!$A$3:$A$1000,0))</f>
        <v>Snacks &amp; Dulces</v>
      </c>
      <c r="G219">
        <f>+'[1]VENTAS(RESUMEN GLOBAL)'!D219-'[1]VENTAS(RESUMEN GLOBAL)'!E219</f>
        <v>3</v>
      </c>
      <c r="H219" s="9">
        <f>+'[1]VENTAS(RESUMEN GLOBAL)'!K219</f>
        <v>4.2</v>
      </c>
      <c r="I219" s="8">
        <f>+G219*'[1]VENTAS(RESUMEN GLOBAL)'!F219</f>
        <v>45</v>
      </c>
      <c r="J219" s="8">
        <f>'[1]VENTAS(RESUMEN GLOBAL)'!G219*(1-'[1]VENTAS(RESUMEN GLOBAL)'!H219)</f>
        <v>19.350000000000001</v>
      </c>
      <c r="K219" s="8">
        <f t="shared" si="3"/>
        <v>25.65</v>
      </c>
      <c r="L219" s="8">
        <f>+'[1]VENTAS(RESUMEN GLOBAL)'!J219</f>
        <v>5.13</v>
      </c>
      <c r="M219" s="8">
        <f>+Tabla1[[#This Row],[utilidad x dia]]*7</f>
        <v>35.909999999999997</v>
      </c>
    </row>
    <row r="220" spans="1:13" x14ac:dyDescent="0.3">
      <c r="A220" s="6">
        <f>+'[1]VENTAS(RESUMEN GLOBAL)'!L220</f>
        <v>46034</v>
      </c>
      <c r="B220" s="6" t="str">
        <f>+'[1]VENTAS(RESUMEN GLOBAL)'!M220</f>
        <v>RIVULIS</v>
      </c>
      <c r="C220">
        <f>+'[1]VENTAS(RESUMEN GLOBAL)'!B220</f>
        <v>900300</v>
      </c>
      <c r="D220">
        <f>INDEX('[1]CÓDIGOS DE PRODUCTO'!$D$3:$D$1000,MATCH(C220,'[1]CÓDIGOS DE PRODUCTO'!$A$3:$A$1000,0))</f>
        <v>50161815</v>
      </c>
      <c r="E220" t="str">
        <f>VLOOKUP(C220,'[1]CÓDIGOS DE PRODUCTO'!$A$4:$B$156,2,FALSE)</f>
        <v>CHICLES TRIDENT</v>
      </c>
      <c r="F220" t="str">
        <f>INDEX('[1]CÓDIGOS DE PRODUCTO'!$C$3:$C$1000,MATCH(C220,'[1]CÓDIGOS DE PRODUCTO'!$A$3:$A$1000,0))</f>
        <v>OTROS</v>
      </c>
      <c r="G220">
        <f>+'[1]VENTAS(RESUMEN GLOBAL)'!D220-'[1]VENTAS(RESUMEN GLOBAL)'!E220</f>
        <v>1</v>
      </c>
      <c r="H220" s="9">
        <f>+'[1]VENTAS(RESUMEN GLOBAL)'!K220</f>
        <v>1.4000000000000001</v>
      </c>
      <c r="I220" s="8">
        <f>+G220*'[1]VENTAS(RESUMEN GLOBAL)'!F220</f>
        <v>25</v>
      </c>
      <c r="J220" s="8">
        <f>'[1]VENTAS(RESUMEN GLOBAL)'!G220*(1-'[1]VENTAS(RESUMEN GLOBAL)'!H220)</f>
        <v>15</v>
      </c>
      <c r="K220" s="8">
        <f t="shared" si="3"/>
        <v>10</v>
      </c>
      <c r="L220" s="8">
        <f>+'[1]VENTAS(RESUMEN GLOBAL)'!J220</f>
        <v>2</v>
      </c>
      <c r="M220" s="8">
        <f>+Tabla1[[#This Row],[utilidad x dia]]*7</f>
        <v>14</v>
      </c>
    </row>
    <row r="221" spans="1:13" x14ac:dyDescent="0.3">
      <c r="A221" s="6">
        <f>+'[1]VENTAS(RESUMEN GLOBAL)'!L221</f>
        <v>46034</v>
      </c>
      <c r="B221" s="6" t="str">
        <f>+'[1]VENTAS(RESUMEN GLOBAL)'!M221</f>
        <v>RIVULIS</v>
      </c>
      <c r="C221">
        <f>+'[1]VENTAS(RESUMEN GLOBAL)'!B221</f>
        <v>300400</v>
      </c>
      <c r="D221" t="str">
        <f>INDEX('[1]CÓDIGOS DE PRODUCTO'!$D$3:$D$1000,MATCH(C221,'[1]CÓDIGOS DE PRODUCTO'!$A$3:$A$1000,0))</f>
        <v>50161800 </v>
      </c>
      <c r="E221" t="str">
        <f>VLOOKUP(C221,'[1]CÓDIGOS DE PRODUCTO'!$A$4:$B$156,2,FALSE)</f>
        <v>Welchs GOMITAS</v>
      </c>
      <c r="F221" t="str">
        <f>INDEX('[1]CÓDIGOS DE PRODUCTO'!$C$3:$C$1000,MATCH(C221,'[1]CÓDIGOS DE PRODUCTO'!$A$3:$A$1000,0))</f>
        <v>Snacks &amp; Dulces</v>
      </c>
      <c r="G221">
        <f>+'[1]VENTAS(RESUMEN GLOBAL)'!D221-'[1]VENTAS(RESUMEN GLOBAL)'!E221</f>
        <v>3</v>
      </c>
      <c r="H221" s="9">
        <f>+'[1]VENTAS(RESUMEN GLOBAL)'!K221</f>
        <v>4.2</v>
      </c>
      <c r="I221" s="8">
        <f>+G221*'[1]VENTAS(RESUMEN GLOBAL)'!F221</f>
        <v>30</v>
      </c>
      <c r="J221" s="8">
        <f>'[1]VENTAS(RESUMEN GLOBAL)'!G221*(1-'[1]VENTAS(RESUMEN GLOBAL)'!H221)</f>
        <v>18</v>
      </c>
      <c r="K221" s="8">
        <f t="shared" si="3"/>
        <v>12</v>
      </c>
      <c r="L221" s="8">
        <f>+'[1]VENTAS(RESUMEN GLOBAL)'!J221</f>
        <v>2.4</v>
      </c>
      <c r="M221" s="8">
        <f>+Tabla1[[#This Row],[utilidad x dia]]*7</f>
        <v>16.8</v>
      </c>
    </row>
    <row r="222" spans="1:13" x14ac:dyDescent="0.3">
      <c r="A222" s="6">
        <f>+'[1]VENTAS(RESUMEN GLOBAL)'!L222</f>
        <v>46034</v>
      </c>
      <c r="B222" s="6" t="str">
        <f>+'[1]VENTAS(RESUMEN GLOBAL)'!M222</f>
        <v>RIVULIS</v>
      </c>
      <c r="C222">
        <f>+'[1]VENTAS(RESUMEN GLOBAL)'!B222</f>
        <v>700500</v>
      </c>
      <c r="D222" t="str">
        <f>INDEX('[1]CÓDIGOS DE PRODUCTO'!$D$3:$D$1000,MATCH(C222,'[1]CÓDIGOS DE PRODUCTO'!$A$3:$A$1000,0))</f>
        <v>50161511 </v>
      </c>
      <c r="E222" t="str">
        <f>VLOOKUP(C222,'[1]CÓDIGOS DE PRODUCTO'!$A$4:$B$156,2,FALSE)</f>
        <v>HERSHEYS BLANCO</v>
      </c>
      <c r="F222" t="str">
        <f>INDEX('[1]CÓDIGOS DE PRODUCTO'!$C$3:$C$1000,MATCH(C222,'[1]CÓDIGOS DE PRODUCTO'!$A$3:$A$1000,0))</f>
        <v>CHOCOLATES</v>
      </c>
      <c r="G222">
        <f>+'[1]VENTAS(RESUMEN GLOBAL)'!D222-'[1]VENTAS(RESUMEN GLOBAL)'!E222</f>
        <v>4</v>
      </c>
      <c r="H222" s="9">
        <f>+'[1]VENTAS(RESUMEN GLOBAL)'!K222</f>
        <v>5.6000000000000005</v>
      </c>
      <c r="I222" s="8">
        <f>+G222*'[1]VENTAS(RESUMEN GLOBAL)'!F222</f>
        <v>60</v>
      </c>
      <c r="J222" s="8">
        <f>'[1]VENTAS(RESUMEN GLOBAL)'!G222*(1-'[1]VENTAS(RESUMEN GLOBAL)'!H222)</f>
        <v>25.800000000000004</v>
      </c>
      <c r="K222" s="8">
        <f t="shared" si="3"/>
        <v>34.199999999999996</v>
      </c>
      <c r="L222" s="8">
        <f>+'[1]VENTAS(RESUMEN GLOBAL)'!J222</f>
        <v>6.839999999999999</v>
      </c>
      <c r="M222" s="8">
        <f>+Tabla1[[#This Row],[utilidad x dia]]*7</f>
        <v>47.879999999999995</v>
      </c>
    </row>
    <row r="223" spans="1:13" x14ac:dyDescent="0.3">
      <c r="A223" s="6">
        <f>+'[1]VENTAS(RESUMEN GLOBAL)'!L223</f>
        <v>46034</v>
      </c>
      <c r="B223" s="6" t="str">
        <f>+'[1]VENTAS(RESUMEN GLOBAL)'!M223</f>
        <v>RIVULIS</v>
      </c>
      <c r="C223">
        <f>+'[1]VENTAS(RESUMEN GLOBAL)'!B223</f>
        <v>700400</v>
      </c>
      <c r="D223" t="str">
        <f>INDEX('[1]CÓDIGOS DE PRODUCTO'!$D$3:$D$1000,MATCH(C223,'[1]CÓDIGOS DE PRODUCTO'!$A$3:$A$1000,0))</f>
        <v>50161511 </v>
      </c>
      <c r="E223" t="str">
        <f>VLOOKUP(C223,'[1]CÓDIGOS DE PRODUCTO'!$A$4:$B$156,2,FALSE)</f>
        <v>KIT KAT</v>
      </c>
      <c r="F223" t="str">
        <f>INDEX('[1]CÓDIGOS DE PRODUCTO'!$C$3:$C$1000,MATCH(C223,'[1]CÓDIGOS DE PRODUCTO'!$A$3:$A$1000,0))</f>
        <v>CHOCOLATES</v>
      </c>
      <c r="G223">
        <f>+'[1]VENTAS(RESUMEN GLOBAL)'!D223-'[1]VENTAS(RESUMEN GLOBAL)'!E223</f>
        <v>0</v>
      </c>
      <c r="H223" s="9">
        <f>+'[1]VENTAS(RESUMEN GLOBAL)'!K223</f>
        <v>0</v>
      </c>
      <c r="I223" s="8">
        <f>+G223*'[1]VENTAS(RESUMEN GLOBAL)'!F223</f>
        <v>0</v>
      </c>
      <c r="J223" s="8">
        <f>'[1]VENTAS(RESUMEN GLOBAL)'!G223*(1-'[1]VENTAS(RESUMEN GLOBAL)'!H223)</f>
        <v>0</v>
      </c>
      <c r="K223" s="8">
        <f t="shared" si="3"/>
        <v>0</v>
      </c>
      <c r="L223" s="8">
        <f>+'[1]VENTAS(RESUMEN GLOBAL)'!J223</f>
        <v>0</v>
      </c>
      <c r="M223" s="8">
        <f>+Tabla1[[#This Row],[utilidad x dia]]*7</f>
        <v>0</v>
      </c>
    </row>
    <row r="224" spans="1:13" x14ac:dyDescent="0.3">
      <c r="A224" s="6">
        <f>+'[1]VENTAS(RESUMEN GLOBAL)'!L224</f>
        <v>46034</v>
      </c>
      <c r="B224" s="6" t="str">
        <f>+'[1]VENTAS(RESUMEN GLOBAL)'!M224</f>
        <v>RIVULIS</v>
      </c>
      <c r="C224">
        <f>+'[1]VENTAS(RESUMEN GLOBAL)'!B224</f>
        <v>700800</v>
      </c>
      <c r="D224" t="str">
        <f>INDEX('[1]CÓDIGOS DE PRODUCTO'!$D$3:$D$1000,MATCH(C224,'[1]CÓDIGOS DE PRODUCTO'!$A$3:$A$1000,0))</f>
        <v>50161511 </v>
      </c>
      <c r="E224" t="str">
        <f>VLOOKUP(C224,'[1]CÓDIGOS DE PRODUCTO'!$A$4:$B$156,2,FALSE)</f>
        <v>Kinder delice</v>
      </c>
      <c r="F224" t="str">
        <f>INDEX('[1]CÓDIGOS DE PRODUCTO'!$C$3:$C$1000,MATCH(C224,'[1]CÓDIGOS DE PRODUCTO'!$A$3:$A$1000,0))</f>
        <v>CHOCOLATES</v>
      </c>
      <c r="G224">
        <f>+'[1]VENTAS(RESUMEN GLOBAL)'!D224-'[1]VENTAS(RESUMEN GLOBAL)'!E224</f>
        <v>3</v>
      </c>
      <c r="H224" s="9">
        <f>+'[1]VENTAS(RESUMEN GLOBAL)'!K224</f>
        <v>4.2</v>
      </c>
      <c r="I224" s="8">
        <f>+G224*'[1]VENTAS(RESUMEN GLOBAL)'!F224</f>
        <v>60</v>
      </c>
      <c r="J224" s="8">
        <f>'[1]VENTAS(RESUMEN GLOBAL)'!G224*(1-'[1]VENTAS(RESUMEN GLOBAL)'!H224)</f>
        <v>37.200000000000003</v>
      </c>
      <c r="K224" s="8">
        <f t="shared" si="3"/>
        <v>22.799999999999997</v>
      </c>
      <c r="L224" s="8">
        <f>+'[1]VENTAS(RESUMEN GLOBAL)'!J224</f>
        <v>4.5600000000000005</v>
      </c>
      <c r="M224" s="8">
        <f>+Tabla1[[#This Row],[utilidad x dia]]*7</f>
        <v>31.92</v>
      </c>
    </row>
    <row r="225" spans="1:13" x14ac:dyDescent="0.3">
      <c r="A225" s="6">
        <f>+'[1]VENTAS(RESUMEN GLOBAL)'!L225</f>
        <v>46034</v>
      </c>
      <c r="B225" s="6" t="str">
        <f>+'[1]VENTAS(RESUMEN GLOBAL)'!M225</f>
        <v>RIVULIS</v>
      </c>
      <c r="C225">
        <f>+'[1]VENTAS(RESUMEN GLOBAL)'!B225</f>
        <v>700700</v>
      </c>
      <c r="D225" t="str">
        <f>INDEX('[1]CÓDIGOS DE PRODUCTO'!$D$3:$D$1000,MATCH(C225,'[1]CÓDIGOS DE PRODUCTO'!$A$3:$A$1000,0))</f>
        <v>50161511 </v>
      </c>
      <c r="E225" t="str">
        <f>VLOOKUP(C225,'[1]CÓDIGOS DE PRODUCTO'!$A$4:$B$156,2,FALSE)</f>
        <v>Milkiway</v>
      </c>
      <c r="F225" t="str">
        <f>INDEX('[1]CÓDIGOS DE PRODUCTO'!$C$3:$C$1000,MATCH(C225,'[1]CÓDIGOS DE PRODUCTO'!$A$3:$A$1000,0))</f>
        <v>CHOCOLATES</v>
      </c>
      <c r="G225">
        <f>+'[1]VENTAS(RESUMEN GLOBAL)'!D225-'[1]VENTAS(RESUMEN GLOBAL)'!E225</f>
        <v>1</v>
      </c>
      <c r="H225" s="9">
        <f>+'[1]VENTAS(RESUMEN GLOBAL)'!K225</f>
        <v>1.4000000000000001</v>
      </c>
      <c r="I225" s="8">
        <f>+G225*'[1]VENTAS(RESUMEN GLOBAL)'!F225</f>
        <v>25</v>
      </c>
      <c r="J225" s="8">
        <f>'[1]VENTAS(RESUMEN GLOBAL)'!G225*(1-'[1]VENTAS(RESUMEN GLOBAL)'!H225)</f>
        <v>14.000000000000002</v>
      </c>
      <c r="K225" s="8">
        <f t="shared" si="3"/>
        <v>10.999999999999998</v>
      </c>
      <c r="L225" s="8">
        <f>+'[1]VENTAS(RESUMEN GLOBAL)'!J225</f>
        <v>2.2000000000000002</v>
      </c>
      <c r="M225" s="8">
        <f>+Tabla1[[#This Row],[utilidad x dia]]*7</f>
        <v>15.400000000000002</v>
      </c>
    </row>
    <row r="226" spans="1:13" x14ac:dyDescent="0.3">
      <c r="A226" s="6">
        <f>+'[1]VENTAS(RESUMEN GLOBAL)'!L226</f>
        <v>46034</v>
      </c>
      <c r="B226" s="6" t="str">
        <f>+'[1]VENTAS(RESUMEN GLOBAL)'!M226</f>
        <v>RIVULIS</v>
      </c>
      <c r="C226">
        <f>+'[1]VENTAS(RESUMEN GLOBAL)'!B226</f>
        <v>700200</v>
      </c>
      <c r="D226" t="str">
        <f>INDEX('[1]CÓDIGOS DE PRODUCTO'!$D$3:$D$1000,MATCH(C226,'[1]CÓDIGOS DE PRODUCTO'!$A$3:$A$1000,0))</f>
        <v>50161511 </v>
      </c>
      <c r="E226" t="str">
        <f>VLOOKUP(C226,'[1]CÓDIGOS DE PRODUCTO'!$A$4:$B$156,2,FALSE)</f>
        <v>Snickers</v>
      </c>
      <c r="F226" t="str">
        <f>INDEX('[1]CÓDIGOS DE PRODUCTO'!$C$3:$C$1000,MATCH(C226,'[1]CÓDIGOS DE PRODUCTO'!$A$3:$A$1000,0))</f>
        <v>CHOCOLATES</v>
      </c>
      <c r="G226">
        <f>+'[1]VENTAS(RESUMEN GLOBAL)'!D226-'[1]VENTAS(RESUMEN GLOBAL)'!E226</f>
        <v>0</v>
      </c>
      <c r="H226" s="9">
        <f>+'[1]VENTAS(RESUMEN GLOBAL)'!K226</f>
        <v>0</v>
      </c>
      <c r="I226" s="8">
        <f>+G226*'[1]VENTAS(RESUMEN GLOBAL)'!F226</f>
        <v>0</v>
      </c>
      <c r="J226" s="8">
        <f>'[1]VENTAS(RESUMEN GLOBAL)'!G226*(1-'[1]VENTAS(RESUMEN GLOBAL)'!H226)</f>
        <v>0</v>
      </c>
      <c r="K226" s="8">
        <f t="shared" si="3"/>
        <v>0</v>
      </c>
      <c r="L226" s="8">
        <f>+'[1]VENTAS(RESUMEN GLOBAL)'!J226</f>
        <v>0</v>
      </c>
      <c r="M226" s="8">
        <f>+Tabla1[[#This Row],[utilidad x dia]]*7</f>
        <v>0</v>
      </c>
    </row>
    <row r="227" spans="1:13" x14ac:dyDescent="0.3">
      <c r="A227" s="6">
        <f>+'[1]VENTAS(RESUMEN GLOBAL)'!L227</f>
        <v>46034</v>
      </c>
      <c r="B227" s="6" t="str">
        <f>+'[1]VENTAS(RESUMEN GLOBAL)'!M227</f>
        <v>RIVULIS</v>
      </c>
      <c r="C227">
        <f>+'[1]VENTAS(RESUMEN GLOBAL)'!B227</f>
        <v>800500</v>
      </c>
      <c r="D227" t="str">
        <f>INDEX('[1]CÓDIGOS DE PRODUCTO'!$D$3:$D$1000,MATCH(C227,'[1]CÓDIGOS DE PRODUCTO'!$A$3:$A$1000,0))</f>
        <v>50181900 </v>
      </c>
      <c r="E227" t="str">
        <f>VLOOKUP(C227,'[1]CÓDIGOS DE PRODUCTO'!$A$4:$B$156,2,FALSE)</f>
        <v>RICE KRISPIES</v>
      </c>
      <c r="F227" t="str">
        <f>INDEX('[1]CÓDIGOS DE PRODUCTO'!$C$3:$C$1000,MATCH(C227,'[1]CÓDIGOS DE PRODUCTO'!$A$3:$A$1000,0))</f>
        <v>GALLETAS Y PAN DULCE</v>
      </c>
      <c r="G227">
        <f>+'[1]VENTAS(RESUMEN GLOBAL)'!D227-'[1]VENTAS(RESUMEN GLOBAL)'!E227</f>
        <v>1</v>
      </c>
      <c r="H227" s="9">
        <f>+'[1]VENTAS(RESUMEN GLOBAL)'!K227</f>
        <v>1.4000000000000001</v>
      </c>
      <c r="I227" s="8">
        <f>+G227*'[1]VENTAS(RESUMEN GLOBAL)'!F227</f>
        <v>10</v>
      </c>
      <c r="J227" s="8">
        <f>'[1]VENTAS(RESUMEN GLOBAL)'!G227*(1-'[1]VENTAS(RESUMEN GLOBAL)'!H227)</f>
        <v>3.0000000000000004</v>
      </c>
      <c r="K227" s="8">
        <f t="shared" si="3"/>
        <v>7</v>
      </c>
      <c r="L227" s="8">
        <f>+'[1]VENTAS(RESUMEN GLOBAL)'!J227</f>
        <v>1.4</v>
      </c>
      <c r="M227" s="8">
        <f>+Tabla1[[#This Row],[utilidad x dia]]*7</f>
        <v>9.7999999999999989</v>
      </c>
    </row>
    <row r="228" spans="1:13" x14ac:dyDescent="0.3">
      <c r="A228" s="6">
        <f>+'[1]VENTAS(RESUMEN GLOBAL)'!L228</f>
        <v>46034</v>
      </c>
      <c r="B228" s="6" t="str">
        <f>+'[1]VENTAS(RESUMEN GLOBAL)'!M228</f>
        <v>RIVULIS</v>
      </c>
      <c r="C228">
        <f>+'[1]VENTAS(RESUMEN GLOBAL)'!B228</f>
        <v>800700</v>
      </c>
      <c r="D228" t="str">
        <f>INDEX('[1]CÓDIGOS DE PRODUCTO'!$D$3:$D$1000,MATCH(C228,'[1]CÓDIGOS DE PRODUCTO'!$A$3:$A$1000,0))</f>
        <v>50181900 </v>
      </c>
      <c r="E228" t="str">
        <f>VLOOKUP(C228,'[1]CÓDIGOS DE PRODUCTO'!$A$4:$B$156,2,FALSE)</f>
        <v>BARRITAS PIÑA</v>
      </c>
      <c r="F228" t="str">
        <f>INDEX('[1]CÓDIGOS DE PRODUCTO'!$C$3:$C$1000,MATCH(C228,'[1]CÓDIGOS DE PRODUCTO'!$A$3:$A$1000,0))</f>
        <v>GALLETAS Y PAN DULCE</v>
      </c>
      <c r="G228">
        <f>+'[1]VENTAS(RESUMEN GLOBAL)'!D228-'[1]VENTAS(RESUMEN GLOBAL)'!E228</f>
        <v>3</v>
      </c>
      <c r="H228" s="9">
        <f>+'[1]VENTAS(RESUMEN GLOBAL)'!K228</f>
        <v>4.2</v>
      </c>
      <c r="I228" s="8">
        <f>+G228*'[1]VENTAS(RESUMEN GLOBAL)'!F228</f>
        <v>60</v>
      </c>
      <c r="J228" s="8">
        <f>'[1]VENTAS(RESUMEN GLOBAL)'!G228*(1-'[1]VENTAS(RESUMEN GLOBAL)'!H228)</f>
        <v>26.999999999999996</v>
      </c>
      <c r="K228" s="8">
        <f t="shared" si="3"/>
        <v>33</v>
      </c>
      <c r="L228" s="8">
        <f>+'[1]VENTAS(RESUMEN GLOBAL)'!J228</f>
        <v>6.6</v>
      </c>
      <c r="M228" s="8">
        <f>+Tabla1[[#This Row],[utilidad x dia]]*7</f>
        <v>46.199999999999996</v>
      </c>
    </row>
    <row r="229" spans="1:13" x14ac:dyDescent="0.3">
      <c r="A229" s="6">
        <f>+'[1]VENTAS(RESUMEN GLOBAL)'!L229</f>
        <v>46034</v>
      </c>
      <c r="B229" s="6" t="str">
        <f>+'[1]VENTAS(RESUMEN GLOBAL)'!M229</f>
        <v>RIVULIS</v>
      </c>
      <c r="C229">
        <f>+'[1]VENTAS(RESUMEN GLOBAL)'!B229</f>
        <v>800400</v>
      </c>
      <c r="D229" t="str">
        <f>INDEX('[1]CÓDIGOS DE PRODUCTO'!$D$3:$D$1000,MATCH(C229,'[1]CÓDIGOS DE PRODUCTO'!$A$3:$A$1000,0))</f>
        <v>50181900 </v>
      </c>
      <c r="E229" t="str">
        <f>VLOOKUP(C229,'[1]CÓDIGOS DE PRODUCTO'!$A$4:$B$156,2,FALSE)</f>
        <v>Barritas FRESA</v>
      </c>
      <c r="F229" t="str">
        <f>INDEX('[1]CÓDIGOS DE PRODUCTO'!$C$3:$C$1000,MATCH(C229,'[1]CÓDIGOS DE PRODUCTO'!$A$3:$A$1000,0))</f>
        <v>GALLETAS Y PAN DULCE</v>
      </c>
      <c r="G229">
        <f>+'[1]VENTAS(RESUMEN GLOBAL)'!D229-'[1]VENTAS(RESUMEN GLOBAL)'!E229</f>
        <v>1</v>
      </c>
      <c r="H229" s="9">
        <f>+'[1]VENTAS(RESUMEN GLOBAL)'!K229</f>
        <v>1.4000000000000001</v>
      </c>
      <c r="I229" s="8">
        <f>+G229*'[1]VENTAS(RESUMEN GLOBAL)'!F229</f>
        <v>20</v>
      </c>
      <c r="J229" s="8">
        <f>'[1]VENTAS(RESUMEN GLOBAL)'!G229*(1-'[1]VENTAS(RESUMEN GLOBAL)'!H229)</f>
        <v>9</v>
      </c>
      <c r="K229" s="8">
        <f t="shared" si="3"/>
        <v>11</v>
      </c>
      <c r="L229" s="8">
        <f>+'[1]VENTAS(RESUMEN GLOBAL)'!J229</f>
        <v>2.2000000000000002</v>
      </c>
      <c r="M229" s="8">
        <f>+Tabla1[[#This Row],[utilidad x dia]]*7</f>
        <v>15.400000000000002</v>
      </c>
    </row>
    <row r="230" spans="1:13" x14ac:dyDescent="0.3">
      <c r="A230" s="6">
        <f>+'[1]VENTAS(RESUMEN GLOBAL)'!L230</f>
        <v>46034</v>
      </c>
      <c r="B230" s="6" t="str">
        <f>+'[1]VENTAS(RESUMEN GLOBAL)'!M230</f>
        <v>RIVULIS</v>
      </c>
      <c r="C230">
        <f>+'[1]VENTAS(RESUMEN GLOBAL)'!B230</f>
        <v>800601</v>
      </c>
      <c r="D230" t="str">
        <f>INDEX('[1]CÓDIGOS DE PRODUCTO'!$D$3:$D$1000,MATCH(C230,'[1]CÓDIGOS DE PRODUCTO'!$A$3:$A$1000,0))</f>
        <v>50181900 </v>
      </c>
      <c r="E230" t="str">
        <f>VLOOKUP(C230,'[1]CÓDIGOS DE PRODUCTO'!$A$4:$B$156,2,FALSE)</f>
        <v>CREMAX AZULES</v>
      </c>
      <c r="F230" t="str">
        <f>INDEX('[1]CÓDIGOS DE PRODUCTO'!$C$3:$C$1000,MATCH(C230,'[1]CÓDIGOS DE PRODUCTO'!$A$3:$A$1000,0))</f>
        <v>GALLETAS Y PAN DULCE</v>
      </c>
      <c r="G230">
        <f>+'[1]VENTAS(RESUMEN GLOBAL)'!D230-'[1]VENTAS(RESUMEN GLOBAL)'!E230</f>
        <v>0</v>
      </c>
      <c r="H230" s="9">
        <f>+'[1]VENTAS(RESUMEN GLOBAL)'!K230</f>
        <v>0</v>
      </c>
      <c r="I230" s="8">
        <f>+G230*'[1]VENTAS(RESUMEN GLOBAL)'!F230</f>
        <v>0</v>
      </c>
      <c r="J230" s="8">
        <f>'[1]VENTAS(RESUMEN GLOBAL)'!G230*(1-'[1]VENTAS(RESUMEN GLOBAL)'!H230)</f>
        <v>0</v>
      </c>
      <c r="K230" s="8">
        <f t="shared" si="3"/>
        <v>0</v>
      </c>
      <c r="L230" s="8">
        <f>+'[1]VENTAS(RESUMEN GLOBAL)'!J230</f>
        <v>0</v>
      </c>
      <c r="M230" s="8">
        <f>+Tabla1[[#This Row],[utilidad x dia]]*7</f>
        <v>0</v>
      </c>
    </row>
    <row r="231" spans="1:13" x14ac:dyDescent="0.3">
      <c r="A231" s="6">
        <f>+'[1]VENTAS(RESUMEN GLOBAL)'!L231</f>
        <v>46034</v>
      </c>
      <c r="B231" s="6" t="str">
        <f>+'[1]VENTAS(RESUMEN GLOBAL)'!M231</f>
        <v>RIVULIS</v>
      </c>
      <c r="C231">
        <f>+'[1]VENTAS(RESUMEN GLOBAL)'!B231</f>
        <v>800600</v>
      </c>
      <c r="D231" t="str">
        <f>INDEX('[1]CÓDIGOS DE PRODUCTO'!$D$3:$D$1000,MATCH(C231,'[1]CÓDIGOS DE PRODUCTO'!$A$3:$A$1000,0))</f>
        <v>50181900 </v>
      </c>
      <c r="E231" t="str">
        <f>VLOOKUP(C231,'[1]CÓDIGOS DE PRODUCTO'!$A$4:$B$156,2,FALSE)</f>
        <v>CREMAX</v>
      </c>
      <c r="F231" t="str">
        <f>INDEX('[1]CÓDIGOS DE PRODUCTO'!$C$3:$C$1000,MATCH(C231,'[1]CÓDIGOS DE PRODUCTO'!$A$3:$A$1000,0))</f>
        <v>GALLETAS Y PAN DULCE</v>
      </c>
      <c r="G231">
        <f>+'[1]VENTAS(RESUMEN GLOBAL)'!D231-'[1]VENTAS(RESUMEN GLOBAL)'!E231</f>
        <v>1</v>
      </c>
      <c r="H231" s="9">
        <f>+'[1]VENTAS(RESUMEN GLOBAL)'!K231</f>
        <v>1.4000000000000001</v>
      </c>
      <c r="I231" s="8">
        <f>+G231*'[1]VENTAS(RESUMEN GLOBAL)'!F231</f>
        <v>15</v>
      </c>
      <c r="J231" s="8">
        <f>'[1]VENTAS(RESUMEN GLOBAL)'!G231*(1-'[1]VENTAS(RESUMEN GLOBAL)'!H231)</f>
        <v>6.7499999999999991</v>
      </c>
      <c r="K231" s="8">
        <f t="shared" si="3"/>
        <v>8.25</v>
      </c>
      <c r="L231" s="8">
        <f>+'[1]VENTAS(RESUMEN GLOBAL)'!J231</f>
        <v>1.65</v>
      </c>
      <c r="M231" s="8">
        <f>+Tabla1[[#This Row],[utilidad x dia]]*7</f>
        <v>11.549999999999999</v>
      </c>
    </row>
    <row r="232" spans="1:13" x14ac:dyDescent="0.3">
      <c r="A232" s="6">
        <f>+'[1]VENTAS(RESUMEN GLOBAL)'!L232</f>
        <v>46034</v>
      </c>
      <c r="B232" s="6" t="str">
        <f>+'[1]VENTAS(RESUMEN GLOBAL)'!M232</f>
        <v>RIVULIS</v>
      </c>
      <c r="C232">
        <f>+'[1]VENTAS(RESUMEN GLOBAL)'!B232</f>
        <v>800800</v>
      </c>
      <c r="D232" t="str">
        <f>INDEX('[1]CÓDIGOS DE PRODUCTO'!$D$3:$D$1000,MATCH(C232,'[1]CÓDIGOS DE PRODUCTO'!$A$3:$A$1000,0))</f>
        <v>50181900 </v>
      </c>
      <c r="E232" t="str">
        <f>VLOOKUP(C232,'[1]CÓDIGOS DE PRODUCTO'!$A$4:$B$156,2,FALSE)</f>
        <v>DORADITAS</v>
      </c>
      <c r="F232" t="str">
        <f>INDEX('[1]CÓDIGOS DE PRODUCTO'!$C$3:$C$1000,MATCH(C232,'[1]CÓDIGOS DE PRODUCTO'!$A$3:$A$1000,0))</f>
        <v>GALLETAS Y PAN DULCE</v>
      </c>
      <c r="G232">
        <f>+'[1]VENTAS(RESUMEN GLOBAL)'!D232-'[1]VENTAS(RESUMEN GLOBAL)'!E232</f>
        <v>6</v>
      </c>
      <c r="H232" s="9">
        <f>+'[1]VENTAS(RESUMEN GLOBAL)'!K232</f>
        <v>8.4</v>
      </c>
      <c r="I232" s="8">
        <f>+G232*'[1]VENTAS(RESUMEN GLOBAL)'!F232</f>
        <v>90</v>
      </c>
      <c r="J232" s="8">
        <f>'[1]VENTAS(RESUMEN GLOBAL)'!G232*(1-'[1]VENTAS(RESUMEN GLOBAL)'!H232)</f>
        <v>58.5</v>
      </c>
      <c r="K232" s="8">
        <f t="shared" si="3"/>
        <v>31.5</v>
      </c>
      <c r="L232" s="8">
        <f>+'[1]VENTAS(RESUMEN GLOBAL)'!J232</f>
        <v>6.2999999999999989</v>
      </c>
      <c r="M232" s="8">
        <f>+Tabla1[[#This Row],[utilidad x dia]]*7</f>
        <v>44.099999999999994</v>
      </c>
    </row>
    <row r="233" spans="1:13" x14ac:dyDescent="0.3">
      <c r="A233" s="6">
        <f>+'[1]VENTAS(RESUMEN GLOBAL)'!L233</f>
        <v>46034</v>
      </c>
      <c r="B233" s="6" t="str">
        <f>+'[1]VENTAS(RESUMEN GLOBAL)'!M233</f>
        <v>RIVULIS</v>
      </c>
      <c r="C233">
        <f>+'[1]VENTAS(RESUMEN GLOBAL)'!B233</f>
        <v>801000</v>
      </c>
      <c r="D233" t="str">
        <f>INDEX('[1]CÓDIGOS DE PRODUCTO'!$D$3:$D$1000,MATCH(C233,'[1]CÓDIGOS DE PRODUCTO'!$A$3:$A$1000,0))</f>
        <v>50181900 </v>
      </c>
      <c r="E233" t="str">
        <f>VLOOKUP(C233,'[1]CÓDIGOS DE PRODUCTO'!$A$4:$B$156,2,FALSE)</f>
        <v>BRAN FRUIT</v>
      </c>
      <c r="F233" t="str">
        <f>INDEX('[1]CÓDIGOS DE PRODUCTO'!$C$3:$C$1000,MATCH(C233,'[1]CÓDIGOS DE PRODUCTO'!$A$3:$A$1000,0))</f>
        <v>GALLETAS Y PAN DULCE</v>
      </c>
      <c r="G233">
        <f>+'[1]VENTAS(RESUMEN GLOBAL)'!D233-'[1]VENTAS(RESUMEN GLOBAL)'!E233</f>
        <v>6</v>
      </c>
      <c r="H233" s="9">
        <f>+'[1]VENTAS(RESUMEN GLOBAL)'!K233</f>
        <v>8.4</v>
      </c>
      <c r="I233" s="8">
        <f>+G233*'[1]VENTAS(RESUMEN GLOBAL)'!F233</f>
        <v>90</v>
      </c>
      <c r="J233" s="8">
        <f>'[1]VENTAS(RESUMEN GLOBAL)'!G233*(1-'[1]VENTAS(RESUMEN GLOBAL)'!H233)</f>
        <v>54</v>
      </c>
      <c r="K233" s="8">
        <f t="shared" si="3"/>
        <v>36</v>
      </c>
      <c r="L233" s="8">
        <f>+'[1]VENTAS(RESUMEN GLOBAL)'!J233</f>
        <v>7.2</v>
      </c>
      <c r="M233" s="8">
        <f>+Tabla1[[#This Row],[utilidad x dia]]*7</f>
        <v>50.4</v>
      </c>
    </row>
    <row r="234" spans="1:13" x14ac:dyDescent="0.3">
      <c r="A234" s="6">
        <f>+'[1]VENTAS(RESUMEN GLOBAL)'!L234</f>
        <v>46034</v>
      </c>
      <c r="B234" s="6" t="str">
        <f>+'[1]VENTAS(RESUMEN GLOBAL)'!M234</f>
        <v>RIVULIS</v>
      </c>
      <c r="C234">
        <f>+'[1]VENTAS(RESUMEN GLOBAL)'!B234</f>
        <v>801100</v>
      </c>
      <c r="D234" t="str">
        <f>INDEX('[1]CÓDIGOS DE PRODUCTO'!$D$3:$D$1000,MATCH(C234,'[1]CÓDIGOS DE PRODUCTO'!$A$3:$A$1000,0))</f>
        <v>50181900 </v>
      </c>
      <c r="E234" t="str">
        <f>VLOOKUP(C234,'[1]CÓDIGOS DE PRODUCTO'!$A$4:$B$156,2,FALSE)</f>
        <v>GALLETA ARCOÍRIS</v>
      </c>
      <c r="F234" t="str">
        <f>INDEX('[1]CÓDIGOS DE PRODUCTO'!$C$3:$C$1000,MATCH(C234,'[1]CÓDIGOS DE PRODUCTO'!$A$3:$A$1000,0))</f>
        <v>GALLETAS Y PAN DULCE</v>
      </c>
      <c r="G234">
        <f>+'[1]VENTAS(RESUMEN GLOBAL)'!D234-'[1]VENTAS(RESUMEN GLOBAL)'!E234</f>
        <v>5</v>
      </c>
      <c r="H234" s="9">
        <f>+'[1]VENTAS(RESUMEN GLOBAL)'!K234</f>
        <v>7</v>
      </c>
      <c r="I234" s="8">
        <f>+G234*'[1]VENTAS(RESUMEN GLOBAL)'!F234</f>
        <v>100</v>
      </c>
      <c r="J234" s="8">
        <f>'[1]VENTAS(RESUMEN GLOBAL)'!G234*(1-'[1]VENTAS(RESUMEN GLOBAL)'!H234)</f>
        <v>44.999999999999993</v>
      </c>
      <c r="K234" s="8">
        <f t="shared" si="3"/>
        <v>55.000000000000007</v>
      </c>
      <c r="L234" s="8">
        <f>+'[1]VENTAS(RESUMEN GLOBAL)'!J234</f>
        <v>11.000000000000002</v>
      </c>
      <c r="M234" s="8">
        <f>+Tabla1[[#This Row],[utilidad x dia]]*7</f>
        <v>77.000000000000014</v>
      </c>
    </row>
    <row r="235" spans="1:13" x14ac:dyDescent="0.3">
      <c r="A235" s="6">
        <f>+'[1]VENTAS(RESUMEN GLOBAL)'!L235</f>
        <v>46034</v>
      </c>
      <c r="B235" s="6" t="str">
        <f>+'[1]VENTAS(RESUMEN GLOBAL)'!M235</f>
        <v>RIVULIS</v>
      </c>
      <c r="C235">
        <f>+'[1]VENTAS(RESUMEN GLOBAL)'!B235</f>
        <v>801200</v>
      </c>
      <c r="D235" t="str">
        <f>INDEX('[1]CÓDIGOS DE PRODUCTO'!$D$3:$D$1000,MATCH(C235,'[1]CÓDIGOS DE PRODUCTO'!$A$3:$A$1000,0))</f>
        <v>50181900 </v>
      </c>
      <c r="E235" t="str">
        <f>VLOOKUP(C235,'[1]CÓDIGOS DE PRODUCTO'!$A$4:$B$156,2,FALSE)</f>
        <v>CANELITAS</v>
      </c>
      <c r="F235" t="str">
        <f>INDEX('[1]CÓDIGOS DE PRODUCTO'!$C$3:$C$1000,MATCH(C235,'[1]CÓDIGOS DE PRODUCTO'!$A$3:$A$1000,0))</f>
        <v>GALLETAS Y PAN DULCE</v>
      </c>
      <c r="G235">
        <f>+'[1]VENTAS(RESUMEN GLOBAL)'!D235-'[1]VENTAS(RESUMEN GLOBAL)'!E235</f>
        <v>6</v>
      </c>
      <c r="H235" s="9">
        <f>+'[1]VENTAS(RESUMEN GLOBAL)'!K235</f>
        <v>8.4</v>
      </c>
      <c r="I235" s="8">
        <f>+G235*'[1]VENTAS(RESUMEN GLOBAL)'!F235</f>
        <v>120</v>
      </c>
      <c r="J235" s="8">
        <f>'[1]VENTAS(RESUMEN GLOBAL)'!G235*(1-'[1]VENTAS(RESUMEN GLOBAL)'!H235)</f>
        <v>53.999999999999993</v>
      </c>
      <c r="K235" s="8">
        <f t="shared" si="3"/>
        <v>66</v>
      </c>
      <c r="L235" s="8">
        <f>+'[1]VENTAS(RESUMEN GLOBAL)'!J235</f>
        <v>13.2</v>
      </c>
      <c r="M235" s="8">
        <f>+Tabla1[[#This Row],[utilidad x dia]]*7</f>
        <v>92.399999999999991</v>
      </c>
    </row>
    <row r="236" spans="1:13" x14ac:dyDescent="0.3">
      <c r="A236" s="6">
        <f>+'[1]VENTAS(RESUMEN GLOBAL)'!L236</f>
        <v>46034</v>
      </c>
      <c r="B236" s="6" t="str">
        <f>+'[1]VENTAS(RESUMEN GLOBAL)'!M236</f>
        <v>RIVULIS</v>
      </c>
      <c r="C236">
        <f>+'[1]VENTAS(RESUMEN GLOBAL)'!B236</f>
        <v>800200</v>
      </c>
      <c r="D236" t="str">
        <f>INDEX('[1]CÓDIGOS DE PRODUCTO'!$D$3:$D$1000,MATCH(C236,'[1]CÓDIGOS DE PRODUCTO'!$A$3:$A$1000,0))</f>
        <v>50181900 </v>
      </c>
      <c r="E236" t="str">
        <f>VLOOKUP(C236,'[1]CÓDIGOS DE PRODUCTO'!$A$4:$B$156,2,FALSE)</f>
        <v>Príncipe (6 PZ-63 GR)</v>
      </c>
      <c r="F236" t="str">
        <f>INDEX('[1]CÓDIGOS DE PRODUCTO'!$C$3:$C$1000,MATCH(C236,'[1]CÓDIGOS DE PRODUCTO'!$A$3:$A$1000,0))</f>
        <v>GALLETAS Y PAN DULCE</v>
      </c>
      <c r="G236">
        <f>+'[1]VENTAS(RESUMEN GLOBAL)'!D236-'[1]VENTAS(RESUMEN GLOBAL)'!E236</f>
        <v>4</v>
      </c>
      <c r="H236" s="9">
        <f>+'[1]VENTAS(RESUMEN GLOBAL)'!K236</f>
        <v>5.6000000000000005</v>
      </c>
      <c r="I236" s="8">
        <f>+G236*'[1]VENTAS(RESUMEN GLOBAL)'!F236</f>
        <v>80</v>
      </c>
      <c r="J236" s="8">
        <f>'[1]VENTAS(RESUMEN GLOBAL)'!G236*(1-'[1]VENTAS(RESUMEN GLOBAL)'!H236)</f>
        <v>28</v>
      </c>
      <c r="K236" s="8">
        <f t="shared" si="3"/>
        <v>52</v>
      </c>
      <c r="L236" s="8">
        <f>+'[1]VENTAS(RESUMEN GLOBAL)'!J236</f>
        <v>10.4</v>
      </c>
      <c r="M236" s="8">
        <f>+Tabla1[[#This Row],[utilidad x dia]]*7</f>
        <v>72.8</v>
      </c>
    </row>
    <row r="237" spans="1:13" x14ac:dyDescent="0.3">
      <c r="A237" s="6">
        <f>+'[1]VENTAS(RESUMEN GLOBAL)'!L237</f>
        <v>46034</v>
      </c>
      <c r="B237" s="6" t="str">
        <f>+'[1]VENTAS(RESUMEN GLOBAL)'!M237</f>
        <v>RIVULIS</v>
      </c>
      <c r="C237">
        <f>+'[1]VENTAS(RESUMEN GLOBAL)'!B237</f>
        <v>100200</v>
      </c>
      <c r="D237" t="str">
        <f>INDEX('[1]CÓDIGOS DE PRODUCTO'!$D$3:$D$1000,MATCH(C237,'[1]CÓDIGOS DE PRODUCTO'!$A$3:$A$1000,0))</f>
        <v>50202300 </v>
      </c>
      <c r="E237" t="str">
        <f>VLOOKUP(C237,'[1]CÓDIGOS DE PRODUCTO'!$A$4:$B$156,2,FALSE)</f>
        <v>Agua SAMS</v>
      </c>
      <c r="F237" t="str">
        <f>INDEX('[1]CÓDIGOS DE PRODUCTO'!$C$3:$C$1000,MATCH(C237,'[1]CÓDIGOS DE PRODUCTO'!$A$3:$A$1000,0))</f>
        <v>Bebidas</v>
      </c>
      <c r="G237">
        <f>+'[1]VENTAS(RESUMEN GLOBAL)'!D237-'[1]VENTAS(RESUMEN GLOBAL)'!E237</f>
        <v>0</v>
      </c>
      <c r="H237" s="9">
        <f>+'[1]VENTAS(RESUMEN GLOBAL)'!K237</f>
        <v>0</v>
      </c>
      <c r="I237" s="8">
        <f>+G237*'[1]VENTAS(RESUMEN GLOBAL)'!F237</f>
        <v>0</v>
      </c>
      <c r="J237" s="8">
        <f>'[1]VENTAS(RESUMEN GLOBAL)'!G237*(1-'[1]VENTAS(RESUMEN GLOBAL)'!H237)</f>
        <v>0</v>
      </c>
      <c r="K237" s="8">
        <f t="shared" si="3"/>
        <v>0</v>
      </c>
      <c r="L237" s="8">
        <f>+'[1]VENTAS(RESUMEN GLOBAL)'!J237</f>
        <v>0</v>
      </c>
      <c r="M237" s="8">
        <f>+Tabla1[[#This Row],[utilidad x dia]]*7</f>
        <v>0</v>
      </c>
    </row>
    <row r="238" spans="1:13" x14ac:dyDescent="0.3">
      <c r="A238" s="6">
        <f>+'[1]VENTAS(RESUMEN GLOBAL)'!L238</f>
        <v>46034</v>
      </c>
      <c r="B238" s="6" t="str">
        <f>+'[1]VENTAS(RESUMEN GLOBAL)'!M238</f>
        <v>RIVULIS</v>
      </c>
      <c r="C238">
        <f>+'[1]VENTAS(RESUMEN GLOBAL)'!B238</f>
        <v>100200</v>
      </c>
      <c r="D238" t="str">
        <f>INDEX('[1]CÓDIGOS DE PRODUCTO'!$D$3:$D$1000,MATCH(C238,'[1]CÓDIGOS DE PRODUCTO'!$A$3:$A$1000,0))</f>
        <v>50202300 </v>
      </c>
      <c r="E238" t="str">
        <f>VLOOKUP(C238,'[1]CÓDIGOS DE PRODUCTO'!$A$4:$B$156,2,FALSE)</f>
        <v>Agua SAMS</v>
      </c>
      <c r="F238" t="str">
        <f>INDEX('[1]CÓDIGOS DE PRODUCTO'!$C$3:$C$1000,MATCH(C238,'[1]CÓDIGOS DE PRODUCTO'!$A$3:$A$1000,0))</f>
        <v>Bebidas</v>
      </c>
      <c r="G238">
        <f>+'[1]VENTAS(RESUMEN GLOBAL)'!D238-'[1]VENTAS(RESUMEN GLOBAL)'!E238</f>
        <v>1</v>
      </c>
      <c r="H238" s="9">
        <f>+'[1]VENTAS(RESUMEN GLOBAL)'!K238</f>
        <v>1.4000000000000001</v>
      </c>
      <c r="I238" s="8">
        <f>+G238*'[1]VENTAS(RESUMEN GLOBAL)'!F238</f>
        <v>15</v>
      </c>
      <c r="J238" s="8">
        <f>'[1]VENTAS(RESUMEN GLOBAL)'!G238*(1-'[1]VENTAS(RESUMEN GLOBAL)'!H238)</f>
        <v>2.9999999999999991</v>
      </c>
      <c r="K238" s="8">
        <f t="shared" si="3"/>
        <v>12</v>
      </c>
      <c r="L238" s="8">
        <f>+'[1]VENTAS(RESUMEN GLOBAL)'!J238</f>
        <v>2.4</v>
      </c>
      <c r="M238" s="8">
        <f>+Tabla1[[#This Row],[utilidad x dia]]*7</f>
        <v>16.8</v>
      </c>
    </row>
    <row r="239" spans="1:13" x14ac:dyDescent="0.3">
      <c r="A239" s="6">
        <f>+'[1]VENTAS(RESUMEN GLOBAL)'!L239</f>
        <v>46034</v>
      </c>
      <c r="B239" s="6" t="str">
        <f>+'[1]VENTAS(RESUMEN GLOBAL)'!M239</f>
        <v>RIVULIS</v>
      </c>
      <c r="C239">
        <f>+'[1]VENTAS(RESUMEN GLOBAL)'!B239</f>
        <v>100900</v>
      </c>
      <c r="D239" t="str">
        <f>INDEX('[1]CÓDIGOS DE PRODUCTO'!$D$3:$D$1000,MATCH(C239,'[1]CÓDIGOS DE PRODUCTO'!$A$3:$A$1000,0))</f>
        <v>50202300 </v>
      </c>
      <c r="E239" t="str">
        <f>VLOOKUP(C239,'[1]CÓDIGOS DE PRODUCTO'!$A$4:$B$156,2,FALSE)</f>
        <v>VOLT</v>
      </c>
      <c r="F239" t="str">
        <f>INDEX('[1]CÓDIGOS DE PRODUCTO'!$C$3:$C$1000,MATCH(C239,'[1]CÓDIGOS DE PRODUCTO'!$A$3:$A$1000,0))</f>
        <v>Bebidas</v>
      </c>
      <c r="G239">
        <f>+'[1]VENTAS(RESUMEN GLOBAL)'!D239-'[1]VENTAS(RESUMEN GLOBAL)'!E239</f>
        <v>2</v>
      </c>
      <c r="H239" s="9">
        <f>+'[1]VENTAS(RESUMEN GLOBAL)'!K239</f>
        <v>2.8000000000000003</v>
      </c>
      <c r="I239" s="8">
        <f>+G239*'[1]VENTAS(RESUMEN GLOBAL)'!F239</f>
        <v>40</v>
      </c>
      <c r="J239" s="8">
        <f>'[1]VENTAS(RESUMEN GLOBAL)'!G239*(1-'[1]VENTAS(RESUMEN GLOBAL)'!H239)</f>
        <v>28</v>
      </c>
      <c r="K239" s="8">
        <f t="shared" si="3"/>
        <v>12</v>
      </c>
      <c r="L239" s="8">
        <f>+'[1]VENTAS(RESUMEN GLOBAL)'!J239</f>
        <v>2.4</v>
      </c>
      <c r="M239" s="8">
        <f>+Tabla1[[#This Row],[utilidad x dia]]*7</f>
        <v>16.8</v>
      </c>
    </row>
    <row r="240" spans="1:13" x14ac:dyDescent="0.3">
      <c r="A240" s="6">
        <f>+'[1]VENTAS(RESUMEN GLOBAL)'!L240</f>
        <v>46034</v>
      </c>
      <c r="B240" s="6" t="str">
        <f>+'[1]VENTAS(RESUMEN GLOBAL)'!M240</f>
        <v>RIVULIS</v>
      </c>
      <c r="C240">
        <f>+'[1]VENTAS(RESUMEN GLOBAL)'!B240</f>
        <v>100300</v>
      </c>
      <c r="D240" t="str">
        <f>INDEX('[1]CÓDIGOS DE PRODUCTO'!$D$3:$D$1000,MATCH(C240,'[1]CÓDIGOS DE PRODUCTO'!$A$3:$A$1000,0))</f>
        <v>50202300 </v>
      </c>
      <c r="E240" t="str">
        <f>VLOOKUP(C240,'[1]CÓDIGOS DE PRODUCTO'!$A$4:$B$156,2,FALSE)</f>
        <v>Gatorade</v>
      </c>
      <c r="F240" t="str">
        <f>INDEX('[1]CÓDIGOS DE PRODUCTO'!$C$3:$C$1000,MATCH(C240,'[1]CÓDIGOS DE PRODUCTO'!$A$3:$A$1000,0))</f>
        <v>Bebidas</v>
      </c>
      <c r="G240">
        <f>+'[1]VENTAS(RESUMEN GLOBAL)'!D240-'[1]VENTAS(RESUMEN GLOBAL)'!E240</f>
        <v>3</v>
      </c>
      <c r="H240" s="9">
        <f>+'[1]VENTAS(RESUMEN GLOBAL)'!K240</f>
        <v>4.2</v>
      </c>
      <c r="I240" s="8">
        <f>+G240*'[1]VENTAS(RESUMEN GLOBAL)'!F240</f>
        <v>75</v>
      </c>
      <c r="J240" s="8">
        <f>'[1]VENTAS(RESUMEN GLOBAL)'!G240*(1-'[1]VENTAS(RESUMEN GLOBAL)'!H240)</f>
        <v>48</v>
      </c>
      <c r="K240" s="8">
        <f t="shared" si="3"/>
        <v>27</v>
      </c>
      <c r="L240" s="8">
        <f>+'[1]VENTAS(RESUMEN GLOBAL)'!J240</f>
        <v>5.4</v>
      </c>
      <c r="M240" s="8">
        <f>+Tabla1[[#This Row],[utilidad x dia]]*7</f>
        <v>37.800000000000004</v>
      </c>
    </row>
    <row r="241" spans="1:13" x14ac:dyDescent="0.3">
      <c r="A241" s="6">
        <f>+'[1]VENTAS(RESUMEN GLOBAL)'!L241</f>
        <v>46034</v>
      </c>
      <c r="B241" s="6" t="str">
        <f>+'[1]VENTAS(RESUMEN GLOBAL)'!M241</f>
        <v>RIVULIS</v>
      </c>
      <c r="C241">
        <f>+'[1]VENTAS(RESUMEN GLOBAL)'!B241</f>
        <v>100800</v>
      </c>
      <c r="D241" t="str">
        <f>INDEX('[1]CÓDIGOS DE PRODUCTO'!$D$3:$D$1000,MATCH(C241,'[1]CÓDIGOS DE PRODUCTO'!$A$3:$A$1000,0))</f>
        <v>50202300 </v>
      </c>
      <c r="E241" t="str">
        <f>VLOOKUP(C241,'[1]CÓDIGOS DE PRODUCTO'!$A$4:$B$156,2,FALSE)</f>
        <v>TÉ VERDE KIRKLAND</v>
      </c>
      <c r="F241" t="str">
        <f>INDEX('[1]CÓDIGOS DE PRODUCTO'!$C$3:$C$1000,MATCH(C241,'[1]CÓDIGOS DE PRODUCTO'!$A$3:$A$1000,0))</f>
        <v>Bebidas</v>
      </c>
      <c r="G241">
        <f>+'[1]VENTAS(RESUMEN GLOBAL)'!D241-'[1]VENTAS(RESUMEN GLOBAL)'!E241</f>
        <v>5</v>
      </c>
      <c r="H241" s="9">
        <f>+'[1]VENTAS(RESUMEN GLOBAL)'!K241</f>
        <v>7</v>
      </c>
      <c r="I241" s="8">
        <f>+G241*'[1]VENTAS(RESUMEN GLOBAL)'!F241</f>
        <v>90</v>
      </c>
      <c r="J241" s="8">
        <f>'[1]VENTAS(RESUMEN GLOBAL)'!G241*(1-'[1]VENTAS(RESUMEN GLOBAL)'!H241)</f>
        <v>17.099999999999994</v>
      </c>
      <c r="K241" s="8">
        <f t="shared" si="3"/>
        <v>72.900000000000006</v>
      </c>
      <c r="L241" s="8">
        <f>+'[1]VENTAS(RESUMEN GLOBAL)'!J241</f>
        <v>14.580000000000002</v>
      </c>
      <c r="M241" s="8">
        <f>+Tabla1[[#This Row],[utilidad x dia]]*7</f>
        <v>102.06000000000002</v>
      </c>
    </row>
    <row r="242" spans="1:13" x14ac:dyDescent="0.3">
      <c r="A242" s="6">
        <f>+'[1]VENTAS(RESUMEN GLOBAL)'!L242</f>
        <v>46034</v>
      </c>
      <c r="B242" s="6" t="str">
        <f>+'[1]VENTAS(RESUMEN GLOBAL)'!M242</f>
        <v>RIVULIS</v>
      </c>
      <c r="C242">
        <f>+'[1]VENTAS(RESUMEN GLOBAL)'!B242</f>
        <v>801300</v>
      </c>
      <c r="D242" t="str">
        <f>INDEX('[1]CÓDIGOS DE PRODUCTO'!$D$3:$D$1000,MATCH(C242,'[1]CÓDIGOS DE PRODUCTO'!$A$3:$A$1000,0))</f>
        <v>50181900 </v>
      </c>
      <c r="E242" t="str">
        <f>VLOOKUP(C242,'[1]CÓDIGOS DE PRODUCTO'!$A$4:$B$156,2,FALSE)</f>
        <v>OREO GDE</v>
      </c>
      <c r="F242" t="str">
        <f>INDEX('[1]CÓDIGOS DE PRODUCTO'!$C$3:$C$1000,MATCH(C242,'[1]CÓDIGOS DE PRODUCTO'!$A$3:$A$1000,0))</f>
        <v>GALLETAS Y PAN DULCE</v>
      </c>
      <c r="G242">
        <f>+'[1]VENTAS(RESUMEN GLOBAL)'!D242-'[1]VENTAS(RESUMEN GLOBAL)'!E242</f>
        <v>5</v>
      </c>
      <c r="H242" s="9">
        <f>+'[1]VENTAS(RESUMEN GLOBAL)'!K242</f>
        <v>7</v>
      </c>
      <c r="I242" s="8">
        <f>+G242*'[1]VENTAS(RESUMEN GLOBAL)'!F242</f>
        <v>150</v>
      </c>
      <c r="J242" s="8">
        <f>'[1]VENTAS(RESUMEN GLOBAL)'!G242*(1-'[1]VENTAS(RESUMEN GLOBAL)'!H242)</f>
        <v>75</v>
      </c>
      <c r="K242" s="8">
        <f t="shared" si="3"/>
        <v>75</v>
      </c>
      <c r="L242" s="8">
        <f>+'[1]VENTAS(RESUMEN GLOBAL)'!J242</f>
        <v>15</v>
      </c>
      <c r="M242" s="8">
        <f>+Tabla1[[#This Row],[utilidad x dia]]*7</f>
        <v>105</v>
      </c>
    </row>
    <row r="243" spans="1:13" x14ac:dyDescent="0.3">
      <c r="A243" s="6">
        <f>+'[1]VENTAS(RESUMEN GLOBAL)'!L243</f>
        <v>0</v>
      </c>
      <c r="B243" s="6">
        <f>+'[1]VENTAS(RESUMEN GLOBAL)'!M243</f>
        <v>0</v>
      </c>
      <c r="C243">
        <f>+'[1]VENTAS(RESUMEN GLOBAL)'!B243</f>
        <v>0</v>
      </c>
      <c r="D243" t="e">
        <f>INDEX('[1]CÓDIGOS DE PRODUCTO'!$D$3:$D$1000,MATCH(C243,'[1]CÓDIGOS DE PRODUCTO'!$A$3:$A$1000,0))</f>
        <v>#N/A</v>
      </c>
      <c r="E243">
        <f>VLOOKUP(C243,'[1]CÓDIGOS DE PRODUCTO'!$A$4:$B$156,2,FALSE)</f>
        <v>0</v>
      </c>
      <c r="F243">
        <f>INDEX('[1]CÓDIGOS DE PRODUCTO'!$C$3:$C$1000,MATCH(C243,'[1]CÓDIGOS DE PRODUCTO'!$A$3:$A$1000,0))</f>
        <v>0</v>
      </c>
      <c r="G243">
        <f>+'[1]VENTAS(RESUMEN GLOBAL)'!D243-'[1]VENTAS(RESUMEN GLOBAL)'!E243</f>
        <v>0</v>
      </c>
      <c r="H243" s="9">
        <f>+'[1]VENTAS(RESUMEN GLOBAL)'!K243</f>
        <v>0</v>
      </c>
      <c r="I243" s="8">
        <f>+G243*'[1]VENTAS(RESUMEN GLOBAL)'!F243</f>
        <v>0</v>
      </c>
      <c r="J243" s="8">
        <f>'[1]VENTAS(RESUMEN GLOBAL)'!G243*(1-'[1]VENTAS(RESUMEN GLOBAL)'!H243)</f>
        <v>0</v>
      </c>
      <c r="K243" s="8">
        <f t="shared" si="3"/>
        <v>0</v>
      </c>
      <c r="L243" s="8">
        <f>+'[1]VENTAS(RESUMEN GLOBAL)'!J243</f>
        <v>0</v>
      </c>
      <c r="M243" s="8">
        <f>+Tabla1[[#This Row],[utilidad x dia]]*7</f>
        <v>0</v>
      </c>
    </row>
    <row r="244" spans="1:13" x14ac:dyDescent="0.3">
      <c r="A244" s="6">
        <f>+'[1]VENTAS(RESUMEN GLOBAL)'!L244</f>
        <v>46041</v>
      </c>
      <c r="B244" s="6" t="str">
        <f>+'[1]VENTAS(RESUMEN GLOBAL)'!M244</f>
        <v>RIVULIS</v>
      </c>
      <c r="C244">
        <f>+'[1]VENTAS(RESUMEN GLOBAL)'!B244</f>
        <v>600300</v>
      </c>
      <c r="D244" t="str">
        <f>INDEX('[1]CÓDIGOS DE PRODUCTO'!$D$3:$D$1000,MATCH(C244,'[1]CÓDIGOS DE PRODUCTO'!$A$3:$A$1000,0))</f>
        <v>50192109 </v>
      </c>
      <c r="E244" t="str">
        <f>VLOOKUP(C244,'[1]CÓDIGOS DE PRODUCTO'!$A$4:$B$156,2,FALSE)</f>
        <v>TAKIS FUEGO</v>
      </c>
      <c r="F244" t="str">
        <f>INDEX('[1]CÓDIGOS DE PRODUCTO'!$C$3:$C$1000,MATCH(C244,'[1]CÓDIGOS DE PRODUCTO'!$A$3:$A$1000,0))</f>
        <v>Papas fritas</v>
      </c>
      <c r="G244">
        <f>+'[1]VENTAS(RESUMEN GLOBAL)'!D244-'[1]VENTAS(RESUMEN GLOBAL)'!E244</f>
        <v>5</v>
      </c>
      <c r="H244" s="9">
        <f>+'[1]VENTAS(RESUMEN GLOBAL)'!K244</f>
        <v>5</v>
      </c>
      <c r="I244" s="8">
        <f>+G244*'[1]VENTAS(RESUMEN GLOBAL)'!F244</f>
        <v>125</v>
      </c>
      <c r="J244" s="8">
        <f>'[1]VENTAS(RESUMEN GLOBAL)'!G244*(1-'[1]VENTAS(RESUMEN GLOBAL)'!H244)</f>
        <v>51.250000000000007</v>
      </c>
      <c r="K244" s="8">
        <f t="shared" si="3"/>
        <v>73.75</v>
      </c>
      <c r="L244" s="8">
        <f>+'[1]VENTAS(RESUMEN GLOBAL)'!J244</f>
        <v>10.535714285714286</v>
      </c>
      <c r="M244" s="8">
        <f>+Tabla1[[#This Row],[utilidad x dia]]*7</f>
        <v>73.75</v>
      </c>
    </row>
    <row r="245" spans="1:13" x14ac:dyDescent="0.3">
      <c r="A245" s="6">
        <f>+'[1]VENTAS(RESUMEN GLOBAL)'!L245</f>
        <v>46041</v>
      </c>
      <c r="B245" s="6" t="str">
        <f>+'[1]VENTAS(RESUMEN GLOBAL)'!M245</f>
        <v>RIVULIS</v>
      </c>
      <c r="C245">
        <f>+'[1]VENTAS(RESUMEN GLOBAL)'!B245</f>
        <v>6005101</v>
      </c>
      <c r="D245" t="str">
        <f>INDEX('[1]CÓDIGOS DE PRODUCTO'!$D$3:$D$1000,MATCH(C245,'[1]CÓDIGOS DE PRODUCTO'!$A$3:$A$1000,0))</f>
        <v>50192109 </v>
      </c>
      <c r="E245" t="str">
        <f>VLOOKUP(C245,'[1]CÓDIGOS DE PRODUCTO'!$A$4:$B$156,2,FALSE)</f>
        <v>SABRITAS AMARILLAS</v>
      </c>
      <c r="F245" t="str">
        <f>INDEX('[1]CÓDIGOS DE PRODUCTO'!$C$3:$C$1000,MATCH(C245,'[1]CÓDIGOS DE PRODUCTO'!$A$3:$A$1000,0))</f>
        <v>Papas fritas</v>
      </c>
      <c r="G245">
        <f>+'[1]VENTAS(RESUMEN GLOBAL)'!D245-'[1]VENTAS(RESUMEN GLOBAL)'!E245</f>
        <v>5</v>
      </c>
      <c r="H245" s="9">
        <f>+'[1]VENTAS(RESUMEN GLOBAL)'!K245</f>
        <v>5</v>
      </c>
      <c r="I245" s="8">
        <f>+G245*'[1]VENTAS(RESUMEN GLOBAL)'!F245</f>
        <v>125</v>
      </c>
      <c r="J245" s="8">
        <f>'[1]VENTAS(RESUMEN GLOBAL)'!G245*(1-'[1]VENTAS(RESUMEN GLOBAL)'!H245)</f>
        <v>42.499999999999993</v>
      </c>
      <c r="K245" s="8">
        <f t="shared" si="3"/>
        <v>82.5</v>
      </c>
      <c r="L245" s="8">
        <f>+'[1]VENTAS(RESUMEN GLOBAL)'!J245</f>
        <v>11.785714285714286</v>
      </c>
      <c r="M245" s="8">
        <f>+Tabla1[[#This Row],[utilidad x dia]]*7</f>
        <v>82.5</v>
      </c>
    </row>
    <row r="246" spans="1:13" x14ac:dyDescent="0.3">
      <c r="A246" s="6">
        <f>+'[1]VENTAS(RESUMEN GLOBAL)'!L246</f>
        <v>46041</v>
      </c>
      <c r="B246" s="6" t="str">
        <f>+'[1]VENTAS(RESUMEN GLOBAL)'!M246</f>
        <v>RIVULIS</v>
      </c>
      <c r="C246">
        <f>+'[1]VENTAS(RESUMEN GLOBAL)'!B246</f>
        <v>6005102</v>
      </c>
      <c r="D246" t="str">
        <f>INDEX('[1]CÓDIGOS DE PRODUCTO'!$D$3:$D$1000,MATCH(C246,'[1]CÓDIGOS DE PRODUCTO'!$A$3:$A$1000,0))</f>
        <v>50192109 </v>
      </c>
      <c r="E246" t="str">
        <f>VLOOKUP(C246,'[1]CÓDIGOS DE PRODUCTO'!$A$4:$B$156,2,FALSE)</f>
        <v>RUFFLES</v>
      </c>
      <c r="F246" t="str">
        <f>INDEX('[1]CÓDIGOS DE PRODUCTO'!$C$3:$C$1000,MATCH(C246,'[1]CÓDIGOS DE PRODUCTO'!$A$3:$A$1000,0))</f>
        <v>Papas fritas</v>
      </c>
      <c r="G246">
        <f>+'[1]VENTAS(RESUMEN GLOBAL)'!D246-'[1]VENTAS(RESUMEN GLOBAL)'!E246</f>
        <v>2</v>
      </c>
      <c r="H246" s="9">
        <f>+'[1]VENTAS(RESUMEN GLOBAL)'!K246</f>
        <v>2</v>
      </c>
      <c r="I246" s="8">
        <f>+G246*'[1]VENTAS(RESUMEN GLOBAL)'!F246</f>
        <v>50</v>
      </c>
      <c r="J246" s="8">
        <f>'[1]VENTAS(RESUMEN GLOBAL)'!G246*(1-'[1]VENTAS(RESUMEN GLOBAL)'!H246)</f>
        <v>17</v>
      </c>
      <c r="K246" s="8">
        <f t="shared" si="3"/>
        <v>33</v>
      </c>
      <c r="L246" s="8">
        <f>+'[1]VENTAS(RESUMEN GLOBAL)'!J246</f>
        <v>4.7142857142857144</v>
      </c>
      <c r="M246" s="8">
        <f>+Tabla1[[#This Row],[utilidad x dia]]*7</f>
        <v>33</v>
      </c>
    </row>
    <row r="247" spans="1:13" x14ac:dyDescent="0.3">
      <c r="A247" s="6">
        <f>+'[1]VENTAS(RESUMEN GLOBAL)'!L247</f>
        <v>46041</v>
      </c>
      <c r="B247" s="6" t="str">
        <f>+'[1]VENTAS(RESUMEN GLOBAL)'!M247</f>
        <v>RIVULIS</v>
      </c>
      <c r="C247">
        <f>+'[1]VENTAS(RESUMEN GLOBAL)'!B247</f>
        <v>6005103</v>
      </c>
      <c r="D247" t="str">
        <f>INDEX('[1]CÓDIGOS DE PRODUCTO'!$D$3:$D$1000,MATCH(C247,'[1]CÓDIGOS DE PRODUCTO'!$A$3:$A$1000,0))</f>
        <v>50192109 </v>
      </c>
      <c r="E247" t="str">
        <f>VLOOKUP(C247,'[1]CÓDIGOS DE PRODUCTO'!$A$4:$B$156,2,FALSE)</f>
        <v>DORITOS ROJOS</v>
      </c>
      <c r="F247" t="str">
        <f>INDEX('[1]CÓDIGOS DE PRODUCTO'!$C$3:$C$1000,MATCH(C247,'[1]CÓDIGOS DE PRODUCTO'!$A$3:$A$1000,0))</f>
        <v>Papas fritas</v>
      </c>
      <c r="G247">
        <f>+'[1]VENTAS(RESUMEN GLOBAL)'!D247-'[1]VENTAS(RESUMEN GLOBAL)'!E247</f>
        <v>1</v>
      </c>
      <c r="H247" s="9">
        <f>+'[1]VENTAS(RESUMEN GLOBAL)'!K247</f>
        <v>1</v>
      </c>
      <c r="I247" s="8">
        <f>+G247*'[1]VENTAS(RESUMEN GLOBAL)'!F247</f>
        <v>25</v>
      </c>
      <c r="J247" s="8">
        <f>'[1]VENTAS(RESUMEN GLOBAL)'!G247*(1-'[1]VENTAS(RESUMEN GLOBAL)'!H247)</f>
        <v>8.5</v>
      </c>
      <c r="K247" s="8">
        <f t="shared" si="3"/>
        <v>16.5</v>
      </c>
      <c r="L247" s="8">
        <f>+'[1]VENTAS(RESUMEN GLOBAL)'!J247</f>
        <v>2.3571428571428572</v>
      </c>
      <c r="M247" s="8">
        <f>+Tabla1[[#This Row],[utilidad x dia]]*7</f>
        <v>16.5</v>
      </c>
    </row>
    <row r="248" spans="1:13" x14ac:dyDescent="0.3">
      <c r="A248" s="6">
        <f>+'[1]VENTAS(RESUMEN GLOBAL)'!L248</f>
        <v>46041</v>
      </c>
      <c r="B248" s="6" t="str">
        <f>+'[1]VENTAS(RESUMEN GLOBAL)'!M248</f>
        <v>RIVULIS</v>
      </c>
      <c r="C248">
        <f>+'[1]VENTAS(RESUMEN GLOBAL)'!B248</f>
        <v>600101</v>
      </c>
      <c r="D248" t="str">
        <f>INDEX('[1]CÓDIGOS DE PRODUCTO'!$D$3:$D$1000,MATCH(C248,'[1]CÓDIGOS DE PRODUCTO'!$A$3:$A$1000,0))</f>
        <v>50192109 </v>
      </c>
      <c r="E248" t="str">
        <f>VLOOKUP(C248,'[1]CÓDIGOS DE PRODUCTO'!$A$4:$B$156,2,FALSE)</f>
        <v>CHIPS VERDES</v>
      </c>
      <c r="F248" t="str">
        <f>INDEX('[1]CÓDIGOS DE PRODUCTO'!$C$3:$C$1000,MATCH(C248,'[1]CÓDIGOS DE PRODUCTO'!$A$3:$A$1000,0))</f>
        <v>Papas fritas</v>
      </c>
      <c r="G248">
        <f>+'[1]VENTAS(RESUMEN GLOBAL)'!D248-'[1]VENTAS(RESUMEN GLOBAL)'!E248</f>
        <v>5</v>
      </c>
      <c r="H248" s="9">
        <f>+'[1]VENTAS(RESUMEN GLOBAL)'!K248</f>
        <v>5</v>
      </c>
      <c r="I248" s="8">
        <f>+G248*'[1]VENTAS(RESUMEN GLOBAL)'!F248</f>
        <v>125</v>
      </c>
      <c r="J248" s="8">
        <f>'[1]VENTAS(RESUMEN GLOBAL)'!G248*(1-'[1]VENTAS(RESUMEN GLOBAL)'!H248)</f>
        <v>45</v>
      </c>
      <c r="K248" s="8">
        <f t="shared" si="3"/>
        <v>80</v>
      </c>
      <c r="L248" s="8">
        <f>+'[1]VENTAS(RESUMEN GLOBAL)'!J248</f>
        <v>11.428571428571429</v>
      </c>
      <c r="M248" s="8">
        <f>+Tabla1[[#This Row],[utilidad x dia]]*7</f>
        <v>80</v>
      </c>
    </row>
    <row r="249" spans="1:13" x14ac:dyDescent="0.3">
      <c r="A249" s="6">
        <f>+'[1]VENTAS(RESUMEN GLOBAL)'!L249</f>
        <v>46041</v>
      </c>
      <c r="B249" s="6" t="str">
        <f>+'[1]VENTAS(RESUMEN GLOBAL)'!M249</f>
        <v>RIVULIS</v>
      </c>
      <c r="C249">
        <f>+'[1]VENTAS(RESUMEN GLOBAL)'!B249</f>
        <v>600102</v>
      </c>
      <c r="D249" t="str">
        <f>INDEX('[1]CÓDIGOS DE PRODUCTO'!$D$3:$D$1000,MATCH(C249,'[1]CÓDIGOS DE PRODUCTO'!$A$3:$A$1000,0))</f>
        <v>50192109 </v>
      </c>
      <c r="E249" t="str">
        <f>VLOOKUP(C249,'[1]CÓDIGOS DE PRODUCTO'!$A$4:$B$156,2,FALSE)</f>
        <v>RUNNERS</v>
      </c>
      <c r="F249" t="str">
        <f>INDEX('[1]CÓDIGOS DE PRODUCTO'!$C$3:$C$1000,MATCH(C249,'[1]CÓDIGOS DE PRODUCTO'!$A$3:$A$1000,0))</f>
        <v>Papas fritas</v>
      </c>
      <c r="G249">
        <f>+'[1]VENTAS(RESUMEN GLOBAL)'!D249-'[1]VENTAS(RESUMEN GLOBAL)'!E249</f>
        <v>3</v>
      </c>
      <c r="H249" s="9">
        <f>+'[1]VENTAS(RESUMEN GLOBAL)'!K249</f>
        <v>3</v>
      </c>
      <c r="I249" s="8">
        <f>+G249*'[1]VENTAS(RESUMEN GLOBAL)'!F249</f>
        <v>75</v>
      </c>
      <c r="J249" s="8">
        <f>'[1]VENTAS(RESUMEN GLOBAL)'!G249*(1-'[1]VENTAS(RESUMEN GLOBAL)'!H249)</f>
        <v>27</v>
      </c>
      <c r="K249" s="8">
        <f t="shared" si="3"/>
        <v>48</v>
      </c>
      <c r="L249" s="8">
        <f>+'[1]VENTAS(RESUMEN GLOBAL)'!J249</f>
        <v>6.8571428571428568</v>
      </c>
      <c r="M249" s="8">
        <f>+Tabla1[[#This Row],[utilidad x dia]]*7</f>
        <v>48</v>
      </c>
    </row>
    <row r="250" spans="1:13" x14ac:dyDescent="0.3">
      <c r="A250" s="6">
        <f>+'[1]VENTAS(RESUMEN GLOBAL)'!L250</f>
        <v>46041</v>
      </c>
      <c r="B250" s="6" t="str">
        <f>+'[1]VENTAS(RESUMEN GLOBAL)'!M250</f>
        <v>RIVULIS</v>
      </c>
      <c r="C250">
        <f>+'[1]VENTAS(RESUMEN GLOBAL)'!B250</f>
        <v>6005104</v>
      </c>
      <c r="D250" t="str">
        <f>INDEX('[1]CÓDIGOS DE PRODUCTO'!$D$3:$D$1000,MATCH(C250,'[1]CÓDIGOS DE PRODUCTO'!$A$3:$A$1000,0))</f>
        <v>50192109 </v>
      </c>
      <c r="E250" t="str">
        <f>VLOOKUP(C250,'[1]CÓDIGOS DE PRODUCTO'!$A$4:$B$156,2,FALSE)</f>
        <v>RANCHERITOS</v>
      </c>
      <c r="F250" t="str">
        <f>INDEX('[1]CÓDIGOS DE PRODUCTO'!$C$3:$C$1000,MATCH(C250,'[1]CÓDIGOS DE PRODUCTO'!$A$3:$A$1000,0))</f>
        <v>Papas fritas</v>
      </c>
      <c r="G250">
        <f>+'[1]VENTAS(RESUMEN GLOBAL)'!D250-'[1]VENTAS(RESUMEN GLOBAL)'!E250</f>
        <v>1</v>
      </c>
      <c r="H250" s="9">
        <f>+'[1]VENTAS(RESUMEN GLOBAL)'!K250</f>
        <v>1</v>
      </c>
      <c r="I250" s="8">
        <f>+G250*'[1]VENTAS(RESUMEN GLOBAL)'!F250</f>
        <v>25</v>
      </c>
      <c r="J250" s="8">
        <f>'[1]VENTAS(RESUMEN GLOBAL)'!G250*(1-'[1]VENTAS(RESUMEN GLOBAL)'!H250)</f>
        <v>8.5</v>
      </c>
      <c r="K250" s="8">
        <f t="shared" si="3"/>
        <v>16.5</v>
      </c>
      <c r="L250" s="8">
        <f>+'[1]VENTAS(RESUMEN GLOBAL)'!J250</f>
        <v>2.3571428571428572</v>
      </c>
      <c r="M250" s="8">
        <f>+Tabla1[[#This Row],[utilidad x dia]]*7</f>
        <v>16.5</v>
      </c>
    </row>
    <row r="251" spans="1:13" x14ac:dyDescent="0.3">
      <c r="A251" s="6">
        <f>+'[1]VENTAS(RESUMEN GLOBAL)'!L251</f>
        <v>46041</v>
      </c>
      <c r="B251" s="6" t="str">
        <f>+'[1]VENTAS(RESUMEN GLOBAL)'!M251</f>
        <v>RIVULIS</v>
      </c>
      <c r="C251">
        <f>+'[1]VENTAS(RESUMEN GLOBAL)'!B251</f>
        <v>600600</v>
      </c>
      <c r="D251" t="str">
        <f>INDEX('[1]CÓDIGOS DE PRODUCTO'!$D$3:$D$1000,MATCH(C251,'[1]CÓDIGOS DE PRODUCTO'!$A$3:$A$1000,0))</f>
        <v>50192109 </v>
      </c>
      <c r="E251" t="str">
        <f>VLOOKUP(C251,'[1]CÓDIGOS DE PRODUCTO'!$A$4:$B$156,2,FALSE)</f>
        <v>CHICHARRON SURTIDO</v>
      </c>
      <c r="F251" t="str">
        <f>INDEX('[1]CÓDIGOS DE PRODUCTO'!$C$3:$C$1000,MATCH(C251,'[1]CÓDIGOS DE PRODUCTO'!$A$3:$A$1000,0))</f>
        <v>Papas fritas</v>
      </c>
      <c r="G251">
        <f>+'[1]VENTAS(RESUMEN GLOBAL)'!D251-'[1]VENTAS(RESUMEN GLOBAL)'!E251</f>
        <v>4</v>
      </c>
      <c r="H251" s="9">
        <f>+'[1]VENTAS(RESUMEN GLOBAL)'!K251</f>
        <v>4</v>
      </c>
      <c r="I251" s="8">
        <f>+G251*'[1]VENTAS(RESUMEN GLOBAL)'!F251</f>
        <v>100</v>
      </c>
      <c r="J251" s="8">
        <f>'[1]VENTAS(RESUMEN GLOBAL)'!G251*(1-'[1]VENTAS(RESUMEN GLOBAL)'!H251)</f>
        <v>47</v>
      </c>
      <c r="K251" s="8">
        <f t="shared" si="3"/>
        <v>53</v>
      </c>
      <c r="L251" s="8">
        <f>+'[1]VENTAS(RESUMEN GLOBAL)'!J251</f>
        <v>7.5714285714285712</v>
      </c>
      <c r="M251" s="8">
        <f>+Tabla1[[#This Row],[utilidad x dia]]*7</f>
        <v>53</v>
      </c>
    </row>
    <row r="252" spans="1:13" x14ac:dyDescent="0.3">
      <c r="A252" s="6">
        <f>+'[1]VENTAS(RESUMEN GLOBAL)'!L252</f>
        <v>46041</v>
      </c>
      <c r="B252" s="6" t="str">
        <f>+'[1]VENTAS(RESUMEN GLOBAL)'!M252</f>
        <v>RIVULIS</v>
      </c>
      <c r="C252">
        <f>+'[1]VENTAS(RESUMEN GLOBAL)'!B252</f>
        <v>600500</v>
      </c>
      <c r="D252" t="str">
        <f>INDEX('[1]CÓDIGOS DE PRODUCTO'!$D$3:$D$1000,MATCH(C252,'[1]CÓDIGOS DE PRODUCTO'!$A$3:$A$1000,0))</f>
        <v>50192109 </v>
      </c>
      <c r="E252" t="str">
        <f>VLOOKUP(C252,'[1]CÓDIGOS DE PRODUCTO'!$A$4:$B$156,2,FALSE)</f>
        <v>SABRIMAYOREO</v>
      </c>
      <c r="F252" t="str">
        <f>INDEX('[1]CÓDIGOS DE PRODUCTO'!$C$3:$C$1000,MATCH(C252,'[1]CÓDIGOS DE PRODUCTO'!$A$3:$A$1000,0))</f>
        <v>Papas fritas</v>
      </c>
      <c r="G252">
        <f>+'[1]VENTAS(RESUMEN GLOBAL)'!D252-'[1]VENTAS(RESUMEN GLOBAL)'!E252</f>
        <v>2</v>
      </c>
      <c r="H252" s="9">
        <f>+'[1]VENTAS(RESUMEN GLOBAL)'!K252</f>
        <v>2</v>
      </c>
      <c r="I252" s="8">
        <f>+G252*'[1]VENTAS(RESUMEN GLOBAL)'!F252</f>
        <v>50</v>
      </c>
      <c r="J252" s="8">
        <f>'[1]VENTAS(RESUMEN GLOBAL)'!G252*(1-'[1]VENTAS(RESUMEN GLOBAL)'!H252)</f>
        <v>17</v>
      </c>
      <c r="K252" s="8">
        <f t="shared" si="3"/>
        <v>33</v>
      </c>
      <c r="L252" s="8">
        <f>+'[1]VENTAS(RESUMEN GLOBAL)'!J252</f>
        <v>4.7142857142857144</v>
      </c>
      <c r="M252" s="8">
        <f>+Tabla1[[#This Row],[utilidad x dia]]*7</f>
        <v>33</v>
      </c>
    </row>
    <row r="253" spans="1:13" x14ac:dyDescent="0.3">
      <c r="A253" s="6">
        <f>+'[1]VENTAS(RESUMEN GLOBAL)'!L253</f>
        <v>46041</v>
      </c>
      <c r="B253" s="6" t="str">
        <f>+'[1]VENTAS(RESUMEN GLOBAL)'!M253</f>
        <v>RIVULIS</v>
      </c>
      <c r="C253">
        <f>+'[1]VENTAS(RESUMEN GLOBAL)'!B253</f>
        <v>600400</v>
      </c>
      <c r="D253" t="str">
        <f>INDEX('[1]CÓDIGOS DE PRODUCTO'!$D$3:$D$1000,MATCH(C253,'[1]CÓDIGOS DE PRODUCTO'!$A$3:$A$1000,0))</f>
        <v>50192109 </v>
      </c>
      <c r="E253" t="str">
        <f>VLOOKUP(C253,'[1]CÓDIGOS DE PRODUCTO'!$A$4:$B$156,2,FALSE)</f>
        <v>FRITOS (CHORIZO U OTROS)</v>
      </c>
      <c r="F253" t="str">
        <f>INDEX('[1]CÓDIGOS DE PRODUCTO'!$C$3:$C$1000,MATCH(C253,'[1]CÓDIGOS DE PRODUCTO'!$A$3:$A$1000,0))</f>
        <v>Papas fritas</v>
      </c>
      <c r="G253">
        <f>+'[1]VENTAS(RESUMEN GLOBAL)'!D253-'[1]VENTAS(RESUMEN GLOBAL)'!E253</f>
        <v>4</v>
      </c>
      <c r="H253" s="9">
        <f>+'[1]VENTAS(RESUMEN GLOBAL)'!K253</f>
        <v>4</v>
      </c>
      <c r="I253" s="8">
        <f>+G253*'[1]VENTAS(RESUMEN GLOBAL)'!F253</f>
        <v>80</v>
      </c>
      <c r="J253" s="8">
        <f>'[1]VENTAS(RESUMEN GLOBAL)'!G253*(1-'[1]VENTAS(RESUMEN GLOBAL)'!H253)</f>
        <v>32.800000000000004</v>
      </c>
      <c r="K253" s="8">
        <f t="shared" si="3"/>
        <v>47.199999999999996</v>
      </c>
      <c r="L253" s="8">
        <f>+'[1]VENTAS(RESUMEN GLOBAL)'!J253</f>
        <v>6.742857142857142</v>
      </c>
      <c r="M253" s="8">
        <f>+Tabla1[[#This Row],[utilidad x dia]]*7</f>
        <v>47.199999999999996</v>
      </c>
    </row>
    <row r="254" spans="1:13" x14ac:dyDescent="0.3">
      <c r="A254" s="6">
        <f>+'[1]VENTAS(RESUMEN GLOBAL)'!L254</f>
        <v>46041</v>
      </c>
      <c r="B254" s="6" t="str">
        <f>+'[1]VENTAS(RESUMEN GLOBAL)'!M254</f>
        <v>RIVULIS</v>
      </c>
      <c r="C254">
        <f>+'[1]VENTAS(RESUMEN GLOBAL)'!B254</f>
        <v>100400</v>
      </c>
      <c r="D254" t="str">
        <f>INDEX('[1]CÓDIGOS DE PRODUCTO'!$D$3:$D$1000,MATCH(C254,'[1]CÓDIGOS DE PRODUCTO'!$A$3:$A$1000,0))</f>
        <v>50202300 </v>
      </c>
      <c r="E254" t="str">
        <f>VLOOKUP(C254,'[1]CÓDIGOS DE PRODUCTO'!$A$4:$B$156,2,FALSE)</f>
        <v>Jumex</v>
      </c>
      <c r="F254" t="str">
        <f>INDEX('[1]CÓDIGOS DE PRODUCTO'!$C$3:$C$1000,MATCH(C254,'[1]CÓDIGOS DE PRODUCTO'!$A$3:$A$1000,0))</f>
        <v>Bebidas</v>
      </c>
      <c r="G254">
        <f>+'[1]VENTAS(RESUMEN GLOBAL)'!D254-'[1]VENTAS(RESUMEN GLOBAL)'!E254</f>
        <v>4</v>
      </c>
      <c r="H254" s="9">
        <f>+'[1]VENTAS(RESUMEN GLOBAL)'!K254</f>
        <v>4</v>
      </c>
      <c r="I254" s="8">
        <f>+G254*'[1]VENTAS(RESUMEN GLOBAL)'!F254</f>
        <v>60</v>
      </c>
      <c r="J254" s="8">
        <f>'[1]VENTAS(RESUMEN GLOBAL)'!G254*(1-'[1]VENTAS(RESUMEN GLOBAL)'!H254)</f>
        <v>30</v>
      </c>
      <c r="K254" s="8">
        <f t="shared" si="3"/>
        <v>30</v>
      </c>
      <c r="L254" s="8">
        <f>+'[1]VENTAS(RESUMEN GLOBAL)'!J254</f>
        <v>4.2857142857142856</v>
      </c>
      <c r="M254" s="8">
        <f>+Tabla1[[#This Row],[utilidad x dia]]*7</f>
        <v>30</v>
      </c>
    </row>
    <row r="255" spans="1:13" x14ac:dyDescent="0.3">
      <c r="A255" s="6">
        <f>+'[1]VENTAS(RESUMEN GLOBAL)'!L255</f>
        <v>46041</v>
      </c>
      <c r="B255" s="6" t="str">
        <f>+'[1]VENTAS(RESUMEN GLOBAL)'!M255</f>
        <v>RIVULIS</v>
      </c>
      <c r="C255">
        <f>+'[1]VENTAS(RESUMEN GLOBAL)'!B255</f>
        <v>100400</v>
      </c>
      <c r="D255" t="str">
        <f>INDEX('[1]CÓDIGOS DE PRODUCTO'!$D$3:$D$1000,MATCH(C255,'[1]CÓDIGOS DE PRODUCTO'!$A$3:$A$1000,0))</f>
        <v>50202300 </v>
      </c>
      <c r="E255" t="str">
        <f>VLOOKUP(C255,'[1]CÓDIGOS DE PRODUCTO'!$A$4:$B$156,2,FALSE)</f>
        <v>Jumex</v>
      </c>
      <c r="F255" t="str">
        <f>INDEX('[1]CÓDIGOS DE PRODUCTO'!$C$3:$C$1000,MATCH(C255,'[1]CÓDIGOS DE PRODUCTO'!$A$3:$A$1000,0))</f>
        <v>Bebidas</v>
      </c>
      <c r="G255">
        <f>+'[1]VENTAS(RESUMEN GLOBAL)'!D255-'[1]VENTAS(RESUMEN GLOBAL)'!E255</f>
        <v>4</v>
      </c>
      <c r="H255" s="9">
        <f>+'[1]VENTAS(RESUMEN GLOBAL)'!K255</f>
        <v>4</v>
      </c>
      <c r="I255" s="8">
        <f>+G255*'[1]VENTAS(RESUMEN GLOBAL)'!F255</f>
        <v>60</v>
      </c>
      <c r="J255" s="8">
        <f>'[1]VENTAS(RESUMEN GLOBAL)'!G255*(1-'[1]VENTAS(RESUMEN GLOBAL)'!H255)</f>
        <v>30</v>
      </c>
      <c r="K255" s="8">
        <f t="shared" si="3"/>
        <v>30</v>
      </c>
      <c r="L255" s="8">
        <f>+'[1]VENTAS(RESUMEN GLOBAL)'!J255</f>
        <v>4.2857142857142856</v>
      </c>
      <c r="M255" s="8">
        <f>+Tabla1[[#This Row],[utilidad x dia]]*7</f>
        <v>30</v>
      </c>
    </row>
    <row r="256" spans="1:13" x14ac:dyDescent="0.3">
      <c r="A256" s="6">
        <f>+'[1]VENTAS(RESUMEN GLOBAL)'!L256</f>
        <v>46041</v>
      </c>
      <c r="B256" s="6" t="str">
        <f>+'[1]VENTAS(RESUMEN GLOBAL)'!M256</f>
        <v>RIVULIS</v>
      </c>
      <c r="C256">
        <f>+'[1]VENTAS(RESUMEN GLOBAL)'!B256</f>
        <v>100600</v>
      </c>
      <c r="D256" t="str">
        <f>INDEX('[1]CÓDIGOS DE PRODUCTO'!$D$3:$D$1000,MATCH(C256,'[1]CÓDIGOS DE PRODUCTO'!$A$3:$A$1000,0))</f>
        <v>50202300 </v>
      </c>
      <c r="E256" t="str">
        <f>VLOOKUP(C256,'[1]CÓDIGOS DE PRODUCTO'!$A$4:$B$156,2,FALSE)</f>
        <v>Leche santa clara</v>
      </c>
      <c r="F256" t="str">
        <f>INDEX('[1]CÓDIGOS DE PRODUCTO'!$C$3:$C$1000,MATCH(C256,'[1]CÓDIGOS DE PRODUCTO'!$A$3:$A$1000,0))</f>
        <v>Bebidas</v>
      </c>
      <c r="G256">
        <f>+'[1]VENTAS(RESUMEN GLOBAL)'!D256-'[1]VENTAS(RESUMEN GLOBAL)'!E256</f>
        <v>9</v>
      </c>
      <c r="H256" s="9">
        <f>+'[1]VENTAS(RESUMEN GLOBAL)'!K256</f>
        <v>9</v>
      </c>
      <c r="I256" s="8">
        <f>+G256*'[1]VENTAS(RESUMEN GLOBAL)'!F256</f>
        <v>135</v>
      </c>
      <c r="J256" s="8">
        <f>'[1]VENTAS(RESUMEN GLOBAL)'!G256*(1-'[1]VENTAS(RESUMEN GLOBAL)'!H256)</f>
        <v>76.95</v>
      </c>
      <c r="K256" s="8">
        <f t="shared" si="3"/>
        <v>58.05</v>
      </c>
      <c r="L256" s="8">
        <f>+'[1]VENTAS(RESUMEN GLOBAL)'!J256</f>
        <v>8.2928571428571427</v>
      </c>
      <c r="M256" s="8">
        <f>+Tabla1[[#This Row],[utilidad x dia]]*7</f>
        <v>58.05</v>
      </c>
    </row>
    <row r="257" spans="1:13" x14ac:dyDescent="0.3">
      <c r="A257" s="6">
        <f>+'[1]VENTAS(RESUMEN GLOBAL)'!L257</f>
        <v>46041</v>
      </c>
      <c r="B257" s="6" t="str">
        <f>+'[1]VENTAS(RESUMEN GLOBAL)'!M257</f>
        <v>RIVULIS</v>
      </c>
      <c r="C257">
        <f>+'[1]VENTAS(RESUMEN GLOBAL)'!B257</f>
        <v>100600</v>
      </c>
      <c r="D257" t="str">
        <f>INDEX('[1]CÓDIGOS DE PRODUCTO'!$D$3:$D$1000,MATCH(C257,'[1]CÓDIGOS DE PRODUCTO'!$A$3:$A$1000,0))</f>
        <v>50202300 </v>
      </c>
      <c r="E257" t="str">
        <f>VLOOKUP(C257,'[1]CÓDIGOS DE PRODUCTO'!$A$4:$B$156,2,FALSE)</f>
        <v>Leche santa clara</v>
      </c>
      <c r="F257" t="str">
        <f>INDEX('[1]CÓDIGOS DE PRODUCTO'!$C$3:$C$1000,MATCH(C257,'[1]CÓDIGOS DE PRODUCTO'!$A$3:$A$1000,0))</f>
        <v>Bebidas</v>
      </c>
      <c r="G257">
        <f>+'[1]VENTAS(RESUMEN GLOBAL)'!D257-'[1]VENTAS(RESUMEN GLOBAL)'!E257</f>
        <v>4</v>
      </c>
      <c r="H257" s="9">
        <f>+'[1]VENTAS(RESUMEN GLOBAL)'!K257</f>
        <v>4</v>
      </c>
      <c r="I257" s="8">
        <f>+G257*'[1]VENTAS(RESUMEN GLOBAL)'!F257</f>
        <v>60</v>
      </c>
      <c r="J257" s="8">
        <f>'[1]VENTAS(RESUMEN GLOBAL)'!G257*(1-'[1]VENTAS(RESUMEN GLOBAL)'!H257)</f>
        <v>34.200000000000003</v>
      </c>
      <c r="K257" s="8">
        <f t="shared" si="3"/>
        <v>25.799999999999997</v>
      </c>
      <c r="L257" s="8">
        <f>+'[1]VENTAS(RESUMEN GLOBAL)'!J257</f>
        <v>3.6857142857142859</v>
      </c>
      <c r="M257" s="8">
        <f>+Tabla1[[#This Row],[utilidad x dia]]*7</f>
        <v>25.8</v>
      </c>
    </row>
    <row r="258" spans="1:13" x14ac:dyDescent="0.3">
      <c r="A258" s="6">
        <f>+'[1]VENTAS(RESUMEN GLOBAL)'!L258</f>
        <v>46041</v>
      </c>
      <c r="B258" s="6" t="str">
        <f>+'[1]VENTAS(RESUMEN GLOBAL)'!M258</f>
        <v>RIVULIS</v>
      </c>
      <c r="C258">
        <f>+'[1]VENTAS(RESUMEN GLOBAL)'!B258</f>
        <v>800900</v>
      </c>
      <c r="D258" t="str">
        <f>INDEX('[1]CÓDIGOS DE PRODUCTO'!$D$3:$D$1000,MATCH(C258,'[1]CÓDIGOS DE PRODUCTO'!$A$3:$A$1000,0))</f>
        <v>50181900 </v>
      </c>
      <c r="E258" t="str">
        <f>VLOOKUP(C258,'[1]CÓDIGOS DE PRODUCTO'!$A$4:$B$156,2,FALSE)</f>
        <v>MANTECADAS</v>
      </c>
      <c r="F258" t="str">
        <f>INDEX('[1]CÓDIGOS DE PRODUCTO'!$C$3:$C$1000,MATCH(C258,'[1]CÓDIGOS DE PRODUCTO'!$A$3:$A$1000,0))</f>
        <v>GALLETAS Y PAN DULCE</v>
      </c>
      <c r="G258">
        <f>+'[1]VENTAS(RESUMEN GLOBAL)'!D258-'[1]VENTAS(RESUMEN GLOBAL)'!E258</f>
        <v>11</v>
      </c>
      <c r="H258" s="9">
        <f>+'[1]VENTAS(RESUMEN GLOBAL)'!K258</f>
        <v>11</v>
      </c>
      <c r="I258" s="8">
        <f>+G258*'[1]VENTAS(RESUMEN GLOBAL)'!F258</f>
        <v>220</v>
      </c>
      <c r="J258" s="8">
        <f>'[1]VENTAS(RESUMEN GLOBAL)'!G258*(1-'[1]VENTAS(RESUMEN GLOBAL)'!H258)</f>
        <v>107.8</v>
      </c>
      <c r="K258" s="8">
        <f t="shared" si="3"/>
        <v>112.2</v>
      </c>
      <c r="L258" s="8">
        <f>+'[1]VENTAS(RESUMEN GLOBAL)'!J258</f>
        <v>16.028571428571428</v>
      </c>
      <c r="M258" s="8">
        <f>+Tabla1[[#This Row],[utilidad x dia]]*7</f>
        <v>112.2</v>
      </c>
    </row>
    <row r="259" spans="1:13" x14ac:dyDescent="0.3">
      <c r="A259" s="6">
        <f>+'[1]VENTAS(RESUMEN GLOBAL)'!L259</f>
        <v>46041</v>
      </c>
      <c r="B259" s="6" t="str">
        <f>+'[1]VENTAS(RESUMEN GLOBAL)'!M259</f>
        <v>RIVULIS</v>
      </c>
      <c r="C259">
        <f>+'[1]VENTAS(RESUMEN GLOBAL)'!B259</f>
        <v>300700</v>
      </c>
      <c r="D259" t="str">
        <f>INDEX('[1]CÓDIGOS DE PRODUCTO'!$D$3:$D$1000,MATCH(C259,'[1]CÓDIGOS DE PRODUCTO'!$A$3:$A$1000,0))</f>
        <v>50161800 </v>
      </c>
      <c r="E259" t="str">
        <f>VLOOKUP(C259,'[1]CÓDIGOS DE PRODUCTO'!$A$4:$B$156,2,FALSE)</f>
        <v>ZUMBA GOMA</v>
      </c>
      <c r="F259" t="str">
        <f>INDEX('[1]CÓDIGOS DE PRODUCTO'!$C$3:$C$1000,MATCH(C259,'[1]CÓDIGOS DE PRODUCTO'!$A$3:$A$1000,0))</f>
        <v>Snacks &amp; Dulces</v>
      </c>
      <c r="G259">
        <f>+'[1]VENTAS(RESUMEN GLOBAL)'!D259-'[1]VENTAS(RESUMEN GLOBAL)'!E259</f>
        <v>1</v>
      </c>
      <c r="H259" s="9">
        <f>+'[1]VENTAS(RESUMEN GLOBAL)'!K259</f>
        <v>1</v>
      </c>
      <c r="I259" s="8">
        <f>+G259*'[1]VENTAS(RESUMEN GLOBAL)'!F259</f>
        <v>10</v>
      </c>
      <c r="J259" s="8">
        <f>'[1]VENTAS(RESUMEN GLOBAL)'!G259*(1-'[1]VENTAS(RESUMEN GLOBAL)'!H259)</f>
        <v>2.9000000000000004</v>
      </c>
      <c r="K259" s="8">
        <f t="shared" ref="K259:K322" si="4">+I259-J259</f>
        <v>7.1</v>
      </c>
      <c r="L259" s="8">
        <f>+'[1]VENTAS(RESUMEN GLOBAL)'!J259</f>
        <v>1.0142857142857142</v>
      </c>
      <c r="M259" s="8">
        <f>+Tabla1[[#This Row],[utilidad x dia]]*7</f>
        <v>7.1</v>
      </c>
    </row>
    <row r="260" spans="1:13" x14ac:dyDescent="0.3">
      <c r="A260" s="6">
        <f>+'[1]VENTAS(RESUMEN GLOBAL)'!L260</f>
        <v>46041</v>
      </c>
      <c r="B260" s="6" t="str">
        <f>+'[1]VENTAS(RESUMEN GLOBAL)'!M260</f>
        <v>RIVULIS</v>
      </c>
      <c r="C260">
        <f>+'[1]VENTAS(RESUMEN GLOBAL)'!B260</f>
        <v>300200</v>
      </c>
      <c r="D260" t="str">
        <f>INDEX('[1]CÓDIGOS DE PRODUCTO'!$D$3:$D$1000,MATCH(C260,'[1]CÓDIGOS DE PRODUCTO'!$A$3:$A$1000,0))</f>
        <v>50161800 </v>
      </c>
      <c r="E260" t="str">
        <f>VLOOKUP(C260,'[1]CÓDIGOS DE PRODUCTO'!$A$4:$B$156,2,FALSE)</f>
        <v>SKWINKLES</v>
      </c>
      <c r="F260" t="str">
        <f>INDEX('[1]CÓDIGOS DE PRODUCTO'!$C$3:$C$1000,MATCH(C260,'[1]CÓDIGOS DE PRODUCTO'!$A$3:$A$1000,0))</f>
        <v>Snacks &amp; Dulces</v>
      </c>
      <c r="G260">
        <f>+'[1]VENTAS(RESUMEN GLOBAL)'!D260-'[1]VENTAS(RESUMEN GLOBAL)'!E260</f>
        <v>0</v>
      </c>
      <c r="H260" s="9">
        <f>+'[1]VENTAS(RESUMEN GLOBAL)'!K260</f>
        <v>0</v>
      </c>
      <c r="I260" s="8">
        <f>+G260*'[1]VENTAS(RESUMEN GLOBAL)'!F260</f>
        <v>0</v>
      </c>
      <c r="J260" s="8">
        <f>'[1]VENTAS(RESUMEN GLOBAL)'!G260*(1-'[1]VENTAS(RESUMEN GLOBAL)'!H260)</f>
        <v>0</v>
      </c>
      <c r="K260" s="8">
        <f t="shared" si="4"/>
        <v>0</v>
      </c>
      <c r="L260" s="8">
        <f>+'[1]VENTAS(RESUMEN GLOBAL)'!J260</f>
        <v>0</v>
      </c>
      <c r="M260" s="8">
        <f>+Tabla1[[#This Row],[utilidad x dia]]*7</f>
        <v>0</v>
      </c>
    </row>
    <row r="261" spans="1:13" x14ac:dyDescent="0.3">
      <c r="A261" s="6">
        <f>+'[1]VENTAS(RESUMEN GLOBAL)'!L261</f>
        <v>46041</v>
      </c>
      <c r="B261" s="6" t="str">
        <f>+'[1]VENTAS(RESUMEN GLOBAL)'!M261</f>
        <v>RIVULIS</v>
      </c>
      <c r="C261">
        <f>+'[1]VENTAS(RESUMEN GLOBAL)'!B261</f>
        <v>300100</v>
      </c>
      <c r="D261" t="str">
        <f>INDEX('[1]CÓDIGOS DE PRODUCTO'!$D$3:$D$1000,MATCH(C261,'[1]CÓDIGOS DE PRODUCTO'!$A$3:$A$1000,0))</f>
        <v>50161800 </v>
      </c>
      <c r="E261" t="str">
        <f>VLOOKUP(C261,'[1]CÓDIGOS DE PRODUCTO'!$A$4:$B$156,2,FALSE)</f>
        <v>Pelonetes</v>
      </c>
      <c r="F261" t="str">
        <f>INDEX('[1]CÓDIGOS DE PRODUCTO'!$C$3:$C$1000,MATCH(C261,'[1]CÓDIGOS DE PRODUCTO'!$A$3:$A$1000,0))</f>
        <v>Snacks &amp; Dulces</v>
      </c>
      <c r="G261">
        <f>+'[1]VENTAS(RESUMEN GLOBAL)'!D261-'[1]VENTAS(RESUMEN GLOBAL)'!E261</f>
        <v>1</v>
      </c>
      <c r="H261" s="9">
        <f>+'[1]VENTAS(RESUMEN GLOBAL)'!K261</f>
        <v>1</v>
      </c>
      <c r="I261" s="8">
        <f>+G261*'[1]VENTAS(RESUMEN GLOBAL)'!F261</f>
        <v>15</v>
      </c>
      <c r="J261" s="8">
        <f>'[1]VENTAS(RESUMEN GLOBAL)'!G261*(1-'[1]VENTAS(RESUMEN GLOBAL)'!H261)</f>
        <v>6.4500000000000011</v>
      </c>
      <c r="K261" s="8">
        <f t="shared" si="4"/>
        <v>8.5499999999999989</v>
      </c>
      <c r="L261" s="8">
        <f>+'[1]VENTAS(RESUMEN GLOBAL)'!J261</f>
        <v>1.2214285714285713</v>
      </c>
      <c r="M261" s="8">
        <f>+Tabla1[[#This Row],[utilidad x dia]]*7</f>
        <v>8.5499999999999989</v>
      </c>
    </row>
    <row r="262" spans="1:13" x14ac:dyDescent="0.3">
      <c r="A262" s="6">
        <f>+'[1]VENTAS(RESUMEN GLOBAL)'!L262</f>
        <v>46041</v>
      </c>
      <c r="B262" s="6" t="str">
        <f>+'[1]VENTAS(RESUMEN GLOBAL)'!M262</f>
        <v>RIVULIS</v>
      </c>
      <c r="C262">
        <f>+'[1]VENTAS(RESUMEN GLOBAL)'!B262</f>
        <v>900300</v>
      </c>
      <c r="D262">
        <f>INDEX('[1]CÓDIGOS DE PRODUCTO'!$D$3:$D$1000,MATCH(C262,'[1]CÓDIGOS DE PRODUCTO'!$A$3:$A$1000,0))</f>
        <v>50161815</v>
      </c>
      <c r="E262" t="str">
        <f>VLOOKUP(C262,'[1]CÓDIGOS DE PRODUCTO'!$A$4:$B$156,2,FALSE)</f>
        <v>CHICLES TRIDENT</v>
      </c>
      <c r="F262" t="str">
        <f>INDEX('[1]CÓDIGOS DE PRODUCTO'!$C$3:$C$1000,MATCH(C262,'[1]CÓDIGOS DE PRODUCTO'!$A$3:$A$1000,0))</f>
        <v>OTROS</v>
      </c>
      <c r="G262">
        <f>+'[1]VENTAS(RESUMEN GLOBAL)'!D262-'[1]VENTAS(RESUMEN GLOBAL)'!E262</f>
        <v>1</v>
      </c>
      <c r="H262" s="9">
        <f>+'[1]VENTAS(RESUMEN GLOBAL)'!K262</f>
        <v>1</v>
      </c>
      <c r="I262" s="8">
        <f>+G262*'[1]VENTAS(RESUMEN GLOBAL)'!F262</f>
        <v>25</v>
      </c>
      <c r="J262" s="8">
        <f>'[1]VENTAS(RESUMEN GLOBAL)'!G262*(1-'[1]VENTAS(RESUMEN GLOBAL)'!H262)</f>
        <v>15</v>
      </c>
      <c r="K262" s="8">
        <f t="shared" si="4"/>
        <v>10</v>
      </c>
      <c r="L262" s="8">
        <f>+'[1]VENTAS(RESUMEN GLOBAL)'!J262</f>
        <v>1.4285714285714286</v>
      </c>
      <c r="M262" s="8">
        <f>+Tabla1[[#This Row],[utilidad x dia]]*7</f>
        <v>10</v>
      </c>
    </row>
    <row r="263" spans="1:13" x14ac:dyDescent="0.3">
      <c r="A263" s="6">
        <f>+'[1]VENTAS(RESUMEN GLOBAL)'!L263</f>
        <v>46041</v>
      </c>
      <c r="B263" s="6" t="str">
        <f>+'[1]VENTAS(RESUMEN GLOBAL)'!M263</f>
        <v>RIVULIS</v>
      </c>
      <c r="C263">
        <f>+'[1]VENTAS(RESUMEN GLOBAL)'!B263</f>
        <v>300400</v>
      </c>
      <c r="D263" t="str">
        <f>INDEX('[1]CÓDIGOS DE PRODUCTO'!$D$3:$D$1000,MATCH(C263,'[1]CÓDIGOS DE PRODUCTO'!$A$3:$A$1000,0))</f>
        <v>50161800 </v>
      </c>
      <c r="E263" t="str">
        <f>VLOOKUP(C263,'[1]CÓDIGOS DE PRODUCTO'!$A$4:$B$156,2,FALSE)</f>
        <v>Welchs GOMITAS</v>
      </c>
      <c r="F263" t="str">
        <f>INDEX('[1]CÓDIGOS DE PRODUCTO'!$C$3:$C$1000,MATCH(C263,'[1]CÓDIGOS DE PRODUCTO'!$A$3:$A$1000,0))</f>
        <v>Snacks &amp; Dulces</v>
      </c>
      <c r="G263">
        <f>+'[1]VENTAS(RESUMEN GLOBAL)'!D263-'[1]VENTAS(RESUMEN GLOBAL)'!E263</f>
        <v>2</v>
      </c>
      <c r="H263" s="9">
        <f>+'[1]VENTAS(RESUMEN GLOBAL)'!K263</f>
        <v>2</v>
      </c>
      <c r="I263" s="8">
        <f>+G263*'[1]VENTAS(RESUMEN GLOBAL)'!F263</f>
        <v>20</v>
      </c>
      <c r="J263" s="8">
        <f>'[1]VENTAS(RESUMEN GLOBAL)'!G263*(1-'[1]VENTAS(RESUMEN GLOBAL)'!H263)</f>
        <v>12</v>
      </c>
      <c r="K263" s="8">
        <f t="shared" si="4"/>
        <v>8</v>
      </c>
      <c r="L263" s="8">
        <f>+'[1]VENTAS(RESUMEN GLOBAL)'!J263</f>
        <v>1.1428571428571428</v>
      </c>
      <c r="M263" s="8">
        <f>+Tabla1[[#This Row],[utilidad x dia]]*7</f>
        <v>8</v>
      </c>
    </row>
    <row r="264" spans="1:13" x14ac:dyDescent="0.3">
      <c r="A264" s="6">
        <f>+'[1]VENTAS(RESUMEN GLOBAL)'!L264</f>
        <v>46041</v>
      </c>
      <c r="B264" s="6" t="str">
        <f>+'[1]VENTAS(RESUMEN GLOBAL)'!M264</f>
        <v>RIVULIS</v>
      </c>
      <c r="C264">
        <f>+'[1]VENTAS(RESUMEN GLOBAL)'!B264</f>
        <v>700500</v>
      </c>
      <c r="D264" t="str">
        <f>INDEX('[1]CÓDIGOS DE PRODUCTO'!$D$3:$D$1000,MATCH(C264,'[1]CÓDIGOS DE PRODUCTO'!$A$3:$A$1000,0))</f>
        <v>50161511 </v>
      </c>
      <c r="E264" t="str">
        <f>VLOOKUP(C264,'[1]CÓDIGOS DE PRODUCTO'!$A$4:$B$156,2,FALSE)</f>
        <v>HERSHEYS BLANCO</v>
      </c>
      <c r="F264" t="str">
        <f>INDEX('[1]CÓDIGOS DE PRODUCTO'!$C$3:$C$1000,MATCH(C264,'[1]CÓDIGOS DE PRODUCTO'!$A$3:$A$1000,0))</f>
        <v>CHOCOLATES</v>
      </c>
      <c r="G264">
        <f>+'[1]VENTAS(RESUMEN GLOBAL)'!D264-'[1]VENTAS(RESUMEN GLOBAL)'!E264</f>
        <v>1</v>
      </c>
      <c r="H264" s="9">
        <f>+'[1]VENTAS(RESUMEN GLOBAL)'!K264</f>
        <v>1</v>
      </c>
      <c r="I264" s="8">
        <f>+G264*'[1]VENTAS(RESUMEN GLOBAL)'!F264</f>
        <v>15</v>
      </c>
      <c r="J264" s="8">
        <f>'[1]VENTAS(RESUMEN GLOBAL)'!G264*(1-'[1]VENTAS(RESUMEN GLOBAL)'!H264)</f>
        <v>6.4500000000000011</v>
      </c>
      <c r="K264" s="8">
        <f t="shared" si="4"/>
        <v>8.5499999999999989</v>
      </c>
      <c r="L264" s="8">
        <f>+'[1]VENTAS(RESUMEN GLOBAL)'!J264</f>
        <v>1.2214285714285713</v>
      </c>
      <c r="M264" s="8">
        <f>+Tabla1[[#This Row],[utilidad x dia]]*7</f>
        <v>8.5499999999999989</v>
      </c>
    </row>
    <row r="265" spans="1:13" x14ac:dyDescent="0.3">
      <c r="A265" s="6">
        <f>+'[1]VENTAS(RESUMEN GLOBAL)'!L265</f>
        <v>46041</v>
      </c>
      <c r="B265" s="6" t="str">
        <f>+'[1]VENTAS(RESUMEN GLOBAL)'!M265</f>
        <v>RIVULIS</v>
      </c>
      <c r="C265">
        <f>+'[1]VENTAS(RESUMEN GLOBAL)'!B265</f>
        <v>700400</v>
      </c>
      <c r="D265" t="str">
        <f>INDEX('[1]CÓDIGOS DE PRODUCTO'!$D$3:$D$1000,MATCH(C265,'[1]CÓDIGOS DE PRODUCTO'!$A$3:$A$1000,0))</f>
        <v>50161511 </v>
      </c>
      <c r="E265" t="str">
        <f>VLOOKUP(C265,'[1]CÓDIGOS DE PRODUCTO'!$A$4:$B$156,2,FALSE)</f>
        <v>KIT KAT</v>
      </c>
      <c r="F265" t="str">
        <f>INDEX('[1]CÓDIGOS DE PRODUCTO'!$C$3:$C$1000,MATCH(C265,'[1]CÓDIGOS DE PRODUCTO'!$A$3:$A$1000,0))</f>
        <v>CHOCOLATES</v>
      </c>
      <c r="G265">
        <f>+'[1]VENTAS(RESUMEN GLOBAL)'!D265-'[1]VENTAS(RESUMEN GLOBAL)'!E265</f>
        <v>2</v>
      </c>
      <c r="H265" s="9">
        <f>+'[1]VENTAS(RESUMEN GLOBAL)'!K265</f>
        <v>2</v>
      </c>
      <c r="I265" s="8">
        <f>+G265*'[1]VENTAS(RESUMEN GLOBAL)'!F265</f>
        <v>50</v>
      </c>
      <c r="J265" s="8">
        <f>'[1]VENTAS(RESUMEN GLOBAL)'!G265*(1-'[1]VENTAS(RESUMEN GLOBAL)'!H265)</f>
        <v>26</v>
      </c>
      <c r="K265" s="8">
        <f t="shared" si="4"/>
        <v>24</v>
      </c>
      <c r="L265" s="8">
        <f>+'[1]VENTAS(RESUMEN GLOBAL)'!J265</f>
        <v>3.4285714285714284</v>
      </c>
      <c r="M265" s="8">
        <f>+Tabla1[[#This Row],[utilidad x dia]]*7</f>
        <v>24</v>
      </c>
    </row>
    <row r="266" spans="1:13" x14ac:dyDescent="0.3">
      <c r="A266" s="6">
        <f>+'[1]VENTAS(RESUMEN GLOBAL)'!L266</f>
        <v>46041</v>
      </c>
      <c r="B266" s="6" t="str">
        <f>+'[1]VENTAS(RESUMEN GLOBAL)'!M266</f>
        <v>RIVULIS</v>
      </c>
      <c r="C266">
        <f>+'[1]VENTAS(RESUMEN GLOBAL)'!B266</f>
        <v>700800</v>
      </c>
      <c r="D266" t="str">
        <f>INDEX('[1]CÓDIGOS DE PRODUCTO'!$D$3:$D$1000,MATCH(C266,'[1]CÓDIGOS DE PRODUCTO'!$A$3:$A$1000,0))</f>
        <v>50161511 </v>
      </c>
      <c r="E266" t="str">
        <f>VLOOKUP(C266,'[1]CÓDIGOS DE PRODUCTO'!$A$4:$B$156,2,FALSE)</f>
        <v>Kinder delice</v>
      </c>
      <c r="F266" t="str">
        <f>INDEX('[1]CÓDIGOS DE PRODUCTO'!$C$3:$C$1000,MATCH(C266,'[1]CÓDIGOS DE PRODUCTO'!$A$3:$A$1000,0))</f>
        <v>CHOCOLATES</v>
      </c>
      <c r="G266">
        <f>+'[1]VENTAS(RESUMEN GLOBAL)'!D266-'[1]VENTAS(RESUMEN GLOBAL)'!E266</f>
        <v>8</v>
      </c>
      <c r="H266" s="9">
        <f>+'[1]VENTAS(RESUMEN GLOBAL)'!K266</f>
        <v>8</v>
      </c>
      <c r="I266" s="8">
        <f>+G266*'[1]VENTAS(RESUMEN GLOBAL)'!F266</f>
        <v>160</v>
      </c>
      <c r="J266" s="8">
        <f>'[1]VENTAS(RESUMEN GLOBAL)'!G266*(1-'[1]VENTAS(RESUMEN GLOBAL)'!H266)</f>
        <v>99.2</v>
      </c>
      <c r="K266" s="8">
        <f t="shared" si="4"/>
        <v>60.8</v>
      </c>
      <c r="L266" s="8">
        <f>+'[1]VENTAS(RESUMEN GLOBAL)'!J266</f>
        <v>8.6857142857142851</v>
      </c>
      <c r="M266" s="8">
        <f>+Tabla1[[#This Row],[utilidad x dia]]*7</f>
        <v>60.8</v>
      </c>
    </row>
    <row r="267" spans="1:13" x14ac:dyDescent="0.3">
      <c r="A267" s="6">
        <f>+'[1]VENTAS(RESUMEN GLOBAL)'!L267</f>
        <v>46041</v>
      </c>
      <c r="B267" s="6" t="str">
        <f>+'[1]VENTAS(RESUMEN GLOBAL)'!M267</f>
        <v>RIVULIS</v>
      </c>
      <c r="C267">
        <f>+'[1]VENTAS(RESUMEN GLOBAL)'!B267</f>
        <v>700700</v>
      </c>
      <c r="D267" t="str">
        <f>INDEX('[1]CÓDIGOS DE PRODUCTO'!$D$3:$D$1000,MATCH(C267,'[1]CÓDIGOS DE PRODUCTO'!$A$3:$A$1000,0))</f>
        <v>50161511 </v>
      </c>
      <c r="E267" t="str">
        <f>VLOOKUP(C267,'[1]CÓDIGOS DE PRODUCTO'!$A$4:$B$156,2,FALSE)</f>
        <v>Milkiway</v>
      </c>
      <c r="F267" t="str">
        <f>INDEX('[1]CÓDIGOS DE PRODUCTO'!$C$3:$C$1000,MATCH(C267,'[1]CÓDIGOS DE PRODUCTO'!$A$3:$A$1000,0))</f>
        <v>CHOCOLATES</v>
      </c>
      <c r="G267">
        <f>+'[1]VENTAS(RESUMEN GLOBAL)'!D267-'[1]VENTAS(RESUMEN GLOBAL)'!E267</f>
        <v>0</v>
      </c>
      <c r="H267" s="9">
        <f>+'[1]VENTAS(RESUMEN GLOBAL)'!K267</f>
        <v>0</v>
      </c>
      <c r="I267" s="8">
        <f>+G267*'[1]VENTAS(RESUMEN GLOBAL)'!F267</f>
        <v>0</v>
      </c>
      <c r="J267" s="8">
        <f>'[1]VENTAS(RESUMEN GLOBAL)'!G267*(1-'[1]VENTAS(RESUMEN GLOBAL)'!H267)</f>
        <v>0</v>
      </c>
      <c r="K267" s="8">
        <f t="shared" si="4"/>
        <v>0</v>
      </c>
      <c r="L267" s="8">
        <f>+'[1]VENTAS(RESUMEN GLOBAL)'!J267</f>
        <v>0</v>
      </c>
      <c r="M267" s="8">
        <f>+Tabla1[[#This Row],[utilidad x dia]]*7</f>
        <v>0</v>
      </c>
    </row>
    <row r="268" spans="1:13" x14ac:dyDescent="0.3">
      <c r="A268" s="6">
        <f>+'[1]VENTAS(RESUMEN GLOBAL)'!L268</f>
        <v>46041</v>
      </c>
      <c r="B268" s="6" t="str">
        <f>+'[1]VENTAS(RESUMEN GLOBAL)'!M268</f>
        <v>RIVULIS</v>
      </c>
      <c r="C268">
        <f>+'[1]VENTAS(RESUMEN GLOBAL)'!B268</f>
        <v>700200</v>
      </c>
      <c r="D268" t="str">
        <f>INDEX('[1]CÓDIGOS DE PRODUCTO'!$D$3:$D$1000,MATCH(C268,'[1]CÓDIGOS DE PRODUCTO'!$A$3:$A$1000,0))</f>
        <v>50161511 </v>
      </c>
      <c r="E268" t="str">
        <f>VLOOKUP(C268,'[1]CÓDIGOS DE PRODUCTO'!$A$4:$B$156,2,FALSE)</f>
        <v>Snickers</v>
      </c>
      <c r="F268" t="str">
        <f>INDEX('[1]CÓDIGOS DE PRODUCTO'!$C$3:$C$1000,MATCH(C268,'[1]CÓDIGOS DE PRODUCTO'!$A$3:$A$1000,0))</f>
        <v>CHOCOLATES</v>
      </c>
      <c r="G268">
        <f>+'[1]VENTAS(RESUMEN GLOBAL)'!D268-'[1]VENTAS(RESUMEN GLOBAL)'!E268</f>
        <v>0</v>
      </c>
      <c r="H268" s="9">
        <f>+'[1]VENTAS(RESUMEN GLOBAL)'!K268</f>
        <v>0</v>
      </c>
      <c r="I268" s="8">
        <f>+G268*'[1]VENTAS(RESUMEN GLOBAL)'!F268</f>
        <v>0</v>
      </c>
      <c r="J268" s="8">
        <f>'[1]VENTAS(RESUMEN GLOBAL)'!G268*(1-'[1]VENTAS(RESUMEN GLOBAL)'!H268)</f>
        <v>0</v>
      </c>
      <c r="K268" s="8">
        <f t="shared" si="4"/>
        <v>0</v>
      </c>
      <c r="L268" s="8">
        <f>+'[1]VENTAS(RESUMEN GLOBAL)'!J268</f>
        <v>0</v>
      </c>
      <c r="M268" s="8">
        <f>+Tabla1[[#This Row],[utilidad x dia]]*7</f>
        <v>0</v>
      </c>
    </row>
    <row r="269" spans="1:13" x14ac:dyDescent="0.3">
      <c r="A269" s="6">
        <f>+'[1]VENTAS(RESUMEN GLOBAL)'!L269</f>
        <v>46041</v>
      </c>
      <c r="B269" s="6" t="str">
        <f>+'[1]VENTAS(RESUMEN GLOBAL)'!M269</f>
        <v>RIVULIS</v>
      </c>
      <c r="C269">
        <f>+'[1]VENTAS(RESUMEN GLOBAL)'!B269</f>
        <v>800500</v>
      </c>
      <c r="D269" t="str">
        <f>INDEX('[1]CÓDIGOS DE PRODUCTO'!$D$3:$D$1000,MATCH(C269,'[1]CÓDIGOS DE PRODUCTO'!$A$3:$A$1000,0))</f>
        <v>50181900 </v>
      </c>
      <c r="E269" t="str">
        <f>VLOOKUP(C269,'[1]CÓDIGOS DE PRODUCTO'!$A$4:$B$156,2,FALSE)</f>
        <v>RICE KRISPIES</v>
      </c>
      <c r="F269" t="str">
        <f>INDEX('[1]CÓDIGOS DE PRODUCTO'!$C$3:$C$1000,MATCH(C269,'[1]CÓDIGOS DE PRODUCTO'!$A$3:$A$1000,0))</f>
        <v>GALLETAS Y PAN DULCE</v>
      </c>
      <c r="G269">
        <f>+'[1]VENTAS(RESUMEN GLOBAL)'!D269-'[1]VENTAS(RESUMEN GLOBAL)'!E269</f>
        <v>4</v>
      </c>
      <c r="H269" s="9">
        <f>+'[1]VENTAS(RESUMEN GLOBAL)'!K269</f>
        <v>4</v>
      </c>
      <c r="I269" s="8">
        <f>+G269*'[1]VENTAS(RESUMEN GLOBAL)'!F269</f>
        <v>40</v>
      </c>
      <c r="J269" s="8">
        <f>'[1]VENTAS(RESUMEN GLOBAL)'!G269*(1-'[1]VENTAS(RESUMEN GLOBAL)'!H269)</f>
        <v>12.000000000000002</v>
      </c>
      <c r="K269" s="8">
        <f t="shared" si="4"/>
        <v>28</v>
      </c>
      <c r="L269" s="8">
        <f>+'[1]VENTAS(RESUMEN GLOBAL)'!J269</f>
        <v>4</v>
      </c>
      <c r="M269" s="8">
        <f>+Tabla1[[#This Row],[utilidad x dia]]*7</f>
        <v>28</v>
      </c>
    </row>
    <row r="270" spans="1:13" x14ac:dyDescent="0.3">
      <c r="A270" s="6">
        <f>+'[1]VENTAS(RESUMEN GLOBAL)'!L270</f>
        <v>46041</v>
      </c>
      <c r="B270" s="6" t="str">
        <f>+'[1]VENTAS(RESUMEN GLOBAL)'!M270</f>
        <v>RIVULIS</v>
      </c>
      <c r="C270">
        <f>+'[1]VENTAS(RESUMEN GLOBAL)'!B270</f>
        <v>800700</v>
      </c>
      <c r="D270" t="str">
        <f>INDEX('[1]CÓDIGOS DE PRODUCTO'!$D$3:$D$1000,MATCH(C270,'[1]CÓDIGOS DE PRODUCTO'!$A$3:$A$1000,0))</f>
        <v>50181900 </v>
      </c>
      <c r="E270" t="str">
        <f>VLOOKUP(C270,'[1]CÓDIGOS DE PRODUCTO'!$A$4:$B$156,2,FALSE)</f>
        <v>BARRITAS PIÑA</v>
      </c>
      <c r="F270" t="str">
        <f>INDEX('[1]CÓDIGOS DE PRODUCTO'!$C$3:$C$1000,MATCH(C270,'[1]CÓDIGOS DE PRODUCTO'!$A$3:$A$1000,0))</f>
        <v>GALLETAS Y PAN DULCE</v>
      </c>
      <c r="G270">
        <f>+'[1]VENTAS(RESUMEN GLOBAL)'!D270-'[1]VENTAS(RESUMEN GLOBAL)'!E270</f>
        <v>1</v>
      </c>
      <c r="H270" s="9">
        <f>+'[1]VENTAS(RESUMEN GLOBAL)'!K270</f>
        <v>1</v>
      </c>
      <c r="I270" s="8">
        <f>+G270*'[1]VENTAS(RESUMEN GLOBAL)'!F270</f>
        <v>20</v>
      </c>
      <c r="J270" s="8">
        <f>'[1]VENTAS(RESUMEN GLOBAL)'!G270*(1-'[1]VENTAS(RESUMEN GLOBAL)'!H270)</f>
        <v>9</v>
      </c>
      <c r="K270" s="8">
        <f t="shared" si="4"/>
        <v>11</v>
      </c>
      <c r="L270" s="8">
        <f>+'[1]VENTAS(RESUMEN GLOBAL)'!J270</f>
        <v>1.5714285714285714</v>
      </c>
      <c r="M270" s="8">
        <f>+Tabla1[[#This Row],[utilidad x dia]]*7</f>
        <v>11</v>
      </c>
    </row>
    <row r="271" spans="1:13" x14ac:dyDescent="0.3">
      <c r="A271" s="6">
        <f>+'[1]VENTAS(RESUMEN GLOBAL)'!L271</f>
        <v>46041</v>
      </c>
      <c r="B271" s="6" t="str">
        <f>+'[1]VENTAS(RESUMEN GLOBAL)'!M271</f>
        <v>RIVULIS</v>
      </c>
      <c r="C271">
        <f>+'[1]VENTAS(RESUMEN GLOBAL)'!B271</f>
        <v>800400</v>
      </c>
      <c r="D271" t="str">
        <f>INDEX('[1]CÓDIGOS DE PRODUCTO'!$D$3:$D$1000,MATCH(C271,'[1]CÓDIGOS DE PRODUCTO'!$A$3:$A$1000,0))</f>
        <v>50181900 </v>
      </c>
      <c r="E271" t="str">
        <f>VLOOKUP(C271,'[1]CÓDIGOS DE PRODUCTO'!$A$4:$B$156,2,FALSE)</f>
        <v>Barritas FRESA</v>
      </c>
      <c r="F271" t="str">
        <f>INDEX('[1]CÓDIGOS DE PRODUCTO'!$C$3:$C$1000,MATCH(C271,'[1]CÓDIGOS DE PRODUCTO'!$A$3:$A$1000,0))</f>
        <v>GALLETAS Y PAN DULCE</v>
      </c>
      <c r="G271">
        <f>+'[1]VENTAS(RESUMEN GLOBAL)'!D271-'[1]VENTAS(RESUMEN GLOBAL)'!E271</f>
        <v>1</v>
      </c>
      <c r="H271" s="9">
        <f>+'[1]VENTAS(RESUMEN GLOBAL)'!K271</f>
        <v>1</v>
      </c>
      <c r="I271" s="8">
        <f>+G271*'[1]VENTAS(RESUMEN GLOBAL)'!F271</f>
        <v>20</v>
      </c>
      <c r="J271" s="8">
        <f>'[1]VENTAS(RESUMEN GLOBAL)'!G271*(1-'[1]VENTAS(RESUMEN GLOBAL)'!H271)</f>
        <v>9</v>
      </c>
      <c r="K271" s="8">
        <f t="shared" si="4"/>
        <v>11</v>
      </c>
      <c r="L271" s="8">
        <f>+'[1]VENTAS(RESUMEN GLOBAL)'!J271</f>
        <v>1.5714285714285714</v>
      </c>
      <c r="M271" s="8">
        <f>+Tabla1[[#This Row],[utilidad x dia]]*7</f>
        <v>11</v>
      </c>
    </row>
    <row r="272" spans="1:13" x14ac:dyDescent="0.3">
      <c r="A272" s="6">
        <f>+'[1]VENTAS(RESUMEN GLOBAL)'!L272</f>
        <v>46041</v>
      </c>
      <c r="B272" s="6" t="str">
        <f>+'[1]VENTAS(RESUMEN GLOBAL)'!M272</f>
        <v>RIVULIS</v>
      </c>
      <c r="C272">
        <f>+'[1]VENTAS(RESUMEN GLOBAL)'!B272</f>
        <v>800601</v>
      </c>
      <c r="D272" t="str">
        <f>INDEX('[1]CÓDIGOS DE PRODUCTO'!$D$3:$D$1000,MATCH(C272,'[1]CÓDIGOS DE PRODUCTO'!$A$3:$A$1000,0))</f>
        <v>50181900 </v>
      </c>
      <c r="E272" t="str">
        <f>VLOOKUP(C272,'[1]CÓDIGOS DE PRODUCTO'!$A$4:$B$156,2,FALSE)</f>
        <v>CREMAX AZULES</v>
      </c>
      <c r="F272" t="str">
        <f>INDEX('[1]CÓDIGOS DE PRODUCTO'!$C$3:$C$1000,MATCH(C272,'[1]CÓDIGOS DE PRODUCTO'!$A$3:$A$1000,0))</f>
        <v>GALLETAS Y PAN DULCE</v>
      </c>
      <c r="G272">
        <f>+'[1]VENTAS(RESUMEN GLOBAL)'!D272-'[1]VENTAS(RESUMEN GLOBAL)'!E272</f>
        <v>3</v>
      </c>
      <c r="H272" s="9">
        <f>+'[1]VENTAS(RESUMEN GLOBAL)'!K272</f>
        <v>3</v>
      </c>
      <c r="I272" s="8">
        <f>+G272*'[1]VENTAS(RESUMEN GLOBAL)'!F272</f>
        <v>45</v>
      </c>
      <c r="J272" s="8">
        <f>'[1]VENTAS(RESUMEN GLOBAL)'!G272*(1-'[1]VENTAS(RESUMEN GLOBAL)'!H272)</f>
        <v>20.249999999999996</v>
      </c>
      <c r="K272" s="8">
        <f t="shared" si="4"/>
        <v>24.750000000000004</v>
      </c>
      <c r="L272" s="8">
        <f>+'[1]VENTAS(RESUMEN GLOBAL)'!J272</f>
        <v>3.535714285714286</v>
      </c>
      <c r="M272" s="8">
        <f>+Tabla1[[#This Row],[utilidad x dia]]*7</f>
        <v>24.750000000000004</v>
      </c>
    </row>
    <row r="273" spans="1:13" x14ac:dyDescent="0.3">
      <c r="A273" s="6">
        <f>+'[1]VENTAS(RESUMEN GLOBAL)'!L273</f>
        <v>46041</v>
      </c>
      <c r="B273" s="6" t="str">
        <f>+'[1]VENTAS(RESUMEN GLOBAL)'!M273</f>
        <v>RIVULIS</v>
      </c>
      <c r="C273">
        <f>+'[1]VENTAS(RESUMEN GLOBAL)'!B273</f>
        <v>800600</v>
      </c>
      <c r="D273" t="str">
        <f>INDEX('[1]CÓDIGOS DE PRODUCTO'!$D$3:$D$1000,MATCH(C273,'[1]CÓDIGOS DE PRODUCTO'!$A$3:$A$1000,0))</f>
        <v>50181900 </v>
      </c>
      <c r="E273" t="str">
        <f>VLOOKUP(C273,'[1]CÓDIGOS DE PRODUCTO'!$A$4:$B$156,2,FALSE)</f>
        <v>CREMAX</v>
      </c>
      <c r="F273" t="str">
        <f>INDEX('[1]CÓDIGOS DE PRODUCTO'!$C$3:$C$1000,MATCH(C273,'[1]CÓDIGOS DE PRODUCTO'!$A$3:$A$1000,0))</f>
        <v>GALLETAS Y PAN DULCE</v>
      </c>
      <c r="G273">
        <f>+'[1]VENTAS(RESUMEN GLOBAL)'!D273-'[1]VENTAS(RESUMEN GLOBAL)'!E273</f>
        <v>1</v>
      </c>
      <c r="H273" s="9">
        <f>+'[1]VENTAS(RESUMEN GLOBAL)'!K273</f>
        <v>1</v>
      </c>
      <c r="I273" s="8">
        <f>+G273*'[1]VENTAS(RESUMEN GLOBAL)'!F273</f>
        <v>15</v>
      </c>
      <c r="J273" s="8">
        <f>'[1]VENTAS(RESUMEN GLOBAL)'!G273*(1-'[1]VENTAS(RESUMEN GLOBAL)'!H273)</f>
        <v>6.7499999999999991</v>
      </c>
      <c r="K273" s="8">
        <f t="shared" si="4"/>
        <v>8.25</v>
      </c>
      <c r="L273" s="8">
        <f>+'[1]VENTAS(RESUMEN GLOBAL)'!J273</f>
        <v>1.1785714285714286</v>
      </c>
      <c r="M273" s="8">
        <f>+Tabla1[[#This Row],[utilidad x dia]]*7</f>
        <v>8.25</v>
      </c>
    </row>
    <row r="274" spans="1:13" x14ac:dyDescent="0.3">
      <c r="A274" s="6">
        <f>+'[1]VENTAS(RESUMEN GLOBAL)'!L274</f>
        <v>46041</v>
      </c>
      <c r="B274" s="6" t="str">
        <f>+'[1]VENTAS(RESUMEN GLOBAL)'!M274</f>
        <v>RIVULIS</v>
      </c>
      <c r="C274">
        <f>+'[1]VENTAS(RESUMEN GLOBAL)'!B274</f>
        <v>800800</v>
      </c>
      <c r="D274" t="str">
        <f>INDEX('[1]CÓDIGOS DE PRODUCTO'!$D$3:$D$1000,MATCH(C274,'[1]CÓDIGOS DE PRODUCTO'!$A$3:$A$1000,0))</f>
        <v>50181900 </v>
      </c>
      <c r="E274" t="str">
        <f>VLOOKUP(C274,'[1]CÓDIGOS DE PRODUCTO'!$A$4:$B$156,2,FALSE)</f>
        <v>DORADITAS</v>
      </c>
      <c r="F274" t="str">
        <f>INDEX('[1]CÓDIGOS DE PRODUCTO'!$C$3:$C$1000,MATCH(C274,'[1]CÓDIGOS DE PRODUCTO'!$A$3:$A$1000,0))</f>
        <v>GALLETAS Y PAN DULCE</v>
      </c>
      <c r="G274">
        <f>+'[1]VENTAS(RESUMEN GLOBAL)'!D274-'[1]VENTAS(RESUMEN GLOBAL)'!E274</f>
        <v>1</v>
      </c>
      <c r="H274" s="9">
        <f>+'[1]VENTAS(RESUMEN GLOBAL)'!K274</f>
        <v>1</v>
      </c>
      <c r="I274" s="8">
        <f>+G274*'[1]VENTAS(RESUMEN GLOBAL)'!F274</f>
        <v>15</v>
      </c>
      <c r="J274" s="8">
        <f>'[1]VENTAS(RESUMEN GLOBAL)'!G274*(1-'[1]VENTAS(RESUMEN GLOBAL)'!H274)</f>
        <v>9.75</v>
      </c>
      <c r="K274" s="8">
        <f t="shared" si="4"/>
        <v>5.25</v>
      </c>
      <c r="L274" s="8">
        <f>+'[1]VENTAS(RESUMEN GLOBAL)'!J274</f>
        <v>0.75</v>
      </c>
      <c r="M274" s="8">
        <f>+Tabla1[[#This Row],[utilidad x dia]]*7</f>
        <v>5.25</v>
      </c>
    </row>
    <row r="275" spans="1:13" x14ac:dyDescent="0.3">
      <c r="A275" s="6">
        <f>+'[1]VENTAS(RESUMEN GLOBAL)'!L275</f>
        <v>46041</v>
      </c>
      <c r="B275" s="6" t="str">
        <f>+'[1]VENTAS(RESUMEN GLOBAL)'!M275</f>
        <v>RIVULIS</v>
      </c>
      <c r="C275">
        <f>+'[1]VENTAS(RESUMEN GLOBAL)'!B275</f>
        <v>801000</v>
      </c>
      <c r="D275" t="str">
        <f>INDEX('[1]CÓDIGOS DE PRODUCTO'!$D$3:$D$1000,MATCH(C275,'[1]CÓDIGOS DE PRODUCTO'!$A$3:$A$1000,0))</f>
        <v>50181900 </v>
      </c>
      <c r="E275" t="str">
        <f>VLOOKUP(C275,'[1]CÓDIGOS DE PRODUCTO'!$A$4:$B$156,2,FALSE)</f>
        <v>BRAN FRUIT</v>
      </c>
      <c r="F275" t="str">
        <f>INDEX('[1]CÓDIGOS DE PRODUCTO'!$C$3:$C$1000,MATCH(C275,'[1]CÓDIGOS DE PRODUCTO'!$A$3:$A$1000,0))</f>
        <v>GALLETAS Y PAN DULCE</v>
      </c>
      <c r="G275">
        <f>+'[1]VENTAS(RESUMEN GLOBAL)'!D275-'[1]VENTAS(RESUMEN GLOBAL)'!E275</f>
        <v>6</v>
      </c>
      <c r="H275" s="9">
        <f>+'[1]VENTAS(RESUMEN GLOBAL)'!K275</f>
        <v>6</v>
      </c>
      <c r="I275" s="8">
        <f>+G275*'[1]VENTAS(RESUMEN GLOBAL)'!F275</f>
        <v>90</v>
      </c>
      <c r="J275" s="8">
        <f>'[1]VENTAS(RESUMEN GLOBAL)'!G275*(1-'[1]VENTAS(RESUMEN GLOBAL)'!H275)</f>
        <v>54</v>
      </c>
      <c r="K275" s="8">
        <f t="shared" si="4"/>
        <v>36</v>
      </c>
      <c r="L275" s="8">
        <f>+'[1]VENTAS(RESUMEN GLOBAL)'!J275</f>
        <v>5.1428571428571432</v>
      </c>
      <c r="M275" s="8">
        <f>+Tabla1[[#This Row],[utilidad x dia]]*7</f>
        <v>36</v>
      </c>
    </row>
    <row r="276" spans="1:13" x14ac:dyDescent="0.3">
      <c r="A276" s="6">
        <f>+'[1]VENTAS(RESUMEN GLOBAL)'!L276</f>
        <v>46041</v>
      </c>
      <c r="B276" s="6" t="str">
        <f>+'[1]VENTAS(RESUMEN GLOBAL)'!M276</f>
        <v>RIVULIS</v>
      </c>
      <c r="C276">
        <f>+'[1]VENTAS(RESUMEN GLOBAL)'!B276</f>
        <v>801100</v>
      </c>
      <c r="D276" t="str">
        <f>INDEX('[1]CÓDIGOS DE PRODUCTO'!$D$3:$D$1000,MATCH(C276,'[1]CÓDIGOS DE PRODUCTO'!$A$3:$A$1000,0))</f>
        <v>50181900 </v>
      </c>
      <c r="E276" t="str">
        <f>VLOOKUP(C276,'[1]CÓDIGOS DE PRODUCTO'!$A$4:$B$156,2,FALSE)</f>
        <v>GALLETA ARCOÍRIS</v>
      </c>
      <c r="F276" t="str">
        <f>INDEX('[1]CÓDIGOS DE PRODUCTO'!$C$3:$C$1000,MATCH(C276,'[1]CÓDIGOS DE PRODUCTO'!$A$3:$A$1000,0))</f>
        <v>GALLETAS Y PAN DULCE</v>
      </c>
      <c r="G276">
        <f>+'[1]VENTAS(RESUMEN GLOBAL)'!D276-'[1]VENTAS(RESUMEN GLOBAL)'!E276</f>
        <v>5</v>
      </c>
      <c r="H276" s="9">
        <f>+'[1]VENTAS(RESUMEN GLOBAL)'!K276</f>
        <v>5</v>
      </c>
      <c r="I276" s="8">
        <f>+G276*'[1]VENTAS(RESUMEN GLOBAL)'!F276</f>
        <v>100</v>
      </c>
      <c r="J276" s="8">
        <f>'[1]VENTAS(RESUMEN GLOBAL)'!G276*(1-'[1]VENTAS(RESUMEN GLOBAL)'!H276)</f>
        <v>50</v>
      </c>
      <c r="K276" s="8">
        <f t="shared" si="4"/>
        <v>50</v>
      </c>
      <c r="L276" s="8">
        <f>+'[1]VENTAS(RESUMEN GLOBAL)'!J276</f>
        <v>7.1428571428571432</v>
      </c>
      <c r="M276" s="8">
        <f>+Tabla1[[#This Row],[utilidad x dia]]*7</f>
        <v>50</v>
      </c>
    </row>
    <row r="277" spans="1:13" x14ac:dyDescent="0.3">
      <c r="A277" s="6">
        <f>+'[1]VENTAS(RESUMEN GLOBAL)'!L277</f>
        <v>46041</v>
      </c>
      <c r="B277" s="6" t="str">
        <f>+'[1]VENTAS(RESUMEN GLOBAL)'!M277</f>
        <v>RIVULIS</v>
      </c>
      <c r="C277">
        <f>+'[1]VENTAS(RESUMEN GLOBAL)'!B277</f>
        <v>801200</v>
      </c>
      <c r="D277" t="str">
        <f>INDEX('[1]CÓDIGOS DE PRODUCTO'!$D$3:$D$1000,MATCH(C277,'[1]CÓDIGOS DE PRODUCTO'!$A$3:$A$1000,0))</f>
        <v>50181900 </v>
      </c>
      <c r="E277" t="str">
        <f>VLOOKUP(C277,'[1]CÓDIGOS DE PRODUCTO'!$A$4:$B$156,2,FALSE)</f>
        <v>CANELITAS</v>
      </c>
      <c r="F277" t="str">
        <f>INDEX('[1]CÓDIGOS DE PRODUCTO'!$C$3:$C$1000,MATCH(C277,'[1]CÓDIGOS DE PRODUCTO'!$A$3:$A$1000,0))</f>
        <v>GALLETAS Y PAN DULCE</v>
      </c>
      <c r="G277">
        <f>+'[1]VENTAS(RESUMEN GLOBAL)'!D277-'[1]VENTAS(RESUMEN GLOBAL)'!E277</f>
        <v>7</v>
      </c>
      <c r="H277" s="9">
        <f>+'[1]VENTAS(RESUMEN GLOBAL)'!K277</f>
        <v>7</v>
      </c>
      <c r="I277" s="8">
        <f>+G277*'[1]VENTAS(RESUMEN GLOBAL)'!F277</f>
        <v>140</v>
      </c>
      <c r="J277" s="8">
        <f>'[1]VENTAS(RESUMEN GLOBAL)'!G277*(1-'[1]VENTAS(RESUMEN GLOBAL)'!H277)</f>
        <v>62.999999999999993</v>
      </c>
      <c r="K277" s="8">
        <f t="shared" si="4"/>
        <v>77</v>
      </c>
      <c r="L277" s="8">
        <f>+'[1]VENTAS(RESUMEN GLOBAL)'!J277</f>
        <v>11</v>
      </c>
      <c r="M277" s="8">
        <f>+Tabla1[[#This Row],[utilidad x dia]]*7</f>
        <v>77</v>
      </c>
    </row>
    <row r="278" spans="1:13" x14ac:dyDescent="0.3">
      <c r="A278" s="6">
        <f>+'[1]VENTAS(RESUMEN GLOBAL)'!L278</f>
        <v>46041</v>
      </c>
      <c r="B278" s="6" t="str">
        <f>+'[1]VENTAS(RESUMEN GLOBAL)'!M278</f>
        <v>RIVULIS</v>
      </c>
      <c r="C278">
        <f>+'[1]VENTAS(RESUMEN GLOBAL)'!B278</f>
        <v>800200</v>
      </c>
      <c r="D278" t="str">
        <f>INDEX('[1]CÓDIGOS DE PRODUCTO'!$D$3:$D$1000,MATCH(C278,'[1]CÓDIGOS DE PRODUCTO'!$A$3:$A$1000,0))</f>
        <v>50181900 </v>
      </c>
      <c r="E278" t="str">
        <f>VLOOKUP(C278,'[1]CÓDIGOS DE PRODUCTO'!$A$4:$B$156,2,FALSE)</f>
        <v>Príncipe (6 PZ-63 GR)</v>
      </c>
      <c r="F278" t="str">
        <f>INDEX('[1]CÓDIGOS DE PRODUCTO'!$C$3:$C$1000,MATCH(C278,'[1]CÓDIGOS DE PRODUCTO'!$A$3:$A$1000,0))</f>
        <v>GALLETAS Y PAN DULCE</v>
      </c>
      <c r="G278">
        <f>+'[1]VENTAS(RESUMEN GLOBAL)'!D278-'[1]VENTAS(RESUMEN GLOBAL)'!E278</f>
        <v>8</v>
      </c>
      <c r="H278" s="9">
        <f>+'[1]VENTAS(RESUMEN GLOBAL)'!K278</f>
        <v>8</v>
      </c>
      <c r="I278" s="8">
        <f>+G278*'[1]VENTAS(RESUMEN GLOBAL)'!F278</f>
        <v>160</v>
      </c>
      <c r="J278" s="8">
        <f>'[1]VENTAS(RESUMEN GLOBAL)'!G278*(1-'[1]VENTAS(RESUMEN GLOBAL)'!H278)</f>
        <v>56</v>
      </c>
      <c r="K278" s="8">
        <f t="shared" si="4"/>
        <v>104</v>
      </c>
      <c r="L278" s="8">
        <f>+'[1]VENTAS(RESUMEN GLOBAL)'!J278</f>
        <v>14.857142857142858</v>
      </c>
      <c r="M278" s="8">
        <f>+Tabla1[[#This Row],[utilidad x dia]]*7</f>
        <v>104</v>
      </c>
    </row>
    <row r="279" spans="1:13" x14ac:dyDescent="0.3">
      <c r="A279" s="6">
        <f>+'[1]VENTAS(RESUMEN GLOBAL)'!L279</f>
        <v>46041</v>
      </c>
      <c r="B279" s="6" t="str">
        <f>+'[1]VENTAS(RESUMEN GLOBAL)'!M279</f>
        <v>RIVULIS</v>
      </c>
      <c r="C279">
        <f>+'[1]VENTAS(RESUMEN GLOBAL)'!B279</f>
        <v>100200</v>
      </c>
      <c r="D279" t="str">
        <f>INDEX('[1]CÓDIGOS DE PRODUCTO'!$D$3:$D$1000,MATCH(C279,'[1]CÓDIGOS DE PRODUCTO'!$A$3:$A$1000,0))</f>
        <v>50202300 </v>
      </c>
      <c r="E279" t="str">
        <f>VLOOKUP(C279,'[1]CÓDIGOS DE PRODUCTO'!$A$4:$B$156,2,FALSE)</f>
        <v>Agua SAMS</v>
      </c>
      <c r="F279" t="str">
        <f>INDEX('[1]CÓDIGOS DE PRODUCTO'!$C$3:$C$1000,MATCH(C279,'[1]CÓDIGOS DE PRODUCTO'!$A$3:$A$1000,0))</f>
        <v>Bebidas</v>
      </c>
      <c r="G279">
        <f>+'[1]VENTAS(RESUMEN GLOBAL)'!D279-'[1]VENTAS(RESUMEN GLOBAL)'!E279</f>
        <v>1</v>
      </c>
      <c r="H279" s="9">
        <f>+'[1]VENTAS(RESUMEN GLOBAL)'!K279</f>
        <v>1</v>
      </c>
      <c r="I279" s="8">
        <f>+G279*'[1]VENTAS(RESUMEN GLOBAL)'!F279</f>
        <v>15</v>
      </c>
      <c r="J279" s="8">
        <f>'[1]VENTAS(RESUMEN GLOBAL)'!G279*(1-'[1]VENTAS(RESUMEN GLOBAL)'!H279)</f>
        <v>2.9999999999999991</v>
      </c>
      <c r="K279" s="8">
        <f t="shared" si="4"/>
        <v>12</v>
      </c>
      <c r="L279" s="8">
        <f>+'[1]VENTAS(RESUMEN GLOBAL)'!J279</f>
        <v>1.7142857142857142</v>
      </c>
      <c r="M279" s="8">
        <f>+Tabla1[[#This Row],[utilidad x dia]]*7</f>
        <v>12</v>
      </c>
    </row>
    <row r="280" spans="1:13" x14ac:dyDescent="0.3">
      <c r="A280" s="6">
        <f>+'[1]VENTAS(RESUMEN GLOBAL)'!L280</f>
        <v>46041</v>
      </c>
      <c r="B280" s="6" t="str">
        <f>+'[1]VENTAS(RESUMEN GLOBAL)'!M280</f>
        <v>RIVULIS</v>
      </c>
      <c r="C280">
        <f>+'[1]VENTAS(RESUMEN GLOBAL)'!B280</f>
        <v>100200</v>
      </c>
      <c r="D280" t="str">
        <f>INDEX('[1]CÓDIGOS DE PRODUCTO'!$D$3:$D$1000,MATCH(C280,'[1]CÓDIGOS DE PRODUCTO'!$A$3:$A$1000,0))</f>
        <v>50202300 </v>
      </c>
      <c r="E280" t="str">
        <f>VLOOKUP(C280,'[1]CÓDIGOS DE PRODUCTO'!$A$4:$B$156,2,FALSE)</f>
        <v>Agua SAMS</v>
      </c>
      <c r="F280" t="str">
        <f>INDEX('[1]CÓDIGOS DE PRODUCTO'!$C$3:$C$1000,MATCH(C280,'[1]CÓDIGOS DE PRODUCTO'!$A$3:$A$1000,0))</f>
        <v>Bebidas</v>
      </c>
      <c r="G280">
        <f>+'[1]VENTAS(RESUMEN GLOBAL)'!D280-'[1]VENTAS(RESUMEN GLOBAL)'!E280</f>
        <v>2</v>
      </c>
      <c r="H280" s="9">
        <f>+'[1]VENTAS(RESUMEN GLOBAL)'!K280</f>
        <v>2</v>
      </c>
      <c r="I280" s="8">
        <f>+G280*'[1]VENTAS(RESUMEN GLOBAL)'!F280</f>
        <v>30</v>
      </c>
      <c r="J280" s="8">
        <f>'[1]VENTAS(RESUMEN GLOBAL)'!G280*(1-'[1]VENTAS(RESUMEN GLOBAL)'!H280)</f>
        <v>5.9999999999999982</v>
      </c>
      <c r="K280" s="8">
        <f t="shared" si="4"/>
        <v>24</v>
      </c>
      <c r="L280" s="8">
        <f>+'[1]VENTAS(RESUMEN GLOBAL)'!J280</f>
        <v>3.4285714285714284</v>
      </c>
      <c r="M280" s="8">
        <f>+Tabla1[[#This Row],[utilidad x dia]]*7</f>
        <v>24</v>
      </c>
    </row>
    <row r="281" spans="1:13" x14ac:dyDescent="0.3">
      <c r="A281" s="6">
        <f>+'[1]VENTAS(RESUMEN GLOBAL)'!L281</f>
        <v>46041</v>
      </c>
      <c r="B281" s="6" t="str">
        <f>+'[1]VENTAS(RESUMEN GLOBAL)'!M281</f>
        <v>RIVULIS</v>
      </c>
      <c r="C281">
        <f>+'[1]VENTAS(RESUMEN GLOBAL)'!B281</f>
        <v>100900</v>
      </c>
      <c r="D281" t="str">
        <f>INDEX('[1]CÓDIGOS DE PRODUCTO'!$D$3:$D$1000,MATCH(C281,'[1]CÓDIGOS DE PRODUCTO'!$A$3:$A$1000,0))</f>
        <v>50202300 </v>
      </c>
      <c r="E281" t="str">
        <f>VLOOKUP(C281,'[1]CÓDIGOS DE PRODUCTO'!$A$4:$B$156,2,FALSE)</f>
        <v>VOLT</v>
      </c>
      <c r="F281" t="str">
        <f>INDEX('[1]CÓDIGOS DE PRODUCTO'!$C$3:$C$1000,MATCH(C281,'[1]CÓDIGOS DE PRODUCTO'!$A$3:$A$1000,0))</f>
        <v>Bebidas</v>
      </c>
      <c r="G281">
        <f>+'[1]VENTAS(RESUMEN GLOBAL)'!D281-'[1]VENTAS(RESUMEN GLOBAL)'!E281</f>
        <v>1</v>
      </c>
      <c r="H281" s="9">
        <f>+'[1]VENTAS(RESUMEN GLOBAL)'!K281</f>
        <v>1</v>
      </c>
      <c r="I281" s="8">
        <f>+G281*'[1]VENTAS(RESUMEN GLOBAL)'!F281</f>
        <v>20</v>
      </c>
      <c r="J281" s="8">
        <f>'[1]VENTAS(RESUMEN GLOBAL)'!G281*(1-'[1]VENTAS(RESUMEN GLOBAL)'!H281)</f>
        <v>14</v>
      </c>
      <c r="K281" s="8">
        <f t="shared" si="4"/>
        <v>6</v>
      </c>
      <c r="L281" s="8">
        <f>+'[1]VENTAS(RESUMEN GLOBAL)'!J281</f>
        <v>0.8571428571428571</v>
      </c>
      <c r="M281" s="8">
        <f>+Tabla1[[#This Row],[utilidad x dia]]*7</f>
        <v>6</v>
      </c>
    </row>
    <row r="282" spans="1:13" x14ac:dyDescent="0.3">
      <c r="A282" s="6">
        <f>+'[1]VENTAS(RESUMEN GLOBAL)'!L282</f>
        <v>46041</v>
      </c>
      <c r="B282" s="6" t="str">
        <f>+'[1]VENTAS(RESUMEN GLOBAL)'!M282</f>
        <v>RIVULIS</v>
      </c>
      <c r="C282">
        <f>+'[1]VENTAS(RESUMEN GLOBAL)'!B282</f>
        <v>100300</v>
      </c>
      <c r="D282" t="str">
        <f>INDEX('[1]CÓDIGOS DE PRODUCTO'!$D$3:$D$1000,MATCH(C282,'[1]CÓDIGOS DE PRODUCTO'!$A$3:$A$1000,0))</f>
        <v>50202300 </v>
      </c>
      <c r="E282" t="str">
        <f>VLOOKUP(C282,'[1]CÓDIGOS DE PRODUCTO'!$A$4:$B$156,2,FALSE)</f>
        <v>Gatorade</v>
      </c>
      <c r="F282" t="str">
        <f>INDEX('[1]CÓDIGOS DE PRODUCTO'!$C$3:$C$1000,MATCH(C282,'[1]CÓDIGOS DE PRODUCTO'!$A$3:$A$1000,0))</f>
        <v>Bebidas</v>
      </c>
      <c r="G282">
        <f>+'[1]VENTAS(RESUMEN GLOBAL)'!D282-'[1]VENTAS(RESUMEN GLOBAL)'!E282</f>
        <v>2</v>
      </c>
      <c r="H282" s="9">
        <f>+'[1]VENTAS(RESUMEN GLOBAL)'!K282</f>
        <v>2</v>
      </c>
      <c r="I282" s="8">
        <f>+G282*'[1]VENTAS(RESUMEN GLOBAL)'!F282</f>
        <v>50</v>
      </c>
      <c r="J282" s="8">
        <f>'[1]VENTAS(RESUMEN GLOBAL)'!G282*(1-'[1]VENTAS(RESUMEN GLOBAL)'!H282)</f>
        <v>32</v>
      </c>
      <c r="K282" s="8">
        <f t="shared" si="4"/>
        <v>18</v>
      </c>
      <c r="L282" s="8">
        <f>+'[1]VENTAS(RESUMEN GLOBAL)'!J282</f>
        <v>2.5714285714285716</v>
      </c>
      <c r="M282" s="8">
        <f>+Tabla1[[#This Row],[utilidad x dia]]*7</f>
        <v>18</v>
      </c>
    </row>
    <row r="283" spans="1:13" x14ac:dyDescent="0.3">
      <c r="A283" s="6">
        <f>+'[1]VENTAS(RESUMEN GLOBAL)'!L283</f>
        <v>46041</v>
      </c>
      <c r="B283" s="6" t="str">
        <f>+'[1]VENTAS(RESUMEN GLOBAL)'!M283</f>
        <v>RIVULIS</v>
      </c>
      <c r="C283">
        <f>+'[1]VENTAS(RESUMEN GLOBAL)'!B283</f>
        <v>100800</v>
      </c>
      <c r="D283" t="str">
        <f>INDEX('[1]CÓDIGOS DE PRODUCTO'!$D$3:$D$1000,MATCH(C283,'[1]CÓDIGOS DE PRODUCTO'!$A$3:$A$1000,0))</f>
        <v>50202300 </v>
      </c>
      <c r="E283" t="str">
        <f>VLOOKUP(C283,'[1]CÓDIGOS DE PRODUCTO'!$A$4:$B$156,2,FALSE)</f>
        <v>TÉ VERDE KIRKLAND</v>
      </c>
      <c r="F283" t="str">
        <f>INDEX('[1]CÓDIGOS DE PRODUCTO'!$C$3:$C$1000,MATCH(C283,'[1]CÓDIGOS DE PRODUCTO'!$A$3:$A$1000,0))</f>
        <v>Bebidas</v>
      </c>
      <c r="G283">
        <f>+'[1]VENTAS(RESUMEN GLOBAL)'!D283-'[1]VENTAS(RESUMEN GLOBAL)'!E283</f>
        <v>4</v>
      </c>
      <c r="H283" s="9">
        <f>+'[1]VENTAS(RESUMEN GLOBAL)'!K283</f>
        <v>4</v>
      </c>
      <c r="I283" s="8">
        <f>+G283*'[1]VENTAS(RESUMEN GLOBAL)'!F283</f>
        <v>72</v>
      </c>
      <c r="J283" s="8">
        <f>'[1]VENTAS(RESUMEN GLOBAL)'!G283*(1-'[1]VENTAS(RESUMEN GLOBAL)'!H283)</f>
        <v>13.679999999999996</v>
      </c>
      <c r="K283" s="8">
        <f t="shared" si="4"/>
        <v>58.320000000000007</v>
      </c>
      <c r="L283" s="8">
        <f>+'[1]VENTAS(RESUMEN GLOBAL)'!J283</f>
        <v>8.3314285714285727</v>
      </c>
      <c r="M283" s="8">
        <f>+Tabla1[[#This Row],[utilidad x dia]]*7</f>
        <v>58.320000000000007</v>
      </c>
    </row>
    <row r="284" spans="1:13" x14ac:dyDescent="0.3">
      <c r="A284" s="6">
        <f>+'[1]VENTAS(RESUMEN GLOBAL)'!L284</f>
        <v>46041</v>
      </c>
      <c r="B284" s="6" t="str">
        <f>+'[1]VENTAS(RESUMEN GLOBAL)'!M284</f>
        <v>RIVULIS</v>
      </c>
      <c r="C284">
        <f>+'[1]VENTAS(RESUMEN GLOBAL)'!B284</f>
        <v>801300</v>
      </c>
      <c r="D284" t="str">
        <f>INDEX('[1]CÓDIGOS DE PRODUCTO'!$D$3:$D$1000,MATCH(C284,'[1]CÓDIGOS DE PRODUCTO'!$A$3:$A$1000,0))</f>
        <v>50181900 </v>
      </c>
      <c r="E284" t="str">
        <f>VLOOKUP(C284,'[1]CÓDIGOS DE PRODUCTO'!$A$4:$B$156,2,FALSE)</f>
        <v>OREO GDE</v>
      </c>
      <c r="F284" t="str">
        <f>INDEX('[1]CÓDIGOS DE PRODUCTO'!$C$3:$C$1000,MATCH(C284,'[1]CÓDIGOS DE PRODUCTO'!$A$3:$A$1000,0))</f>
        <v>GALLETAS Y PAN DULCE</v>
      </c>
      <c r="G284">
        <f>+'[1]VENTAS(RESUMEN GLOBAL)'!D284-'[1]VENTAS(RESUMEN GLOBAL)'!E284</f>
        <v>7</v>
      </c>
      <c r="H284" s="9">
        <f>+'[1]VENTAS(RESUMEN GLOBAL)'!K284</f>
        <v>7</v>
      </c>
      <c r="I284" s="8">
        <f>+G284*'[1]VENTAS(RESUMEN GLOBAL)'!F284</f>
        <v>210</v>
      </c>
      <c r="J284" s="8">
        <f>'[1]VENTAS(RESUMEN GLOBAL)'!G284*(1-'[1]VENTAS(RESUMEN GLOBAL)'!H284)</f>
        <v>105</v>
      </c>
      <c r="K284" s="8">
        <f t="shared" si="4"/>
        <v>105</v>
      </c>
      <c r="L284" s="8">
        <f>+'[1]VENTAS(RESUMEN GLOBAL)'!J284</f>
        <v>15</v>
      </c>
      <c r="M284" s="8">
        <f>+Tabla1[[#This Row],[utilidad x dia]]*7</f>
        <v>105</v>
      </c>
    </row>
    <row r="285" spans="1:13" x14ac:dyDescent="0.3">
      <c r="A285" s="6">
        <f>+'[1]VENTAS(RESUMEN GLOBAL)'!L285</f>
        <v>0</v>
      </c>
      <c r="B285" s="6">
        <f>+'[1]VENTAS(RESUMEN GLOBAL)'!M285</f>
        <v>0</v>
      </c>
      <c r="C285">
        <f>+'[1]VENTAS(RESUMEN GLOBAL)'!B285</f>
        <v>0</v>
      </c>
      <c r="D285" t="e">
        <f>INDEX('[1]CÓDIGOS DE PRODUCTO'!$D$3:$D$1000,MATCH(C285,'[1]CÓDIGOS DE PRODUCTO'!$A$3:$A$1000,0))</f>
        <v>#N/A</v>
      </c>
      <c r="E285">
        <f>VLOOKUP(C285,'[1]CÓDIGOS DE PRODUCTO'!$A$4:$B$156,2,FALSE)</f>
        <v>0</v>
      </c>
      <c r="F285">
        <f>INDEX('[1]CÓDIGOS DE PRODUCTO'!$C$3:$C$1000,MATCH(C285,'[1]CÓDIGOS DE PRODUCTO'!$A$3:$A$1000,0))</f>
        <v>0</v>
      </c>
      <c r="G285">
        <f>+'[1]VENTAS(RESUMEN GLOBAL)'!D285-'[1]VENTAS(RESUMEN GLOBAL)'!E285</f>
        <v>0</v>
      </c>
      <c r="H285" s="9">
        <f>+'[1]VENTAS(RESUMEN GLOBAL)'!K285</f>
        <v>0</v>
      </c>
      <c r="I285" s="8">
        <f>+G285*'[1]VENTAS(RESUMEN GLOBAL)'!F285</f>
        <v>0</v>
      </c>
      <c r="J285" s="8">
        <f>'[1]VENTAS(RESUMEN GLOBAL)'!G285*(1-'[1]VENTAS(RESUMEN GLOBAL)'!H285)</f>
        <v>0</v>
      </c>
      <c r="K285" s="8">
        <f t="shared" si="4"/>
        <v>0</v>
      </c>
      <c r="L285" s="8">
        <f>+'[1]VENTAS(RESUMEN GLOBAL)'!J285</f>
        <v>0</v>
      </c>
      <c r="M285" s="8">
        <f>+Tabla1[[#This Row],[utilidad x dia]]*7</f>
        <v>0</v>
      </c>
    </row>
    <row r="286" spans="1:13" x14ac:dyDescent="0.3">
      <c r="A286" s="6">
        <f>+'[1]VENTAS(RESUMEN GLOBAL)'!L286</f>
        <v>46041</v>
      </c>
      <c r="B286" s="6" t="str">
        <f>+'[1]VENTAS(RESUMEN GLOBAL)'!M286</f>
        <v>ECCE</v>
      </c>
      <c r="C286">
        <f>+'[1]VENTAS(RESUMEN GLOBAL)'!B286</f>
        <v>100200</v>
      </c>
      <c r="D286" t="str">
        <f>INDEX('[1]CÓDIGOS DE PRODUCTO'!$D$3:$D$1000,MATCH(C286,'[1]CÓDIGOS DE PRODUCTO'!$A$3:$A$1000,0))</f>
        <v>50202300 </v>
      </c>
      <c r="E286" t="str">
        <f>VLOOKUP(C286,'[1]CÓDIGOS DE PRODUCTO'!$A$4:$B$156,2,FALSE)</f>
        <v>Agua SAMS</v>
      </c>
      <c r="F286" t="str">
        <f>INDEX('[1]CÓDIGOS DE PRODUCTO'!$C$3:$C$1000,MATCH(C286,'[1]CÓDIGOS DE PRODUCTO'!$A$3:$A$1000,0))</f>
        <v>Bebidas</v>
      </c>
      <c r="G286">
        <f>+'[1]VENTAS(RESUMEN GLOBAL)'!D286-'[1]VENTAS(RESUMEN GLOBAL)'!E286</f>
        <v>1</v>
      </c>
      <c r="H286" s="9">
        <f>+'[1]VENTAS(RESUMEN GLOBAL)'!K286</f>
        <v>1</v>
      </c>
      <c r="I286" s="8">
        <f>+G286*'[1]VENTAS(RESUMEN GLOBAL)'!F286</f>
        <v>20</v>
      </c>
      <c r="J286" s="8">
        <f>'[1]VENTAS(RESUMEN GLOBAL)'!G286*(1-'[1]VENTAS(RESUMEN GLOBAL)'!H286)</f>
        <v>3.0714285714285738</v>
      </c>
      <c r="K286" s="8">
        <f t="shared" si="4"/>
        <v>16.928571428571427</v>
      </c>
      <c r="L286" s="8">
        <f>+'[1]VENTAS(RESUMEN GLOBAL)'!J286</f>
        <v>2.4183673469387754</v>
      </c>
      <c r="M286" s="8">
        <f>+Tabla1[[#This Row],[utilidad x dia]]*7</f>
        <v>16.928571428571427</v>
      </c>
    </row>
    <row r="287" spans="1:13" x14ac:dyDescent="0.3">
      <c r="A287" s="6">
        <f>+'[1]VENTAS(RESUMEN GLOBAL)'!L287</f>
        <v>46041</v>
      </c>
      <c r="B287" s="6" t="str">
        <f>+'[1]VENTAS(RESUMEN GLOBAL)'!M287</f>
        <v>ECCE</v>
      </c>
      <c r="C287">
        <f>+'[1]VENTAS(RESUMEN GLOBAL)'!B287</f>
        <v>100800</v>
      </c>
      <c r="D287" t="str">
        <f>INDEX('[1]CÓDIGOS DE PRODUCTO'!$D$3:$D$1000,MATCH(C287,'[1]CÓDIGOS DE PRODUCTO'!$A$3:$A$1000,0))</f>
        <v>50202300 </v>
      </c>
      <c r="E287" t="str">
        <f>VLOOKUP(C287,'[1]CÓDIGOS DE PRODUCTO'!$A$4:$B$156,2,FALSE)</f>
        <v>TÉ VERDE KIRKLAND</v>
      </c>
      <c r="F287" t="str">
        <f>INDEX('[1]CÓDIGOS DE PRODUCTO'!$C$3:$C$1000,MATCH(C287,'[1]CÓDIGOS DE PRODUCTO'!$A$3:$A$1000,0))</f>
        <v>Bebidas</v>
      </c>
      <c r="G287">
        <f>+'[1]VENTAS(RESUMEN GLOBAL)'!D287-'[1]VENTAS(RESUMEN GLOBAL)'!E287</f>
        <v>0</v>
      </c>
      <c r="H287" s="9">
        <f>+'[1]VENTAS(RESUMEN GLOBAL)'!K287</f>
        <v>0</v>
      </c>
      <c r="I287" s="8">
        <f>+G287*'[1]VENTAS(RESUMEN GLOBAL)'!F287</f>
        <v>0</v>
      </c>
      <c r="J287" s="8">
        <f>'[1]VENTAS(RESUMEN GLOBAL)'!G287*(1-'[1]VENTAS(RESUMEN GLOBAL)'!H287)</f>
        <v>0</v>
      </c>
      <c r="K287" s="8">
        <f t="shared" si="4"/>
        <v>0</v>
      </c>
      <c r="L287" s="8">
        <f>+'[1]VENTAS(RESUMEN GLOBAL)'!J287</f>
        <v>0</v>
      </c>
      <c r="M287" s="8">
        <f>+Tabla1[[#This Row],[utilidad x dia]]*7</f>
        <v>0</v>
      </c>
    </row>
    <row r="288" spans="1:13" x14ac:dyDescent="0.3">
      <c r="A288" s="6">
        <f>+'[1]VENTAS(RESUMEN GLOBAL)'!L288</f>
        <v>46041</v>
      </c>
      <c r="B288" s="6" t="str">
        <f>+'[1]VENTAS(RESUMEN GLOBAL)'!M288</f>
        <v>ECCE</v>
      </c>
      <c r="C288">
        <f>+'[1]VENTAS(RESUMEN GLOBAL)'!B288</f>
        <v>200200</v>
      </c>
      <c r="D288" t="str">
        <f>INDEX('[1]CÓDIGOS DE PRODUCTO'!$D$3:$D$1000,MATCH(C288,'[1]CÓDIGOS DE PRODUCTO'!$A$3:$A$1000,0))</f>
        <v>IDENTIFICAR MANUAL</v>
      </c>
      <c r="E288" t="str">
        <f>VLOOKUP(C288,'[1]CÓDIGOS DE PRODUCTO'!$A$4:$B$156,2,FALSE)</f>
        <v>KIT DENTAL</v>
      </c>
      <c r="F288" t="str">
        <f>INDEX('[1]CÓDIGOS DE PRODUCTO'!$C$3:$C$1000,MATCH(C288,'[1]CÓDIGOS DE PRODUCTO'!$A$3:$A$1000,0))</f>
        <v>Pharmacy</v>
      </c>
      <c r="G288">
        <f>+'[1]VENTAS(RESUMEN GLOBAL)'!D288-'[1]VENTAS(RESUMEN GLOBAL)'!E288</f>
        <v>4</v>
      </c>
      <c r="H288" s="9">
        <f>+'[1]VENTAS(RESUMEN GLOBAL)'!K288</f>
        <v>4</v>
      </c>
      <c r="I288" s="8">
        <f>+G288*'[1]VENTAS(RESUMEN GLOBAL)'!F288</f>
        <v>240</v>
      </c>
      <c r="J288" s="8">
        <f>'[1]VENTAS(RESUMEN GLOBAL)'!G288*(1-'[1]VENTAS(RESUMEN GLOBAL)'!H288)</f>
        <v>88.8</v>
      </c>
      <c r="K288" s="8">
        <f t="shared" si="4"/>
        <v>151.19999999999999</v>
      </c>
      <c r="L288" s="8">
        <f>+'[1]VENTAS(RESUMEN GLOBAL)'!J288</f>
        <v>21.599999999999998</v>
      </c>
      <c r="M288" s="8">
        <f>+Tabla1[[#This Row],[utilidad x dia]]*7</f>
        <v>151.19999999999999</v>
      </c>
    </row>
    <row r="289" spans="1:13" x14ac:dyDescent="0.3">
      <c r="A289" s="6">
        <f>+'[1]VENTAS(RESUMEN GLOBAL)'!L289</f>
        <v>46041</v>
      </c>
      <c r="B289" s="6" t="str">
        <f>+'[1]VENTAS(RESUMEN GLOBAL)'!M289</f>
        <v>ECCE</v>
      </c>
      <c r="C289">
        <f>+'[1]VENTAS(RESUMEN GLOBAL)'!B289</f>
        <v>200100</v>
      </c>
      <c r="D289" t="str">
        <f>INDEX('[1]CÓDIGOS DE PRODUCTO'!$D$3:$D$1000,MATCH(C289,'[1]CÓDIGOS DE PRODUCTO'!$A$3:$A$1000,0))</f>
        <v>IDENTIFICAR MANUAL</v>
      </c>
      <c r="E289" t="str">
        <f>VLOOKUP(C289,'[1]CÓDIGOS DE PRODUCTO'!$A$4:$B$156,2,FALSE)</f>
        <v>Bloqueador</v>
      </c>
      <c r="F289" t="str">
        <f>INDEX('[1]CÓDIGOS DE PRODUCTO'!$C$3:$C$1000,MATCH(C289,'[1]CÓDIGOS DE PRODUCTO'!$A$3:$A$1000,0))</f>
        <v>Pharmacy</v>
      </c>
      <c r="G289">
        <f>+'[1]VENTAS(RESUMEN GLOBAL)'!D289-'[1]VENTAS(RESUMEN GLOBAL)'!E289</f>
        <v>0</v>
      </c>
      <c r="H289" s="9">
        <f>+'[1]VENTAS(RESUMEN GLOBAL)'!K289</f>
        <v>0</v>
      </c>
      <c r="I289" s="8">
        <f>+G289*'[1]VENTAS(RESUMEN GLOBAL)'!F289</f>
        <v>0</v>
      </c>
      <c r="J289" s="8">
        <f>'[1]VENTAS(RESUMEN GLOBAL)'!G289*(1-'[1]VENTAS(RESUMEN GLOBAL)'!H289)</f>
        <v>0</v>
      </c>
      <c r="K289" s="8">
        <f t="shared" si="4"/>
        <v>0</v>
      </c>
      <c r="L289" s="8">
        <f>+'[1]VENTAS(RESUMEN GLOBAL)'!J289</f>
        <v>0</v>
      </c>
      <c r="M289" s="8">
        <f>+Tabla1[[#This Row],[utilidad x dia]]*7</f>
        <v>0</v>
      </c>
    </row>
    <row r="290" spans="1:13" x14ac:dyDescent="0.3">
      <c r="A290" s="6">
        <f>+'[1]VENTAS(RESUMEN GLOBAL)'!L290</f>
        <v>46041</v>
      </c>
      <c r="B290" s="6" t="str">
        <f>+'[1]VENTAS(RESUMEN GLOBAL)'!M290</f>
        <v>ECCE</v>
      </c>
      <c r="C290">
        <f>+'[1]VENTAS(RESUMEN GLOBAL)'!B290</f>
        <v>100300</v>
      </c>
      <c r="D290" t="str">
        <f>INDEX('[1]CÓDIGOS DE PRODUCTO'!$D$3:$D$1000,MATCH(C290,'[1]CÓDIGOS DE PRODUCTO'!$A$3:$A$1000,0))</f>
        <v>50202300 </v>
      </c>
      <c r="E290" t="str">
        <f>VLOOKUP(C290,'[1]CÓDIGOS DE PRODUCTO'!$A$4:$B$156,2,FALSE)</f>
        <v>Gatorade</v>
      </c>
      <c r="F290" t="str">
        <f>INDEX('[1]CÓDIGOS DE PRODUCTO'!$C$3:$C$1000,MATCH(C290,'[1]CÓDIGOS DE PRODUCTO'!$A$3:$A$1000,0))</f>
        <v>Bebidas</v>
      </c>
      <c r="G290">
        <f>+'[1]VENTAS(RESUMEN GLOBAL)'!D290-'[1]VENTAS(RESUMEN GLOBAL)'!E290</f>
        <v>7</v>
      </c>
      <c r="H290" s="9">
        <f>+'[1]VENTAS(RESUMEN GLOBAL)'!K290</f>
        <v>7</v>
      </c>
      <c r="I290" s="8">
        <f>+G290*'[1]VENTAS(RESUMEN GLOBAL)'!F290</f>
        <v>175</v>
      </c>
      <c r="J290" s="8">
        <f>'[1]VENTAS(RESUMEN GLOBAL)'!G290*(1-'[1]VENTAS(RESUMEN GLOBAL)'!H290)</f>
        <v>113.75</v>
      </c>
      <c r="K290" s="8">
        <f t="shared" si="4"/>
        <v>61.25</v>
      </c>
      <c r="L290" s="8">
        <f>+'[1]VENTAS(RESUMEN GLOBAL)'!J290</f>
        <v>8.7499999999999982</v>
      </c>
      <c r="M290" s="8">
        <f>+Tabla1[[#This Row],[utilidad x dia]]*7</f>
        <v>61.249999999999986</v>
      </c>
    </row>
    <row r="291" spans="1:13" x14ac:dyDescent="0.3">
      <c r="A291" s="6">
        <f>+'[1]VENTAS(RESUMEN GLOBAL)'!L291</f>
        <v>46041</v>
      </c>
      <c r="B291" s="6" t="str">
        <f>+'[1]VENTAS(RESUMEN GLOBAL)'!M291</f>
        <v>ECCE</v>
      </c>
      <c r="C291">
        <f>+'[1]VENTAS(RESUMEN GLOBAL)'!B291</f>
        <v>800100</v>
      </c>
      <c r="D291" t="str">
        <f>INDEX('[1]CÓDIGOS DE PRODUCTO'!$D$3:$D$1000,MATCH(C291,'[1]CÓDIGOS DE PRODUCTO'!$A$3:$A$1000,0))</f>
        <v>50181900 </v>
      </c>
      <c r="E291" t="str">
        <f>VLOOKUP(C291,'[1]CÓDIGOS DE PRODUCTO'!$A$4:$B$156,2,FALSE)</f>
        <v>MARINELA MIX (8 PZ)</v>
      </c>
      <c r="F291" t="str">
        <f>INDEX('[1]CÓDIGOS DE PRODUCTO'!$C$3:$C$1000,MATCH(C291,'[1]CÓDIGOS DE PRODUCTO'!$A$3:$A$1000,0))</f>
        <v>GALLETAS Y PAN DULCE</v>
      </c>
      <c r="G291">
        <f>+'[1]VENTAS(RESUMEN GLOBAL)'!D291-'[1]VENTAS(RESUMEN GLOBAL)'!E291</f>
        <v>7</v>
      </c>
      <c r="H291" s="9">
        <f>+'[1]VENTAS(RESUMEN GLOBAL)'!K291</f>
        <v>7</v>
      </c>
      <c r="I291" s="8">
        <f>+G291*'[1]VENTAS(RESUMEN GLOBAL)'!F291</f>
        <v>175</v>
      </c>
      <c r="J291" s="8">
        <f>'[1]VENTAS(RESUMEN GLOBAL)'!G291*(1-'[1]VENTAS(RESUMEN GLOBAL)'!H291)</f>
        <v>76.999999999999986</v>
      </c>
      <c r="K291" s="8">
        <f t="shared" si="4"/>
        <v>98.000000000000014</v>
      </c>
      <c r="L291" s="8">
        <f>+'[1]VENTAS(RESUMEN GLOBAL)'!J291</f>
        <v>14.000000000000002</v>
      </c>
      <c r="M291" s="8">
        <f>+Tabla1[[#This Row],[utilidad x dia]]*7</f>
        <v>98.000000000000014</v>
      </c>
    </row>
    <row r="292" spans="1:13" x14ac:dyDescent="0.3">
      <c r="A292" s="6">
        <f>+'[1]VENTAS(RESUMEN GLOBAL)'!L292</f>
        <v>46041</v>
      </c>
      <c r="B292" s="6" t="str">
        <f>+'[1]VENTAS(RESUMEN GLOBAL)'!M292</f>
        <v>ECCE</v>
      </c>
      <c r="C292">
        <f>+'[1]VENTAS(RESUMEN GLOBAL)'!B292</f>
        <v>300200</v>
      </c>
      <c r="D292" t="str">
        <f>INDEX('[1]CÓDIGOS DE PRODUCTO'!$D$3:$D$1000,MATCH(C292,'[1]CÓDIGOS DE PRODUCTO'!$A$3:$A$1000,0))</f>
        <v>50161800 </v>
      </c>
      <c r="E292" t="str">
        <f>VLOOKUP(C292,'[1]CÓDIGOS DE PRODUCTO'!$A$4:$B$156,2,FALSE)</f>
        <v>SKWINKLES</v>
      </c>
      <c r="F292" t="str">
        <f>INDEX('[1]CÓDIGOS DE PRODUCTO'!$C$3:$C$1000,MATCH(C292,'[1]CÓDIGOS DE PRODUCTO'!$A$3:$A$1000,0))</f>
        <v>Snacks &amp; Dulces</v>
      </c>
      <c r="G292">
        <f>+'[1]VENTAS(RESUMEN GLOBAL)'!D292-'[1]VENTAS(RESUMEN GLOBAL)'!E292</f>
        <v>4</v>
      </c>
      <c r="H292" s="9">
        <f>+'[1]VENTAS(RESUMEN GLOBAL)'!K292</f>
        <v>4</v>
      </c>
      <c r="I292" s="8">
        <f>+G292*'[1]VENTAS(RESUMEN GLOBAL)'!F292</f>
        <v>80</v>
      </c>
      <c r="J292" s="8">
        <f>'[1]VENTAS(RESUMEN GLOBAL)'!G292*(1-'[1]VENTAS(RESUMEN GLOBAL)'!H292)</f>
        <v>29.6</v>
      </c>
      <c r="K292" s="8">
        <f t="shared" si="4"/>
        <v>50.4</v>
      </c>
      <c r="L292" s="8">
        <f>+'[1]VENTAS(RESUMEN GLOBAL)'!J292</f>
        <v>7.2</v>
      </c>
      <c r="M292" s="8">
        <f>+Tabla1[[#This Row],[utilidad x dia]]*7</f>
        <v>50.4</v>
      </c>
    </row>
    <row r="293" spans="1:13" x14ac:dyDescent="0.3">
      <c r="A293" s="6">
        <f>+'[1]VENTAS(RESUMEN GLOBAL)'!L293</f>
        <v>46041</v>
      </c>
      <c r="B293" s="6" t="str">
        <f>+'[1]VENTAS(RESUMEN GLOBAL)'!M293</f>
        <v>ECCE</v>
      </c>
      <c r="C293">
        <f>+'[1]VENTAS(RESUMEN GLOBAL)'!B293</f>
        <v>900300</v>
      </c>
      <c r="D293">
        <f>INDEX('[1]CÓDIGOS DE PRODUCTO'!$D$3:$D$1000,MATCH(C293,'[1]CÓDIGOS DE PRODUCTO'!$A$3:$A$1000,0))</f>
        <v>50161815</v>
      </c>
      <c r="E293" t="str">
        <f>VLOOKUP(C293,'[1]CÓDIGOS DE PRODUCTO'!$A$4:$B$156,2,FALSE)</f>
        <v>CHICLES TRIDENT</v>
      </c>
      <c r="F293" t="str">
        <f>INDEX('[1]CÓDIGOS DE PRODUCTO'!$C$3:$C$1000,MATCH(C293,'[1]CÓDIGOS DE PRODUCTO'!$A$3:$A$1000,0))</f>
        <v>OTROS</v>
      </c>
      <c r="G293">
        <f>+'[1]VENTAS(RESUMEN GLOBAL)'!D293-'[1]VENTAS(RESUMEN GLOBAL)'!E293</f>
        <v>5</v>
      </c>
      <c r="H293" s="9">
        <f>+'[1]VENTAS(RESUMEN GLOBAL)'!K293</f>
        <v>5</v>
      </c>
      <c r="I293" s="8">
        <f>+G293*'[1]VENTAS(RESUMEN GLOBAL)'!F293</f>
        <v>125</v>
      </c>
      <c r="J293" s="8">
        <f>'[1]VENTAS(RESUMEN GLOBAL)'!G293*(1-'[1]VENTAS(RESUMEN GLOBAL)'!H293)</f>
        <v>75</v>
      </c>
      <c r="K293" s="8">
        <f t="shared" si="4"/>
        <v>50</v>
      </c>
      <c r="L293" s="8">
        <f>+'[1]VENTAS(RESUMEN GLOBAL)'!J293</f>
        <v>7.1428571428571432</v>
      </c>
      <c r="M293" s="8">
        <f>+Tabla1[[#This Row],[utilidad x dia]]*7</f>
        <v>50</v>
      </c>
    </row>
    <row r="294" spans="1:13" x14ac:dyDescent="0.3">
      <c r="A294" s="6">
        <f>+'[1]VENTAS(RESUMEN GLOBAL)'!L294</f>
        <v>46041</v>
      </c>
      <c r="B294" s="6" t="str">
        <f>+'[1]VENTAS(RESUMEN GLOBAL)'!M294</f>
        <v>ECCE</v>
      </c>
      <c r="C294">
        <f>+'[1]VENTAS(RESUMEN GLOBAL)'!B294</f>
        <v>400200</v>
      </c>
      <c r="D294" t="str">
        <f>INDEX('[1]CÓDIGOS DE PRODUCTO'!$D$3:$D$1000,MATCH(C294,'[1]CÓDIGOS DE PRODUCTO'!$A$3:$A$1000,0))</f>
        <v>N/A</v>
      </c>
      <c r="E294" t="str">
        <f>VLOOKUP(C294,'[1]CÓDIGOS DE PRODUCTO'!$A$4:$B$156,2,FALSE)</f>
        <v>MARLBORO ROJOS</v>
      </c>
      <c r="F294" t="str">
        <f>INDEX('[1]CÓDIGOS DE PRODUCTO'!$C$3:$C$1000,MATCH(C294,'[1]CÓDIGOS DE PRODUCTO'!$A$3:$A$1000,0))</f>
        <v>Cigarros</v>
      </c>
      <c r="G294">
        <f>+'[1]VENTAS(RESUMEN GLOBAL)'!D294-'[1]VENTAS(RESUMEN GLOBAL)'!E294</f>
        <v>3</v>
      </c>
      <c r="H294" s="9">
        <f>+'[1]VENTAS(RESUMEN GLOBAL)'!K294</f>
        <v>3</v>
      </c>
      <c r="I294" s="8">
        <f>+G294*'[1]VENTAS(RESUMEN GLOBAL)'!F294</f>
        <v>480</v>
      </c>
      <c r="J294" s="8">
        <f>'[1]VENTAS(RESUMEN GLOBAL)'!G294*(1-'[1]VENTAS(RESUMEN GLOBAL)'!H294)</f>
        <v>297.60000000000002</v>
      </c>
      <c r="K294" s="8">
        <f t="shared" si="4"/>
        <v>182.39999999999998</v>
      </c>
      <c r="L294" s="8">
        <f>+'[1]VENTAS(RESUMEN GLOBAL)'!J294</f>
        <v>26.057142857142857</v>
      </c>
      <c r="M294" s="8">
        <f>+Tabla1[[#This Row],[utilidad x dia]]*7</f>
        <v>182.4</v>
      </c>
    </row>
    <row r="295" spans="1:13" x14ac:dyDescent="0.3">
      <c r="A295" s="6">
        <f>+'[1]VENTAS(RESUMEN GLOBAL)'!L295</f>
        <v>46041</v>
      </c>
      <c r="B295" s="6" t="str">
        <f>+'[1]VENTAS(RESUMEN GLOBAL)'!M295</f>
        <v>ECCE</v>
      </c>
      <c r="C295">
        <f>+'[1]VENTAS(RESUMEN GLOBAL)'!B295</f>
        <v>400100</v>
      </c>
      <c r="D295" t="str">
        <f>INDEX('[1]CÓDIGOS DE PRODUCTO'!$D$3:$D$1000,MATCH(C295,'[1]CÓDIGOS DE PRODUCTO'!$A$3:$A$1000,0))</f>
        <v>N/A</v>
      </c>
      <c r="E295" t="str">
        <f>VLOOKUP(C295,'[1]CÓDIGOS DE PRODUCTO'!$A$4:$B$156,2,FALSE)</f>
        <v>MARLBORO BLANCOS</v>
      </c>
      <c r="F295" t="str">
        <f>INDEX('[1]CÓDIGOS DE PRODUCTO'!$C$3:$C$1000,MATCH(C295,'[1]CÓDIGOS DE PRODUCTO'!$A$3:$A$1000,0))</f>
        <v>Cigarros</v>
      </c>
      <c r="G295">
        <f>+'[1]VENTAS(RESUMEN GLOBAL)'!D295-'[1]VENTAS(RESUMEN GLOBAL)'!E295</f>
        <v>0</v>
      </c>
      <c r="H295" s="9">
        <f>+'[1]VENTAS(RESUMEN GLOBAL)'!K295</f>
        <v>0</v>
      </c>
      <c r="I295" s="8">
        <f>+G295*'[1]VENTAS(RESUMEN GLOBAL)'!F295</f>
        <v>0</v>
      </c>
      <c r="J295" s="8">
        <f>'[1]VENTAS(RESUMEN GLOBAL)'!G295*(1-'[1]VENTAS(RESUMEN GLOBAL)'!H295)</f>
        <v>0</v>
      </c>
      <c r="K295" s="8">
        <f t="shared" si="4"/>
        <v>0</v>
      </c>
      <c r="L295" s="8">
        <f>+'[1]VENTAS(RESUMEN GLOBAL)'!J295</f>
        <v>0</v>
      </c>
      <c r="M295" s="8">
        <f>+Tabla1[[#This Row],[utilidad x dia]]*7</f>
        <v>0</v>
      </c>
    </row>
    <row r="296" spans="1:13" x14ac:dyDescent="0.3">
      <c r="A296" s="6">
        <f>+'[1]VENTAS(RESUMEN GLOBAL)'!L296</f>
        <v>46041</v>
      </c>
      <c r="B296" s="6" t="str">
        <f>+'[1]VENTAS(RESUMEN GLOBAL)'!M296</f>
        <v>ECCE</v>
      </c>
      <c r="C296">
        <f>+'[1]VENTAS(RESUMEN GLOBAL)'!B296</f>
        <v>300700</v>
      </c>
      <c r="D296" t="str">
        <f>INDEX('[1]CÓDIGOS DE PRODUCTO'!$D$3:$D$1000,MATCH(C296,'[1]CÓDIGOS DE PRODUCTO'!$A$3:$A$1000,0))</f>
        <v>50161800 </v>
      </c>
      <c r="E296" t="str">
        <f>VLOOKUP(C296,'[1]CÓDIGOS DE PRODUCTO'!$A$4:$B$156,2,FALSE)</f>
        <v>ZUMBA GOMA</v>
      </c>
      <c r="F296" t="str">
        <f>INDEX('[1]CÓDIGOS DE PRODUCTO'!$C$3:$C$1000,MATCH(C296,'[1]CÓDIGOS DE PRODUCTO'!$A$3:$A$1000,0))</f>
        <v>Snacks &amp; Dulces</v>
      </c>
      <c r="G296">
        <f>+'[1]VENTAS(RESUMEN GLOBAL)'!D296-'[1]VENTAS(RESUMEN GLOBAL)'!E296</f>
        <v>0</v>
      </c>
      <c r="H296" s="9">
        <f>+'[1]VENTAS(RESUMEN GLOBAL)'!K296</f>
        <v>0</v>
      </c>
      <c r="I296" s="8">
        <f>+G296*'[1]VENTAS(RESUMEN GLOBAL)'!F296</f>
        <v>0</v>
      </c>
      <c r="J296" s="8">
        <f>'[1]VENTAS(RESUMEN GLOBAL)'!G296*(1-'[1]VENTAS(RESUMEN GLOBAL)'!H296)</f>
        <v>0</v>
      </c>
      <c r="K296" s="8">
        <f t="shared" si="4"/>
        <v>0</v>
      </c>
      <c r="L296" s="8">
        <f>+'[1]VENTAS(RESUMEN GLOBAL)'!J296</f>
        <v>0</v>
      </c>
      <c r="M296" s="8">
        <f>+Tabla1[[#This Row],[utilidad x dia]]*7</f>
        <v>0</v>
      </c>
    </row>
    <row r="297" spans="1:13" x14ac:dyDescent="0.3">
      <c r="A297" s="6">
        <f>+'[1]VENTAS(RESUMEN GLOBAL)'!L297</f>
        <v>46041</v>
      </c>
      <c r="B297" s="6" t="str">
        <f>+'[1]VENTAS(RESUMEN GLOBAL)'!M297</f>
        <v>ECCE</v>
      </c>
      <c r="C297">
        <f>+'[1]VENTAS(RESUMEN GLOBAL)'!B297</f>
        <v>300500</v>
      </c>
      <c r="D297" t="str">
        <f>INDEX('[1]CÓDIGOS DE PRODUCTO'!$D$3:$D$1000,MATCH(C297,'[1]CÓDIGOS DE PRODUCTO'!$A$3:$A$1000,0))</f>
        <v>50161800 </v>
      </c>
      <c r="E297" t="str">
        <f>VLOOKUP(C297,'[1]CÓDIGOS DE PRODUCTO'!$A$4:$B$156,2,FALSE)</f>
        <v>Halls</v>
      </c>
      <c r="F297" t="str">
        <f>INDEX('[1]CÓDIGOS DE PRODUCTO'!$C$3:$C$1000,MATCH(C297,'[1]CÓDIGOS DE PRODUCTO'!$A$3:$A$1000,0))</f>
        <v>Snacks &amp; Dulces</v>
      </c>
      <c r="G297">
        <f>+'[1]VENTAS(RESUMEN GLOBAL)'!D297-'[1]VENTAS(RESUMEN GLOBAL)'!E297</f>
        <v>2</v>
      </c>
      <c r="H297" s="9">
        <f>+'[1]VENTAS(RESUMEN GLOBAL)'!K297</f>
        <v>2</v>
      </c>
      <c r="I297" s="8">
        <f>+G297*'[1]VENTAS(RESUMEN GLOBAL)'!F297</f>
        <v>30</v>
      </c>
      <c r="J297" s="8">
        <f>'[1]VENTAS(RESUMEN GLOBAL)'!G297*(1-'[1]VENTAS(RESUMEN GLOBAL)'!H297)</f>
        <v>15</v>
      </c>
      <c r="K297" s="8">
        <f t="shared" si="4"/>
        <v>15</v>
      </c>
      <c r="L297" s="8">
        <f>+'[1]VENTAS(RESUMEN GLOBAL)'!J297</f>
        <v>2.1428571428571428</v>
      </c>
      <c r="M297" s="8">
        <f>+Tabla1[[#This Row],[utilidad x dia]]*7</f>
        <v>15</v>
      </c>
    </row>
    <row r="298" spans="1:13" x14ac:dyDescent="0.3">
      <c r="A298" s="6">
        <f>+'[1]VENTAS(RESUMEN GLOBAL)'!L298</f>
        <v>46041</v>
      </c>
      <c r="B298" s="6" t="str">
        <f>+'[1]VENTAS(RESUMEN GLOBAL)'!M298</f>
        <v>ECCE</v>
      </c>
      <c r="C298">
        <f>+'[1]VENTAS(RESUMEN GLOBAL)'!B298</f>
        <v>700700</v>
      </c>
      <c r="D298" t="str">
        <f>INDEX('[1]CÓDIGOS DE PRODUCTO'!$D$3:$D$1000,MATCH(C298,'[1]CÓDIGOS DE PRODUCTO'!$A$3:$A$1000,0))</f>
        <v>50161511 </v>
      </c>
      <c r="E298" t="str">
        <f>VLOOKUP(C298,'[1]CÓDIGOS DE PRODUCTO'!$A$4:$B$156,2,FALSE)</f>
        <v>Milkiway</v>
      </c>
      <c r="F298" t="str">
        <f>INDEX('[1]CÓDIGOS DE PRODUCTO'!$C$3:$C$1000,MATCH(C298,'[1]CÓDIGOS DE PRODUCTO'!$A$3:$A$1000,0))</f>
        <v>CHOCOLATES</v>
      </c>
      <c r="G298">
        <f>+'[1]VENTAS(RESUMEN GLOBAL)'!D298-'[1]VENTAS(RESUMEN GLOBAL)'!E298</f>
        <v>1</v>
      </c>
      <c r="H298" s="9">
        <f>+'[1]VENTAS(RESUMEN GLOBAL)'!K298</f>
        <v>1</v>
      </c>
      <c r="I298" s="8">
        <f>+G298*'[1]VENTAS(RESUMEN GLOBAL)'!F298</f>
        <v>25</v>
      </c>
      <c r="J298" s="8">
        <f>'[1]VENTAS(RESUMEN GLOBAL)'!G298*(1-'[1]VENTAS(RESUMEN GLOBAL)'!H298)</f>
        <v>10</v>
      </c>
      <c r="K298" s="8">
        <f t="shared" si="4"/>
        <v>15</v>
      </c>
      <c r="L298" s="8">
        <f>+'[1]VENTAS(RESUMEN GLOBAL)'!J298</f>
        <v>2.1428571428571428</v>
      </c>
      <c r="M298" s="8">
        <f>+Tabla1[[#This Row],[utilidad x dia]]*7</f>
        <v>15</v>
      </c>
    </row>
    <row r="299" spans="1:13" x14ac:dyDescent="0.3">
      <c r="A299" s="6">
        <f>+'[1]VENTAS(RESUMEN GLOBAL)'!L299</f>
        <v>46041</v>
      </c>
      <c r="B299" s="6" t="str">
        <f>+'[1]VENTAS(RESUMEN GLOBAL)'!M299</f>
        <v>ECCE</v>
      </c>
      <c r="C299">
        <f>+'[1]VENTAS(RESUMEN GLOBAL)'!B299</f>
        <v>700800</v>
      </c>
      <c r="D299" t="str">
        <f>INDEX('[1]CÓDIGOS DE PRODUCTO'!$D$3:$D$1000,MATCH(C299,'[1]CÓDIGOS DE PRODUCTO'!$A$3:$A$1000,0))</f>
        <v>50161511 </v>
      </c>
      <c r="E299" t="str">
        <f>VLOOKUP(C299,'[1]CÓDIGOS DE PRODUCTO'!$A$4:$B$156,2,FALSE)</f>
        <v>Kinder delice</v>
      </c>
      <c r="F299" t="str">
        <f>INDEX('[1]CÓDIGOS DE PRODUCTO'!$C$3:$C$1000,MATCH(C299,'[1]CÓDIGOS DE PRODUCTO'!$A$3:$A$1000,0))</f>
        <v>CHOCOLATES</v>
      </c>
      <c r="G299">
        <f>+'[1]VENTAS(RESUMEN GLOBAL)'!D299-'[1]VENTAS(RESUMEN GLOBAL)'!E299</f>
        <v>2</v>
      </c>
      <c r="H299" s="9">
        <f>+'[1]VENTAS(RESUMEN GLOBAL)'!K299</f>
        <v>2</v>
      </c>
      <c r="I299" s="8">
        <f>+G299*'[1]VENTAS(RESUMEN GLOBAL)'!F299</f>
        <v>50</v>
      </c>
      <c r="J299" s="8">
        <f>'[1]VENTAS(RESUMEN GLOBAL)'!G299*(1-'[1]VENTAS(RESUMEN GLOBAL)'!H299)</f>
        <v>25</v>
      </c>
      <c r="K299" s="8">
        <f t="shared" si="4"/>
        <v>25</v>
      </c>
      <c r="L299" s="8">
        <f>+'[1]VENTAS(RESUMEN GLOBAL)'!J299</f>
        <v>3.5714285714285716</v>
      </c>
      <c r="M299" s="8">
        <f>+Tabla1[[#This Row],[utilidad x dia]]*7</f>
        <v>25</v>
      </c>
    </row>
    <row r="300" spans="1:13" x14ac:dyDescent="0.3">
      <c r="A300" s="6">
        <f>+'[1]VENTAS(RESUMEN GLOBAL)'!L300</f>
        <v>46041</v>
      </c>
      <c r="B300" s="6" t="str">
        <f>+'[1]VENTAS(RESUMEN GLOBAL)'!M300</f>
        <v>ECCE</v>
      </c>
      <c r="C300">
        <f>+'[1]VENTAS(RESUMEN GLOBAL)'!B300</f>
        <v>700200</v>
      </c>
      <c r="D300" t="str">
        <f>INDEX('[1]CÓDIGOS DE PRODUCTO'!$D$3:$D$1000,MATCH(C300,'[1]CÓDIGOS DE PRODUCTO'!$A$3:$A$1000,0))</f>
        <v>50161511 </v>
      </c>
      <c r="E300" t="str">
        <f>VLOOKUP(C300,'[1]CÓDIGOS DE PRODUCTO'!$A$4:$B$156,2,FALSE)</f>
        <v>Snickers</v>
      </c>
      <c r="F300" t="str">
        <f>INDEX('[1]CÓDIGOS DE PRODUCTO'!$C$3:$C$1000,MATCH(C300,'[1]CÓDIGOS DE PRODUCTO'!$A$3:$A$1000,0))</f>
        <v>CHOCOLATES</v>
      </c>
      <c r="G300">
        <f>+'[1]VENTAS(RESUMEN GLOBAL)'!D300-'[1]VENTAS(RESUMEN GLOBAL)'!E300</f>
        <v>4</v>
      </c>
      <c r="H300" s="9">
        <f>+'[1]VENTAS(RESUMEN GLOBAL)'!K300</f>
        <v>4</v>
      </c>
      <c r="I300" s="8">
        <f>+G300*'[1]VENTAS(RESUMEN GLOBAL)'!F300</f>
        <v>100</v>
      </c>
      <c r="J300" s="8">
        <f>'[1]VENTAS(RESUMEN GLOBAL)'!G300*(1-'[1]VENTAS(RESUMEN GLOBAL)'!H300)</f>
        <v>56.000000000000007</v>
      </c>
      <c r="K300" s="8">
        <f t="shared" si="4"/>
        <v>43.999999999999993</v>
      </c>
      <c r="L300" s="8">
        <f>+'[1]VENTAS(RESUMEN GLOBAL)'!J300</f>
        <v>6.2857142857142856</v>
      </c>
      <c r="M300" s="8">
        <f>+Tabla1[[#This Row],[utilidad x dia]]*7</f>
        <v>44</v>
      </c>
    </row>
    <row r="301" spans="1:13" x14ac:dyDescent="0.3">
      <c r="A301" s="6">
        <f>+'[1]VENTAS(RESUMEN GLOBAL)'!L301</f>
        <v>46041</v>
      </c>
      <c r="B301" s="6" t="str">
        <f>+'[1]VENTAS(RESUMEN GLOBAL)'!M301</f>
        <v>ECCE</v>
      </c>
      <c r="C301">
        <f>+'[1]VENTAS(RESUMEN GLOBAL)'!B301</f>
        <v>700100</v>
      </c>
      <c r="D301" t="str">
        <f>INDEX('[1]CÓDIGOS DE PRODUCTO'!$D$3:$D$1000,MATCH(C301,'[1]CÓDIGOS DE PRODUCTO'!$A$3:$A$1000,0))</f>
        <v>50161511 </v>
      </c>
      <c r="E301" t="str">
        <f>VLOOKUP(C301,'[1]CÓDIGOS DE PRODUCTO'!$A$4:$B$156,2,FALSE)</f>
        <v>M&amp;M</v>
      </c>
      <c r="F301" t="str">
        <f>INDEX('[1]CÓDIGOS DE PRODUCTO'!$C$3:$C$1000,MATCH(C301,'[1]CÓDIGOS DE PRODUCTO'!$A$3:$A$1000,0))</f>
        <v>CHOCOLATES</v>
      </c>
      <c r="G301">
        <f>+'[1]VENTAS(RESUMEN GLOBAL)'!D301-'[1]VENTAS(RESUMEN GLOBAL)'!E301</f>
        <v>2</v>
      </c>
      <c r="H301" s="9">
        <f>+'[1]VENTAS(RESUMEN GLOBAL)'!K301</f>
        <v>2</v>
      </c>
      <c r="I301" s="8">
        <f>+G301*'[1]VENTAS(RESUMEN GLOBAL)'!F301</f>
        <v>60</v>
      </c>
      <c r="J301" s="8">
        <f>'[1]VENTAS(RESUMEN GLOBAL)'!G301*(1-'[1]VENTAS(RESUMEN GLOBAL)'!H301)</f>
        <v>26.4</v>
      </c>
      <c r="K301" s="8">
        <f t="shared" si="4"/>
        <v>33.6</v>
      </c>
      <c r="L301" s="8">
        <f>+'[1]VENTAS(RESUMEN GLOBAL)'!J301</f>
        <v>4.8</v>
      </c>
      <c r="M301" s="8">
        <f>+Tabla1[[#This Row],[utilidad x dia]]*7</f>
        <v>33.6</v>
      </c>
    </row>
    <row r="302" spans="1:13" x14ac:dyDescent="0.3">
      <c r="A302" s="6">
        <f>+'[1]VENTAS(RESUMEN GLOBAL)'!L302</f>
        <v>46041</v>
      </c>
      <c r="B302" s="6" t="str">
        <f>+'[1]VENTAS(RESUMEN GLOBAL)'!M302</f>
        <v>ECCE</v>
      </c>
      <c r="C302">
        <f>+'[1]VENTAS(RESUMEN GLOBAL)'!B302</f>
        <v>700400</v>
      </c>
      <c r="D302" t="str">
        <f>INDEX('[1]CÓDIGOS DE PRODUCTO'!$D$3:$D$1000,MATCH(C302,'[1]CÓDIGOS DE PRODUCTO'!$A$3:$A$1000,0))</f>
        <v>50161511 </v>
      </c>
      <c r="E302" t="str">
        <f>VLOOKUP(C302,'[1]CÓDIGOS DE PRODUCTO'!$A$4:$B$156,2,FALSE)</f>
        <v>KIT KAT</v>
      </c>
      <c r="F302" t="str">
        <f>INDEX('[1]CÓDIGOS DE PRODUCTO'!$C$3:$C$1000,MATCH(C302,'[1]CÓDIGOS DE PRODUCTO'!$A$3:$A$1000,0))</f>
        <v>CHOCOLATES</v>
      </c>
      <c r="G302">
        <f>+'[1]VENTAS(RESUMEN GLOBAL)'!D302-'[1]VENTAS(RESUMEN GLOBAL)'!E302</f>
        <v>0</v>
      </c>
      <c r="H302" s="9">
        <f>+'[1]VENTAS(RESUMEN GLOBAL)'!K302</f>
        <v>0</v>
      </c>
      <c r="I302" s="8">
        <f>+G302*'[1]VENTAS(RESUMEN GLOBAL)'!F302</f>
        <v>0</v>
      </c>
      <c r="J302" s="8">
        <f>'[1]VENTAS(RESUMEN GLOBAL)'!G302*(1-'[1]VENTAS(RESUMEN GLOBAL)'!H302)</f>
        <v>0</v>
      </c>
      <c r="K302" s="8">
        <f t="shared" si="4"/>
        <v>0</v>
      </c>
      <c r="L302" s="8">
        <f>+'[1]VENTAS(RESUMEN GLOBAL)'!J302</f>
        <v>0</v>
      </c>
      <c r="M302" s="8">
        <f>+Tabla1[[#This Row],[utilidad x dia]]*7</f>
        <v>0</v>
      </c>
    </row>
    <row r="303" spans="1:13" x14ac:dyDescent="0.3">
      <c r="A303" s="6">
        <f>+'[1]VENTAS(RESUMEN GLOBAL)'!L303</f>
        <v>46041</v>
      </c>
      <c r="B303" s="6" t="str">
        <f>+'[1]VENTAS(RESUMEN GLOBAL)'!M303</f>
        <v>ECCE</v>
      </c>
      <c r="C303">
        <f>+'[1]VENTAS(RESUMEN GLOBAL)'!B303</f>
        <v>700500</v>
      </c>
      <c r="D303" t="str">
        <f>INDEX('[1]CÓDIGOS DE PRODUCTO'!$D$3:$D$1000,MATCH(C303,'[1]CÓDIGOS DE PRODUCTO'!$A$3:$A$1000,0))</f>
        <v>50161511 </v>
      </c>
      <c r="E303" t="str">
        <f>VLOOKUP(C303,'[1]CÓDIGOS DE PRODUCTO'!$A$4:$B$156,2,FALSE)</f>
        <v>HERSHEYS BLANCO</v>
      </c>
      <c r="F303" t="str">
        <f>INDEX('[1]CÓDIGOS DE PRODUCTO'!$C$3:$C$1000,MATCH(C303,'[1]CÓDIGOS DE PRODUCTO'!$A$3:$A$1000,0))</f>
        <v>CHOCOLATES</v>
      </c>
      <c r="G303">
        <f>+'[1]VENTAS(RESUMEN GLOBAL)'!D303-'[1]VENTAS(RESUMEN GLOBAL)'!E303</f>
        <v>3</v>
      </c>
      <c r="H303" s="9">
        <f>+'[1]VENTAS(RESUMEN GLOBAL)'!K303</f>
        <v>3</v>
      </c>
      <c r="I303" s="8">
        <f>+G303*'[1]VENTAS(RESUMEN GLOBAL)'!F303</f>
        <v>45</v>
      </c>
      <c r="J303" s="8">
        <f>'[1]VENTAS(RESUMEN GLOBAL)'!G303*(1-'[1]VENTAS(RESUMEN GLOBAL)'!H303)</f>
        <v>17.100000000000001</v>
      </c>
      <c r="K303" s="8">
        <f t="shared" si="4"/>
        <v>27.9</v>
      </c>
      <c r="L303" s="8">
        <f>+'[1]VENTAS(RESUMEN GLOBAL)'!J303</f>
        <v>3.9857142857142853</v>
      </c>
      <c r="M303" s="8">
        <f>+Tabla1[[#This Row],[utilidad x dia]]*7</f>
        <v>27.9</v>
      </c>
    </row>
    <row r="304" spans="1:13" x14ac:dyDescent="0.3">
      <c r="A304" s="6">
        <f>+'[1]VENTAS(RESUMEN GLOBAL)'!L304</f>
        <v>46041</v>
      </c>
      <c r="B304" s="6" t="str">
        <f>+'[1]VENTAS(RESUMEN GLOBAL)'!M304</f>
        <v>ECCE</v>
      </c>
      <c r="C304">
        <f>+'[1]VENTAS(RESUMEN GLOBAL)'!B304</f>
        <v>500100</v>
      </c>
      <c r="D304" t="str">
        <f>INDEX('[1]CÓDIGOS DE PRODUCTO'!$D$3:$D$1000,MATCH(C304,'[1]CÓDIGOS DE PRODUCTO'!$A$3:$A$1000,0))</f>
        <v>53102800 </v>
      </c>
      <c r="E304" t="str">
        <f>VLOOKUP(C304,'[1]CÓDIGOS DE PRODUCTO'!$A$4:$B$156,2,FALSE)</f>
        <v>Trajes de baño</v>
      </c>
      <c r="F304" t="str">
        <f>INDEX('[1]CÓDIGOS DE PRODUCTO'!$C$3:$C$1000,MATCH(C304,'[1]CÓDIGOS DE PRODUCTO'!$A$3:$A$1000,0))</f>
        <v>SWIMWEAR</v>
      </c>
      <c r="G304">
        <f>+'[1]VENTAS(RESUMEN GLOBAL)'!D304-'[1]VENTAS(RESUMEN GLOBAL)'!E304</f>
        <v>0</v>
      </c>
      <c r="H304" s="9">
        <f>+'[1]VENTAS(RESUMEN GLOBAL)'!K304</f>
        <v>0</v>
      </c>
      <c r="I304" s="8">
        <f>+G304*'[1]VENTAS(RESUMEN GLOBAL)'!F304</f>
        <v>0</v>
      </c>
      <c r="J304" s="8">
        <f>'[1]VENTAS(RESUMEN GLOBAL)'!G304*(1-'[1]VENTAS(RESUMEN GLOBAL)'!H304)</f>
        <v>0</v>
      </c>
      <c r="K304" s="8">
        <f t="shared" si="4"/>
        <v>0</v>
      </c>
      <c r="L304" s="8">
        <f>+'[1]VENTAS(RESUMEN GLOBAL)'!J304</f>
        <v>0</v>
      </c>
      <c r="M304" s="8">
        <f>+Tabla1[[#This Row],[utilidad x dia]]*7</f>
        <v>0</v>
      </c>
    </row>
    <row r="305" spans="1:13" x14ac:dyDescent="0.3">
      <c r="A305" s="6">
        <f>+'[1]VENTAS(RESUMEN GLOBAL)'!L305</f>
        <v>46041</v>
      </c>
      <c r="B305" s="6" t="str">
        <f>+'[1]VENTAS(RESUMEN GLOBAL)'!M305</f>
        <v>ECCE</v>
      </c>
      <c r="C305">
        <f>+'[1]VENTAS(RESUMEN GLOBAL)'!B305</f>
        <v>100600</v>
      </c>
      <c r="D305" t="str">
        <f>INDEX('[1]CÓDIGOS DE PRODUCTO'!$D$3:$D$1000,MATCH(C305,'[1]CÓDIGOS DE PRODUCTO'!$A$3:$A$1000,0))</f>
        <v>50202300 </v>
      </c>
      <c r="E305" t="str">
        <f>VLOOKUP(C305,'[1]CÓDIGOS DE PRODUCTO'!$A$4:$B$156,2,FALSE)</f>
        <v>Leche santa clara</v>
      </c>
      <c r="F305" t="str">
        <f>INDEX('[1]CÓDIGOS DE PRODUCTO'!$C$3:$C$1000,MATCH(C305,'[1]CÓDIGOS DE PRODUCTO'!$A$3:$A$1000,0))</f>
        <v>Bebidas</v>
      </c>
      <c r="G305">
        <f>+'[1]VENTAS(RESUMEN GLOBAL)'!D305-'[1]VENTAS(RESUMEN GLOBAL)'!E305</f>
        <v>4</v>
      </c>
      <c r="H305" s="9">
        <f>+'[1]VENTAS(RESUMEN GLOBAL)'!K305</f>
        <v>4</v>
      </c>
      <c r="I305" s="8">
        <f>+G305*'[1]VENTAS(RESUMEN GLOBAL)'!F305</f>
        <v>80</v>
      </c>
      <c r="J305" s="8">
        <f>'[1]VENTAS(RESUMEN GLOBAL)'!G305*(1-'[1]VENTAS(RESUMEN GLOBAL)'!H305)</f>
        <v>43.2</v>
      </c>
      <c r="K305" s="8">
        <f t="shared" si="4"/>
        <v>36.799999999999997</v>
      </c>
      <c r="L305" s="8">
        <f>+'[1]VENTAS(RESUMEN GLOBAL)'!J305</f>
        <v>5.257142857142858</v>
      </c>
      <c r="M305" s="8">
        <f>+Tabla1[[#This Row],[utilidad x dia]]*7</f>
        <v>36.800000000000004</v>
      </c>
    </row>
    <row r="306" spans="1:13" x14ac:dyDescent="0.3">
      <c r="A306" s="6">
        <f>+'[1]VENTAS(RESUMEN GLOBAL)'!L306</f>
        <v>46041</v>
      </c>
      <c r="B306" s="6" t="str">
        <f>+'[1]VENTAS(RESUMEN GLOBAL)'!M306</f>
        <v>ECCE</v>
      </c>
      <c r="C306">
        <f>+'[1]VENTAS(RESUMEN GLOBAL)'!B306</f>
        <v>100600</v>
      </c>
      <c r="D306" t="str">
        <f>INDEX('[1]CÓDIGOS DE PRODUCTO'!$D$3:$D$1000,MATCH(C306,'[1]CÓDIGOS DE PRODUCTO'!$A$3:$A$1000,0))</f>
        <v>50202300 </v>
      </c>
      <c r="E306" t="str">
        <f>VLOOKUP(C306,'[1]CÓDIGOS DE PRODUCTO'!$A$4:$B$156,2,FALSE)</f>
        <v>Leche santa clara</v>
      </c>
      <c r="F306" t="str">
        <f>INDEX('[1]CÓDIGOS DE PRODUCTO'!$C$3:$C$1000,MATCH(C306,'[1]CÓDIGOS DE PRODUCTO'!$A$3:$A$1000,0))</f>
        <v>Bebidas</v>
      </c>
      <c r="G306">
        <f>+'[1]VENTAS(RESUMEN GLOBAL)'!D306-'[1]VENTAS(RESUMEN GLOBAL)'!E306</f>
        <v>2</v>
      </c>
      <c r="H306" s="9">
        <f>+'[1]VENTAS(RESUMEN GLOBAL)'!K306</f>
        <v>2</v>
      </c>
      <c r="I306" s="8">
        <f>+G306*'[1]VENTAS(RESUMEN GLOBAL)'!F306</f>
        <v>40</v>
      </c>
      <c r="J306" s="8">
        <f>'[1]VENTAS(RESUMEN GLOBAL)'!G306*(1-'[1]VENTAS(RESUMEN GLOBAL)'!H306)</f>
        <v>21.6</v>
      </c>
      <c r="K306" s="8">
        <f t="shared" si="4"/>
        <v>18.399999999999999</v>
      </c>
      <c r="L306" s="8">
        <f>+'[1]VENTAS(RESUMEN GLOBAL)'!J306</f>
        <v>2.628571428571429</v>
      </c>
      <c r="M306" s="8">
        <f>+Tabla1[[#This Row],[utilidad x dia]]*7</f>
        <v>18.400000000000002</v>
      </c>
    </row>
    <row r="307" spans="1:13" x14ac:dyDescent="0.3">
      <c r="A307" s="6">
        <f>+'[1]VENTAS(RESUMEN GLOBAL)'!L307</f>
        <v>46041</v>
      </c>
      <c r="B307" s="6" t="str">
        <f>+'[1]VENTAS(RESUMEN GLOBAL)'!M307</f>
        <v>ECCE</v>
      </c>
      <c r="C307">
        <f>+'[1]VENTAS(RESUMEN GLOBAL)'!B307</f>
        <v>800500</v>
      </c>
      <c r="D307" t="str">
        <f>INDEX('[1]CÓDIGOS DE PRODUCTO'!$D$3:$D$1000,MATCH(C307,'[1]CÓDIGOS DE PRODUCTO'!$A$3:$A$1000,0))</f>
        <v>50181900 </v>
      </c>
      <c r="E307" t="str">
        <f>VLOOKUP(C307,'[1]CÓDIGOS DE PRODUCTO'!$A$4:$B$156,2,FALSE)</f>
        <v>RICE KRISPIES</v>
      </c>
      <c r="F307" t="str">
        <f>INDEX('[1]CÓDIGOS DE PRODUCTO'!$C$3:$C$1000,MATCH(C307,'[1]CÓDIGOS DE PRODUCTO'!$A$3:$A$1000,0))</f>
        <v>GALLETAS Y PAN DULCE</v>
      </c>
      <c r="G307">
        <f>+'[1]VENTAS(RESUMEN GLOBAL)'!D307-'[1]VENTAS(RESUMEN GLOBAL)'!E307</f>
        <v>0</v>
      </c>
      <c r="H307" s="9">
        <f>+'[1]VENTAS(RESUMEN GLOBAL)'!K307</f>
        <v>0</v>
      </c>
      <c r="I307" s="8">
        <f>+G307*'[1]VENTAS(RESUMEN GLOBAL)'!F307</f>
        <v>0</v>
      </c>
      <c r="J307" s="8">
        <f>'[1]VENTAS(RESUMEN GLOBAL)'!G307*(1-'[1]VENTAS(RESUMEN GLOBAL)'!H307)</f>
        <v>0</v>
      </c>
      <c r="K307" s="8">
        <f t="shared" si="4"/>
        <v>0</v>
      </c>
      <c r="L307" s="8">
        <f>+'[1]VENTAS(RESUMEN GLOBAL)'!J307</f>
        <v>0</v>
      </c>
      <c r="M307" s="8">
        <f>+Tabla1[[#This Row],[utilidad x dia]]*7</f>
        <v>0</v>
      </c>
    </row>
    <row r="308" spans="1:13" x14ac:dyDescent="0.3">
      <c r="A308" s="6">
        <f>+'[1]VENTAS(RESUMEN GLOBAL)'!L308</f>
        <v>46041</v>
      </c>
      <c r="B308" s="6" t="str">
        <f>+'[1]VENTAS(RESUMEN GLOBAL)'!M308</f>
        <v>ECCE</v>
      </c>
      <c r="C308">
        <f>+'[1]VENTAS(RESUMEN GLOBAL)'!B308</f>
        <v>800600</v>
      </c>
      <c r="D308" t="str">
        <f>INDEX('[1]CÓDIGOS DE PRODUCTO'!$D$3:$D$1000,MATCH(C308,'[1]CÓDIGOS DE PRODUCTO'!$A$3:$A$1000,0))</f>
        <v>50181900 </v>
      </c>
      <c r="E308" t="str">
        <f>VLOOKUP(C308,'[1]CÓDIGOS DE PRODUCTO'!$A$4:$B$156,2,FALSE)</f>
        <v>CREMAX</v>
      </c>
      <c r="F308" t="str">
        <f>INDEX('[1]CÓDIGOS DE PRODUCTO'!$C$3:$C$1000,MATCH(C308,'[1]CÓDIGOS DE PRODUCTO'!$A$3:$A$1000,0))</f>
        <v>GALLETAS Y PAN DULCE</v>
      </c>
      <c r="G308">
        <f>+'[1]VENTAS(RESUMEN GLOBAL)'!D308-'[1]VENTAS(RESUMEN GLOBAL)'!E308</f>
        <v>4</v>
      </c>
      <c r="H308" s="9">
        <f>+'[1]VENTAS(RESUMEN GLOBAL)'!K308</f>
        <v>4</v>
      </c>
      <c r="I308" s="8">
        <f>+G308*'[1]VENTAS(RESUMEN GLOBAL)'!F308</f>
        <v>80</v>
      </c>
      <c r="J308" s="8">
        <f>'[1]VENTAS(RESUMEN GLOBAL)'!G308*(1-'[1]VENTAS(RESUMEN GLOBAL)'!H308)</f>
        <v>28</v>
      </c>
      <c r="K308" s="8">
        <f t="shared" si="4"/>
        <v>52</v>
      </c>
      <c r="L308" s="8">
        <f>+'[1]VENTAS(RESUMEN GLOBAL)'!J308</f>
        <v>4.5714285714285712</v>
      </c>
      <c r="M308" s="8">
        <f>+Tabla1[[#This Row],[utilidad x dia]]*7</f>
        <v>32</v>
      </c>
    </row>
    <row r="309" spans="1:13" x14ac:dyDescent="0.3">
      <c r="A309" s="6">
        <f>+'[1]VENTAS(RESUMEN GLOBAL)'!L309</f>
        <v>46041</v>
      </c>
      <c r="B309" s="6" t="str">
        <f>+'[1]VENTAS(RESUMEN GLOBAL)'!M309</f>
        <v>ECCE</v>
      </c>
      <c r="C309">
        <f>+'[1]VENTAS(RESUMEN GLOBAL)'!B309</f>
        <v>800200</v>
      </c>
      <c r="D309" t="str">
        <f>INDEX('[1]CÓDIGOS DE PRODUCTO'!$D$3:$D$1000,MATCH(C309,'[1]CÓDIGOS DE PRODUCTO'!$A$3:$A$1000,0))</f>
        <v>50181900 </v>
      </c>
      <c r="E309" t="str">
        <f>VLOOKUP(C309,'[1]CÓDIGOS DE PRODUCTO'!$A$4:$B$156,2,FALSE)</f>
        <v>Príncipe (6 PZ-63 GR)</v>
      </c>
      <c r="F309" t="str">
        <f>INDEX('[1]CÓDIGOS DE PRODUCTO'!$C$3:$C$1000,MATCH(C309,'[1]CÓDIGOS DE PRODUCTO'!$A$3:$A$1000,0))</f>
        <v>GALLETAS Y PAN DULCE</v>
      </c>
      <c r="G309">
        <f>+'[1]VENTAS(RESUMEN GLOBAL)'!D309-'[1]VENTAS(RESUMEN GLOBAL)'!E309</f>
        <v>10</v>
      </c>
      <c r="H309" s="9">
        <f>+'[1]VENTAS(RESUMEN GLOBAL)'!K309</f>
        <v>10</v>
      </c>
      <c r="I309" s="8">
        <f>+G309*'[1]VENTAS(RESUMEN GLOBAL)'!F309</f>
        <v>200</v>
      </c>
      <c r="J309" s="8">
        <f>'[1]VENTAS(RESUMEN GLOBAL)'!G309*(1-'[1]VENTAS(RESUMEN GLOBAL)'!H309)</f>
        <v>70</v>
      </c>
      <c r="K309" s="8">
        <f t="shared" si="4"/>
        <v>130</v>
      </c>
      <c r="L309" s="8">
        <f>+'[1]VENTAS(RESUMEN GLOBAL)'!J309</f>
        <v>18.571428571428573</v>
      </c>
      <c r="M309" s="8">
        <f>+Tabla1[[#This Row],[utilidad x dia]]*7</f>
        <v>130</v>
      </c>
    </row>
    <row r="310" spans="1:13" x14ac:dyDescent="0.3">
      <c r="A310" s="6">
        <f>+'[1]VENTAS(RESUMEN GLOBAL)'!L310</f>
        <v>46041</v>
      </c>
      <c r="B310" s="6" t="str">
        <f>+'[1]VENTAS(RESUMEN GLOBAL)'!M310</f>
        <v>ECCE</v>
      </c>
      <c r="C310">
        <f>+'[1]VENTAS(RESUMEN GLOBAL)'!B310</f>
        <v>800800</v>
      </c>
      <c r="D310" t="str">
        <f>INDEX('[1]CÓDIGOS DE PRODUCTO'!$D$3:$D$1000,MATCH(C310,'[1]CÓDIGOS DE PRODUCTO'!$A$3:$A$1000,0))</f>
        <v>50181900 </v>
      </c>
      <c r="E310" t="str">
        <f>VLOOKUP(C310,'[1]CÓDIGOS DE PRODUCTO'!$A$4:$B$156,2,FALSE)</f>
        <v>DORADITAS</v>
      </c>
      <c r="F310" t="str">
        <f>INDEX('[1]CÓDIGOS DE PRODUCTO'!$C$3:$C$1000,MATCH(C310,'[1]CÓDIGOS DE PRODUCTO'!$A$3:$A$1000,0))</f>
        <v>GALLETAS Y PAN DULCE</v>
      </c>
      <c r="G310">
        <f>+'[1]VENTAS(RESUMEN GLOBAL)'!D310-'[1]VENTAS(RESUMEN GLOBAL)'!E310</f>
        <v>8</v>
      </c>
      <c r="H310" s="9">
        <f>+'[1]VENTAS(RESUMEN GLOBAL)'!K310</f>
        <v>8</v>
      </c>
      <c r="I310" s="8">
        <f>+G310*'[1]VENTAS(RESUMEN GLOBAL)'!F310</f>
        <v>80</v>
      </c>
      <c r="J310" s="8">
        <f>'[1]VENTAS(RESUMEN GLOBAL)'!G310*(1-'[1]VENTAS(RESUMEN GLOBAL)'!H310)</f>
        <v>27.199999999999996</v>
      </c>
      <c r="K310" s="8">
        <f t="shared" si="4"/>
        <v>52.800000000000004</v>
      </c>
      <c r="L310" s="8">
        <f>+'[1]VENTAS(RESUMEN GLOBAL)'!J310</f>
        <v>7.5428571428571436</v>
      </c>
      <c r="M310" s="8">
        <f>+Tabla1[[#This Row],[utilidad x dia]]*7</f>
        <v>52.800000000000004</v>
      </c>
    </row>
    <row r="311" spans="1:13" x14ac:dyDescent="0.3">
      <c r="A311" s="6">
        <f>+'[1]VENTAS(RESUMEN GLOBAL)'!L311</f>
        <v>46041</v>
      </c>
      <c r="B311" s="6" t="str">
        <f>+'[1]VENTAS(RESUMEN GLOBAL)'!M311</f>
        <v>ECCE</v>
      </c>
      <c r="C311">
        <f>+'[1]VENTAS(RESUMEN GLOBAL)'!B311</f>
        <v>300300</v>
      </c>
      <c r="D311" t="str">
        <f>INDEX('[1]CÓDIGOS DE PRODUCTO'!$D$3:$D$1000,MATCH(C311,'[1]CÓDIGOS DE PRODUCTO'!$A$3:$A$1000,0))</f>
        <v>50161800 </v>
      </c>
      <c r="E311" t="str">
        <f>VLOOKUP(C311,'[1]CÓDIGOS DE PRODUCTO'!$A$4:$B$156,2,FALSE)</f>
        <v>FRUIT FOOT</v>
      </c>
      <c r="F311" t="str">
        <f>INDEX('[1]CÓDIGOS DE PRODUCTO'!$C$3:$C$1000,MATCH(C311,'[1]CÓDIGOS DE PRODUCTO'!$A$3:$A$1000,0))</f>
        <v>Snacks &amp; Dulces</v>
      </c>
      <c r="G311">
        <f>+'[1]VENTAS(RESUMEN GLOBAL)'!D311-'[1]VENTAS(RESUMEN GLOBAL)'!E311</f>
        <v>1</v>
      </c>
      <c r="H311" s="9">
        <f>+'[1]VENTAS(RESUMEN GLOBAL)'!K311</f>
        <v>1</v>
      </c>
      <c r="I311" s="8">
        <f>+G311*'[1]VENTAS(RESUMEN GLOBAL)'!F311</f>
        <v>15</v>
      </c>
      <c r="J311" s="8">
        <f>'[1]VENTAS(RESUMEN GLOBAL)'!G311*(1-'[1]VENTAS(RESUMEN GLOBAL)'!H311)</f>
        <v>6.7499999999999991</v>
      </c>
      <c r="K311" s="8">
        <f t="shared" si="4"/>
        <v>8.25</v>
      </c>
      <c r="L311" s="8">
        <f>+'[1]VENTAS(RESUMEN GLOBAL)'!J311</f>
        <v>1.1785714285714286</v>
      </c>
      <c r="M311" s="8">
        <f>+Tabla1[[#This Row],[utilidad x dia]]*7</f>
        <v>8.25</v>
      </c>
    </row>
    <row r="312" spans="1:13" x14ac:dyDescent="0.3">
      <c r="A312" s="6">
        <f>+'[1]VENTAS(RESUMEN GLOBAL)'!L312</f>
        <v>46041</v>
      </c>
      <c r="B312" s="6" t="str">
        <f>+'[1]VENTAS(RESUMEN GLOBAL)'!M312</f>
        <v>ECCE</v>
      </c>
      <c r="C312">
        <f>+'[1]VENTAS(RESUMEN GLOBAL)'!B312</f>
        <v>600100</v>
      </c>
      <c r="D312" t="str">
        <f>INDEX('[1]CÓDIGOS DE PRODUCTO'!$D$3:$D$1000,MATCH(C312,'[1]CÓDIGOS DE PRODUCTO'!$A$3:$A$1000,0))</f>
        <v>50192109 </v>
      </c>
      <c r="E312" t="str">
        <f>VLOOKUP(C312,'[1]CÓDIGOS DE PRODUCTO'!$A$4:$B$156,2,FALSE)</f>
        <v>PAPAS FRITAS BARCEL (G)</v>
      </c>
      <c r="F312" t="str">
        <f>INDEX('[1]CÓDIGOS DE PRODUCTO'!$C$3:$C$1000,MATCH(C312,'[1]CÓDIGOS DE PRODUCTO'!$A$3:$A$1000,0))</f>
        <v>Papas fritas</v>
      </c>
      <c r="G312">
        <f>+'[1]VENTAS(RESUMEN GLOBAL)'!D312-'[1]VENTAS(RESUMEN GLOBAL)'!E312</f>
        <v>9</v>
      </c>
      <c r="H312" s="9">
        <f>+'[1]VENTAS(RESUMEN GLOBAL)'!K312</f>
        <v>9</v>
      </c>
      <c r="I312" s="8">
        <f>+G312*'[1]VENTAS(RESUMEN GLOBAL)'!F312</f>
        <v>225</v>
      </c>
      <c r="J312" s="8">
        <f>'[1]VENTAS(RESUMEN GLOBAL)'!G312*(1-'[1]VENTAS(RESUMEN GLOBAL)'!H312)</f>
        <v>126.00000000000001</v>
      </c>
      <c r="K312" s="8">
        <f t="shared" si="4"/>
        <v>98.999999999999986</v>
      </c>
      <c r="L312" s="8">
        <f>+'[1]VENTAS(RESUMEN GLOBAL)'!J312</f>
        <v>14.142857142857142</v>
      </c>
      <c r="M312" s="8">
        <f>+Tabla1[[#This Row],[utilidad x dia]]*7</f>
        <v>99</v>
      </c>
    </row>
    <row r="313" spans="1:13" x14ac:dyDescent="0.3">
      <c r="A313" s="6">
        <f>+'[1]VENTAS(RESUMEN GLOBAL)'!L313</f>
        <v>46041</v>
      </c>
      <c r="B313" s="6" t="str">
        <f>+'[1]VENTAS(RESUMEN GLOBAL)'!M313</f>
        <v>ECCE</v>
      </c>
      <c r="C313">
        <f>+'[1]VENTAS(RESUMEN GLOBAL)'!B313</f>
        <v>600500</v>
      </c>
      <c r="D313" t="str">
        <f>INDEX('[1]CÓDIGOS DE PRODUCTO'!$D$3:$D$1000,MATCH(C313,'[1]CÓDIGOS DE PRODUCTO'!$A$3:$A$1000,0))</f>
        <v>50192109 </v>
      </c>
      <c r="E313" t="str">
        <f>VLOOKUP(C313,'[1]CÓDIGOS DE PRODUCTO'!$A$4:$B$156,2,FALSE)</f>
        <v>SABRIMAYOREO</v>
      </c>
      <c r="F313" t="str">
        <f>INDEX('[1]CÓDIGOS DE PRODUCTO'!$C$3:$C$1000,MATCH(C313,'[1]CÓDIGOS DE PRODUCTO'!$A$3:$A$1000,0))</f>
        <v>Papas fritas</v>
      </c>
      <c r="G313">
        <f>+'[1]VENTAS(RESUMEN GLOBAL)'!D313-'[1]VENTAS(RESUMEN GLOBAL)'!E313</f>
        <v>13</v>
      </c>
      <c r="H313" s="9">
        <f>+'[1]VENTAS(RESUMEN GLOBAL)'!K313</f>
        <v>13</v>
      </c>
      <c r="I313" s="8">
        <f>+G313*'[1]VENTAS(RESUMEN GLOBAL)'!F313</f>
        <v>325</v>
      </c>
      <c r="J313" s="8">
        <f>'[1]VENTAS(RESUMEN GLOBAL)'!G313*(1-'[1]VENTAS(RESUMEN GLOBAL)'!H313)</f>
        <v>162.5</v>
      </c>
      <c r="K313" s="8">
        <f t="shared" si="4"/>
        <v>162.5</v>
      </c>
      <c r="L313" s="8">
        <f>+'[1]VENTAS(RESUMEN GLOBAL)'!J313</f>
        <v>23.214285714285715</v>
      </c>
      <c r="M313" s="8">
        <f>+Tabla1[[#This Row],[utilidad x dia]]*7</f>
        <v>162.5</v>
      </c>
    </row>
    <row r="314" spans="1:13" x14ac:dyDescent="0.3">
      <c r="A314" s="6">
        <f>+'[1]VENTAS(RESUMEN GLOBAL)'!L314</f>
        <v>46041</v>
      </c>
      <c r="B314" s="6" t="str">
        <f>+'[1]VENTAS(RESUMEN GLOBAL)'!M314</f>
        <v>ECCE</v>
      </c>
      <c r="C314">
        <f>+'[1]VENTAS(RESUMEN GLOBAL)'!B314</f>
        <v>300400</v>
      </c>
      <c r="D314" t="str">
        <f>INDEX('[1]CÓDIGOS DE PRODUCTO'!$D$3:$D$1000,MATCH(C314,'[1]CÓDIGOS DE PRODUCTO'!$A$3:$A$1000,0))</f>
        <v>50161800 </v>
      </c>
      <c r="E314" t="str">
        <f>VLOOKUP(C314,'[1]CÓDIGOS DE PRODUCTO'!$A$4:$B$156,2,FALSE)</f>
        <v>Welchs GOMITAS</v>
      </c>
      <c r="F314" t="str">
        <f>INDEX('[1]CÓDIGOS DE PRODUCTO'!$C$3:$C$1000,MATCH(C314,'[1]CÓDIGOS DE PRODUCTO'!$A$3:$A$1000,0))</f>
        <v>Snacks &amp; Dulces</v>
      </c>
      <c r="G314">
        <f>+'[1]VENTAS(RESUMEN GLOBAL)'!D314-'[1]VENTAS(RESUMEN GLOBAL)'!E314</f>
        <v>1</v>
      </c>
      <c r="H314" s="9">
        <f>+'[1]VENTAS(RESUMEN GLOBAL)'!K314</f>
        <v>1</v>
      </c>
      <c r="I314" s="8">
        <f>+G314*'[1]VENTAS(RESUMEN GLOBAL)'!F314</f>
        <v>10</v>
      </c>
      <c r="J314" s="8">
        <f>'[1]VENTAS(RESUMEN GLOBAL)'!G314*(1-'[1]VENTAS(RESUMEN GLOBAL)'!H314)</f>
        <v>6</v>
      </c>
      <c r="K314" s="8">
        <f t="shared" si="4"/>
        <v>4</v>
      </c>
      <c r="L314" s="8">
        <f>+'[1]VENTAS(RESUMEN GLOBAL)'!J314</f>
        <v>0.5714285714285714</v>
      </c>
      <c r="M314" s="8">
        <f>+Tabla1[[#This Row],[utilidad x dia]]*7</f>
        <v>4</v>
      </c>
    </row>
    <row r="315" spans="1:13" x14ac:dyDescent="0.3">
      <c r="A315" s="6">
        <f>+'[1]VENTAS(RESUMEN GLOBAL)'!L315</f>
        <v>46041</v>
      </c>
      <c r="B315" s="6" t="str">
        <f>+'[1]VENTAS(RESUMEN GLOBAL)'!M315</f>
        <v>ECCE</v>
      </c>
      <c r="C315">
        <f>+'[1]VENTAS(RESUMEN GLOBAL)'!B315</f>
        <v>300100</v>
      </c>
      <c r="D315" t="str">
        <f>INDEX('[1]CÓDIGOS DE PRODUCTO'!$D$3:$D$1000,MATCH(C315,'[1]CÓDIGOS DE PRODUCTO'!$A$3:$A$1000,0))</f>
        <v>50161800 </v>
      </c>
      <c r="E315" t="str">
        <f>VLOOKUP(C315,'[1]CÓDIGOS DE PRODUCTO'!$A$4:$B$156,2,FALSE)</f>
        <v>Pelonetes</v>
      </c>
      <c r="F315" t="str">
        <f>INDEX('[1]CÓDIGOS DE PRODUCTO'!$C$3:$C$1000,MATCH(C315,'[1]CÓDIGOS DE PRODUCTO'!$A$3:$A$1000,0))</f>
        <v>Snacks &amp; Dulces</v>
      </c>
      <c r="G315">
        <f>+'[1]VENTAS(RESUMEN GLOBAL)'!D315-'[1]VENTAS(RESUMEN GLOBAL)'!E315</f>
        <v>0</v>
      </c>
      <c r="H315" s="9">
        <f>+'[1]VENTAS(RESUMEN GLOBAL)'!K315</f>
        <v>0</v>
      </c>
      <c r="I315" s="8">
        <f>+G315*'[1]VENTAS(RESUMEN GLOBAL)'!F315</f>
        <v>0</v>
      </c>
      <c r="J315" s="8">
        <f>'[1]VENTAS(RESUMEN GLOBAL)'!G315*(1-'[1]VENTAS(RESUMEN GLOBAL)'!H315)</f>
        <v>0</v>
      </c>
      <c r="K315" s="8">
        <f t="shared" si="4"/>
        <v>0</v>
      </c>
      <c r="L315" s="8">
        <f>+'[1]VENTAS(RESUMEN GLOBAL)'!J315</f>
        <v>0</v>
      </c>
      <c r="M315" s="8">
        <f>+Tabla1[[#This Row],[utilidad x dia]]*7</f>
        <v>0</v>
      </c>
    </row>
    <row r="316" spans="1:13" x14ac:dyDescent="0.3">
      <c r="A316" s="6">
        <f>+'[1]VENTAS(RESUMEN GLOBAL)'!L316</f>
        <v>46041</v>
      </c>
      <c r="B316" s="6" t="str">
        <f>+'[1]VENTAS(RESUMEN GLOBAL)'!M316</f>
        <v>ECCE</v>
      </c>
      <c r="C316">
        <f>+'[1]VENTAS(RESUMEN GLOBAL)'!B316</f>
        <v>100400</v>
      </c>
      <c r="D316" t="str">
        <f>INDEX('[1]CÓDIGOS DE PRODUCTO'!$D$3:$D$1000,MATCH(C316,'[1]CÓDIGOS DE PRODUCTO'!$A$3:$A$1000,0))</f>
        <v>50202300 </v>
      </c>
      <c r="E316" t="str">
        <f>VLOOKUP(C316,'[1]CÓDIGOS DE PRODUCTO'!$A$4:$B$156,2,FALSE)</f>
        <v>Jumex</v>
      </c>
      <c r="F316" t="str">
        <f>INDEX('[1]CÓDIGOS DE PRODUCTO'!$C$3:$C$1000,MATCH(C316,'[1]CÓDIGOS DE PRODUCTO'!$A$3:$A$1000,0))</f>
        <v>Bebidas</v>
      </c>
      <c r="G316">
        <f>+'[1]VENTAS(RESUMEN GLOBAL)'!D316-'[1]VENTAS(RESUMEN GLOBAL)'!E316</f>
        <v>1</v>
      </c>
      <c r="H316" s="9">
        <f>+'[1]VENTAS(RESUMEN GLOBAL)'!K316</f>
        <v>1</v>
      </c>
      <c r="I316" s="8">
        <f>+G316*'[1]VENTAS(RESUMEN GLOBAL)'!F316</f>
        <v>15</v>
      </c>
      <c r="J316" s="8">
        <f>'[1]VENTAS(RESUMEN GLOBAL)'!G316*(1-'[1]VENTAS(RESUMEN GLOBAL)'!H316)</f>
        <v>5.0999999999999996</v>
      </c>
      <c r="K316" s="8">
        <f t="shared" si="4"/>
        <v>9.9</v>
      </c>
      <c r="L316" s="8">
        <f>+'[1]VENTAS(RESUMEN GLOBAL)'!J316</f>
        <v>1.4142857142857144</v>
      </c>
      <c r="M316" s="8">
        <f>+Tabla1[[#This Row],[utilidad x dia]]*7</f>
        <v>9.9</v>
      </c>
    </row>
    <row r="317" spans="1:13" x14ac:dyDescent="0.3">
      <c r="A317" s="6">
        <f>+'[1]VENTAS(RESUMEN GLOBAL)'!L317</f>
        <v>46041</v>
      </c>
      <c r="B317" s="6" t="str">
        <f>+'[1]VENTAS(RESUMEN GLOBAL)'!M317</f>
        <v>ECCE</v>
      </c>
      <c r="C317">
        <f>+'[1]VENTAS(RESUMEN GLOBAL)'!B317</f>
        <v>100400</v>
      </c>
      <c r="D317" t="str">
        <f>INDEX('[1]CÓDIGOS DE PRODUCTO'!$D$3:$D$1000,MATCH(C317,'[1]CÓDIGOS DE PRODUCTO'!$A$3:$A$1000,0))</f>
        <v>50202300 </v>
      </c>
      <c r="E317" t="str">
        <f>VLOOKUP(C317,'[1]CÓDIGOS DE PRODUCTO'!$A$4:$B$156,2,FALSE)</f>
        <v>Jumex</v>
      </c>
      <c r="F317" t="str">
        <f>INDEX('[1]CÓDIGOS DE PRODUCTO'!$C$3:$C$1000,MATCH(C317,'[1]CÓDIGOS DE PRODUCTO'!$A$3:$A$1000,0))</f>
        <v>Bebidas</v>
      </c>
      <c r="G317">
        <f>+'[1]VENTAS(RESUMEN GLOBAL)'!D317-'[1]VENTAS(RESUMEN GLOBAL)'!E317</f>
        <v>1</v>
      </c>
      <c r="H317" s="9">
        <f>+'[1]VENTAS(RESUMEN GLOBAL)'!K317</f>
        <v>1</v>
      </c>
      <c r="I317" s="8">
        <f>+G317*'[1]VENTAS(RESUMEN GLOBAL)'!F317</f>
        <v>15</v>
      </c>
      <c r="J317" s="8">
        <f>'[1]VENTAS(RESUMEN GLOBAL)'!G317*(1-'[1]VENTAS(RESUMEN GLOBAL)'!H317)</f>
        <v>5.0999999999999996</v>
      </c>
      <c r="K317" s="8">
        <f t="shared" si="4"/>
        <v>9.9</v>
      </c>
      <c r="L317" s="8">
        <f>+'[1]VENTAS(RESUMEN GLOBAL)'!J317</f>
        <v>1.4142857142857144</v>
      </c>
      <c r="M317" s="8">
        <f>+Tabla1[[#This Row],[utilidad x dia]]*7</f>
        <v>9.9</v>
      </c>
    </row>
    <row r="318" spans="1:13" x14ac:dyDescent="0.3">
      <c r="A318" s="6">
        <f>+'[1]VENTAS(RESUMEN GLOBAL)'!L318</f>
        <v>46041</v>
      </c>
      <c r="B318" s="6" t="str">
        <f>+'[1]VENTAS(RESUMEN GLOBAL)'!M318</f>
        <v>ECCE</v>
      </c>
      <c r="C318">
        <f>+'[1]VENTAS(RESUMEN GLOBAL)'!B318</f>
        <v>700600</v>
      </c>
      <c r="D318" t="str">
        <f>INDEX('[1]CÓDIGOS DE PRODUCTO'!$D$3:$D$1000,MATCH(C318,'[1]CÓDIGOS DE PRODUCTO'!$A$3:$A$1000,0))</f>
        <v>50161511 </v>
      </c>
      <c r="E318" t="str">
        <f>VLOOKUP(C318,'[1]CÓDIGOS DE PRODUCTO'!$A$4:$B$156,2,FALSE)</f>
        <v>CHOCO MUIBÓN</v>
      </c>
      <c r="F318" t="str">
        <f>INDEX('[1]CÓDIGOS DE PRODUCTO'!$C$3:$C$1000,MATCH(C318,'[1]CÓDIGOS DE PRODUCTO'!$A$3:$A$1000,0))</f>
        <v>CHOCOLATES</v>
      </c>
      <c r="G318">
        <f>+'[1]VENTAS(RESUMEN GLOBAL)'!D318-'[1]VENTAS(RESUMEN GLOBAL)'!E318</f>
        <v>1</v>
      </c>
      <c r="H318" s="9">
        <f>+'[1]VENTAS(RESUMEN GLOBAL)'!K318</f>
        <v>1</v>
      </c>
      <c r="I318" s="8">
        <f>+G318*'[1]VENTAS(RESUMEN GLOBAL)'!F318</f>
        <v>15</v>
      </c>
      <c r="J318" s="8">
        <f>'[1]VENTAS(RESUMEN GLOBAL)'!G318*(1-'[1]VENTAS(RESUMEN GLOBAL)'!H318)</f>
        <v>5.0999999999999996</v>
      </c>
      <c r="K318" s="8">
        <f t="shared" si="4"/>
        <v>9.9</v>
      </c>
      <c r="L318" s="8">
        <f>+'[1]VENTAS(RESUMEN GLOBAL)'!J318</f>
        <v>1.4142857142857144</v>
      </c>
      <c r="M318" s="8">
        <f>+Tabla1[[#This Row],[utilidad x dia]]*7</f>
        <v>9.9</v>
      </c>
    </row>
    <row r="319" spans="1:13" x14ac:dyDescent="0.3">
      <c r="A319" s="6">
        <f>+'[1]VENTAS(RESUMEN GLOBAL)'!L319</f>
        <v>46041</v>
      </c>
      <c r="B319" s="6" t="str">
        <f>+'[1]VENTAS(RESUMEN GLOBAL)'!M319</f>
        <v>ECCE</v>
      </c>
      <c r="C319">
        <f>+'[1]VENTAS(RESUMEN GLOBAL)'!B319</f>
        <v>800400</v>
      </c>
      <c r="D319" t="str">
        <f>INDEX('[1]CÓDIGOS DE PRODUCTO'!$D$3:$D$1000,MATCH(C319,'[1]CÓDIGOS DE PRODUCTO'!$A$3:$A$1000,0))</f>
        <v>50181900 </v>
      </c>
      <c r="E319" t="str">
        <f>VLOOKUP(C319,'[1]CÓDIGOS DE PRODUCTO'!$A$4:$B$156,2,FALSE)</f>
        <v>Barritas FRESA</v>
      </c>
      <c r="F319" t="str">
        <f>INDEX('[1]CÓDIGOS DE PRODUCTO'!$C$3:$C$1000,MATCH(C319,'[1]CÓDIGOS DE PRODUCTO'!$A$3:$A$1000,0))</f>
        <v>GALLETAS Y PAN DULCE</v>
      </c>
      <c r="G319">
        <f>+'[1]VENTAS(RESUMEN GLOBAL)'!D319-'[1]VENTAS(RESUMEN GLOBAL)'!E319</f>
        <v>10</v>
      </c>
      <c r="H319" s="9">
        <f>+'[1]VENTAS(RESUMEN GLOBAL)'!K319</f>
        <v>10</v>
      </c>
      <c r="I319" s="8">
        <f>+G319*'[1]VENTAS(RESUMEN GLOBAL)'!F319</f>
        <v>200</v>
      </c>
      <c r="J319" s="8">
        <f>'[1]VENTAS(RESUMEN GLOBAL)'!G319*(1-'[1]VENTAS(RESUMEN GLOBAL)'!H319)</f>
        <v>89.999999999999986</v>
      </c>
      <c r="K319" s="8">
        <f t="shared" si="4"/>
        <v>110.00000000000001</v>
      </c>
      <c r="L319" s="8">
        <f>+'[1]VENTAS(RESUMEN GLOBAL)'!J319</f>
        <v>15.714285714285717</v>
      </c>
      <c r="M319" s="8">
        <f>+Tabla1[[#This Row],[utilidad x dia]]*7</f>
        <v>110.00000000000001</v>
      </c>
    </row>
    <row r="320" spans="1:13" x14ac:dyDescent="0.3">
      <c r="A320" s="6">
        <f>+'[1]VENTAS(RESUMEN GLOBAL)'!L320</f>
        <v>46041</v>
      </c>
      <c r="B320" s="6" t="str">
        <f>+'[1]VENTAS(RESUMEN GLOBAL)'!M320</f>
        <v>ECCE</v>
      </c>
      <c r="C320">
        <f>+'[1]VENTAS(RESUMEN GLOBAL)'!B320</f>
        <v>800700</v>
      </c>
      <c r="D320" t="str">
        <f>INDEX('[1]CÓDIGOS DE PRODUCTO'!$D$3:$D$1000,MATCH(C320,'[1]CÓDIGOS DE PRODUCTO'!$A$3:$A$1000,0))</f>
        <v>50181900 </v>
      </c>
      <c r="E320" t="str">
        <f>VLOOKUP(C320,'[1]CÓDIGOS DE PRODUCTO'!$A$4:$B$156,2,FALSE)</f>
        <v>BARRITAS PIÑA</v>
      </c>
      <c r="F320" t="str">
        <f>INDEX('[1]CÓDIGOS DE PRODUCTO'!$C$3:$C$1000,MATCH(C320,'[1]CÓDIGOS DE PRODUCTO'!$A$3:$A$1000,0))</f>
        <v>GALLETAS Y PAN DULCE</v>
      </c>
      <c r="G320">
        <f>+'[1]VENTAS(RESUMEN GLOBAL)'!D320-'[1]VENTAS(RESUMEN GLOBAL)'!E320</f>
        <v>0</v>
      </c>
      <c r="H320" s="9">
        <f>+'[1]VENTAS(RESUMEN GLOBAL)'!K320</f>
        <v>0</v>
      </c>
      <c r="I320" s="8">
        <f>+G320*'[1]VENTAS(RESUMEN GLOBAL)'!F320</f>
        <v>0</v>
      </c>
      <c r="J320" s="8">
        <f>'[1]VENTAS(RESUMEN GLOBAL)'!G320*(1-'[1]VENTAS(RESUMEN GLOBAL)'!H320)</f>
        <v>0</v>
      </c>
      <c r="K320" s="8">
        <f t="shared" si="4"/>
        <v>0</v>
      </c>
      <c r="L320" s="8">
        <f>+'[1]VENTAS(RESUMEN GLOBAL)'!J320</f>
        <v>0</v>
      </c>
      <c r="M320" s="8">
        <f>+Tabla1[[#This Row],[utilidad x dia]]*7</f>
        <v>0</v>
      </c>
    </row>
    <row r="321" spans="1:13" x14ac:dyDescent="0.3">
      <c r="A321" s="6">
        <f>+'[1]VENTAS(RESUMEN GLOBAL)'!L321</f>
        <v>46041</v>
      </c>
      <c r="B321" s="6" t="str">
        <f>+'[1]VENTAS(RESUMEN GLOBAL)'!M321</f>
        <v>ECCE</v>
      </c>
      <c r="C321">
        <f>+'[1]VENTAS(RESUMEN GLOBAL)'!B321</f>
        <v>701000</v>
      </c>
      <c r="D321" t="str">
        <f>INDEX('[1]CÓDIGOS DE PRODUCTO'!$D$3:$D$1000,MATCH(C321,'[1]CÓDIGOS DE PRODUCTO'!$A$3:$A$1000,0))</f>
        <v>50161511 </v>
      </c>
      <c r="E321" t="str">
        <f>VLOOKUP(C321,'[1]CÓDIGOS DE PRODUCTO'!$A$4:$B$156,2,FALSE)</f>
        <v>BUBULUBU</v>
      </c>
      <c r="F321" t="str">
        <f>INDEX('[1]CÓDIGOS DE PRODUCTO'!$C$3:$C$1000,MATCH(C321,'[1]CÓDIGOS DE PRODUCTO'!$A$3:$A$1000,0))</f>
        <v>CHOCOLATES</v>
      </c>
      <c r="G321">
        <f>+'[1]VENTAS(RESUMEN GLOBAL)'!D321-'[1]VENTAS(RESUMEN GLOBAL)'!E321</f>
        <v>4</v>
      </c>
      <c r="H321" s="9">
        <f>+'[1]VENTAS(RESUMEN GLOBAL)'!K321</f>
        <v>4</v>
      </c>
      <c r="I321" s="8">
        <f>+G321*'[1]VENTAS(RESUMEN GLOBAL)'!F321</f>
        <v>52</v>
      </c>
      <c r="J321" s="8">
        <f>'[1]VENTAS(RESUMEN GLOBAL)'!G321*(1-'[1]VENTAS(RESUMEN GLOBAL)'!H321)</f>
        <v>28.080000000000002</v>
      </c>
      <c r="K321" s="8">
        <f t="shared" si="4"/>
        <v>23.919999999999998</v>
      </c>
      <c r="L321" s="8">
        <f>+'[1]VENTAS(RESUMEN GLOBAL)'!J321</f>
        <v>4.8285714285714292</v>
      </c>
      <c r="M321" s="8">
        <f>+Tabla1[[#This Row],[utilidad x dia]]*7</f>
        <v>33.800000000000004</v>
      </c>
    </row>
    <row r="322" spans="1:13" x14ac:dyDescent="0.3">
      <c r="A322" s="6">
        <f>+'[1]VENTAS(RESUMEN GLOBAL)'!L322</f>
        <v>0</v>
      </c>
      <c r="B322" s="6">
        <f>+'[1]VENTAS(RESUMEN GLOBAL)'!M322</f>
        <v>0</v>
      </c>
      <c r="C322">
        <f>+'[1]VENTAS(RESUMEN GLOBAL)'!B322</f>
        <v>0</v>
      </c>
      <c r="D322" t="e">
        <f>INDEX('[1]CÓDIGOS DE PRODUCTO'!$D$3:$D$1000,MATCH(C322,'[1]CÓDIGOS DE PRODUCTO'!$A$3:$A$1000,0))</f>
        <v>#N/A</v>
      </c>
      <c r="E322">
        <f>VLOOKUP(C322,'[1]CÓDIGOS DE PRODUCTO'!$A$4:$B$156,2,FALSE)</f>
        <v>0</v>
      </c>
      <c r="F322">
        <f>INDEX('[1]CÓDIGOS DE PRODUCTO'!$C$3:$C$1000,MATCH(C322,'[1]CÓDIGOS DE PRODUCTO'!$A$3:$A$1000,0))</f>
        <v>0</v>
      </c>
      <c r="G322">
        <f>+'[1]VENTAS(RESUMEN GLOBAL)'!D322-'[1]VENTAS(RESUMEN GLOBAL)'!E322</f>
        <v>0</v>
      </c>
      <c r="H322" s="9">
        <f>+'[1]VENTAS(RESUMEN GLOBAL)'!K322</f>
        <v>0</v>
      </c>
      <c r="I322" s="8">
        <f>+G322*'[1]VENTAS(RESUMEN GLOBAL)'!F322</f>
        <v>0</v>
      </c>
      <c r="J322" s="8">
        <f>'[1]VENTAS(RESUMEN GLOBAL)'!G322*(1-'[1]VENTAS(RESUMEN GLOBAL)'!H322)</f>
        <v>0</v>
      </c>
      <c r="K322" s="8">
        <f t="shared" si="4"/>
        <v>0</v>
      </c>
      <c r="L322" s="8">
        <f>+'[1]VENTAS(RESUMEN GLOBAL)'!J322</f>
        <v>0</v>
      </c>
      <c r="M322" s="8">
        <f>+Tabla1[[#This Row],[utilidad x dia]]*7</f>
        <v>0</v>
      </c>
    </row>
    <row r="323" spans="1:13" x14ac:dyDescent="0.3">
      <c r="A323" s="6">
        <f>+'[1]VENTAS(RESUMEN GLOBAL)'!L323</f>
        <v>46046</v>
      </c>
      <c r="B323" s="6" t="str">
        <f>+'[1]VENTAS(RESUMEN GLOBAL)'!M323</f>
        <v>ECCE</v>
      </c>
      <c r="C323">
        <f>+'[1]VENTAS(RESUMEN GLOBAL)'!B323</f>
        <v>100200</v>
      </c>
      <c r="D323" t="str">
        <f>INDEX('[1]CÓDIGOS DE PRODUCTO'!$D$3:$D$1000,MATCH(C323,'[1]CÓDIGOS DE PRODUCTO'!$A$3:$A$1000,0))</f>
        <v>50202300 </v>
      </c>
      <c r="E323" t="str">
        <f>VLOOKUP(C323,'[1]CÓDIGOS DE PRODUCTO'!$A$4:$B$156,2,FALSE)</f>
        <v>Agua SAMS</v>
      </c>
      <c r="F323" t="str">
        <f>INDEX('[1]CÓDIGOS DE PRODUCTO'!$C$3:$C$1000,MATCH(C323,'[1]CÓDIGOS DE PRODUCTO'!$A$3:$A$1000,0))</f>
        <v>Bebidas</v>
      </c>
      <c r="G323">
        <f>+'[1]VENTAS(RESUMEN GLOBAL)'!D323-'[1]VENTAS(RESUMEN GLOBAL)'!E323</f>
        <v>3</v>
      </c>
      <c r="H323" s="9">
        <f>+'[1]VENTAS(RESUMEN GLOBAL)'!K323</f>
        <v>4.2</v>
      </c>
      <c r="I323" s="8">
        <f>+G323*'[1]VENTAS(RESUMEN GLOBAL)'!F323</f>
        <v>60</v>
      </c>
      <c r="J323" s="8">
        <f>'[1]VENTAS(RESUMEN GLOBAL)'!G323*(1-'[1]VENTAS(RESUMEN GLOBAL)'!H323)</f>
        <v>9.2142857142857224</v>
      </c>
      <c r="K323" s="8">
        <f t="shared" ref="K323:K386" si="5">+I323-J323</f>
        <v>50.785714285714278</v>
      </c>
      <c r="L323" s="8">
        <f>+'[1]VENTAS(RESUMEN GLOBAL)'!J323</f>
        <v>10.157142857142855</v>
      </c>
      <c r="M323" s="8">
        <f>+Tabla1[[#This Row],[utilidad x dia]]*7</f>
        <v>71.09999999999998</v>
      </c>
    </row>
    <row r="324" spans="1:13" x14ac:dyDescent="0.3">
      <c r="A324" s="6">
        <f>+'[1]VENTAS(RESUMEN GLOBAL)'!L324</f>
        <v>46046</v>
      </c>
      <c r="B324" s="6" t="str">
        <f>+'[1]VENTAS(RESUMEN GLOBAL)'!M324</f>
        <v>ECCE</v>
      </c>
      <c r="C324">
        <f>+'[1]VENTAS(RESUMEN GLOBAL)'!B324</f>
        <v>100200</v>
      </c>
      <c r="D324" t="str">
        <f>INDEX('[1]CÓDIGOS DE PRODUCTO'!$D$3:$D$1000,MATCH(C324,'[1]CÓDIGOS DE PRODUCTO'!$A$3:$A$1000,0))</f>
        <v>50202300 </v>
      </c>
      <c r="E324" t="str">
        <f>VLOOKUP(C324,'[1]CÓDIGOS DE PRODUCTO'!$A$4:$B$156,2,FALSE)</f>
        <v>Agua SAMS</v>
      </c>
      <c r="F324" t="str">
        <f>INDEX('[1]CÓDIGOS DE PRODUCTO'!$C$3:$C$1000,MATCH(C324,'[1]CÓDIGOS DE PRODUCTO'!$A$3:$A$1000,0))</f>
        <v>Bebidas</v>
      </c>
      <c r="G324">
        <f>+'[1]VENTAS(RESUMEN GLOBAL)'!D324-'[1]VENTAS(RESUMEN GLOBAL)'!E324</f>
        <v>1</v>
      </c>
      <c r="H324" s="9">
        <f>+'[1]VENTAS(RESUMEN GLOBAL)'!K324</f>
        <v>1.4000000000000001</v>
      </c>
      <c r="I324" s="8">
        <f>+G324*'[1]VENTAS(RESUMEN GLOBAL)'!F324</f>
        <v>20</v>
      </c>
      <c r="J324" s="8">
        <f>'[1]VENTAS(RESUMEN GLOBAL)'!G324*(1-'[1]VENTAS(RESUMEN GLOBAL)'!H324)</f>
        <v>3.2000000000000006</v>
      </c>
      <c r="K324" s="8">
        <f t="shared" si="5"/>
        <v>16.8</v>
      </c>
      <c r="L324" s="8">
        <f>+'[1]VENTAS(RESUMEN GLOBAL)'!J324</f>
        <v>3.3600000000000003</v>
      </c>
      <c r="M324" s="8">
        <f>+Tabla1[[#This Row],[utilidad x dia]]*7</f>
        <v>23.520000000000003</v>
      </c>
    </row>
    <row r="325" spans="1:13" x14ac:dyDescent="0.3">
      <c r="A325" s="6">
        <f>+'[1]VENTAS(RESUMEN GLOBAL)'!L325</f>
        <v>46046</v>
      </c>
      <c r="B325" s="6" t="str">
        <f>+'[1]VENTAS(RESUMEN GLOBAL)'!M325</f>
        <v>ECCE</v>
      </c>
      <c r="C325">
        <f>+'[1]VENTAS(RESUMEN GLOBAL)'!B325</f>
        <v>200200</v>
      </c>
      <c r="D325" t="str">
        <f>INDEX('[1]CÓDIGOS DE PRODUCTO'!$D$3:$D$1000,MATCH(C325,'[1]CÓDIGOS DE PRODUCTO'!$A$3:$A$1000,0))</f>
        <v>IDENTIFICAR MANUAL</v>
      </c>
      <c r="E325" t="str">
        <f>VLOOKUP(C325,'[1]CÓDIGOS DE PRODUCTO'!$A$4:$B$156,2,FALSE)</f>
        <v>KIT DENTAL</v>
      </c>
      <c r="F325" t="str">
        <f>INDEX('[1]CÓDIGOS DE PRODUCTO'!$C$3:$C$1000,MATCH(C325,'[1]CÓDIGOS DE PRODUCTO'!$A$3:$A$1000,0))</f>
        <v>Pharmacy</v>
      </c>
      <c r="G325">
        <f>+'[1]VENTAS(RESUMEN GLOBAL)'!D325-'[1]VENTAS(RESUMEN GLOBAL)'!E325</f>
        <v>0</v>
      </c>
      <c r="H325" s="9">
        <f>+'[1]VENTAS(RESUMEN GLOBAL)'!K325</f>
        <v>0</v>
      </c>
      <c r="I325" s="8">
        <f>+G325*'[1]VENTAS(RESUMEN GLOBAL)'!F325</f>
        <v>0</v>
      </c>
      <c r="J325" s="8">
        <f>'[1]VENTAS(RESUMEN GLOBAL)'!G325*(1-'[1]VENTAS(RESUMEN GLOBAL)'!H325)</f>
        <v>0</v>
      </c>
      <c r="K325" s="8">
        <f t="shared" si="5"/>
        <v>0</v>
      </c>
      <c r="L325" s="8">
        <f>+'[1]VENTAS(RESUMEN GLOBAL)'!J325</f>
        <v>0</v>
      </c>
      <c r="M325" s="8">
        <f>+Tabla1[[#This Row],[utilidad x dia]]*7</f>
        <v>0</v>
      </c>
    </row>
    <row r="326" spans="1:13" x14ac:dyDescent="0.3">
      <c r="A326" s="6">
        <f>+'[1]VENTAS(RESUMEN GLOBAL)'!L326</f>
        <v>46046</v>
      </c>
      <c r="B326" s="6" t="str">
        <f>+'[1]VENTAS(RESUMEN GLOBAL)'!M326</f>
        <v>ECCE</v>
      </c>
      <c r="C326">
        <f>+'[1]VENTAS(RESUMEN GLOBAL)'!B326</f>
        <v>200100</v>
      </c>
      <c r="D326" t="str">
        <f>INDEX('[1]CÓDIGOS DE PRODUCTO'!$D$3:$D$1000,MATCH(C326,'[1]CÓDIGOS DE PRODUCTO'!$A$3:$A$1000,0))</f>
        <v>IDENTIFICAR MANUAL</v>
      </c>
      <c r="E326" t="str">
        <f>VLOOKUP(C326,'[1]CÓDIGOS DE PRODUCTO'!$A$4:$B$156,2,FALSE)</f>
        <v>Bloqueador</v>
      </c>
      <c r="F326" t="str">
        <f>INDEX('[1]CÓDIGOS DE PRODUCTO'!$C$3:$C$1000,MATCH(C326,'[1]CÓDIGOS DE PRODUCTO'!$A$3:$A$1000,0))</f>
        <v>Pharmacy</v>
      </c>
      <c r="G326">
        <f>+'[1]VENTAS(RESUMEN GLOBAL)'!D326-'[1]VENTAS(RESUMEN GLOBAL)'!E326</f>
        <v>0</v>
      </c>
      <c r="H326" s="9">
        <f>+'[1]VENTAS(RESUMEN GLOBAL)'!K326</f>
        <v>0</v>
      </c>
      <c r="I326" s="8">
        <f>+G326*'[1]VENTAS(RESUMEN GLOBAL)'!F326</f>
        <v>0</v>
      </c>
      <c r="J326" s="8">
        <f>'[1]VENTAS(RESUMEN GLOBAL)'!G326*(1-'[1]VENTAS(RESUMEN GLOBAL)'!H326)</f>
        <v>0</v>
      </c>
      <c r="K326" s="8">
        <f t="shared" si="5"/>
        <v>0</v>
      </c>
      <c r="L326" s="8">
        <f>+'[1]VENTAS(RESUMEN GLOBAL)'!J326</f>
        <v>0</v>
      </c>
      <c r="M326" s="8">
        <f>+Tabla1[[#This Row],[utilidad x dia]]*7</f>
        <v>0</v>
      </c>
    </row>
    <row r="327" spans="1:13" x14ac:dyDescent="0.3">
      <c r="A327" s="6">
        <f>+'[1]VENTAS(RESUMEN GLOBAL)'!L327</f>
        <v>46046</v>
      </c>
      <c r="B327" s="6" t="str">
        <f>+'[1]VENTAS(RESUMEN GLOBAL)'!M327</f>
        <v>ECCE</v>
      </c>
      <c r="C327">
        <f>+'[1]VENTAS(RESUMEN GLOBAL)'!B327</f>
        <v>100300</v>
      </c>
      <c r="D327" t="str">
        <f>INDEX('[1]CÓDIGOS DE PRODUCTO'!$D$3:$D$1000,MATCH(C327,'[1]CÓDIGOS DE PRODUCTO'!$A$3:$A$1000,0))</f>
        <v>50202300 </v>
      </c>
      <c r="E327" t="str">
        <f>VLOOKUP(C327,'[1]CÓDIGOS DE PRODUCTO'!$A$4:$B$156,2,FALSE)</f>
        <v>Gatorade</v>
      </c>
      <c r="F327" t="str">
        <f>INDEX('[1]CÓDIGOS DE PRODUCTO'!$C$3:$C$1000,MATCH(C327,'[1]CÓDIGOS DE PRODUCTO'!$A$3:$A$1000,0))</f>
        <v>Bebidas</v>
      </c>
      <c r="G327">
        <f>+'[1]VENTAS(RESUMEN GLOBAL)'!D327-'[1]VENTAS(RESUMEN GLOBAL)'!E327</f>
        <v>0</v>
      </c>
      <c r="H327" s="9">
        <f>+'[1]VENTAS(RESUMEN GLOBAL)'!K327</f>
        <v>0</v>
      </c>
      <c r="I327" s="8">
        <f>+G327*'[1]VENTAS(RESUMEN GLOBAL)'!F327</f>
        <v>0</v>
      </c>
      <c r="J327" s="8">
        <f>'[1]VENTAS(RESUMEN GLOBAL)'!G327*(1-'[1]VENTAS(RESUMEN GLOBAL)'!H327)</f>
        <v>0</v>
      </c>
      <c r="K327" s="8">
        <f t="shared" si="5"/>
        <v>0</v>
      </c>
      <c r="L327" s="8">
        <f>+'[1]VENTAS(RESUMEN GLOBAL)'!J327</f>
        <v>0</v>
      </c>
      <c r="M327" s="8">
        <f>+Tabla1[[#This Row],[utilidad x dia]]*7</f>
        <v>0</v>
      </c>
    </row>
    <row r="328" spans="1:13" x14ac:dyDescent="0.3">
      <c r="A328" s="6">
        <f>+'[1]VENTAS(RESUMEN GLOBAL)'!L328</f>
        <v>46046</v>
      </c>
      <c r="B328" s="6" t="str">
        <f>+'[1]VENTAS(RESUMEN GLOBAL)'!M328</f>
        <v>ECCE</v>
      </c>
      <c r="C328">
        <f>+'[1]VENTAS(RESUMEN GLOBAL)'!B328</f>
        <v>800100</v>
      </c>
      <c r="D328" t="str">
        <f>INDEX('[1]CÓDIGOS DE PRODUCTO'!$D$3:$D$1000,MATCH(C328,'[1]CÓDIGOS DE PRODUCTO'!$A$3:$A$1000,0))</f>
        <v>50181900 </v>
      </c>
      <c r="E328" t="str">
        <f>VLOOKUP(C328,'[1]CÓDIGOS DE PRODUCTO'!$A$4:$B$156,2,FALSE)</f>
        <v>MARINELA MIX (8 PZ)</v>
      </c>
      <c r="F328" t="str">
        <f>INDEX('[1]CÓDIGOS DE PRODUCTO'!$C$3:$C$1000,MATCH(C328,'[1]CÓDIGOS DE PRODUCTO'!$A$3:$A$1000,0))</f>
        <v>GALLETAS Y PAN DULCE</v>
      </c>
      <c r="G328">
        <f>+'[1]VENTAS(RESUMEN GLOBAL)'!D328-'[1]VENTAS(RESUMEN GLOBAL)'!E328</f>
        <v>1</v>
      </c>
      <c r="H328" s="9">
        <f>+'[1]VENTAS(RESUMEN GLOBAL)'!K328</f>
        <v>1.4000000000000001</v>
      </c>
      <c r="I328" s="8">
        <f>+G328*'[1]VENTAS(RESUMEN GLOBAL)'!F328</f>
        <v>25</v>
      </c>
      <c r="J328" s="8">
        <f>'[1]VENTAS(RESUMEN GLOBAL)'!G328*(1-'[1]VENTAS(RESUMEN GLOBAL)'!H328)</f>
        <v>10.999999999999998</v>
      </c>
      <c r="K328" s="8">
        <f t="shared" si="5"/>
        <v>14.000000000000002</v>
      </c>
      <c r="L328" s="8">
        <f>+'[1]VENTAS(RESUMEN GLOBAL)'!J328</f>
        <v>2.8000000000000003</v>
      </c>
      <c r="M328" s="8">
        <f>+Tabla1[[#This Row],[utilidad x dia]]*7</f>
        <v>19.600000000000001</v>
      </c>
    </row>
    <row r="329" spans="1:13" x14ac:dyDescent="0.3">
      <c r="A329" s="6">
        <f>+'[1]VENTAS(RESUMEN GLOBAL)'!L329</f>
        <v>46046</v>
      </c>
      <c r="B329" s="6" t="str">
        <f>+'[1]VENTAS(RESUMEN GLOBAL)'!M329</f>
        <v>ECCE</v>
      </c>
      <c r="C329">
        <f>+'[1]VENTAS(RESUMEN GLOBAL)'!B329</f>
        <v>300200</v>
      </c>
      <c r="D329" t="str">
        <f>INDEX('[1]CÓDIGOS DE PRODUCTO'!$D$3:$D$1000,MATCH(C329,'[1]CÓDIGOS DE PRODUCTO'!$A$3:$A$1000,0))</f>
        <v>50161800 </v>
      </c>
      <c r="E329" t="str">
        <f>VLOOKUP(C329,'[1]CÓDIGOS DE PRODUCTO'!$A$4:$B$156,2,FALSE)</f>
        <v>SKWINKLES</v>
      </c>
      <c r="F329" t="str">
        <f>INDEX('[1]CÓDIGOS DE PRODUCTO'!$C$3:$C$1000,MATCH(C329,'[1]CÓDIGOS DE PRODUCTO'!$A$3:$A$1000,0))</f>
        <v>Snacks &amp; Dulces</v>
      </c>
      <c r="G329">
        <f>+'[1]VENTAS(RESUMEN GLOBAL)'!D329-'[1]VENTAS(RESUMEN GLOBAL)'!E329</f>
        <v>0</v>
      </c>
      <c r="H329" s="9">
        <f>+'[1]VENTAS(RESUMEN GLOBAL)'!K329</f>
        <v>0</v>
      </c>
      <c r="I329" s="8">
        <f>+G329*'[1]VENTAS(RESUMEN GLOBAL)'!F329</f>
        <v>0</v>
      </c>
      <c r="J329" s="8">
        <f>'[1]VENTAS(RESUMEN GLOBAL)'!G329*(1-'[1]VENTAS(RESUMEN GLOBAL)'!H329)</f>
        <v>0</v>
      </c>
      <c r="K329" s="8">
        <f t="shared" si="5"/>
        <v>0</v>
      </c>
      <c r="L329" s="8">
        <f>+'[1]VENTAS(RESUMEN GLOBAL)'!J329</f>
        <v>0</v>
      </c>
      <c r="M329" s="8">
        <f>+Tabla1[[#This Row],[utilidad x dia]]*7</f>
        <v>0</v>
      </c>
    </row>
    <row r="330" spans="1:13" x14ac:dyDescent="0.3">
      <c r="A330" s="6">
        <f>+'[1]VENTAS(RESUMEN GLOBAL)'!L330</f>
        <v>46046</v>
      </c>
      <c r="B330" s="6" t="str">
        <f>+'[1]VENTAS(RESUMEN GLOBAL)'!M330</f>
        <v>ECCE</v>
      </c>
      <c r="C330">
        <f>+'[1]VENTAS(RESUMEN GLOBAL)'!B330</f>
        <v>900300</v>
      </c>
      <c r="D330">
        <f>INDEX('[1]CÓDIGOS DE PRODUCTO'!$D$3:$D$1000,MATCH(C330,'[1]CÓDIGOS DE PRODUCTO'!$A$3:$A$1000,0))</f>
        <v>50161815</v>
      </c>
      <c r="E330" t="str">
        <f>VLOOKUP(C330,'[1]CÓDIGOS DE PRODUCTO'!$A$4:$B$156,2,FALSE)</f>
        <v>CHICLES TRIDENT</v>
      </c>
      <c r="F330" t="str">
        <f>INDEX('[1]CÓDIGOS DE PRODUCTO'!$C$3:$C$1000,MATCH(C330,'[1]CÓDIGOS DE PRODUCTO'!$A$3:$A$1000,0))</f>
        <v>OTROS</v>
      </c>
      <c r="G330">
        <f>+'[1]VENTAS(RESUMEN GLOBAL)'!D330-'[1]VENTAS(RESUMEN GLOBAL)'!E330</f>
        <v>2</v>
      </c>
      <c r="H330" s="9">
        <f>+'[1]VENTAS(RESUMEN GLOBAL)'!K330</f>
        <v>2.8000000000000003</v>
      </c>
      <c r="I330" s="8">
        <f>+G330*'[1]VENTAS(RESUMEN GLOBAL)'!F330</f>
        <v>50</v>
      </c>
      <c r="J330" s="8">
        <f>'[1]VENTAS(RESUMEN GLOBAL)'!G330*(1-'[1]VENTAS(RESUMEN GLOBAL)'!H330)</f>
        <v>30</v>
      </c>
      <c r="K330" s="8">
        <f t="shared" si="5"/>
        <v>20</v>
      </c>
      <c r="L330" s="8">
        <f>+'[1]VENTAS(RESUMEN GLOBAL)'!J330</f>
        <v>4</v>
      </c>
      <c r="M330" s="8">
        <f>+Tabla1[[#This Row],[utilidad x dia]]*7</f>
        <v>28</v>
      </c>
    </row>
    <row r="331" spans="1:13" x14ac:dyDescent="0.3">
      <c r="A331" s="6">
        <f>+'[1]VENTAS(RESUMEN GLOBAL)'!L331</f>
        <v>46046</v>
      </c>
      <c r="B331" s="6" t="str">
        <f>+'[1]VENTAS(RESUMEN GLOBAL)'!M331</f>
        <v>ECCE</v>
      </c>
      <c r="C331">
        <f>+'[1]VENTAS(RESUMEN GLOBAL)'!B331</f>
        <v>400200</v>
      </c>
      <c r="D331" t="str">
        <f>INDEX('[1]CÓDIGOS DE PRODUCTO'!$D$3:$D$1000,MATCH(C331,'[1]CÓDIGOS DE PRODUCTO'!$A$3:$A$1000,0))</f>
        <v>N/A</v>
      </c>
      <c r="E331" t="str">
        <f>VLOOKUP(C331,'[1]CÓDIGOS DE PRODUCTO'!$A$4:$B$156,2,FALSE)</f>
        <v>MARLBORO ROJOS</v>
      </c>
      <c r="F331" t="str">
        <f>INDEX('[1]CÓDIGOS DE PRODUCTO'!$C$3:$C$1000,MATCH(C331,'[1]CÓDIGOS DE PRODUCTO'!$A$3:$A$1000,0))</f>
        <v>Cigarros</v>
      </c>
      <c r="G331">
        <f>+'[1]VENTAS(RESUMEN GLOBAL)'!D331-'[1]VENTAS(RESUMEN GLOBAL)'!E331</f>
        <v>1</v>
      </c>
      <c r="H331" s="9">
        <f>+'[1]VENTAS(RESUMEN GLOBAL)'!K331</f>
        <v>1.4000000000000001</v>
      </c>
      <c r="I331" s="8">
        <f>+G331*'[1]VENTAS(RESUMEN GLOBAL)'!F331</f>
        <v>160</v>
      </c>
      <c r="J331" s="8">
        <f>'[1]VENTAS(RESUMEN GLOBAL)'!G331*(1-'[1]VENTAS(RESUMEN GLOBAL)'!H331)</f>
        <v>99.2</v>
      </c>
      <c r="K331" s="8">
        <f t="shared" si="5"/>
        <v>60.8</v>
      </c>
      <c r="L331" s="8">
        <f>+'[1]VENTAS(RESUMEN GLOBAL)'!J331</f>
        <v>12.16</v>
      </c>
      <c r="M331" s="8">
        <f>+Tabla1[[#This Row],[utilidad x dia]]*7</f>
        <v>85.12</v>
      </c>
    </row>
    <row r="332" spans="1:13" x14ac:dyDescent="0.3">
      <c r="A332" s="6">
        <f>+'[1]VENTAS(RESUMEN GLOBAL)'!L332</f>
        <v>46046</v>
      </c>
      <c r="B332" s="6" t="str">
        <f>+'[1]VENTAS(RESUMEN GLOBAL)'!M332</f>
        <v>ECCE</v>
      </c>
      <c r="C332">
        <f>+'[1]VENTAS(RESUMEN GLOBAL)'!B332</f>
        <v>400100</v>
      </c>
      <c r="D332" t="str">
        <f>INDEX('[1]CÓDIGOS DE PRODUCTO'!$D$3:$D$1000,MATCH(C332,'[1]CÓDIGOS DE PRODUCTO'!$A$3:$A$1000,0))</f>
        <v>N/A</v>
      </c>
      <c r="E332" t="str">
        <f>VLOOKUP(C332,'[1]CÓDIGOS DE PRODUCTO'!$A$4:$B$156,2,FALSE)</f>
        <v>MARLBORO BLANCOS</v>
      </c>
      <c r="F332" t="str">
        <f>INDEX('[1]CÓDIGOS DE PRODUCTO'!$C$3:$C$1000,MATCH(C332,'[1]CÓDIGOS DE PRODUCTO'!$A$3:$A$1000,0))</f>
        <v>Cigarros</v>
      </c>
      <c r="G332">
        <f>+'[1]VENTAS(RESUMEN GLOBAL)'!D332-'[1]VENTAS(RESUMEN GLOBAL)'!E332</f>
        <v>0</v>
      </c>
      <c r="H332" s="9">
        <f>+'[1]VENTAS(RESUMEN GLOBAL)'!K332</f>
        <v>0</v>
      </c>
      <c r="I332" s="8">
        <f>+G332*'[1]VENTAS(RESUMEN GLOBAL)'!F332</f>
        <v>0</v>
      </c>
      <c r="J332" s="8">
        <f>'[1]VENTAS(RESUMEN GLOBAL)'!G332*(1-'[1]VENTAS(RESUMEN GLOBAL)'!H332)</f>
        <v>0</v>
      </c>
      <c r="K332" s="8">
        <f t="shared" si="5"/>
        <v>0</v>
      </c>
      <c r="L332" s="8">
        <f>+'[1]VENTAS(RESUMEN GLOBAL)'!J332</f>
        <v>0</v>
      </c>
      <c r="M332" s="8">
        <f>+Tabla1[[#This Row],[utilidad x dia]]*7</f>
        <v>0</v>
      </c>
    </row>
    <row r="333" spans="1:13" x14ac:dyDescent="0.3">
      <c r="A333" s="6">
        <f>+'[1]VENTAS(RESUMEN GLOBAL)'!L333</f>
        <v>46046</v>
      </c>
      <c r="B333" s="6" t="str">
        <f>+'[1]VENTAS(RESUMEN GLOBAL)'!M333</f>
        <v>ECCE</v>
      </c>
      <c r="C333">
        <f>+'[1]VENTAS(RESUMEN GLOBAL)'!B333</f>
        <v>300700</v>
      </c>
      <c r="D333" t="str">
        <f>INDEX('[1]CÓDIGOS DE PRODUCTO'!$D$3:$D$1000,MATCH(C333,'[1]CÓDIGOS DE PRODUCTO'!$A$3:$A$1000,0))</f>
        <v>50161800 </v>
      </c>
      <c r="E333" t="str">
        <f>VLOOKUP(C333,'[1]CÓDIGOS DE PRODUCTO'!$A$4:$B$156,2,FALSE)</f>
        <v>ZUMBA GOMA</v>
      </c>
      <c r="F333" t="str">
        <f>INDEX('[1]CÓDIGOS DE PRODUCTO'!$C$3:$C$1000,MATCH(C333,'[1]CÓDIGOS DE PRODUCTO'!$A$3:$A$1000,0))</f>
        <v>Snacks &amp; Dulces</v>
      </c>
      <c r="G333">
        <f>+'[1]VENTAS(RESUMEN GLOBAL)'!D333-'[1]VENTAS(RESUMEN GLOBAL)'!E333</f>
        <v>2</v>
      </c>
      <c r="H333" s="9">
        <f>+'[1]VENTAS(RESUMEN GLOBAL)'!K333</f>
        <v>2.8000000000000003</v>
      </c>
      <c r="I333" s="8">
        <f>+G333*'[1]VENTAS(RESUMEN GLOBAL)'!F333</f>
        <v>20</v>
      </c>
      <c r="J333" s="8">
        <f>'[1]VENTAS(RESUMEN GLOBAL)'!G333*(1-'[1]VENTAS(RESUMEN GLOBAL)'!H333)</f>
        <v>4.3999999999999995</v>
      </c>
      <c r="K333" s="8">
        <f t="shared" si="5"/>
        <v>15.600000000000001</v>
      </c>
      <c r="L333" s="8">
        <f>+'[1]VENTAS(RESUMEN GLOBAL)'!J333</f>
        <v>3.12</v>
      </c>
      <c r="M333" s="8">
        <f>+Tabla1[[#This Row],[utilidad x dia]]*7</f>
        <v>21.84</v>
      </c>
    </row>
    <row r="334" spans="1:13" x14ac:dyDescent="0.3">
      <c r="A334" s="6">
        <f>+'[1]VENTAS(RESUMEN GLOBAL)'!L334</f>
        <v>46046</v>
      </c>
      <c r="B334" s="6" t="str">
        <f>+'[1]VENTAS(RESUMEN GLOBAL)'!M334</f>
        <v>ECCE</v>
      </c>
      <c r="C334">
        <f>+'[1]VENTAS(RESUMEN GLOBAL)'!B334</f>
        <v>300500</v>
      </c>
      <c r="D334" t="str">
        <f>INDEX('[1]CÓDIGOS DE PRODUCTO'!$D$3:$D$1000,MATCH(C334,'[1]CÓDIGOS DE PRODUCTO'!$A$3:$A$1000,0))</f>
        <v>50161800 </v>
      </c>
      <c r="E334" t="str">
        <f>VLOOKUP(C334,'[1]CÓDIGOS DE PRODUCTO'!$A$4:$B$156,2,FALSE)</f>
        <v>Halls</v>
      </c>
      <c r="F334" t="str">
        <f>INDEX('[1]CÓDIGOS DE PRODUCTO'!$C$3:$C$1000,MATCH(C334,'[1]CÓDIGOS DE PRODUCTO'!$A$3:$A$1000,0))</f>
        <v>Snacks &amp; Dulces</v>
      </c>
      <c r="G334">
        <f>+'[1]VENTAS(RESUMEN GLOBAL)'!D334-'[1]VENTAS(RESUMEN GLOBAL)'!E334</f>
        <v>0</v>
      </c>
      <c r="H334" s="9">
        <f>+'[1]VENTAS(RESUMEN GLOBAL)'!K334</f>
        <v>0</v>
      </c>
      <c r="I334" s="8">
        <f>+G334*'[1]VENTAS(RESUMEN GLOBAL)'!F334</f>
        <v>0</v>
      </c>
      <c r="J334" s="8">
        <f>'[1]VENTAS(RESUMEN GLOBAL)'!G334*(1-'[1]VENTAS(RESUMEN GLOBAL)'!H334)</f>
        <v>0</v>
      </c>
      <c r="K334" s="8">
        <f t="shared" si="5"/>
        <v>0</v>
      </c>
      <c r="L334" s="8">
        <f>+'[1]VENTAS(RESUMEN GLOBAL)'!J334</f>
        <v>0</v>
      </c>
      <c r="M334" s="8">
        <f>+Tabla1[[#This Row],[utilidad x dia]]*7</f>
        <v>0</v>
      </c>
    </row>
    <row r="335" spans="1:13" x14ac:dyDescent="0.3">
      <c r="A335" s="6">
        <f>+'[1]VENTAS(RESUMEN GLOBAL)'!L335</f>
        <v>46046</v>
      </c>
      <c r="B335" s="6" t="str">
        <f>+'[1]VENTAS(RESUMEN GLOBAL)'!M335</f>
        <v>ECCE</v>
      </c>
      <c r="C335">
        <f>+'[1]VENTAS(RESUMEN GLOBAL)'!B335</f>
        <v>700700</v>
      </c>
      <c r="D335" t="str">
        <f>INDEX('[1]CÓDIGOS DE PRODUCTO'!$D$3:$D$1000,MATCH(C335,'[1]CÓDIGOS DE PRODUCTO'!$A$3:$A$1000,0))</f>
        <v>50161511 </v>
      </c>
      <c r="E335" t="str">
        <f>VLOOKUP(C335,'[1]CÓDIGOS DE PRODUCTO'!$A$4:$B$156,2,FALSE)</f>
        <v>Milkiway</v>
      </c>
      <c r="F335" t="str">
        <f>INDEX('[1]CÓDIGOS DE PRODUCTO'!$C$3:$C$1000,MATCH(C335,'[1]CÓDIGOS DE PRODUCTO'!$A$3:$A$1000,0))</f>
        <v>CHOCOLATES</v>
      </c>
      <c r="G335">
        <f>+'[1]VENTAS(RESUMEN GLOBAL)'!D335-'[1]VENTAS(RESUMEN GLOBAL)'!E335</f>
        <v>0</v>
      </c>
      <c r="H335" s="9">
        <f>+'[1]VENTAS(RESUMEN GLOBAL)'!K335</f>
        <v>0</v>
      </c>
      <c r="I335" s="8">
        <f>+G335*'[1]VENTAS(RESUMEN GLOBAL)'!F335</f>
        <v>0</v>
      </c>
      <c r="J335" s="8">
        <f>'[1]VENTAS(RESUMEN GLOBAL)'!G335*(1-'[1]VENTAS(RESUMEN GLOBAL)'!H335)</f>
        <v>0</v>
      </c>
      <c r="K335" s="8">
        <f t="shared" si="5"/>
        <v>0</v>
      </c>
      <c r="L335" s="8">
        <f>+'[1]VENTAS(RESUMEN GLOBAL)'!J335</f>
        <v>0</v>
      </c>
      <c r="M335" s="8">
        <f>+Tabla1[[#This Row],[utilidad x dia]]*7</f>
        <v>0</v>
      </c>
    </row>
    <row r="336" spans="1:13" x14ac:dyDescent="0.3">
      <c r="A336" s="6">
        <f>+'[1]VENTAS(RESUMEN GLOBAL)'!L336</f>
        <v>46046</v>
      </c>
      <c r="B336" s="6" t="str">
        <f>+'[1]VENTAS(RESUMEN GLOBAL)'!M336</f>
        <v>ECCE</v>
      </c>
      <c r="C336">
        <f>+'[1]VENTAS(RESUMEN GLOBAL)'!B336</f>
        <v>700800</v>
      </c>
      <c r="D336" t="str">
        <f>INDEX('[1]CÓDIGOS DE PRODUCTO'!$D$3:$D$1000,MATCH(C336,'[1]CÓDIGOS DE PRODUCTO'!$A$3:$A$1000,0))</f>
        <v>50161511 </v>
      </c>
      <c r="E336" t="str">
        <f>VLOOKUP(C336,'[1]CÓDIGOS DE PRODUCTO'!$A$4:$B$156,2,FALSE)</f>
        <v>Kinder delice</v>
      </c>
      <c r="F336" t="str">
        <f>INDEX('[1]CÓDIGOS DE PRODUCTO'!$C$3:$C$1000,MATCH(C336,'[1]CÓDIGOS DE PRODUCTO'!$A$3:$A$1000,0))</f>
        <v>CHOCOLATES</v>
      </c>
      <c r="G336">
        <f>+'[1]VENTAS(RESUMEN GLOBAL)'!D336-'[1]VENTAS(RESUMEN GLOBAL)'!E336</f>
        <v>1</v>
      </c>
      <c r="H336" s="9">
        <f>+'[1]VENTAS(RESUMEN GLOBAL)'!K336</f>
        <v>1.4000000000000001</v>
      </c>
      <c r="I336" s="8">
        <f>+G336*'[1]VENTAS(RESUMEN GLOBAL)'!F336</f>
        <v>25</v>
      </c>
      <c r="J336" s="8">
        <f>'[1]VENTAS(RESUMEN GLOBAL)'!G336*(1-'[1]VENTAS(RESUMEN GLOBAL)'!H336)</f>
        <v>12.5</v>
      </c>
      <c r="K336" s="8">
        <f t="shared" si="5"/>
        <v>12.5</v>
      </c>
      <c r="L336" s="8">
        <f>+'[1]VENTAS(RESUMEN GLOBAL)'!J336</f>
        <v>2.5</v>
      </c>
      <c r="M336" s="8">
        <f>+Tabla1[[#This Row],[utilidad x dia]]*7</f>
        <v>17.5</v>
      </c>
    </row>
    <row r="337" spans="1:13" x14ac:dyDescent="0.3">
      <c r="A337" s="6">
        <f>+'[1]VENTAS(RESUMEN GLOBAL)'!L337</f>
        <v>46046</v>
      </c>
      <c r="B337" s="6" t="str">
        <f>+'[1]VENTAS(RESUMEN GLOBAL)'!M337</f>
        <v>ECCE</v>
      </c>
      <c r="C337">
        <f>+'[1]VENTAS(RESUMEN GLOBAL)'!B337</f>
        <v>700200</v>
      </c>
      <c r="D337" t="str">
        <f>INDEX('[1]CÓDIGOS DE PRODUCTO'!$D$3:$D$1000,MATCH(C337,'[1]CÓDIGOS DE PRODUCTO'!$A$3:$A$1000,0))</f>
        <v>50161511 </v>
      </c>
      <c r="E337" t="str">
        <f>VLOOKUP(C337,'[1]CÓDIGOS DE PRODUCTO'!$A$4:$B$156,2,FALSE)</f>
        <v>Snickers</v>
      </c>
      <c r="F337" t="str">
        <f>INDEX('[1]CÓDIGOS DE PRODUCTO'!$C$3:$C$1000,MATCH(C337,'[1]CÓDIGOS DE PRODUCTO'!$A$3:$A$1000,0))</f>
        <v>CHOCOLATES</v>
      </c>
      <c r="G337">
        <f>+'[1]VENTAS(RESUMEN GLOBAL)'!D337-'[1]VENTAS(RESUMEN GLOBAL)'!E337</f>
        <v>0</v>
      </c>
      <c r="H337" s="9">
        <f>+'[1]VENTAS(RESUMEN GLOBAL)'!K337</f>
        <v>0</v>
      </c>
      <c r="I337" s="8">
        <f>+G337*'[1]VENTAS(RESUMEN GLOBAL)'!F337</f>
        <v>0</v>
      </c>
      <c r="J337" s="8">
        <f>'[1]VENTAS(RESUMEN GLOBAL)'!G337*(1-'[1]VENTAS(RESUMEN GLOBAL)'!H337)</f>
        <v>0</v>
      </c>
      <c r="K337" s="8">
        <f t="shared" si="5"/>
        <v>0</v>
      </c>
      <c r="L337" s="8">
        <f>+'[1]VENTAS(RESUMEN GLOBAL)'!J337</f>
        <v>0</v>
      </c>
      <c r="M337" s="8">
        <f>+Tabla1[[#This Row],[utilidad x dia]]*7</f>
        <v>0</v>
      </c>
    </row>
    <row r="338" spans="1:13" x14ac:dyDescent="0.3">
      <c r="A338" s="6">
        <f>+'[1]VENTAS(RESUMEN GLOBAL)'!L338</f>
        <v>46046</v>
      </c>
      <c r="B338" s="6" t="str">
        <f>+'[1]VENTAS(RESUMEN GLOBAL)'!M338</f>
        <v>ECCE</v>
      </c>
      <c r="C338">
        <f>+'[1]VENTAS(RESUMEN GLOBAL)'!B338</f>
        <v>700100</v>
      </c>
      <c r="D338" t="str">
        <f>INDEX('[1]CÓDIGOS DE PRODUCTO'!$D$3:$D$1000,MATCH(C338,'[1]CÓDIGOS DE PRODUCTO'!$A$3:$A$1000,0))</f>
        <v>50161511 </v>
      </c>
      <c r="E338" t="str">
        <f>VLOOKUP(C338,'[1]CÓDIGOS DE PRODUCTO'!$A$4:$B$156,2,FALSE)</f>
        <v>M&amp;M</v>
      </c>
      <c r="F338" t="str">
        <f>INDEX('[1]CÓDIGOS DE PRODUCTO'!$C$3:$C$1000,MATCH(C338,'[1]CÓDIGOS DE PRODUCTO'!$A$3:$A$1000,0))</f>
        <v>CHOCOLATES</v>
      </c>
      <c r="G338">
        <f>+'[1]VENTAS(RESUMEN GLOBAL)'!D338-'[1]VENTAS(RESUMEN GLOBAL)'!E338</f>
        <v>0</v>
      </c>
      <c r="H338" s="9">
        <f>+'[1]VENTAS(RESUMEN GLOBAL)'!K338</f>
        <v>0</v>
      </c>
      <c r="I338" s="8">
        <f>+G338*'[1]VENTAS(RESUMEN GLOBAL)'!F338</f>
        <v>0</v>
      </c>
      <c r="J338" s="8">
        <f>'[1]VENTAS(RESUMEN GLOBAL)'!G338*(1-'[1]VENTAS(RESUMEN GLOBAL)'!H338)</f>
        <v>0</v>
      </c>
      <c r="K338" s="8">
        <f t="shared" si="5"/>
        <v>0</v>
      </c>
      <c r="L338" s="8">
        <f>+'[1]VENTAS(RESUMEN GLOBAL)'!J338</f>
        <v>0</v>
      </c>
      <c r="M338" s="8">
        <f>+Tabla1[[#This Row],[utilidad x dia]]*7</f>
        <v>0</v>
      </c>
    </row>
    <row r="339" spans="1:13" x14ac:dyDescent="0.3">
      <c r="A339" s="6">
        <f>+'[1]VENTAS(RESUMEN GLOBAL)'!L339</f>
        <v>46046</v>
      </c>
      <c r="B339" s="6" t="str">
        <f>+'[1]VENTAS(RESUMEN GLOBAL)'!M339</f>
        <v>ECCE</v>
      </c>
      <c r="C339">
        <f>+'[1]VENTAS(RESUMEN GLOBAL)'!B339</f>
        <v>700400</v>
      </c>
      <c r="D339" t="str">
        <f>INDEX('[1]CÓDIGOS DE PRODUCTO'!$D$3:$D$1000,MATCH(C339,'[1]CÓDIGOS DE PRODUCTO'!$A$3:$A$1000,0))</f>
        <v>50161511 </v>
      </c>
      <c r="E339" t="str">
        <f>VLOOKUP(C339,'[1]CÓDIGOS DE PRODUCTO'!$A$4:$B$156,2,FALSE)</f>
        <v>KIT KAT</v>
      </c>
      <c r="F339" t="str">
        <f>INDEX('[1]CÓDIGOS DE PRODUCTO'!$C$3:$C$1000,MATCH(C339,'[1]CÓDIGOS DE PRODUCTO'!$A$3:$A$1000,0))</f>
        <v>CHOCOLATES</v>
      </c>
      <c r="G339">
        <f>+'[1]VENTAS(RESUMEN GLOBAL)'!D339-'[1]VENTAS(RESUMEN GLOBAL)'!E339</f>
        <v>1</v>
      </c>
      <c r="H339" s="9">
        <f>+'[1]VENTAS(RESUMEN GLOBAL)'!K339</f>
        <v>1.4000000000000001</v>
      </c>
      <c r="I339" s="8">
        <f>+G339*'[1]VENTAS(RESUMEN GLOBAL)'!F339</f>
        <v>25</v>
      </c>
      <c r="J339" s="8">
        <f>'[1]VENTAS(RESUMEN GLOBAL)'!G339*(1-'[1]VENTAS(RESUMEN GLOBAL)'!H339)</f>
        <v>12.031249999999998</v>
      </c>
      <c r="K339" s="8">
        <f t="shared" si="5"/>
        <v>12.968750000000002</v>
      </c>
      <c r="L339" s="8">
        <f>+'[1]VENTAS(RESUMEN GLOBAL)'!J339</f>
        <v>2.5937500000000004</v>
      </c>
      <c r="M339" s="8">
        <f>+Tabla1[[#This Row],[utilidad x dia]]*7</f>
        <v>18.156250000000004</v>
      </c>
    </row>
    <row r="340" spans="1:13" x14ac:dyDescent="0.3">
      <c r="A340" s="6">
        <f>+'[1]VENTAS(RESUMEN GLOBAL)'!L340</f>
        <v>46046</v>
      </c>
      <c r="B340" s="6" t="str">
        <f>+'[1]VENTAS(RESUMEN GLOBAL)'!M340</f>
        <v>ECCE</v>
      </c>
      <c r="C340">
        <f>+'[1]VENTAS(RESUMEN GLOBAL)'!B340</f>
        <v>700500</v>
      </c>
      <c r="D340" t="str">
        <f>INDEX('[1]CÓDIGOS DE PRODUCTO'!$D$3:$D$1000,MATCH(C340,'[1]CÓDIGOS DE PRODUCTO'!$A$3:$A$1000,0))</f>
        <v>50161511 </v>
      </c>
      <c r="E340" t="str">
        <f>VLOOKUP(C340,'[1]CÓDIGOS DE PRODUCTO'!$A$4:$B$156,2,FALSE)</f>
        <v>HERSHEYS BLANCO</v>
      </c>
      <c r="F340" t="str">
        <f>INDEX('[1]CÓDIGOS DE PRODUCTO'!$C$3:$C$1000,MATCH(C340,'[1]CÓDIGOS DE PRODUCTO'!$A$3:$A$1000,0))</f>
        <v>CHOCOLATES</v>
      </c>
      <c r="G340">
        <f>+'[1]VENTAS(RESUMEN GLOBAL)'!D340-'[1]VENTAS(RESUMEN GLOBAL)'!E340</f>
        <v>0</v>
      </c>
      <c r="H340" s="9">
        <f>+'[1]VENTAS(RESUMEN GLOBAL)'!K340</f>
        <v>0</v>
      </c>
      <c r="I340" s="8">
        <f>+G340*'[1]VENTAS(RESUMEN GLOBAL)'!F340</f>
        <v>0</v>
      </c>
      <c r="J340" s="8">
        <f>'[1]VENTAS(RESUMEN GLOBAL)'!G340*(1-'[1]VENTAS(RESUMEN GLOBAL)'!H340)</f>
        <v>0</v>
      </c>
      <c r="K340" s="8">
        <f t="shared" si="5"/>
        <v>0</v>
      </c>
      <c r="L340" s="8">
        <f>+'[1]VENTAS(RESUMEN GLOBAL)'!J340</f>
        <v>0</v>
      </c>
      <c r="M340" s="8">
        <f>+Tabla1[[#This Row],[utilidad x dia]]*7</f>
        <v>0</v>
      </c>
    </row>
    <row r="341" spans="1:13" x14ac:dyDescent="0.3">
      <c r="A341" s="6">
        <f>+'[1]VENTAS(RESUMEN GLOBAL)'!L341</f>
        <v>46046</v>
      </c>
      <c r="B341" s="6" t="str">
        <f>+'[1]VENTAS(RESUMEN GLOBAL)'!M341</f>
        <v>ECCE</v>
      </c>
      <c r="C341">
        <f>+'[1]VENTAS(RESUMEN GLOBAL)'!B341</f>
        <v>500100</v>
      </c>
      <c r="D341" t="str">
        <f>INDEX('[1]CÓDIGOS DE PRODUCTO'!$D$3:$D$1000,MATCH(C341,'[1]CÓDIGOS DE PRODUCTO'!$A$3:$A$1000,0))</f>
        <v>53102800 </v>
      </c>
      <c r="E341" t="str">
        <f>VLOOKUP(C341,'[1]CÓDIGOS DE PRODUCTO'!$A$4:$B$156,2,FALSE)</f>
        <v>Trajes de baño</v>
      </c>
      <c r="F341" t="str">
        <f>INDEX('[1]CÓDIGOS DE PRODUCTO'!$C$3:$C$1000,MATCH(C341,'[1]CÓDIGOS DE PRODUCTO'!$A$3:$A$1000,0))</f>
        <v>SWIMWEAR</v>
      </c>
      <c r="G341">
        <f>+'[1]VENTAS(RESUMEN GLOBAL)'!D341-'[1]VENTAS(RESUMEN GLOBAL)'!E341</f>
        <v>2</v>
      </c>
      <c r="H341" s="9">
        <f>+'[1]VENTAS(RESUMEN GLOBAL)'!K341</f>
        <v>2.8000000000000003</v>
      </c>
      <c r="I341" s="8">
        <f>+G341*'[1]VENTAS(RESUMEN GLOBAL)'!F341</f>
        <v>500</v>
      </c>
      <c r="J341" s="8">
        <f>'[1]VENTAS(RESUMEN GLOBAL)'!G341*(1-'[1]VENTAS(RESUMEN GLOBAL)'!H341)</f>
        <v>234</v>
      </c>
      <c r="K341" s="8">
        <f t="shared" si="5"/>
        <v>266</v>
      </c>
      <c r="L341" s="8">
        <f>+'[1]VENTAS(RESUMEN GLOBAL)'!J341</f>
        <v>53.2</v>
      </c>
      <c r="M341" s="8">
        <f>+Tabla1[[#This Row],[utilidad x dia]]*7</f>
        <v>372.40000000000003</v>
      </c>
    </row>
    <row r="342" spans="1:13" x14ac:dyDescent="0.3">
      <c r="A342" s="6">
        <f>+'[1]VENTAS(RESUMEN GLOBAL)'!L342</f>
        <v>46046</v>
      </c>
      <c r="B342" s="6" t="str">
        <f>+'[1]VENTAS(RESUMEN GLOBAL)'!M342</f>
        <v>ECCE</v>
      </c>
      <c r="C342">
        <f>+'[1]VENTAS(RESUMEN GLOBAL)'!B342</f>
        <v>100600</v>
      </c>
      <c r="D342" t="str">
        <f>INDEX('[1]CÓDIGOS DE PRODUCTO'!$D$3:$D$1000,MATCH(C342,'[1]CÓDIGOS DE PRODUCTO'!$A$3:$A$1000,0))</f>
        <v>50202300 </v>
      </c>
      <c r="E342" t="str">
        <f>VLOOKUP(C342,'[1]CÓDIGOS DE PRODUCTO'!$A$4:$B$156,2,FALSE)</f>
        <v>Leche santa clara</v>
      </c>
      <c r="F342" t="str">
        <f>INDEX('[1]CÓDIGOS DE PRODUCTO'!$C$3:$C$1000,MATCH(C342,'[1]CÓDIGOS DE PRODUCTO'!$A$3:$A$1000,0))</f>
        <v>Bebidas</v>
      </c>
      <c r="G342">
        <f>+'[1]VENTAS(RESUMEN GLOBAL)'!D342-'[1]VENTAS(RESUMEN GLOBAL)'!E342</f>
        <v>3</v>
      </c>
      <c r="H342" s="9">
        <f>+'[1]VENTAS(RESUMEN GLOBAL)'!K342</f>
        <v>4.2</v>
      </c>
      <c r="I342" s="8">
        <f>+G342*'[1]VENTAS(RESUMEN GLOBAL)'!F342</f>
        <v>60</v>
      </c>
      <c r="J342" s="8">
        <f>'[1]VENTAS(RESUMEN GLOBAL)'!G342*(1-'[1]VENTAS(RESUMEN GLOBAL)'!H342)</f>
        <v>32.400000000000006</v>
      </c>
      <c r="K342" s="8">
        <f t="shared" si="5"/>
        <v>27.599999999999994</v>
      </c>
      <c r="L342" s="8">
        <f>+'[1]VENTAS(RESUMEN GLOBAL)'!J342</f>
        <v>5.5200000000000005</v>
      </c>
      <c r="M342" s="8">
        <f>+Tabla1[[#This Row],[utilidad x dia]]*7</f>
        <v>38.64</v>
      </c>
    </row>
    <row r="343" spans="1:13" x14ac:dyDescent="0.3">
      <c r="A343" s="6">
        <f>+'[1]VENTAS(RESUMEN GLOBAL)'!L343</f>
        <v>46046</v>
      </c>
      <c r="B343" s="6" t="str">
        <f>+'[1]VENTAS(RESUMEN GLOBAL)'!M343</f>
        <v>ECCE</v>
      </c>
      <c r="C343">
        <f>+'[1]VENTAS(RESUMEN GLOBAL)'!B343</f>
        <v>100600</v>
      </c>
      <c r="D343" t="str">
        <f>INDEX('[1]CÓDIGOS DE PRODUCTO'!$D$3:$D$1000,MATCH(C343,'[1]CÓDIGOS DE PRODUCTO'!$A$3:$A$1000,0))</f>
        <v>50202300 </v>
      </c>
      <c r="E343" t="str">
        <f>VLOOKUP(C343,'[1]CÓDIGOS DE PRODUCTO'!$A$4:$B$156,2,FALSE)</f>
        <v>Leche santa clara</v>
      </c>
      <c r="F343" t="str">
        <f>INDEX('[1]CÓDIGOS DE PRODUCTO'!$C$3:$C$1000,MATCH(C343,'[1]CÓDIGOS DE PRODUCTO'!$A$3:$A$1000,0))</f>
        <v>Bebidas</v>
      </c>
      <c r="G343">
        <f>+'[1]VENTAS(RESUMEN GLOBAL)'!D343-'[1]VENTAS(RESUMEN GLOBAL)'!E343</f>
        <v>2</v>
      </c>
      <c r="H343" s="9">
        <f>+'[1]VENTAS(RESUMEN GLOBAL)'!K343</f>
        <v>2.8000000000000003</v>
      </c>
      <c r="I343" s="8">
        <f>+G343*'[1]VENTAS(RESUMEN GLOBAL)'!F343</f>
        <v>40</v>
      </c>
      <c r="J343" s="8">
        <f>'[1]VENTAS(RESUMEN GLOBAL)'!G343*(1-'[1]VENTAS(RESUMEN GLOBAL)'!H343)</f>
        <v>21.6</v>
      </c>
      <c r="K343" s="8">
        <f t="shared" si="5"/>
        <v>18.399999999999999</v>
      </c>
      <c r="L343" s="8">
        <f>+'[1]VENTAS(RESUMEN GLOBAL)'!J343</f>
        <v>3.6800000000000006</v>
      </c>
      <c r="M343" s="8">
        <f>+Tabla1[[#This Row],[utilidad x dia]]*7</f>
        <v>25.760000000000005</v>
      </c>
    </row>
    <row r="344" spans="1:13" x14ac:dyDescent="0.3">
      <c r="A344" s="6">
        <f>+'[1]VENTAS(RESUMEN GLOBAL)'!L344</f>
        <v>46046</v>
      </c>
      <c r="B344" s="6" t="str">
        <f>+'[1]VENTAS(RESUMEN GLOBAL)'!M344</f>
        <v>ECCE</v>
      </c>
      <c r="C344">
        <f>+'[1]VENTAS(RESUMEN GLOBAL)'!B344</f>
        <v>800500</v>
      </c>
      <c r="D344" t="str">
        <f>INDEX('[1]CÓDIGOS DE PRODUCTO'!$D$3:$D$1000,MATCH(C344,'[1]CÓDIGOS DE PRODUCTO'!$A$3:$A$1000,0))</f>
        <v>50181900 </v>
      </c>
      <c r="E344" t="str">
        <f>VLOOKUP(C344,'[1]CÓDIGOS DE PRODUCTO'!$A$4:$B$156,2,FALSE)</f>
        <v>RICE KRISPIES</v>
      </c>
      <c r="F344" t="str">
        <f>INDEX('[1]CÓDIGOS DE PRODUCTO'!$C$3:$C$1000,MATCH(C344,'[1]CÓDIGOS DE PRODUCTO'!$A$3:$A$1000,0))</f>
        <v>GALLETAS Y PAN DULCE</v>
      </c>
      <c r="G344">
        <f>+'[1]VENTAS(RESUMEN GLOBAL)'!D344-'[1]VENTAS(RESUMEN GLOBAL)'!E344</f>
        <v>3</v>
      </c>
      <c r="H344" s="9">
        <f>+'[1]VENTAS(RESUMEN GLOBAL)'!K344</f>
        <v>4.2</v>
      </c>
      <c r="I344" s="8">
        <f>+G344*'[1]VENTAS(RESUMEN GLOBAL)'!F344</f>
        <v>30</v>
      </c>
      <c r="J344" s="8">
        <f>'[1]VENTAS(RESUMEN GLOBAL)'!G344*(1-'[1]VENTAS(RESUMEN GLOBAL)'!H344)</f>
        <v>9.0000000000000018</v>
      </c>
      <c r="K344" s="8">
        <f t="shared" si="5"/>
        <v>21</v>
      </c>
      <c r="L344" s="8">
        <f>+'[1]VENTAS(RESUMEN GLOBAL)'!J344</f>
        <v>4.2</v>
      </c>
      <c r="M344" s="8">
        <f>+Tabla1[[#This Row],[utilidad x dia]]*7</f>
        <v>29.400000000000002</v>
      </c>
    </row>
    <row r="345" spans="1:13" x14ac:dyDescent="0.3">
      <c r="A345" s="6">
        <f>+'[1]VENTAS(RESUMEN GLOBAL)'!L345</f>
        <v>46046</v>
      </c>
      <c r="B345" s="6" t="str">
        <f>+'[1]VENTAS(RESUMEN GLOBAL)'!M345</f>
        <v>ECCE</v>
      </c>
      <c r="C345">
        <f>+'[1]VENTAS(RESUMEN GLOBAL)'!B345</f>
        <v>800600</v>
      </c>
      <c r="D345" t="str">
        <f>INDEX('[1]CÓDIGOS DE PRODUCTO'!$D$3:$D$1000,MATCH(C345,'[1]CÓDIGOS DE PRODUCTO'!$A$3:$A$1000,0))</f>
        <v>50181900 </v>
      </c>
      <c r="E345" t="str">
        <f>VLOOKUP(C345,'[1]CÓDIGOS DE PRODUCTO'!$A$4:$B$156,2,FALSE)</f>
        <v>CREMAX</v>
      </c>
      <c r="F345" t="str">
        <f>INDEX('[1]CÓDIGOS DE PRODUCTO'!$C$3:$C$1000,MATCH(C345,'[1]CÓDIGOS DE PRODUCTO'!$A$3:$A$1000,0))</f>
        <v>GALLETAS Y PAN DULCE</v>
      </c>
      <c r="G345">
        <f>+'[1]VENTAS(RESUMEN GLOBAL)'!D345-'[1]VENTAS(RESUMEN GLOBAL)'!E345</f>
        <v>2</v>
      </c>
      <c r="H345" s="9">
        <f>+'[1]VENTAS(RESUMEN GLOBAL)'!K345</f>
        <v>2.8000000000000003</v>
      </c>
      <c r="I345" s="8">
        <f>+G345*'[1]VENTAS(RESUMEN GLOBAL)'!F345</f>
        <v>40</v>
      </c>
      <c r="J345" s="8">
        <f>'[1]VENTAS(RESUMEN GLOBAL)'!G345*(1-'[1]VENTAS(RESUMEN GLOBAL)'!H345)</f>
        <v>14</v>
      </c>
      <c r="K345" s="8">
        <f t="shared" si="5"/>
        <v>26</v>
      </c>
      <c r="L345" s="8">
        <f>+'[1]VENTAS(RESUMEN GLOBAL)'!J345</f>
        <v>3.2</v>
      </c>
      <c r="M345" s="8">
        <f>+Tabla1[[#This Row],[utilidad x dia]]*7</f>
        <v>22.400000000000002</v>
      </c>
    </row>
    <row r="346" spans="1:13" x14ac:dyDescent="0.3">
      <c r="A346" s="6">
        <f>+'[1]VENTAS(RESUMEN GLOBAL)'!L346</f>
        <v>46046</v>
      </c>
      <c r="B346" s="6" t="str">
        <f>+'[1]VENTAS(RESUMEN GLOBAL)'!M346</f>
        <v>ECCE</v>
      </c>
      <c r="C346">
        <f>+'[1]VENTAS(RESUMEN GLOBAL)'!B346</f>
        <v>800200</v>
      </c>
      <c r="D346" t="str">
        <f>INDEX('[1]CÓDIGOS DE PRODUCTO'!$D$3:$D$1000,MATCH(C346,'[1]CÓDIGOS DE PRODUCTO'!$A$3:$A$1000,0))</f>
        <v>50181900 </v>
      </c>
      <c r="E346" t="str">
        <f>VLOOKUP(C346,'[1]CÓDIGOS DE PRODUCTO'!$A$4:$B$156,2,FALSE)</f>
        <v>Príncipe (6 PZ-63 GR)</v>
      </c>
      <c r="F346" t="str">
        <f>INDEX('[1]CÓDIGOS DE PRODUCTO'!$C$3:$C$1000,MATCH(C346,'[1]CÓDIGOS DE PRODUCTO'!$A$3:$A$1000,0))</f>
        <v>GALLETAS Y PAN DULCE</v>
      </c>
      <c r="G346">
        <f>+'[1]VENTAS(RESUMEN GLOBAL)'!D346-'[1]VENTAS(RESUMEN GLOBAL)'!E346</f>
        <v>1</v>
      </c>
      <c r="H346" s="9">
        <f>+'[1]VENTAS(RESUMEN GLOBAL)'!K346</f>
        <v>1.4000000000000001</v>
      </c>
      <c r="I346" s="8">
        <f>+G346*'[1]VENTAS(RESUMEN GLOBAL)'!F346</f>
        <v>20</v>
      </c>
      <c r="J346" s="8">
        <f>'[1]VENTAS(RESUMEN GLOBAL)'!G346*(1-'[1]VENTAS(RESUMEN GLOBAL)'!H346)</f>
        <v>7</v>
      </c>
      <c r="K346" s="8">
        <f t="shared" si="5"/>
        <v>13</v>
      </c>
      <c r="L346" s="8">
        <f>+'[1]VENTAS(RESUMEN GLOBAL)'!J346</f>
        <v>2.6</v>
      </c>
      <c r="M346" s="8">
        <f>+Tabla1[[#This Row],[utilidad x dia]]*7</f>
        <v>18.2</v>
      </c>
    </row>
    <row r="347" spans="1:13" x14ac:dyDescent="0.3">
      <c r="A347" s="6">
        <f>+'[1]VENTAS(RESUMEN GLOBAL)'!L347</f>
        <v>46046</v>
      </c>
      <c r="B347" s="6" t="str">
        <f>+'[1]VENTAS(RESUMEN GLOBAL)'!M347</f>
        <v>ECCE</v>
      </c>
      <c r="C347">
        <f>+'[1]VENTAS(RESUMEN GLOBAL)'!B347</f>
        <v>800800</v>
      </c>
      <c r="D347" t="str">
        <f>INDEX('[1]CÓDIGOS DE PRODUCTO'!$D$3:$D$1000,MATCH(C347,'[1]CÓDIGOS DE PRODUCTO'!$A$3:$A$1000,0))</f>
        <v>50181900 </v>
      </c>
      <c r="E347" t="str">
        <f>VLOOKUP(C347,'[1]CÓDIGOS DE PRODUCTO'!$A$4:$B$156,2,FALSE)</f>
        <v>DORADITAS</v>
      </c>
      <c r="F347" t="str">
        <f>INDEX('[1]CÓDIGOS DE PRODUCTO'!$C$3:$C$1000,MATCH(C347,'[1]CÓDIGOS DE PRODUCTO'!$A$3:$A$1000,0))</f>
        <v>GALLETAS Y PAN DULCE</v>
      </c>
      <c r="G347">
        <f>+'[1]VENTAS(RESUMEN GLOBAL)'!D347-'[1]VENTAS(RESUMEN GLOBAL)'!E347</f>
        <v>4</v>
      </c>
      <c r="H347" s="9">
        <f>+'[1]VENTAS(RESUMEN GLOBAL)'!K347</f>
        <v>5.6000000000000005</v>
      </c>
      <c r="I347" s="8">
        <f>+G347*'[1]VENTAS(RESUMEN GLOBAL)'!F347</f>
        <v>40</v>
      </c>
      <c r="J347" s="8">
        <f>'[1]VENTAS(RESUMEN GLOBAL)'!G347*(1-'[1]VENTAS(RESUMEN GLOBAL)'!H347)</f>
        <v>13.599999999999998</v>
      </c>
      <c r="K347" s="8">
        <f t="shared" si="5"/>
        <v>26.400000000000002</v>
      </c>
      <c r="L347" s="8">
        <f>+'[1]VENTAS(RESUMEN GLOBAL)'!J347</f>
        <v>5.28</v>
      </c>
      <c r="M347" s="8">
        <f>+Tabla1[[#This Row],[utilidad x dia]]*7</f>
        <v>36.96</v>
      </c>
    </row>
    <row r="348" spans="1:13" x14ac:dyDescent="0.3">
      <c r="A348" s="6">
        <f>+'[1]VENTAS(RESUMEN GLOBAL)'!L348</f>
        <v>46046</v>
      </c>
      <c r="B348" s="6" t="str">
        <f>+'[1]VENTAS(RESUMEN GLOBAL)'!M348</f>
        <v>ECCE</v>
      </c>
      <c r="C348">
        <f>+'[1]VENTAS(RESUMEN GLOBAL)'!B348</f>
        <v>300300</v>
      </c>
      <c r="D348" t="str">
        <f>INDEX('[1]CÓDIGOS DE PRODUCTO'!$D$3:$D$1000,MATCH(C348,'[1]CÓDIGOS DE PRODUCTO'!$A$3:$A$1000,0))</f>
        <v>50161800 </v>
      </c>
      <c r="E348" t="str">
        <f>VLOOKUP(C348,'[1]CÓDIGOS DE PRODUCTO'!$A$4:$B$156,2,FALSE)</f>
        <v>FRUIT FOOT</v>
      </c>
      <c r="F348" t="str">
        <f>INDEX('[1]CÓDIGOS DE PRODUCTO'!$C$3:$C$1000,MATCH(C348,'[1]CÓDIGOS DE PRODUCTO'!$A$3:$A$1000,0))</f>
        <v>Snacks &amp; Dulces</v>
      </c>
      <c r="G348">
        <f>+'[1]VENTAS(RESUMEN GLOBAL)'!D348-'[1]VENTAS(RESUMEN GLOBAL)'!E348</f>
        <v>1</v>
      </c>
      <c r="H348" s="9">
        <f>+'[1]VENTAS(RESUMEN GLOBAL)'!K348</f>
        <v>1.4000000000000001</v>
      </c>
      <c r="I348" s="8">
        <f>+G348*'[1]VENTAS(RESUMEN GLOBAL)'!F348</f>
        <v>15</v>
      </c>
      <c r="J348" s="8">
        <f>'[1]VENTAS(RESUMEN GLOBAL)'!G348*(1-'[1]VENTAS(RESUMEN GLOBAL)'!H348)</f>
        <v>6.7499999999999991</v>
      </c>
      <c r="K348" s="8">
        <f t="shared" si="5"/>
        <v>8.25</v>
      </c>
      <c r="L348" s="8">
        <f>+'[1]VENTAS(RESUMEN GLOBAL)'!J348</f>
        <v>1.65</v>
      </c>
      <c r="M348" s="8">
        <f>+Tabla1[[#This Row],[utilidad x dia]]*7</f>
        <v>11.549999999999999</v>
      </c>
    </row>
    <row r="349" spans="1:13" x14ac:dyDescent="0.3">
      <c r="A349" s="6">
        <f>+'[1]VENTAS(RESUMEN GLOBAL)'!L349</f>
        <v>46046</v>
      </c>
      <c r="B349" s="6" t="str">
        <f>+'[1]VENTAS(RESUMEN GLOBAL)'!M349</f>
        <v>ECCE</v>
      </c>
      <c r="C349">
        <f>+'[1]VENTAS(RESUMEN GLOBAL)'!B349</f>
        <v>600100</v>
      </c>
      <c r="D349" t="str">
        <f>INDEX('[1]CÓDIGOS DE PRODUCTO'!$D$3:$D$1000,MATCH(C349,'[1]CÓDIGOS DE PRODUCTO'!$A$3:$A$1000,0))</f>
        <v>50192109 </v>
      </c>
      <c r="E349" t="str">
        <f>VLOOKUP(C349,'[1]CÓDIGOS DE PRODUCTO'!$A$4:$B$156,2,FALSE)</f>
        <v>PAPAS FRITAS BARCEL (G)</v>
      </c>
      <c r="F349" t="str">
        <f>INDEX('[1]CÓDIGOS DE PRODUCTO'!$C$3:$C$1000,MATCH(C349,'[1]CÓDIGOS DE PRODUCTO'!$A$3:$A$1000,0))</f>
        <v>Papas fritas</v>
      </c>
      <c r="G349">
        <f>+'[1]VENTAS(RESUMEN GLOBAL)'!D349-'[1]VENTAS(RESUMEN GLOBAL)'!E349</f>
        <v>4</v>
      </c>
      <c r="H349" s="9">
        <f>+'[1]VENTAS(RESUMEN GLOBAL)'!K349</f>
        <v>5.6000000000000005</v>
      </c>
      <c r="I349" s="8">
        <f>+G349*'[1]VENTAS(RESUMEN GLOBAL)'!F349</f>
        <v>100</v>
      </c>
      <c r="J349" s="8">
        <f>'[1]VENTAS(RESUMEN GLOBAL)'!G349*(1-'[1]VENTAS(RESUMEN GLOBAL)'!H349)</f>
        <v>56.000000000000007</v>
      </c>
      <c r="K349" s="8">
        <f t="shared" si="5"/>
        <v>43.999999999999993</v>
      </c>
      <c r="L349" s="8">
        <f>+'[1]VENTAS(RESUMEN GLOBAL)'!J349</f>
        <v>8.8000000000000007</v>
      </c>
      <c r="M349" s="8">
        <f>+Tabla1[[#This Row],[utilidad x dia]]*7</f>
        <v>61.600000000000009</v>
      </c>
    </row>
    <row r="350" spans="1:13" x14ac:dyDescent="0.3">
      <c r="A350" s="6">
        <f>+'[1]VENTAS(RESUMEN GLOBAL)'!L350</f>
        <v>46046</v>
      </c>
      <c r="B350" s="6" t="str">
        <f>+'[1]VENTAS(RESUMEN GLOBAL)'!M350</f>
        <v>ECCE</v>
      </c>
      <c r="C350">
        <f>+'[1]VENTAS(RESUMEN GLOBAL)'!B350</f>
        <v>600500</v>
      </c>
      <c r="D350" t="str">
        <f>INDEX('[1]CÓDIGOS DE PRODUCTO'!$D$3:$D$1000,MATCH(C350,'[1]CÓDIGOS DE PRODUCTO'!$A$3:$A$1000,0))</f>
        <v>50192109 </v>
      </c>
      <c r="E350" t="str">
        <f>VLOOKUP(C350,'[1]CÓDIGOS DE PRODUCTO'!$A$4:$B$156,2,FALSE)</f>
        <v>SABRIMAYOREO</v>
      </c>
      <c r="F350" t="str">
        <f>INDEX('[1]CÓDIGOS DE PRODUCTO'!$C$3:$C$1000,MATCH(C350,'[1]CÓDIGOS DE PRODUCTO'!$A$3:$A$1000,0))</f>
        <v>Papas fritas</v>
      </c>
      <c r="G350">
        <f>+'[1]VENTAS(RESUMEN GLOBAL)'!D350-'[1]VENTAS(RESUMEN GLOBAL)'!E350</f>
        <v>2</v>
      </c>
      <c r="H350" s="9">
        <f>+'[1]VENTAS(RESUMEN GLOBAL)'!K350</f>
        <v>2.8000000000000003</v>
      </c>
      <c r="I350" s="8">
        <f>+G350*'[1]VENTAS(RESUMEN GLOBAL)'!F350</f>
        <v>50</v>
      </c>
      <c r="J350" s="8">
        <f>'[1]VENTAS(RESUMEN GLOBAL)'!G350*(1-'[1]VENTAS(RESUMEN GLOBAL)'!H350)</f>
        <v>25</v>
      </c>
      <c r="K350" s="8">
        <f t="shared" si="5"/>
        <v>25</v>
      </c>
      <c r="L350" s="8">
        <f>+'[1]VENTAS(RESUMEN GLOBAL)'!J350</f>
        <v>5</v>
      </c>
      <c r="M350" s="8">
        <f>+Tabla1[[#This Row],[utilidad x dia]]*7</f>
        <v>35</v>
      </c>
    </row>
    <row r="351" spans="1:13" x14ac:dyDescent="0.3">
      <c r="A351" s="6">
        <f>+'[1]VENTAS(RESUMEN GLOBAL)'!L351</f>
        <v>46046</v>
      </c>
      <c r="B351" s="6" t="str">
        <f>+'[1]VENTAS(RESUMEN GLOBAL)'!M351</f>
        <v>ECCE</v>
      </c>
      <c r="C351">
        <f>+'[1]VENTAS(RESUMEN GLOBAL)'!B351</f>
        <v>300400</v>
      </c>
      <c r="D351" t="str">
        <f>INDEX('[1]CÓDIGOS DE PRODUCTO'!$D$3:$D$1000,MATCH(C351,'[1]CÓDIGOS DE PRODUCTO'!$A$3:$A$1000,0))</f>
        <v>50161800 </v>
      </c>
      <c r="E351" t="str">
        <f>VLOOKUP(C351,'[1]CÓDIGOS DE PRODUCTO'!$A$4:$B$156,2,FALSE)</f>
        <v>Welchs GOMITAS</v>
      </c>
      <c r="F351" t="str">
        <f>INDEX('[1]CÓDIGOS DE PRODUCTO'!$C$3:$C$1000,MATCH(C351,'[1]CÓDIGOS DE PRODUCTO'!$A$3:$A$1000,0))</f>
        <v>Snacks &amp; Dulces</v>
      </c>
      <c r="G351">
        <f>+'[1]VENTAS(RESUMEN GLOBAL)'!D351-'[1]VENTAS(RESUMEN GLOBAL)'!E351</f>
        <v>2</v>
      </c>
      <c r="H351" s="9">
        <f>+'[1]VENTAS(RESUMEN GLOBAL)'!K351</f>
        <v>2.8000000000000003</v>
      </c>
      <c r="I351" s="8">
        <f>+G351*'[1]VENTAS(RESUMEN GLOBAL)'!F351</f>
        <v>20</v>
      </c>
      <c r="J351" s="8">
        <f>'[1]VENTAS(RESUMEN GLOBAL)'!G351*(1-'[1]VENTAS(RESUMEN GLOBAL)'!H351)</f>
        <v>12</v>
      </c>
      <c r="K351" s="8">
        <f t="shared" si="5"/>
        <v>8</v>
      </c>
      <c r="L351" s="8">
        <f>+'[1]VENTAS(RESUMEN GLOBAL)'!J351</f>
        <v>1.6</v>
      </c>
      <c r="M351" s="8">
        <f>+Tabla1[[#This Row],[utilidad x dia]]*7</f>
        <v>11.200000000000001</v>
      </c>
    </row>
    <row r="352" spans="1:13" x14ac:dyDescent="0.3">
      <c r="A352" s="6">
        <f>+'[1]VENTAS(RESUMEN GLOBAL)'!L352</f>
        <v>46046</v>
      </c>
      <c r="B352" s="6" t="str">
        <f>+'[1]VENTAS(RESUMEN GLOBAL)'!M352</f>
        <v>ECCE</v>
      </c>
      <c r="C352">
        <f>+'[1]VENTAS(RESUMEN GLOBAL)'!B352</f>
        <v>300100</v>
      </c>
      <c r="D352" t="str">
        <f>INDEX('[1]CÓDIGOS DE PRODUCTO'!$D$3:$D$1000,MATCH(C352,'[1]CÓDIGOS DE PRODUCTO'!$A$3:$A$1000,0))</f>
        <v>50161800 </v>
      </c>
      <c r="E352" t="str">
        <f>VLOOKUP(C352,'[1]CÓDIGOS DE PRODUCTO'!$A$4:$B$156,2,FALSE)</f>
        <v>Pelonetes</v>
      </c>
      <c r="F352" t="str">
        <f>INDEX('[1]CÓDIGOS DE PRODUCTO'!$C$3:$C$1000,MATCH(C352,'[1]CÓDIGOS DE PRODUCTO'!$A$3:$A$1000,0))</f>
        <v>Snacks &amp; Dulces</v>
      </c>
      <c r="G352">
        <f>+'[1]VENTAS(RESUMEN GLOBAL)'!D352-'[1]VENTAS(RESUMEN GLOBAL)'!E352</f>
        <v>1</v>
      </c>
      <c r="H352" s="9">
        <f>+'[1]VENTAS(RESUMEN GLOBAL)'!K352</f>
        <v>1.4000000000000001</v>
      </c>
      <c r="I352" s="8">
        <f>+G352*'[1]VENTAS(RESUMEN GLOBAL)'!F352</f>
        <v>15</v>
      </c>
      <c r="J352" s="8">
        <f>'[1]VENTAS(RESUMEN GLOBAL)'!G352*(1-'[1]VENTAS(RESUMEN GLOBAL)'!H352)</f>
        <v>6.4500000000000011</v>
      </c>
      <c r="K352" s="8">
        <f t="shared" si="5"/>
        <v>8.5499999999999989</v>
      </c>
      <c r="L352" s="8">
        <f>+'[1]VENTAS(RESUMEN GLOBAL)'!J352</f>
        <v>1.7099999999999997</v>
      </c>
      <c r="M352" s="8">
        <f>+Tabla1[[#This Row],[utilidad x dia]]*7</f>
        <v>11.969999999999999</v>
      </c>
    </row>
    <row r="353" spans="1:13" x14ac:dyDescent="0.3">
      <c r="A353" s="6">
        <f>+'[1]VENTAS(RESUMEN GLOBAL)'!L353</f>
        <v>46046</v>
      </c>
      <c r="B353" s="6" t="str">
        <f>+'[1]VENTAS(RESUMEN GLOBAL)'!M353</f>
        <v>ECCE</v>
      </c>
      <c r="C353">
        <f>+'[1]VENTAS(RESUMEN GLOBAL)'!B353</f>
        <v>100400</v>
      </c>
      <c r="D353" t="str">
        <f>INDEX('[1]CÓDIGOS DE PRODUCTO'!$D$3:$D$1000,MATCH(C353,'[1]CÓDIGOS DE PRODUCTO'!$A$3:$A$1000,0))</f>
        <v>50202300 </v>
      </c>
      <c r="E353" t="str">
        <f>VLOOKUP(C353,'[1]CÓDIGOS DE PRODUCTO'!$A$4:$B$156,2,FALSE)</f>
        <v>Jumex</v>
      </c>
      <c r="F353" t="str">
        <f>INDEX('[1]CÓDIGOS DE PRODUCTO'!$C$3:$C$1000,MATCH(C353,'[1]CÓDIGOS DE PRODUCTO'!$A$3:$A$1000,0))</f>
        <v>Bebidas</v>
      </c>
      <c r="G353">
        <f>+'[1]VENTAS(RESUMEN GLOBAL)'!D353-'[1]VENTAS(RESUMEN GLOBAL)'!E353</f>
        <v>1</v>
      </c>
      <c r="H353" s="9">
        <f>+'[1]VENTAS(RESUMEN GLOBAL)'!K353</f>
        <v>1.4000000000000001</v>
      </c>
      <c r="I353" s="8">
        <f>+G353*'[1]VENTAS(RESUMEN GLOBAL)'!F353</f>
        <v>15</v>
      </c>
      <c r="J353" s="8">
        <f>'[1]VENTAS(RESUMEN GLOBAL)'!G353*(1-'[1]VENTAS(RESUMEN GLOBAL)'!H353)</f>
        <v>5.0999999999999996</v>
      </c>
      <c r="K353" s="8">
        <f t="shared" si="5"/>
        <v>9.9</v>
      </c>
      <c r="L353" s="8">
        <f>+'[1]VENTAS(RESUMEN GLOBAL)'!J353</f>
        <v>1.98</v>
      </c>
      <c r="M353" s="8">
        <f>+Tabla1[[#This Row],[utilidad x dia]]*7</f>
        <v>13.86</v>
      </c>
    </row>
    <row r="354" spans="1:13" x14ac:dyDescent="0.3">
      <c r="A354" s="6">
        <f>+'[1]VENTAS(RESUMEN GLOBAL)'!L354</f>
        <v>46046</v>
      </c>
      <c r="B354" s="6" t="str">
        <f>+'[1]VENTAS(RESUMEN GLOBAL)'!M354</f>
        <v>ECCE</v>
      </c>
      <c r="C354">
        <f>+'[1]VENTAS(RESUMEN GLOBAL)'!B354</f>
        <v>100400</v>
      </c>
      <c r="D354" t="str">
        <f>INDEX('[1]CÓDIGOS DE PRODUCTO'!$D$3:$D$1000,MATCH(C354,'[1]CÓDIGOS DE PRODUCTO'!$A$3:$A$1000,0))</f>
        <v>50202300 </v>
      </c>
      <c r="E354" t="str">
        <f>VLOOKUP(C354,'[1]CÓDIGOS DE PRODUCTO'!$A$4:$B$156,2,FALSE)</f>
        <v>Jumex</v>
      </c>
      <c r="F354" t="str">
        <f>INDEX('[1]CÓDIGOS DE PRODUCTO'!$C$3:$C$1000,MATCH(C354,'[1]CÓDIGOS DE PRODUCTO'!$A$3:$A$1000,0))</f>
        <v>Bebidas</v>
      </c>
      <c r="G354">
        <f>+'[1]VENTAS(RESUMEN GLOBAL)'!D354-'[1]VENTAS(RESUMEN GLOBAL)'!E354</f>
        <v>3</v>
      </c>
      <c r="H354" s="9">
        <f>+'[1]VENTAS(RESUMEN GLOBAL)'!K354</f>
        <v>4.2</v>
      </c>
      <c r="I354" s="8">
        <f>+G354*'[1]VENTAS(RESUMEN GLOBAL)'!F354</f>
        <v>45</v>
      </c>
      <c r="J354" s="8">
        <f>'[1]VENTAS(RESUMEN GLOBAL)'!G354*(1-'[1]VENTAS(RESUMEN GLOBAL)'!H354)</f>
        <v>15.299999999999999</v>
      </c>
      <c r="K354" s="8">
        <f t="shared" si="5"/>
        <v>29.700000000000003</v>
      </c>
      <c r="L354" s="8">
        <f>+'[1]VENTAS(RESUMEN GLOBAL)'!J354</f>
        <v>5.94</v>
      </c>
      <c r="M354" s="8">
        <f>+Tabla1[[#This Row],[utilidad x dia]]*7</f>
        <v>41.580000000000005</v>
      </c>
    </row>
    <row r="355" spans="1:13" x14ac:dyDescent="0.3">
      <c r="A355" s="6">
        <f>+'[1]VENTAS(RESUMEN GLOBAL)'!L355</f>
        <v>46046</v>
      </c>
      <c r="B355" s="6" t="str">
        <f>+'[1]VENTAS(RESUMEN GLOBAL)'!M355</f>
        <v>ECCE</v>
      </c>
      <c r="C355">
        <f>+'[1]VENTAS(RESUMEN GLOBAL)'!B355</f>
        <v>700600</v>
      </c>
      <c r="D355" t="str">
        <f>INDEX('[1]CÓDIGOS DE PRODUCTO'!$D$3:$D$1000,MATCH(C355,'[1]CÓDIGOS DE PRODUCTO'!$A$3:$A$1000,0))</f>
        <v>50161511 </v>
      </c>
      <c r="E355" t="str">
        <f>VLOOKUP(C355,'[1]CÓDIGOS DE PRODUCTO'!$A$4:$B$156,2,FALSE)</f>
        <v>CHOCO MUIBÓN</v>
      </c>
      <c r="F355" t="str">
        <f>INDEX('[1]CÓDIGOS DE PRODUCTO'!$C$3:$C$1000,MATCH(C355,'[1]CÓDIGOS DE PRODUCTO'!$A$3:$A$1000,0))</f>
        <v>CHOCOLATES</v>
      </c>
      <c r="G355">
        <f>+'[1]VENTAS(RESUMEN GLOBAL)'!D355-'[1]VENTAS(RESUMEN GLOBAL)'!E355</f>
        <v>4</v>
      </c>
      <c r="H355" s="9">
        <f>+'[1]VENTAS(RESUMEN GLOBAL)'!K355</f>
        <v>5.6000000000000005</v>
      </c>
      <c r="I355" s="8">
        <f>+G355*'[1]VENTAS(RESUMEN GLOBAL)'!F355</f>
        <v>60</v>
      </c>
      <c r="J355" s="8">
        <f>'[1]VENTAS(RESUMEN GLOBAL)'!G355*(1-'[1]VENTAS(RESUMEN GLOBAL)'!H355)</f>
        <v>20.399999999999999</v>
      </c>
      <c r="K355" s="8">
        <f t="shared" si="5"/>
        <v>39.6</v>
      </c>
      <c r="L355" s="8">
        <f>+'[1]VENTAS(RESUMEN GLOBAL)'!J355</f>
        <v>7.92</v>
      </c>
      <c r="M355" s="8">
        <f>+Tabla1[[#This Row],[utilidad x dia]]*7</f>
        <v>55.44</v>
      </c>
    </row>
    <row r="356" spans="1:13" x14ac:dyDescent="0.3">
      <c r="A356" s="6">
        <f>+'[1]VENTAS(RESUMEN GLOBAL)'!L356</f>
        <v>46046</v>
      </c>
      <c r="B356" s="6" t="str">
        <f>+'[1]VENTAS(RESUMEN GLOBAL)'!M356</f>
        <v>ECCE</v>
      </c>
      <c r="C356">
        <f>+'[1]VENTAS(RESUMEN GLOBAL)'!B356</f>
        <v>800400</v>
      </c>
      <c r="D356" t="str">
        <f>INDEX('[1]CÓDIGOS DE PRODUCTO'!$D$3:$D$1000,MATCH(C356,'[1]CÓDIGOS DE PRODUCTO'!$A$3:$A$1000,0))</f>
        <v>50181900 </v>
      </c>
      <c r="E356" t="str">
        <f>VLOOKUP(C356,'[1]CÓDIGOS DE PRODUCTO'!$A$4:$B$156,2,FALSE)</f>
        <v>Barritas FRESA</v>
      </c>
      <c r="F356" t="str">
        <f>INDEX('[1]CÓDIGOS DE PRODUCTO'!$C$3:$C$1000,MATCH(C356,'[1]CÓDIGOS DE PRODUCTO'!$A$3:$A$1000,0))</f>
        <v>GALLETAS Y PAN DULCE</v>
      </c>
      <c r="G356">
        <f>+'[1]VENTAS(RESUMEN GLOBAL)'!D356-'[1]VENTAS(RESUMEN GLOBAL)'!E356</f>
        <v>6</v>
      </c>
      <c r="H356" s="9">
        <f>+'[1]VENTAS(RESUMEN GLOBAL)'!K356</f>
        <v>8.4</v>
      </c>
      <c r="I356" s="8">
        <f>+G356*'[1]VENTAS(RESUMEN GLOBAL)'!F356</f>
        <v>120</v>
      </c>
      <c r="J356" s="8">
        <f>'[1]VENTAS(RESUMEN GLOBAL)'!G356*(1-'[1]VENTAS(RESUMEN GLOBAL)'!H356)</f>
        <v>53.999999999999993</v>
      </c>
      <c r="K356" s="8">
        <f t="shared" si="5"/>
        <v>66</v>
      </c>
      <c r="L356" s="8">
        <f>+'[1]VENTAS(RESUMEN GLOBAL)'!J356</f>
        <v>13.2</v>
      </c>
      <c r="M356" s="8">
        <f>+Tabla1[[#This Row],[utilidad x dia]]*7</f>
        <v>92.399999999999991</v>
      </c>
    </row>
    <row r="357" spans="1:13" x14ac:dyDescent="0.3">
      <c r="A357" s="6">
        <f>+'[1]VENTAS(RESUMEN GLOBAL)'!L357</f>
        <v>46046</v>
      </c>
      <c r="B357" s="6" t="str">
        <f>+'[1]VENTAS(RESUMEN GLOBAL)'!M357</f>
        <v>ECCE</v>
      </c>
      <c r="C357">
        <f>+'[1]VENTAS(RESUMEN GLOBAL)'!B357</f>
        <v>800700</v>
      </c>
      <c r="D357" t="str">
        <f>INDEX('[1]CÓDIGOS DE PRODUCTO'!$D$3:$D$1000,MATCH(C357,'[1]CÓDIGOS DE PRODUCTO'!$A$3:$A$1000,0))</f>
        <v>50181900 </v>
      </c>
      <c r="E357" t="str">
        <f>VLOOKUP(C357,'[1]CÓDIGOS DE PRODUCTO'!$A$4:$B$156,2,FALSE)</f>
        <v>BARRITAS PIÑA</v>
      </c>
      <c r="F357" t="str">
        <f>INDEX('[1]CÓDIGOS DE PRODUCTO'!$C$3:$C$1000,MATCH(C357,'[1]CÓDIGOS DE PRODUCTO'!$A$3:$A$1000,0))</f>
        <v>GALLETAS Y PAN DULCE</v>
      </c>
      <c r="G357">
        <f>+'[1]VENTAS(RESUMEN GLOBAL)'!D357-'[1]VENTAS(RESUMEN GLOBAL)'!E357</f>
        <v>3</v>
      </c>
      <c r="H357" s="9">
        <f>+'[1]VENTAS(RESUMEN GLOBAL)'!K357</f>
        <v>4.2</v>
      </c>
      <c r="I357" s="8">
        <f>+G357*'[1]VENTAS(RESUMEN GLOBAL)'!F357</f>
        <v>60</v>
      </c>
      <c r="J357" s="8">
        <f>'[1]VENTAS(RESUMEN GLOBAL)'!G357*(1-'[1]VENTAS(RESUMEN GLOBAL)'!H357)</f>
        <v>26.999999999999996</v>
      </c>
      <c r="K357" s="8">
        <f t="shared" si="5"/>
        <v>33</v>
      </c>
      <c r="L357" s="8">
        <f>+'[1]VENTAS(RESUMEN GLOBAL)'!J357</f>
        <v>6.6</v>
      </c>
      <c r="M357" s="8">
        <f>+Tabla1[[#This Row],[utilidad x dia]]*7</f>
        <v>46.199999999999996</v>
      </c>
    </row>
    <row r="358" spans="1:13" x14ac:dyDescent="0.3">
      <c r="A358" s="6">
        <f>+'[1]VENTAS(RESUMEN GLOBAL)'!L358</f>
        <v>46046</v>
      </c>
      <c r="B358" s="6" t="str">
        <f>+'[1]VENTAS(RESUMEN GLOBAL)'!M358</f>
        <v>ECCE</v>
      </c>
      <c r="C358">
        <f>+'[1]VENTAS(RESUMEN GLOBAL)'!B358</f>
        <v>701000</v>
      </c>
      <c r="D358" t="str">
        <f>INDEX('[1]CÓDIGOS DE PRODUCTO'!$D$3:$D$1000,MATCH(C358,'[1]CÓDIGOS DE PRODUCTO'!$A$3:$A$1000,0))</f>
        <v>50161511 </v>
      </c>
      <c r="E358" t="str">
        <f>VLOOKUP(C358,'[1]CÓDIGOS DE PRODUCTO'!$A$4:$B$156,2,FALSE)</f>
        <v>BUBULUBU</v>
      </c>
      <c r="F358" t="str">
        <f>INDEX('[1]CÓDIGOS DE PRODUCTO'!$C$3:$C$1000,MATCH(C358,'[1]CÓDIGOS DE PRODUCTO'!$A$3:$A$1000,0))</f>
        <v>CHOCOLATES</v>
      </c>
      <c r="G358">
        <f>+'[1]VENTAS(RESUMEN GLOBAL)'!D358-'[1]VENTAS(RESUMEN GLOBAL)'!E358</f>
        <v>3</v>
      </c>
      <c r="H358" s="9">
        <f>+'[1]VENTAS(RESUMEN GLOBAL)'!K358</f>
        <v>4.2</v>
      </c>
      <c r="I358" s="8">
        <f>+G358*'[1]VENTAS(RESUMEN GLOBAL)'!F358</f>
        <v>39</v>
      </c>
      <c r="J358" s="8">
        <f>'[1]VENTAS(RESUMEN GLOBAL)'!G358*(1-'[1]VENTAS(RESUMEN GLOBAL)'!H358)</f>
        <v>21.060000000000002</v>
      </c>
      <c r="K358" s="8">
        <f t="shared" si="5"/>
        <v>17.939999999999998</v>
      </c>
      <c r="L358" s="8">
        <f>+'[1]VENTAS(RESUMEN GLOBAL)'!J358</f>
        <v>5.07</v>
      </c>
      <c r="M358" s="8">
        <f>+Tabla1[[#This Row],[utilidad x dia]]*7</f>
        <v>35.49</v>
      </c>
    </row>
    <row r="359" spans="1:13" x14ac:dyDescent="0.3">
      <c r="A359" s="6">
        <f>+'[1]VENTAS(RESUMEN GLOBAL)'!L359</f>
        <v>0</v>
      </c>
      <c r="B359" s="6">
        <f>+'[1]VENTAS(RESUMEN GLOBAL)'!M359</f>
        <v>0</v>
      </c>
      <c r="C359">
        <f>+'[1]VENTAS(RESUMEN GLOBAL)'!B359</f>
        <v>0</v>
      </c>
      <c r="D359" t="e">
        <f>INDEX('[1]CÓDIGOS DE PRODUCTO'!$D$3:$D$1000,MATCH(C359,'[1]CÓDIGOS DE PRODUCTO'!$A$3:$A$1000,0))</f>
        <v>#N/A</v>
      </c>
      <c r="E359">
        <f>VLOOKUP(C359,'[1]CÓDIGOS DE PRODUCTO'!$A$4:$B$156,2,FALSE)</f>
        <v>0</v>
      </c>
      <c r="F359">
        <f>INDEX('[1]CÓDIGOS DE PRODUCTO'!$C$3:$C$1000,MATCH(C359,'[1]CÓDIGOS DE PRODUCTO'!$A$3:$A$1000,0))</f>
        <v>0</v>
      </c>
      <c r="G359">
        <f>+'[1]VENTAS(RESUMEN GLOBAL)'!D359-'[1]VENTAS(RESUMEN GLOBAL)'!E359</f>
        <v>0</v>
      </c>
      <c r="H359" s="9">
        <f>+'[1]VENTAS(RESUMEN GLOBAL)'!K359</f>
        <v>0</v>
      </c>
      <c r="I359" s="8">
        <f>+G359*'[1]VENTAS(RESUMEN GLOBAL)'!F359</f>
        <v>0</v>
      </c>
      <c r="J359" s="8">
        <f>'[1]VENTAS(RESUMEN GLOBAL)'!G359*(1-'[1]VENTAS(RESUMEN GLOBAL)'!H359)</f>
        <v>0</v>
      </c>
      <c r="K359" s="8">
        <f t="shared" si="5"/>
        <v>0</v>
      </c>
      <c r="L359" s="8">
        <f>+'[1]VENTAS(RESUMEN GLOBAL)'!J359</f>
        <v>0</v>
      </c>
      <c r="M359" s="8">
        <f>+Tabla1[[#This Row],[utilidad x dia]]*7</f>
        <v>0</v>
      </c>
    </row>
    <row r="360" spans="1:13" x14ac:dyDescent="0.3">
      <c r="A360" s="6">
        <f>+'[1]VENTAS(RESUMEN GLOBAL)'!L360</f>
        <v>46055</v>
      </c>
      <c r="B360" s="6" t="str">
        <f>+'[1]VENTAS(RESUMEN GLOBAL)'!M360</f>
        <v>ECCE 2 SECCIÓN</v>
      </c>
      <c r="C360">
        <f>+'[1]VENTAS(RESUMEN GLOBAL)'!B360</f>
        <v>100200</v>
      </c>
      <c r="D360" t="str">
        <f>INDEX('[1]CÓDIGOS DE PRODUCTO'!$D$3:$D$1000,MATCH(C360,'[1]CÓDIGOS DE PRODUCTO'!$A$3:$A$1000,0))</f>
        <v>50202300 </v>
      </c>
      <c r="E360" t="str">
        <f>VLOOKUP(C360,'[1]CÓDIGOS DE PRODUCTO'!$A$4:$B$156,2,FALSE)</f>
        <v>Agua SAMS</v>
      </c>
      <c r="F360" t="str">
        <f>INDEX('[1]CÓDIGOS DE PRODUCTO'!$C$3:$C$1000,MATCH(C360,'[1]CÓDIGOS DE PRODUCTO'!$A$3:$A$1000,0))</f>
        <v>Bebidas</v>
      </c>
      <c r="G360">
        <f>+'[1]VENTAS(RESUMEN GLOBAL)'!D360-'[1]VENTAS(RESUMEN GLOBAL)'!E360</f>
        <v>7</v>
      </c>
      <c r="H360" s="9">
        <f>+'[1]VENTAS(RESUMEN GLOBAL)'!K360</f>
        <v>6.125</v>
      </c>
      <c r="I360" s="8">
        <f>+G360*'[1]VENTAS(RESUMEN GLOBAL)'!F360</f>
        <v>140</v>
      </c>
      <c r="J360" s="8">
        <f>'[1]VENTAS(RESUMEN GLOBAL)'!G360*(1-'[1]VENTAS(RESUMEN GLOBAL)'!H360)</f>
        <v>21.500000000000018</v>
      </c>
      <c r="K360" s="8">
        <f t="shared" si="5"/>
        <v>118.49999999999999</v>
      </c>
      <c r="L360" s="8">
        <f>+'[1]VENTAS(RESUMEN GLOBAL)'!J360</f>
        <v>14.812499999999998</v>
      </c>
      <c r="M360" s="8">
        <f>+Tabla1[[#This Row],[utilidad x dia]]*7</f>
        <v>103.68749999999999</v>
      </c>
    </row>
    <row r="361" spans="1:13" x14ac:dyDescent="0.3">
      <c r="A361" s="6">
        <f>+'[1]VENTAS(RESUMEN GLOBAL)'!L361</f>
        <v>46055</v>
      </c>
      <c r="B361" s="6" t="str">
        <f>+'[1]VENTAS(RESUMEN GLOBAL)'!M361</f>
        <v>ECCE 2 SECCIÓN</v>
      </c>
      <c r="C361">
        <f>+'[1]VENTAS(RESUMEN GLOBAL)'!B361</f>
        <v>100200</v>
      </c>
      <c r="D361" t="str">
        <f>INDEX('[1]CÓDIGOS DE PRODUCTO'!$D$3:$D$1000,MATCH(C361,'[1]CÓDIGOS DE PRODUCTO'!$A$3:$A$1000,0))</f>
        <v>50202300 </v>
      </c>
      <c r="E361" t="str">
        <f>VLOOKUP(C361,'[1]CÓDIGOS DE PRODUCTO'!$A$4:$B$156,2,FALSE)</f>
        <v>Agua SAMS</v>
      </c>
      <c r="F361" t="str">
        <f>INDEX('[1]CÓDIGOS DE PRODUCTO'!$C$3:$C$1000,MATCH(C361,'[1]CÓDIGOS DE PRODUCTO'!$A$3:$A$1000,0))</f>
        <v>Bebidas</v>
      </c>
      <c r="G361">
        <f>+'[1]VENTAS(RESUMEN GLOBAL)'!D361-'[1]VENTAS(RESUMEN GLOBAL)'!E361</f>
        <v>1</v>
      </c>
      <c r="H361" s="9">
        <f>+'[1]VENTAS(RESUMEN GLOBAL)'!K361</f>
        <v>0.875</v>
      </c>
      <c r="I361" s="8">
        <f>+G361*'[1]VENTAS(RESUMEN GLOBAL)'!F361</f>
        <v>20</v>
      </c>
      <c r="J361" s="8">
        <f>'[1]VENTAS(RESUMEN GLOBAL)'!G361*(1-'[1]VENTAS(RESUMEN GLOBAL)'!H361)</f>
        <v>3.2000000000000006</v>
      </c>
      <c r="K361" s="8">
        <f t="shared" si="5"/>
        <v>16.8</v>
      </c>
      <c r="L361" s="8">
        <f>+'[1]VENTAS(RESUMEN GLOBAL)'!J361</f>
        <v>2.1</v>
      </c>
      <c r="M361" s="8">
        <f>+Tabla1[[#This Row],[utilidad x dia]]*7</f>
        <v>14.700000000000001</v>
      </c>
    </row>
    <row r="362" spans="1:13" x14ac:dyDescent="0.3">
      <c r="A362" s="6">
        <f>+'[1]VENTAS(RESUMEN GLOBAL)'!L362</f>
        <v>46055</v>
      </c>
      <c r="B362" s="6" t="str">
        <f>+'[1]VENTAS(RESUMEN GLOBAL)'!M362</f>
        <v>ECCE 2 SECCIÓN</v>
      </c>
      <c r="C362">
        <f>+'[1]VENTAS(RESUMEN GLOBAL)'!B362</f>
        <v>200200</v>
      </c>
      <c r="D362" t="str">
        <f>INDEX('[1]CÓDIGOS DE PRODUCTO'!$D$3:$D$1000,MATCH(C362,'[1]CÓDIGOS DE PRODUCTO'!$A$3:$A$1000,0))</f>
        <v>IDENTIFICAR MANUAL</v>
      </c>
      <c r="E362" t="str">
        <f>VLOOKUP(C362,'[1]CÓDIGOS DE PRODUCTO'!$A$4:$B$156,2,FALSE)</f>
        <v>KIT DENTAL</v>
      </c>
      <c r="F362" t="str">
        <f>INDEX('[1]CÓDIGOS DE PRODUCTO'!$C$3:$C$1000,MATCH(C362,'[1]CÓDIGOS DE PRODUCTO'!$A$3:$A$1000,0))</f>
        <v>Pharmacy</v>
      </c>
      <c r="G362">
        <f>+'[1]VENTAS(RESUMEN GLOBAL)'!D362-'[1]VENTAS(RESUMEN GLOBAL)'!E362</f>
        <v>2</v>
      </c>
      <c r="H362" s="9">
        <f>+'[1]VENTAS(RESUMEN GLOBAL)'!K362</f>
        <v>1.75</v>
      </c>
      <c r="I362" s="8">
        <f>+G362*'[1]VENTAS(RESUMEN GLOBAL)'!F362</f>
        <v>120</v>
      </c>
      <c r="J362" s="8">
        <f>'[1]VENTAS(RESUMEN GLOBAL)'!G362*(1-'[1]VENTAS(RESUMEN GLOBAL)'!H362)</f>
        <v>44.4</v>
      </c>
      <c r="K362" s="8">
        <f t="shared" si="5"/>
        <v>75.599999999999994</v>
      </c>
      <c r="L362" s="8">
        <f>+'[1]VENTAS(RESUMEN GLOBAL)'!J362</f>
        <v>9.4499999999999993</v>
      </c>
      <c r="M362" s="8">
        <f>+Tabla1[[#This Row],[utilidad x dia]]*7</f>
        <v>66.149999999999991</v>
      </c>
    </row>
    <row r="363" spans="1:13" x14ac:dyDescent="0.3">
      <c r="A363" s="6">
        <f>+'[1]VENTAS(RESUMEN GLOBAL)'!L363</f>
        <v>46055</v>
      </c>
      <c r="B363" s="6" t="str">
        <f>+'[1]VENTAS(RESUMEN GLOBAL)'!M363</f>
        <v>ECCE 2 SECCIÓN</v>
      </c>
      <c r="C363">
        <f>+'[1]VENTAS(RESUMEN GLOBAL)'!B363</f>
        <v>200100</v>
      </c>
      <c r="D363" t="str">
        <f>INDEX('[1]CÓDIGOS DE PRODUCTO'!$D$3:$D$1000,MATCH(C363,'[1]CÓDIGOS DE PRODUCTO'!$A$3:$A$1000,0))</f>
        <v>IDENTIFICAR MANUAL</v>
      </c>
      <c r="E363" t="str">
        <f>VLOOKUP(C363,'[1]CÓDIGOS DE PRODUCTO'!$A$4:$B$156,2,FALSE)</f>
        <v>Bloqueador</v>
      </c>
      <c r="F363" t="str">
        <f>INDEX('[1]CÓDIGOS DE PRODUCTO'!$C$3:$C$1000,MATCH(C363,'[1]CÓDIGOS DE PRODUCTO'!$A$3:$A$1000,0))</f>
        <v>Pharmacy</v>
      </c>
      <c r="G363">
        <f>+'[1]VENTAS(RESUMEN GLOBAL)'!D363-'[1]VENTAS(RESUMEN GLOBAL)'!E363</f>
        <v>0</v>
      </c>
      <c r="H363" s="9">
        <f>+'[1]VENTAS(RESUMEN GLOBAL)'!K363</f>
        <v>0</v>
      </c>
      <c r="I363" s="8">
        <f>+G363*'[1]VENTAS(RESUMEN GLOBAL)'!F363</f>
        <v>0</v>
      </c>
      <c r="J363" s="8">
        <f>'[1]VENTAS(RESUMEN GLOBAL)'!G363*(1-'[1]VENTAS(RESUMEN GLOBAL)'!H363)</f>
        <v>0</v>
      </c>
      <c r="K363" s="8">
        <f t="shared" si="5"/>
        <v>0</v>
      </c>
      <c r="L363" s="8">
        <f>+'[1]VENTAS(RESUMEN GLOBAL)'!J363</f>
        <v>0</v>
      </c>
      <c r="M363" s="8">
        <f>+Tabla1[[#This Row],[utilidad x dia]]*7</f>
        <v>0</v>
      </c>
    </row>
    <row r="364" spans="1:13" x14ac:dyDescent="0.3">
      <c r="A364" s="6">
        <f>+'[1]VENTAS(RESUMEN GLOBAL)'!L364</f>
        <v>46055</v>
      </c>
      <c r="B364" s="6" t="str">
        <f>+'[1]VENTAS(RESUMEN GLOBAL)'!M364</f>
        <v>ECCE 2 SECCIÓN</v>
      </c>
      <c r="C364">
        <f>+'[1]VENTAS(RESUMEN GLOBAL)'!B364</f>
        <v>100300</v>
      </c>
      <c r="D364" t="str">
        <f>INDEX('[1]CÓDIGOS DE PRODUCTO'!$D$3:$D$1000,MATCH(C364,'[1]CÓDIGOS DE PRODUCTO'!$A$3:$A$1000,0))</f>
        <v>50202300 </v>
      </c>
      <c r="E364" t="str">
        <f>VLOOKUP(C364,'[1]CÓDIGOS DE PRODUCTO'!$A$4:$B$156,2,FALSE)</f>
        <v>Gatorade</v>
      </c>
      <c r="F364" t="str">
        <f>INDEX('[1]CÓDIGOS DE PRODUCTO'!$C$3:$C$1000,MATCH(C364,'[1]CÓDIGOS DE PRODUCTO'!$A$3:$A$1000,0))</f>
        <v>Bebidas</v>
      </c>
      <c r="G364">
        <f>+'[1]VENTAS(RESUMEN GLOBAL)'!D364-'[1]VENTAS(RESUMEN GLOBAL)'!E364</f>
        <v>7</v>
      </c>
      <c r="H364" s="9">
        <f>+'[1]VENTAS(RESUMEN GLOBAL)'!K364</f>
        <v>6.125</v>
      </c>
      <c r="I364" s="8">
        <f>+G364*'[1]VENTAS(RESUMEN GLOBAL)'!F364</f>
        <v>175</v>
      </c>
      <c r="J364" s="8">
        <f>'[1]VENTAS(RESUMEN GLOBAL)'!G364*(1-'[1]VENTAS(RESUMEN GLOBAL)'!H364)</f>
        <v>113.75</v>
      </c>
      <c r="K364" s="8">
        <f t="shared" si="5"/>
        <v>61.25</v>
      </c>
      <c r="L364" s="8">
        <f>+'[1]VENTAS(RESUMEN GLOBAL)'!J364</f>
        <v>7.6562499999999991</v>
      </c>
      <c r="M364" s="8">
        <f>+Tabla1[[#This Row],[utilidad x dia]]*7</f>
        <v>53.593749999999993</v>
      </c>
    </row>
    <row r="365" spans="1:13" x14ac:dyDescent="0.3">
      <c r="A365" s="6">
        <f>+'[1]VENTAS(RESUMEN GLOBAL)'!L365</f>
        <v>46055</v>
      </c>
      <c r="B365" s="6" t="str">
        <f>+'[1]VENTAS(RESUMEN GLOBAL)'!M365</f>
        <v>ECCE 2 SECCIÓN</v>
      </c>
      <c r="C365">
        <v>801300</v>
      </c>
      <c r="D365" t="str">
        <f>INDEX('[1]CÓDIGOS DE PRODUCTO'!$D$3:$D$1000,MATCH(C365,'[1]CÓDIGOS DE PRODUCTO'!$A$3:$A$1000,0))</f>
        <v>50181900 </v>
      </c>
      <c r="E365" t="str">
        <f>VLOOKUP(C365,'[1]CÓDIGOS DE PRODUCTO'!$A$4:$B$156,2,FALSE)</f>
        <v>OREO GDE</v>
      </c>
      <c r="F365" t="str">
        <f>INDEX('[1]CÓDIGOS DE PRODUCTO'!$C$3:$C$1000,MATCH(C365,'[1]CÓDIGOS DE PRODUCTO'!$A$3:$A$1000,0))</f>
        <v>GALLETAS Y PAN DULCE</v>
      </c>
      <c r="G365">
        <f>+'[1]VENTAS(RESUMEN GLOBAL)'!D365-'[1]VENTAS(RESUMEN GLOBAL)'!E365</f>
        <v>5</v>
      </c>
      <c r="H365" s="9">
        <f>+'[1]VENTAS(RESUMEN GLOBAL)'!K365</f>
        <v>4.375</v>
      </c>
      <c r="I365" s="8">
        <f>+G365*'[1]VENTAS(RESUMEN GLOBAL)'!F365</f>
        <v>125</v>
      </c>
      <c r="J365" s="8">
        <f>'[1]VENTAS(RESUMEN GLOBAL)'!G365*(1-'[1]VENTAS(RESUMEN GLOBAL)'!H365)</f>
        <v>54.999999999999993</v>
      </c>
      <c r="K365" s="8">
        <f t="shared" si="5"/>
        <v>70</v>
      </c>
      <c r="L365" s="8">
        <f>+'[1]VENTAS(RESUMEN GLOBAL)'!J365</f>
        <v>8.75</v>
      </c>
      <c r="M365" s="8">
        <f>+Tabla1[[#This Row],[utilidad x dia]]*7</f>
        <v>61.25</v>
      </c>
    </row>
    <row r="366" spans="1:13" x14ac:dyDescent="0.3">
      <c r="A366" s="6">
        <f>+'[1]VENTAS(RESUMEN GLOBAL)'!L366</f>
        <v>46055</v>
      </c>
      <c r="B366" s="6" t="str">
        <f>+'[1]VENTAS(RESUMEN GLOBAL)'!M366</f>
        <v>ECCE 2 SECCIÓN</v>
      </c>
      <c r="C366">
        <f>+'[1]VENTAS(RESUMEN GLOBAL)'!B366</f>
        <v>0</v>
      </c>
      <c r="D366" t="e">
        <f>INDEX('[1]CÓDIGOS DE PRODUCTO'!$D$3:$D$1000,MATCH(C366,'[1]CÓDIGOS DE PRODUCTO'!$A$3:$A$1000,0))</f>
        <v>#N/A</v>
      </c>
      <c r="E366">
        <f>VLOOKUP(C366,'[1]CÓDIGOS DE PRODUCTO'!$A$4:$B$156,2,FALSE)</f>
        <v>0</v>
      </c>
      <c r="F366">
        <f>INDEX('[1]CÓDIGOS DE PRODUCTO'!$C$3:$C$1000,MATCH(C366,'[1]CÓDIGOS DE PRODUCTO'!$A$3:$A$1000,0))</f>
        <v>0</v>
      </c>
      <c r="G366">
        <f>+'[1]VENTAS(RESUMEN GLOBAL)'!D366-'[1]VENTAS(RESUMEN GLOBAL)'!E366</f>
        <v>0</v>
      </c>
      <c r="H366" s="9">
        <f>+'[1]VENTAS(RESUMEN GLOBAL)'!K366</f>
        <v>0</v>
      </c>
      <c r="I366" s="8">
        <f>+G366*'[1]VENTAS(RESUMEN GLOBAL)'!F366</f>
        <v>0</v>
      </c>
      <c r="J366" s="8">
        <f>'[1]VENTAS(RESUMEN GLOBAL)'!G366*(1-'[1]VENTAS(RESUMEN GLOBAL)'!H366)</f>
        <v>0</v>
      </c>
      <c r="K366" s="8">
        <f t="shared" si="5"/>
        <v>0</v>
      </c>
      <c r="L366" s="8">
        <f>+'[1]VENTAS(RESUMEN GLOBAL)'!J366</f>
        <v>0</v>
      </c>
      <c r="M366" s="8">
        <f>+Tabla1[[#This Row],[utilidad x dia]]*7</f>
        <v>0</v>
      </c>
    </row>
    <row r="367" spans="1:13" x14ac:dyDescent="0.3">
      <c r="A367" s="6">
        <f>+'[1]VENTAS(RESUMEN GLOBAL)'!L367</f>
        <v>46055</v>
      </c>
      <c r="B367" s="6" t="str">
        <f>+'[1]VENTAS(RESUMEN GLOBAL)'!M367</f>
        <v>ECCE 2 SECCIÓN</v>
      </c>
      <c r="C367">
        <f>+'[1]VENTAS(RESUMEN GLOBAL)'!B367</f>
        <v>900300</v>
      </c>
      <c r="D367">
        <f>INDEX('[1]CÓDIGOS DE PRODUCTO'!$D$3:$D$1000,MATCH(C367,'[1]CÓDIGOS DE PRODUCTO'!$A$3:$A$1000,0))</f>
        <v>50161815</v>
      </c>
      <c r="E367" t="str">
        <f>VLOOKUP(C367,'[1]CÓDIGOS DE PRODUCTO'!$A$4:$B$156,2,FALSE)</f>
        <v>CHICLES TRIDENT</v>
      </c>
      <c r="F367" t="str">
        <f>INDEX('[1]CÓDIGOS DE PRODUCTO'!$C$3:$C$1000,MATCH(C367,'[1]CÓDIGOS DE PRODUCTO'!$A$3:$A$1000,0))</f>
        <v>OTROS</v>
      </c>
      <c r="G367">
        <f>+'[1]VENTAS(RESUMEN GLOBAL)'!D367-'[1]VENTAS(RESUMEN GLOBAL)'!E367</f>
        <v>1</v>
      </c>
      <c r="H367" s="9">
        <f>+'[1]VENTAS(RESUMEN GLOBAL)'!K367</f>
        <v>0.875</v>
      </c>
      <c r="I367" s="8">
        <f>+G367*'[1]VENTAS(RESUMEN GLOBAL)'!F367</f>
        <v>25</v>
      </c>
      <c r="J367" s="8">
        <f>'[1]VENTAS(RESUMEN GLOBAL)'!G367*(1-'[1]VENTAS(RESUMEN GLOBAL)'!H367)</f>
        <v>15</v>
      </c>
      <c r="K367" s="8">
        <f t="shared" si="5"/>
        <v>10</v>
      </c>
      <c r="L367" s="8">
        <f>+'[1]VENTAS(RESUMEN GLOBAL)'!J367</f>
        <v>1.25</v>
      </c>
      <c r="M367" s="8">
        <f>+Tabla1[[#This Row],[utilidad x dia]]*7</f>
        <v>8.75</v>
      </c>
    </row>
    <row r="368" spans="1:13" x14ac:dyDescent="0.3">
      <c r="A368" s="6">
        <f>+'[1]VENTAS(RESUMEN GLOBAL)'!L368</f>
        <v>46055</v>
      </c>
      <c r="B368" s="6" t="str">
        <f>+'[1]VENTAS(RESUMEN GLOBAL)'!M368</f>
        <v>ECCE 2 SECCIÓN</v>
      </c>
      <c r="C368">
        <f>+'[1]VENTAS(RESUMEN GLOBAL)'!B368</f>
        <v>400200</v>
      </c>
      <c r="D368" t="str">
        <f>INDEX('[1]CÓDIGOS DE PRODUCTO'!$D$3:$D$1000,MATCH(C368,'[1]CÓDIGOS DE PRODUCTO'!$A$3:$A$1000,0))</f>
        <v>N/A</v>
      </c>
      <c r="E368" t="str">
        <f>VLOOKUP(C368,'[1]CÓDIGOS DE PRODUCTO'!$A$4:$B$156,2,FALSE)</f>
        <v>MARLBORO ROJOS</v>
      </c>
      <c r="F368" t="str">
        <f>INDEX('[1]CÓDIGOS DE PRODUCTO'!$C$3:$C$1000,MATCH(C368,'[1]CÓDIGOS DE PRODUCTO'!$A$3:$A$1000,0))</f>
        <v>Cigarros</v>
      </c>
      <c r="G368">
        <f>+'[1]VENTAS(RESUMEN GLOBAL)'!D368-'[1]VENTAS(RESUMEN GLOBAL)'!E368</f>
        <v>2</v>
      </c>
      <c r="H368" s="9">
        <f>+'[1]VENTAS(RESUMEN GLOBAL)'!K368</f>
        <v>1.75</v>
      </c>
      <c r="I368" s="8">
        <f>+G368*'[1]VENTAS(RESUMEN GLOBAL)'!F368</f>
        <v>320</v>
      </c>
      <c r="J368" s="8">
        <f>'[1]VENTAS(RESUMEN GLOBAL)'!G368*(1-'[1]VENTAS(RESUMEN GLOBAL)'!H368)</f>
        <v>220.79999999999998</v>
      </c>
      <c r="K368" s="8">
        <f t="shared" si="5"/>
        <v>99.200000000000017</v>
      </c>
      <c r="L368" s="8">
        <f>+'[1]VENTAS(RESUMEN GLOBAL)'!J368</f>
        <v>12.4</v>
      </c>
      <c r="M368" s="8">
        <f>+Tabla1[[#This Row],[utilidad x dia]]*7</f>
        <v>86.8</v>
      </c>
    </row>
    <row r="369" spans="1:13" x14ac:dyDescent="0.3">
      <c r="A369" s="6">
        <f>+'[1]VENTAS(RESUMEN GLOBAL)'!L369</f>
        <v>46055</v>
      </c>
      <c r="B369" s="6" t="str">
        <f>+'[1]VENTAS(RESUMEN GLOBAL)'!M369</f>
        <v>ECCE 2 SECCIÓN</v>
      </c>
      <c r="C369">
        <f>+'[1]VENTAS(RESUMEN GLOBAL)'!B369</f>
        <v>400100</v>
      </c>
      <c r="D369" t="str">
        <f>INDEX('[1]CÓDIGOS DE PRODUCTO'!$D$3:$D$1000,MATCH(C369,'[1]CÓDIGOS DE PRODUCTO'!$A$3:$A$1000,0))</f>
        <v>N/A</v>
      </c>
      <c r="E369" t="str">
        <f>VLOOKUP(C369,'[1]CÓDIGOS DE PRODUCTO'!$A$4:$B$156,2,FALSE)</f>
        <v>MARLBORO BLANCOS</v>
      </c>
      <c r="F369" t="str">
        <f>INDEX('[1]CÓDIGOS DE PRODUCTO'!$C$3:$C$1000,MATCH(C369,'[1]CÓDIGOS DE PRODUCTO'!$A$3:$A$1000,0))</f>
        <v>Cigarros</v>
      </c>
      <c r="G369">
        <f>+'[1]VENTAS(RESUMEN GLOBAL)'!D369-'[1]VENTAS(RESUMEN GLOBAL)'!E369</f>
        <v>2</v>
      </c>
      <c r="H369" s="9">
        <f>+'[1]VENTAS(RESUMEN GLOBAL)'!K369</f>
        <v>1.75</v>
      </c>
      <c r="I369" s="8">
        <f>+G369*'[1]VENTAS(RESUMEN GLOBAL)'!F369</f>
        <v>320</v>
      </c>
      <c r="J369" s="8">
        <f>'[1]VENTAS(RESUMEN GLOBAL)'!G369*(1-'[1]VENTAS(RESUMEN GLOBAL)'!H369)</f>
        <v>220.79999999999998</v>
      </c>
      <c r="K369" s="8">
        <f t="shared" si="5"/>
        <v>99.200000000000017</v>
      </c>
      <c r="L369" s="8">
        <f>+'[1]VENTAS(RESUMEN GLOBAL)'!J369</f>
        <v>12.4</v>
      </c>
      <c r="M369" s="8">
        <f>+Tabla1[[#This Row],[utilidad x dia]]*7</f>
        <v>86.8</v>
      </c>
    </row>
    <row r="370" spans="1:13" x14ac:dyDescent="0.3">
      <c r="A370" s="6">
        <f>+'[1]VENTAS(RESUMEN GLOBAL)'!L370</f>
        <v>46055</v>
      </c>
      <c r="B370" s="6" t="str">
        <f>+'[1]VENTAS(RESUMEN GLOBAL)'!M370</f>
        <v>ECCE 2 SECCIÓN</v>
      </c>
      <c r="C370">
        <f>+'[1]VENTAS(RESUMEN GLOBAL)'!B370</f>
        <v>300400</v>
      </c>
      <c r="D370" t="str">
        <f>INDEX('[1]CÓDIGOS DE PRODUCTO'!$D$3:$D$1000,MATCH(C370,'[1]CÓDIGOS DE PRODUCTO'!$A$3:$A$1000,0))</f>
        <v>50161800 </v>
      </c>
      <c r="E370" t="str">
        <f>VLOOKUP(C370,'[1]CÓDIGOS DE PRODUCTO'!$A$4:$B$156,2,FALSE)</f>
        <v>Welchs GOMITAS</v>
      </c>
      <c r="F370" t="str">
        <f>INDEX('[1]CÓDIGOS DE PRODUCTO'!$C$3:$C$1000,MATCH(C370,'[1]CÓDIGOS DE PRODUCTO'!$A$3:$A$1000,0))</f>
        <v>Snacks &amp; Dulces</v>
      </c>
      <c r="G370">
        <f>+'[1]VENTAS(RESUMEN GLOBAL)'!D370-'[1]VENTAS(RESUMEN GLOBAL)'!E370</f>
        <v>6</v>
      </c>
      <c r="H370" s="9">
        <f>+'[1]VENTAS(RESUMEN GLOBAL)'!K370</f>
        <v>5.25</v>
      </c>
      <c r="I370" s="8">
        <f>+G370*'[1]VENTAS(RESUMEN GLOBAL)'!F370</f>
        <v>60</v>
      </c>
      <c r="J370" s="8">
        <f>'[1]VENTAS(RESUMEN GLOBAL)'!G370*(1-'[1]VENTAS(RESUMEN GLOBAL)'!H370)</f>
        <v>13.2</v>
      </c>
      <c r="K370" s="8">
        <f t="shared" si="5"/>
        <v>46.8</v>
      </c>
      <c r="L370" s="8">
        <f>+'[1]VENTAS(RESUMEN GLOBAL)'!J370</f>
        <v>5.8500000000000005</v>
      </c>
      <c r="M370" s="8">
        <f>+Tabla1[[#This Row],[utilidad x dia]]*7</f>
        <v>40.950000000000003</v>
      </c>
    </row>
    <row r="371" spans="1:13" x14ac:dyDescent="0.3">
      <c r="A371" s="6">
        <f>+'[1]VENTAS(RESUMEN GLOBAL)'!L371</f>
        <v>46055</v>
      </c>
      <c r="B371" s="6" t="str">
        <f>+'[1]VENTAS(RESUMEN GLOBAL)'!M371</f>
        <v>ECCE 2 SECCIÓN</v>
      </c>
      <c r="C371">
        <f>+'[1]VENTAS(RESUMEN GLOBAL)'!B371</f>
        <v>0</v>
      </c>
      <c r="D371" t="e">
        <f>INDEX('[1]CÓDIGOS DE PRODUCTO'!$D$3:$D$1000,MATCH(C371,'[1]CÓDIGOS DE PRODUCTO'!$A$3:$A$1000,0))</f>
        <v>#N/A</v>
      </c>
      <c r="E371">
        <f>VLOOKUP(C371,'[1]CÓDIGOS DE PRODUCTO'!$A$4:$B$156,2,FALSE)</f>
        <v>0</v>
      </c>
      <c r="F371">
        <f>INDEX('[1]CÓDIGOS DE PRODUCTO'!$C$3:$C$1000,MATCH(C371,'[1]CÓDIGOS DE PRODUCTO'!$A$3:$A$1000,0))</f>
        <v>0</v>
      </c>
      <c r="G371">
        <f>+'[1]VENTAS(RESUMEN GLOBAL)'!D371-'[1]VENTAS(RESUMEN GLOBAL)'!E371</f>
        <v>0</v>
      </c>
      <c r="H371" s="9">
        <f>+'[1]VENTAS(RESUMEN GLOBAL)'!K371</f>
        <v>0</v>
      </c>
      <c r="I371" s="8">
        <f>+G371*'[1]VENTAS(RESUMEN GLOBAL)'!F371</f>
        <v>0</v>
      </c>
      <c r="J371" s="8">
        <f>'[1]VENTAS(RESUMEN GLOBAL)'!G371*(1-'[1]VENTAS(RESUMEN GLOBAL)'!H371)</f>
        <v>0</v>
      </c>
      <c r="K371" s="8">
        <f t="shared" si="5"/>
        <v>0</v>
      </c>
      <c r="L371" s="8">
        <f>+'[1]VENTAS(RESUMEN GLOBAL)'!J371</f>
        <v>0</v>
      </c>
      <c r="M371" s="8">
        <f>+Tabla1[[#This Row],[utilidad x dia]]*7</f>
        <v>0</v>
      </c>
    </row>
    <row r="372" spans="1:13" x14ac:dyDescent="0.3">
      <c r="A372" s="6">
        <f>+'[1]VENTAS(RESUMEN GLOBAL)'!L372</f>
        <v>46055</v>
      </c>
      <c r="B372" s="6" t="str">
        <f>+'[1]VENTAS(RESUMEN GLOBAL)'!M372</f>
        <v>ECCE 2 SECCIÓN</v>
      </c>
      <c r="C372">
        <f>+'[1]VENTAS(RESUMEN GLOBAL)'!B372</f>
        <v>700800</v>
      </c>
      <c r="D372" t="str">
        <f>INDEX('[1]CÓDIGOS DE PRODUCTO'!$D$3:$D$1000,MATCH(C372,'[1]CÓDIGOS DE PRODUCTO'!$A$3:$A$1000,0))</f>
        <v>50161511 </v>
      </c>
      <c r="E372" t="str">
        <f>VLOOKUP(C372,'[1]CÓDIGOS DE PRODUCTO'!$A$4:$B$156,2,FALSE)</f>
        <v>Kinder delice</v>
      </c>
      <c r="F372" t="str">
        <f>INDEX('[1]CÓDIGOS DE PRODUCTO'!$C$3:$C$1000,MATCH(C372,'[1]CÓDIGOS DE PRODUCTO'!$A$3:$A$1000,0))</f>
        <v>CHOCOLATES</v>
      </c>
      <c r="G372">
        <f>+'[1]VENTAS(RESUMEN GLOBAL)'!D372-'[1]VENTAS(RESUMEN GLOBAL)'!E372</f>
        <v>11</v>
      </c>
      <c r="H372" s="9">
        <f>+'[1]VENTAS(RESUMEN GLOBAL)'!K372</f>
        <v>9.625</v>
      </c>
      <c r="I372" s="8">
        <f>+G372*'[1]VENTAS(RESUMEN GLOBAL)'!F372</f>
        <v>275</v>
      </c>
      <c r="J372" s="8">
        <f>'[1]VENTAS(RESUMEN GLOBAL)'!G372*(1-'[1]VENTAS(RESUMEN GLOBAL)'!H372)</f>
        <v>110</v>
      </c>
      <c r="K372" s="8">
        <f t="shared" si="5"/>
        <v>165</v>
      </c>
      <c r="L372" s="8">
        <f>+'[1]VENTAS(RESUMEN GLOBAL)'!J372</f>
        <v>20.625</v>
      </c>
      <c r="M372" s="8">
        <f>+Tabla1[[#This Row],[utilidad x dia]]*7</f>
        <v>144.375</v>
      </c>
    </row>
    <row r="373" spans="1:13" x14ac:dyDescent="0.3">
      <c r="A373" s="6">
        <f>+'[1]VENTAS(RESUMEN GLOBAL)'!L373</f>
        <v>46055</v>
      </c>
      <c r="B373" s="6" t="str">
        <f>+'[1]VENTAS(RESUMEN GLOBAL)'!M373</f>
        <v>ECCE 2 SECCIÓN</v>
      </c>
      <c r="C373">
        <f>+'[1]VENTAS(RESUMEN GLOBAL)'!B373</f>
        <v>700700</v>
      </c>
      <c r="D373" t="str">
        <f>INDEX('[1]CÓDIGOS DE PRODUCTO'!$D$3:$D$1000,MATCH(C373,'[1]CÓDIGOS DE PRODUCTO'!$A$3:$A$1000,0))</f>
        <v>50161511 </v>
      </c>
      <c r="E373" t="str">
        <f>VLOOKUP(C373,'[1]CÓDIGOS DE PRODUCTO'!$A$4:$B$156,2,FALSE)</f>
        <v>Milkiway</v>
      </c>
      <c r="F373" t="str">
        <f>INDEX('[1]CÓDIGOS DE PRODUCTO'!$C$3:$C$1000,MATCH(C373,'[1]CÓDIGOS DE PRODUCTO'!$A$3:$A$1000,0))</f>
        <v>CHOCOLATES</v>
      </c>
      <c r="G373">
        <f>+'[1]VENTAS(RESUMEN GLOBAL)'!D373-'[1]VENTAS(RESUMEN GLOBAL)'!E373</f>
        <v>2</v>
      </c>
      <c r="H373" s="9">
        <f>+'[1]VENTAS(RESUMEN GLOBAL)'!K373</f>
        <v>1.75</v>
      </c>
      <c r="I373" s="8">
        <f>+G373*'[1]VENTAS(RESUMEN GLOBAL)'!F373</f>
        <v>54</v>
      </c>
      <c r="J373" s="8">
        <f>'[1]VENTAS(RESUMEN GLOBAL)'!G373*(1-'[1]VENTAS(RESUMEN GLOBAL)'!H373)</f>
        <v>27</v>
      </c>
      <c r="K373" s="8">
        <f t="shared" si="5"/>
        <v>27</v>
      </c>
      <c r="L373" s="8">
        <f>+'[1]VENTAS(RESUMEN GLOBAL)'!J373</f>
        <v>3.375</v>
      </c>
      <c r="M373" s="8">
        <f>+Tabla1[[#This Row],[utilidad x dia]]*7</f>
        <v>23.625</v>
      </c>
    </row>
    <row r="374" spans="1:13" x14ac:dyDescent="0.3">
      <c r="A374" s="6">
        <f>+'[1]VENTAS(RESUMEN GLOBAL)'!L374</f>
        <v>46055</v>
      </c>
      <c r="B374" s="6" t="str">
        <f>+'[1]VENTAS(RESUMEN GLOBAL)'!M374</f>
        <v>ECCE 2 SECCIÓN</v>
      </c>
      <c r="C374">
        <f>+'[1]VENTAS(RESUMEN GLOBAL)'!B374</f>
        <v>700200</v>
      </c>
      <c r="D374" t="str">
        <f>INDEX('[1]CÓDIGOS DE PRODUCTO'!$D$3:$D$1000,MATCH(C374,'[1]CÓDIGOS DE PRODUCTO'!$A$3:$A$1000,0))</f>
        <v>50161511 </v>
      </c>
      <c r="E374" t="str">
        <f>VLOOKUP(C374,'[1]CÓDIGOS DE PRODUCTO'!$A$4:$B$156,2,FALSE)</f>
        <v>Snickers</v>
      </c>
      <c r="F374" t="str">
        <f>INDEX('[1]CÓDIGOS DE PRODUCTO'!$C$3:$C$1000,MATCH(C374,'[1]CÓDIGOS DE PRODUCTO'!$A$3:$A$1000,0))</f>
        <v>CHOCOLATES</v>
      </c>
      <c r="G374">
        <f>+'[1]VENTAS(RESUMEN GLOBAL)'!D374-'[1]VENTAS(RESUMEN GLOBAL)'!E374</f>
        <v>4</v>
      </c>
      <c r="H374" s="9">
        <f>+'[1]VENTAS(RESUMEN GLOBAL)'!K374</f>
        <v>3.5</v>
      </c>
      <c r="I374" s="8">
        <f>+G374*'[1]VENTAS(RESUMEN GLOBAL)'!F374</f>
        <v>108</v>
      </c>
      <c r="J374" s="8">
        <f>'[1]VENTAS(RESUMEN GLOBAL)'!G374*(1-'[1]VENTAS(RESUMEN GLOBAL)'!H374)</f>
        <v>60.480000000000004</v>
      </c>
      <c r="K374" s="8">
        <f t="shared" si="5"/>
        <v>47.519999999999996</v>
      </c>
      <c r="L374" s="8">
        <f>+'[1]VENTAS(RESUMEN GLOBAL)'!J374</f>
        <v>5.94</v>
      </c>
      <c r="M374" s="8">
        <f>+Tabla1[[#This Row],[utilidad x dia]]*7</f>
        <v>41.580000000000005</v>
      </c>
    </row>
    <row r="375" spans="1:13" x14ac:dyDescent="0.3">
      <c r="A375" s="6">
        <f>+'[1]VENTAS(RESUMEN GLOBAL)'!L375</f>
        <v>46055</v>
      </c>
      <c r="B375" s="6" t="str">
        <f>+'[1]VENTAS(RESUMEN GLOBAL)'!M375</f>
        <v>ECCE 2 SECCIÓN</v>
      </c>
      <c r="C375">
        <f>+'[1]VENTAS(RESUMEN GLOBAL)'!B375</f>
        <v>0</v>
      </c>
      <c r="D375" t="e">
        <f>INDEX('[1]CÓDIGOS DE PRODUCTO'!$D$3:$D$1000,MATCH(C375,'[1]CÓDIGOS DE PRODUCTO'!$A$3:$A$1000,0))</f>
        <v>#N/A</v>
      </c>
      <c r="E375">
        <f>VLOOKUP(C375,'[1]CÓDIGOS DE PRODUCTO'!$A$4:$B$156,2,FALSE)</f>
        <v>0</v>
      </c>
      <c r="F375">
        <f>INDEX('[1]CÓDIGOS DE PRODUCTO'!$C$3:$C$1000,MATCH(C375,'[1]CÓDIGOS DE PRODUCTO'!$A$3:$A$1000,0))</f>
        <v>0</v>
      </c>
      <c r="G375">
        <f>+'[1]VENTAS(RESUMEN GLOBAL)'!D375-'[1]VENTAS(RESUMEN GLOBAL)'!E375</f>
        <v>0</v>
      </c>
      <c r="H375" s="9">
        <f>+'[1]VENTAS(RESUMEN GLOBAL)'!K375</f>
        <v>0</v>
      </c>
      <c r="I375" s="8">
        <f>+G375*'[1]VENTAS(RESUMEN GLOBAL)'!F375</f>
        <v>0</v>
      </c>
      <c r="J375" s="8">
        <f>'[1]VENTAS(RESUMEN GLOBAL)'!G375*(1-'[1]VENTAS(RESUMEN GLOBAL)'!H375)</f>
        <v>0</v>
      </c>
      <c r="K375" s="8">
        <f t="shared" si="5"/>
        <v>0</v>
      </c>
      <c r="L375" s="8">
        <f>+'[1]VENTAS(RESUMEN GLOBAL)'!J375</f>
        <v>0</v>
      </c>
      <c r="M375" s="8">
        <f>+Tabla1[[#This Row],[utilidad x dia]]*7</f>
        <v>0</v>
      </c>
    </row>
    <row r="376" spans="1:13" x14ac:dyDescent="0.3">
      <c r="A376" s="6">
        <f>+'[1]VENTAS(RESUMEN GLOBAL)'!L376</f>
        <v>46055</v>
      </c>
      <c r="B376" s="6" t="str">
        <f>+'[1]VENTAS(RESUMEN GLOBAL)'!M376</f>
        <v>ECCE 2 SECCIÓN</v>
      </c>
      <c r="C376">
        <f>+'[1]VENTAS(RESUMEN GLOBAL)'!B376</f>
        <v>700400</v>
      </c>
      <c r="D376" t="str">
        <f>INDEX('[1]CÓDIGOS DE PRODUCTO'!$D$3:$D$1000,MATCH(C376,'[1]CÓDIGOS DE PRODUCTO'!$A$3:$A$1000,0))</f>
        <v>50161511 </v>
      </c>
      <c r="E376" t="str">
        <f>VLOOKUP(C376,'[1]CÓDIGOS DE PRODUCTO'!$A$4:$B$156,2,FALSE)</f>
        <v>KIT KAT</v>
      </c>
      <c r="F376" t="str">
        <f>INDEX('[1]CÓDIGOS DE PRODUCTO'!$C$3:$C$1000,MATCH(C376,'[1]CÓDIGOS DE PRODUCTO'!$A$3:$A$1000,0))</f>
        <v>CHOCOLATES</v>
      </c>
      <c r="G376">
        <f>+'[1]VENTAS(RESUMEN GLOBAL)'!D376-'[1]VENTAS(RESUMEN GLOBAL)'!E376</f>
        <v>5</v>
      </c>
      <c r="H376" s="9">
        <f>+'[1]VENTAS(RESUMEN GLOBAL)'!K376</f>
        <v>4.375</v>
      </c>
      <c r="I376" s="8">
        <f>+G376*'[1]VENTAS(RESUMEN GLOBAL)'!F376</f>
        <v>125</v>
      </c>
      <c r="J376" s="8">
        <f>'[1]VENTAS(RESUMEN GLOBAL)'!G376*(1-'[1]VENTAS(RESUMEN GLOBAL)'!H376)</f>
        <v>60.156249999999993</v>
      </c>
      <c r="K376" s="8">
        <f t="shared" si="5"/>
        <v>64.84375</v>
      </c>
      <c r="L376" s="8">
        <f>+'[1]VENTAS(RESUMEN GLOBAL)'!J376</f>
        <v>8.10546875</v>
      </c>
      <c r="M376" s="8">
        <f>+Tabla1[[#This Row],[utilidad x dia]]*7</f>
        <v>56.73828125</v>
      </c>
    </row>
    <row r="377" spans="1:13" x14ac:dyDescent="0.3">
      <c r="A377" s="6">
        <f>+'[1]VENTAS(RESUMEN GLOBAL)'!L377</f>
        <v>46055</v>
      </c>
      <c r="B377" s="6" t="str">
        <f>+'[1]VENTAS(RESUMEN GLOBAL)'!M377</f>
        <v>ECCE 2 SECCIÓN</v>
      </c>
      <c r="C377">
        <v>700600</v>
      </c>
      <c r="D377" t="str">
        <f>INDEX('[1]CÓDIGOS DE PRODUCTO'!$D$3:$D$1000,MATCH(C377,'[1]CÓDIGOS DE PRODUCTO'!$A$3:$A$1000,0))</f>
        <v>50161511 </v>
      </c>
      <c r="E377" t="str">
        <f>VLOOKUP(C377,'[1]CÓDIGOS DE PRODUCTO'!$A$4:$B$156,2,FALSE)</f>
        <v>CHOCO MUIBÓN</v>
      </c>
      <c r="F377" t="str">
        <f>INDEX('[1]CÓDIGOS DE PRODUCTO'!$C$3:$C$1000,MATCH(C377,'[1]CÓDIGOS DE PRODUCTO'!$A$3:$A$1000,0))</f>
        <v>CHOCOLATES</v>
      </c>
      <c r="G377">
        <f>+'[1]VENTAS(RESUMEN GLOBAL)'!D377-'[1]VENTAS(RESUMEN GLOBAL)'!E377</f>
        <v>4</v>
      </c>
      <c r="H377" s="9">
        <f>+'[1]VENTAS(RESUMEN GLOBAL)'!K377</f>
        <v>3.5</v>
      </c>
      <c r="I377" s="8">
        <f>+G377*'[1]VENTAS(RESUMEN GLOBAL)'!F377</f>
        <v>40</v>
      </c>
      <c r="J377" s="8">
        <f>'[1]VENTAS(RESUMEN GLOBAL)'!G377*(1-'[1]VENTAS(RESUMEN GLOBAL)'!H377)</f>
        <v>15.2</v>
      </c>
      <c r="K377" s="8">
        <f t="shared" si="5"/>
        <v>24.8</v>
      </c>
      <c r="L377" s="8">
        <f>+'[1]VENTAS(RESUMEN GLOBAL)'!J377</f>
        <v>3.1</v>
      </c>
      <c r="M377" s="8">
        <f>+Tabla1[[#This Row],[utilidad x dia]]*7</f>
        <v>21.7</v>
      </c>
    </row>
    <row r="378" spans="1:13" x14ac:dyDescent="0.3">
      <c r="A378" s="6">
        <f>+'[1]VENTAS(RESUMEN GLOBAL)'!L378</f>
        <v>46055</v>
      </c>
      <c r="B378" s="6" t="str">
        <f>+'[1]VENTAS(RESUMEN GLOBAL)'!M378</f>
        <v>ECCE 2 SECCIÓN</v>
      </c>
      <c r="C378">
        <f>+'[1]VENTAS(RESUMEN GLOBAL)'!B378</f>
        <v>0</v>
      </c>
      <c r="D378" t="e">
        <f>INDEX('[1]CÓDIGOS DE PRODUCTO'!$D$3:$D$1000,MATCH(C378,'[1]CÓDIGOS DE PRODUCTO'!$A$3:$A$1000,0))</f>
        <v>#N/A</v>
      </c>
      <c r="E378">
        <f>VLOOKUP(C378,'[1]CÓDIGOS DE PRODUCTO'!$A$4:$B$156,2,FALSE)</f>
        <v>0</v>
      </c>
      <c r="F378">
        <f>INDEX('[1]CÓDIGOS DE PRODUCTO'!$C$3:$C$1000,MATCH(C378,'[1]CÓDIGOS DE PRODUCTO'!$A$3:$A$1000,0))</f>
        <v>0</v>
      </c>
      <c r="G378">
        <f>+'[1]VENTAS(RESUMEN GLOBAL)'!D378-'[1]VENTAS(RESUMEN GLOBAL)'!E378</f>
        <v>0</v>
      </c>
      <c r="H378" s="9">
        <f>+'[1]VENTAS(RESUMEN GLOBAL)'!K378</f>
        <v>0</v>
      </c>
      <c r="I378" s="8">
        <f>+G378*'[1]VENTAS(RESUMEN GLOBAL)'!F378</f>
        <v>0</v>
      </c>
      <c r="J378" s="8">
        <f>'[1]VENTAS(RESUMEN GLOBAL)'!G378*(1-'[1]VENTAS(RESUMEN GLOBAL)'!H378)</f>
        <v>0</v>
      </c>
      <c r="K378" s="8">
        <f t="shared" si="5"/>
        <v>0</v>
      </c>
      <c r="L378" s="8">
        <f>+'[1]VENTAS(RESUMEN GLOBAL)'!J378</f>
        <v>0</v>
      </c>
      <c r="M378" s="8">
        <f>+Tabla1[[#This Row],[utilidad x dia]]*7</f>
        <v>0</v>
      </c>
    </row>
    <row r="379" spans="1:13" x14ac:dyDescent="0.3">
      <c r="A379" s="6">
        <f>+'[1]VENTAS(RESUMEN GLOBAL)'!L379</f>
        <v>46055</v>
      </c>
      <c r="B379" s="6" t="str">
        <f>+'[1]VENTAS(RESUMEN GLOBAL)'!M379</f>
        <v>ECCE 2 SECCIÓN</v>
      </c>
      <c r="C379">
        <v>800200</v>
      </c>
      <c r="D379" t="str">
        <f>INDEX('[1]CÓDIGOS DE PRODUCTO'!$D$3:$D$1000,MATCH(C379,'[1]CÓDIGOS DE PRODUCTO'!$A$3:$A$1000,0))</f>
        <v>50181900 </v>
      </c>
      <c r="E379" t="str">
        <f>VLOOKUP(C379,'[1]CÓDIGOS DE PRODUCTO'!$A$4:$B$156,2,FALSE)</f>
        <v>Príncipe (6 PZ-63 GR)</v>
      </c>
      <c r="F379" t="str">
        <f>INDEX('[1]CÓDIGOS DE PRODUCTO'!$C$3:$C$1000,MATCH(C379,'[1]CÓDIGOS DE PRODUCTO'!$A$3:$A$1000,0))</f>
        <v>GALLETAS Y PAN DULCE</v>
      </c>
      <c r="G379">
        <f>+'[1]VENTAS(RESUMEN GLOBAL)'!D379-'[1]VENTAS(RESUMEN GLOBAL)'!E379</f>
        <v>5</v>
      </c>
      <c r="H379" s="9">
        <f>+'[1]VENTAS(RESUMEN GLOBAL)'!K379</f>
        <v>4.375</v>
      </c>
      <c r="I379" s="8">
        <f>+G379*'[1]VENTAS(RESUMEN GLOBAL)'!F379</f>
        <v>100</v>
      </c>
      <c r="J379" s="8">
        <f>'[1]VENTAS(RESUMEN GLOBAL)'!G379*(1-'[1]VENTAS(RESUMEN GLOBAL)'!H379)</f>
        <v>54</v>
      </c>
      <c r="K379" s="8">
        <f t="shared" si="5"/>
        <v>46</v>
      </c>
      <c r="L379" s="8">
        <f>+'[1]VENTAS(RESUMEN GLOBAL)'!J379</f>
        <v>5.75</v>
      </c>
      <c r="M379" s="8">
        <f>+Tabla1[[#This Row],[utilidad x dia]]*7</f>
        <v>40.25</v>
      </c>
    </row>
    <row r="380" spans="1:13" x14ac:dyDescent="0.3">
      <c r="A380" s="6">
        <f>+'[1]VENTAS(RESUMEN GLOBAL)'!L380</f>
        <v>46055</v>
      </c>
      <c r="B380" s="6" t="str">
        <f>+'[1]VENTAS(RESUMEN GLOBAL)'!M380</f>
        <v>ECCE 2 SECCIÓN</v>
      </c>
      <c r="C380">
        <f>+'[1]VENTAS(RESUMEN GLOBAL)'!B380</f>
        <v>0</v>
      </c>
      <c r="D380" t="e">
        <f>INDEX('[1]CÓDIGOS DE PRODUCTO'!$D$3:$D$1000,MATCH(C380,'[1]CÓDIGOS DE PRODUCTO'!$A$3:$A$1000,0))</f>
        <v>#N/A</v>
      </c>
      <c r="E380">
        <f>VLOOKUP(C380,'[1]CÓDIGOS DE PRODUCTO'!$A$4:$B$156,2,FALSE)</f>
        <v>0</v>
      </c>
      <c r="F380">
        <f>INDEX('[1]CÓDIGOS DE PRODUCTO'!$C$3:$C$1000,MATCH(C380,'[1]CÓDIGOS DE PRODUCTO'!$A$3:$A$1000,0))</f>
        <v>0</v>
      </c>
      <c r="G380">
        <f>+'[1]VENTAS(RESUMEN GLOBAL)'!D380-'[1]VENTAS(RESUMEN GLOBAL)'!E380</f>
        <v>4</v>
      </c>
      <c r="H380" s="9">
        <f>+'[1]VENTAS(RESUMEN GLOBAL)'!K380</f>
        <v>3.5</v>
      </c>
      <c r="I380" s="8">
        <f>+G380*'[1]VENTAS(RESUMEN GLOBAL)'!F380</f>
        <v>80</v>
      </c>
      <c r="J380" s="8">
        <f>'[1]VENTAS(RESUMEN GLOBAL)'!G380*(1-'[1]VENTAS(RESUMEN GLOBAL)'!H380)</f>
        <v>43.2</v>
      </c>
      <c r="K380" s="8">
        <f t="shared" si="5"/>
        <v>36.799999999999997</v>
      </c>
      <c r="L380" s="8">
        <f>+'[1]VENTAS(RESUMEN GLOBAL)'!J380</f>
        <v>4.6000000000000005</v>
      </c>
      <c r="M380" s="8">
        <f>+Tabla1[[#This Row],[utilidad x dia]]*7</f>
        <v>32.200000000000003</v>
      </c>
    </row>
    <row r="381" spans="1:13" x14ac:dyDescent="0.3">
      <c r="A381" s="6">
        <f>+'[1]VENTAS(RESUMEN GLOBAL)'!L381</f>
        <v>46055</v>
      </c>
      <c r="B381" s="6" t="str">
        <f>+'[1]VENTAS(RESUMEN GLOBAL)'!M381</f>
        <v>ECCE 2 SECCIÓN</v>
      </c>
      <c r="C381">
        <f>+'[1]VENTAS(RESUMEN GLOBAL)'!B381</f>
        <v>800400</v>
      </c>
      <c r="D381" t="str">
        <f>INDEX('[1]CÓDIGOS DE PRODUCTO'!$D$3:$D$1000,MATCH(C381,'[1]CÓDIGOS DE PRODUCTO'!$A$3:$A$1000,0))</f>
        <v>50181900 </v>
      </c>
      <c r="E381" t="str">
        <f>VLOOKUP(C381,'[1]CÓDIGOS DE PRODUCTO'!$A$4:$B$156,2,FALSE)</f>
        <v>Barritas FRESA</v>
      </c>
      <c r="F381" t="str">
        <f>INDEX('[1]CÓDIGOS DE PRODUCTO'!$C$3:$C$1000,MATCH(C381,'[1]CÓDIGOS DE PRODUCTO'!$A$3:$A$1000,0))</f>
        <v>GALLETAS Y PAN DULCE</v>
      </c>
      <c r="G381">
        <f>+'[1]VENTAS(RESUMEN GLOBAL)'!D381-'[1]VENTAS(RESUMEN GLOBAL)'!E381</f>
        <v>6</v>
      </c>
      <c r="H381" s="9">
        <f>+'[1]VENTAS(RESUMEN GLOBAL)'!K381</f>
        <v>5.25</v>
      </c>
      <c r="I381" s="8">
        <f>+G381*'[1]VENTAS(RESUMEN GLOBAL)'!F381</f>
        <v>120</v>
      </c>
      <c r="J381" s="8">
        <f>'[1]VENTAS(RESUMEN GLOBAL)'!G381*(1-'[1]VENTAS(RESUMEN GLOBAL)'!H381)</f>
        <v>36.000000000000007</v>
      </c>
      <c r="K381" s="8">
        <f t="shared" si="5"/>
        <v>84</v>
      </c>
      <c r="L381" s="8">
        <f>+'[1]VENTAS(RESUMEN GLOBAL)'!J381</f>
        <v>10.5</v>
      </c>
      <c r="M381" s="8">
        <f>+Tabla1[[#This Row],[utilidad x dia]]*7</f>
        <v>73.5</v>
      </c>
    </row>
    <row r="382" spans="1:13" x14ac:dyDescent="0.3">
      <c r="A382" s="6">
        <f>+'[1]VENTAS(RESUMEN GLOBAL)'!L382</f>
        <v>46055</v>
      </c>
      <c r="B382" s="6" t="str">
        <f>+'[1]VENTAS(RESUMEN GLOBAL)'!M382</f>
        <v>ECCE 2 SECCIÓN</v>
      </c>
      <c r="C382">
        <f>+'[1]VENTAS(RESUMEN GLOBAL)'!B382</f>
        <v>800700</v>
      </c>
      <c r="D382" t="str">
        <f>INDEX('[1]CÓDIGOS DE PRODUCTO'!$D$3:$D$1000,MATCH(C382,'[1]CÓDIGOS DE PRODUCTO'!$A$3:$A$1000,0))</f>
        <v>50181900 </v>
      </c>
      <c r="E382" t="str">
        <f>VLOOKUP(C382,'[1]CÓDIGOS DE PRODUCTO'!$A$4:$B$156,2,FALSE)</f>
        <v>BARRITAS PIÑA</v>
      </c>
      <c r="F382" t="str">
        <f>INDEX('[1]CÓDIGOS DE PRODUCTO'!$C$3:$C$1000,MATCH(C382,'[1]CÓDIGOS DE PRODUCTO'!$A$3:$A$1000,0))</f>
        <v>GALLETAS Y PAN DULCE</v>
      </c>
      <c r="G382">
        <f>+'[1]VENTAS(RESUMEN GLOBAL)'!D382-'[1]VENTAS(RESUMEN GLOBAL)'!E382</f>
        <v>4</v>
      </c>
      <c r="H382" s="9">
        <f>+'[1]VENTAS(RESUMEN GLOBAL)'!K382</f>
        <v>3.5</v>
      </c>
      <c r="I382" s="8">
        <f>+G382*'[1]VENTAS(RESUMEN GLOBAL)'!F382</f>
        <v>80</v>
      </c>
      <c r="J382" s="8">
        <f>'[1]VENTAS(RESUMEN GLOBAL)'!G382*(1-'[1]VENTAS(RESUMEN GLOBAL)'!H382)</f>
        <v>28</v>
      </c>
      <c r="K382" s="8">
        <f t="shared" si="5"/>
        <v>52</v>
      </c>
      <c r="L382" s="8">
        <f>+'[1]VENTAS(RESUMEN GLOBAL)'!J382</f>
        <v>4</v>
      </c>
      <c r="M382" s="8">
        <f>+Tabla1[[#This Row],[utilidad x dia]]*7</f>
        <v>28</v>
      </c>
    </row>
    <row r="383" spans="1:13" x14ac:dyDescent="0.3">
      <c r="A383" s="6">
        <f>+'[1]VENTAS(RESUMEN GLOBAL)'!L383</f>
        <v>46055</v>
      </c>
      <c r="B383" s="6" t="str">
        <f>+'[1]VENTAS(RESUMEN GLOBAL)'!M383</f>
        <v>ECCE 2 SECCIÓN</v>
      </c>
      <c r="C383">
        <f>+'[1]VENTAS(RESUMEN GLOBAL)'!B383</f>
        <v>800800</v>
      </c>
      <c r="D383" t="str">
        <f>INDEX('[1]CÓDIGOS DE PRODUCTO'!$D$3:$D$1000,MATCH(C383,'[1]CÓDIGOS DE PRODUCTO'!$A$3:$A$1000,0))</f>
        <v>50181900 </v>
      </c>
      <c r="E383" t="str">
        <f>VLOOKUP(C383,'[1]CÓDIGOS DE PRODUCTO'!$A$4:$B$156,2,FALSE)</f>
        <v>DORADITAS</v>
      </c>
      <c r="F383" t="str">
        <f>INDEX('[1]CÓDIGOS DE PRODUCTO'!$C$3:$C$1000,MATCH(C383,'[1]CÓDIGOS DE PRODUCTO'!$A$3:$A$1000,0))</f>
        <v>GALLETAS Y PAN DULCE</v>
      </c>
      <c r="G383">
        <f>+'[1]VENTAS(RESUMEN GLOBAL)'!D383-'[1]VENTAS(RESUMEN GLOBAL)'!E383</f>
        <v>5</v>
      </c>
      <c r="H383" s="9">
        <f>+'[1]VENTAS(RESUMEN GLOBAL)'!K383</f>
        <v>4.375</v>
      </c>
      <c r="I383" s="8">
        <f>+G383*'[1]VENTAS(RESUMEN GLOBAL)'!F383</f>
        <v>100</v>
      </c>
      <c r="J383" s="8">
        <f>'[1]VENTAS(RESUMEN GLOBAL)'!G383*(1-'[1]VENTAS(RESUMEN GLOBAL)'!H383)</f>
        <v>35</v>
      </c>
      <c r="K383" s="8">
        <f t="shared" si="5"/>
        <v>65</v>
      </c>
      <c r="L383" s="8">
        <f>+'[1]VENTAS(RESUMEN GLOBAL)'!J383</f>
        <v>8.125</v>
      </c>
      <c r="M383" s="8">
        <f>+Tabla1[[#This Row],[utilidad x dia]]*7</f>
        <v>56.875</v>
      </c>
    </row>
    <row r="384" spans="1:13" x14ac:dyDescent="0.3">
      <c r="A384" s="6">
        <f>+'[1]VENTAS(RESUMEN GLOBAL)'!L384</f>
        <v>46055</v>
      </c>
      <c r="B384" s="6" t="str">
        <f>+'[1]VENTAS(RESUMEN GLOBAL)'!M384</f>
        <v>ECCE 2 SECCIÓN</v>
      </c>
      <c r="C384">
        <f>+'[1]VENTAS(RESUMEN GLOBAL)'!B384</f>
        <v>0</v>
      </c>
      <c r="D384" t="e">
        <f>INDEX('[1]CÓDIGOS DE PRODUCTO'!$D$3:$D$1000,MATCH(C384,'[1]CÓDIGOS DE PRODUCTO'!$A$3:$A$1000,0))</f>
        <v>#N/A</v>
      </c>
      <c r="E384">
        <f>VLOOKUP(C384,'[1]CÓDIGOS DE PRODUCTO'!$A$4:$B$156,2,FALSE)</f>
        <v>0</v>
      </c>
      <c r="F384">
        <f>INDEX('[1]CÓDIGOS DE PRODUCTO'!$C$3:$C$1000,MATCH(C384,'[1]CÓDIGOS DE PRODUCTO'!$A$3:$A$1000,0))</f>
        <v>0</v>
      </c>
      <c r="G384">
        <f>+'[1]VENTAS(RESUMEN GLOBAL)'!D384-'[1]VENTAS(RESUMEN GLOBAL)'!E384</f>
        <v>7</v>
      </c>
      <c r="H384" s="9">
        <f>+'[1]VENTAS(RESUMEN GLOBAL)'!K384</f>
        <v>6.125</v>
      </c>
      <c r="I384" s="8">
        <f>+G384*'[1]VENTAS(RESUMEN GLOBAL)'!F384</f>
        <v>70</v>
      </c>
      <c r="J384" s="8">
        <f>'[1]VENTAS(RESUMEN GLOBAL)'!G384*(1-'[1]VENTAS(RESUMEN GLOBAL)'!H384)</f>
        <v>23.799999999999997</v>
      </c>
      <c r="K384" s="8">
        <f t="shared" si="5"/>
        <v>46.2</v>
      </c>
      <c r="L384" s="8">
        <f>+'[1]VENTAS(RESUMEN GLOBAL)'!J384</f>
        <v>5.7750000000000004</v>
      </c>
      <c r="M384" s="8">
        <f>+Tabla1[[#This Row],[utilidad x dia]]*7</f>
        <v>40.425000000000004</v>
      </c>
    </row>
    <row r="385" spans="1:13" x14ac:dyDescent="0.3">
      <c r="A385" s="6">
        <f>+'[1]VENTAS(RESUMEN GLOBAL)'!L385</f>
        <v>46055</v>
      </c>
      <c r="B385" s="6" t="str">
        <f>+'[1]VENTAS(RESUMEN GLOBAL)'!M385</f>
        <v>ECCE 2 SECCIÓN</v>
      </c>
      <c r="C385">
        <f>+'[1]VENTAS(RESUMEN GLOBAL)'!B385</f>
        <v>0</v>
      </c>
      <c r="D385" t="e">
        <f>INDEX('[1]CÓDIGOS DE PRODUCTO'!$D$3:$D$1000,MATCH(C385,'[1]CÓDIGOS DE PRODUCTO'!$A$3:$A$1000,0))</f>
        <v>#N/A</v>
      </c>
      <c r="E385">
        <f>VLOOKUP(C385,'[1]CÓDIGOS DE PRODUCTO'!$A$4:$B$156,2,FALSE)</f>
        <v>0</v>
      </c>
      <c r="F385">
        <f>INDEX('[1]CÓDIGOS DE PRODUCTO'!$C$3:$C$1000,MATCH(C385,'[1]CÓDIGOS DE PRODUCTO'!$A$3:$A$1000,0))</f>
        <v>0</v>
      </c>
      <c r="G385">
        <f>+'[1]VENTAS(RESUMEN GLOBAL)'!D385-'[1]VENTAS(RESUMEN GLOBAL)'!E385</f>
        <v>0</v>
      </c>
      <c r="H385" s="9">
        <f>+'[1]VENTAS(RESUMEN GLOBAL)'!K385</f>
        <v>0</v>
      </c>
      <c r="I385" s="8">
        <f>+G385*'[1]VENTAS(RESUMEN GLOBAL)'!F385</f>
        <v>0</v>
      </c>
      <c r="J385" s="8">
        <f>'[1]VENTAS(RESUMEN GLOBAL)'!G385*(1-'[1]VENTAS(RESUMEN GLOBAL)'!H385)</f>
        <v>0</v>
      </c>
      <c r="K385" s="8">
        <f t="shared" si="5"/>
        <v>0</v>
      </c>
      <c r="L385" s="8">
        <f>+'[1]VENTAS(RESUMEN GLOBAL)'!J385</f>
        <v>0</v>
      </c>
      <c r="M385" s="8">
        <f>+Tabla1[[#This Row],[utilidad x dia]]*7</f>
        <v>0</v>
      </c>
    </row>
    <row r="386" spans="1:13" x14ac:dyDescent="0.3">
      <c r="A386" s="6">
        <f>+'[1]VENTAS(RESUMEN GLOBAL)'!L386</f>
        <v>46055</v>
      </c>
      <c r="B386" s="6" t="str">
        <f>+'[1]VENTAS(RESUMEN GLOBAL)'!M386</f>
        <v>ECCE 2 SECCIÓN</v>
      </c>
      <c r="C386">
        <f>+'[1]VENTAS(RESUMEN GLOBAL)'!B386</f>
        <v>600100</v>
      </c>
      <c r="D386" t="str">
        <f>INDEX('[1]CÓDIGOS DE PRODUCTO'!$D$3:$D$1000,MATCH(C386,'[1]CÓDIGOS DE PRODUCTO'!$A$3:$A$1000,0))</f>
        <v>50192109 </v>
      </c>
      <c r="E386" t="str">
        <f>VLOOKUP(C386,'[1]CÓDIGOS DE PRODUCTO'!$A$4:$B$156,2,FALSE)</f>
        <v>PAPAS FRITAS BARCEL (G)</v>
      </c>
      <c r="F386" t="str">
        <f>INDEX('[1]CÓDIGOS DE PRODUCTO'!$C$3:$C$1000,MATCH(C386,'[1]CÓDIGOS DE PRODUCTO'!$A$3:$A$1000,0))</f>
        <v>Papas fritas</v>
      </c>
      <c r="G386">
        <f>+'[1]VENTAS(RESUMEN GLOBAL)'!D386-'[1]VENTAS(RESUMEN GLOBAL)'!E386</f>
        <v>5</v>
      </c>
      <c r="H386" s="9">
        <f>+'[1]VENTAS(RESUMEN GLOBAL)'!K386</f>
        <v>4.375</v>
      </c>
      <c r="I386" s="8">
        <f>+G386*'[1]VENTAS(RESUMEN GLOBAL)'!F386</f>
        <v>125</v>
      </c>
      <c r="J386" s="8">
        <f>'[1]VENTAS(RESUMEN GLOBAL)'!G386*(1-'[1]VENTAS(RESUMEN GLOBAL)'!H386)</f>
        <v>70</v>
      </c>
      <c r="K386" s="8">
        <f t="shared" si="5"/>
        <v>55</v>
      </c>
      <c r="L386" s="8">
        <f>+'[1]VENTAS(RESUMEN GLOBAL)'!J386</f>
        <v>6.875</v>
      </c>
      <c r="M386" s="8">
        <f>+Tabla1[[#This Row],[utilidad x dia]]*7</f>
        <v>48.125</v>
      </c>
    </row>
    <row r="387" spans="1:13" x14ac:dyDescent="0.3">
      <c r="A387" s="6">
        <f>+'[1]VENTAS(RESUMEN GLOBAL)'!L387</f>
        <v>46055</v>
      </c>
      <c r="B387" s="6" t="str">
        <f>+'[1]VENTAS(RESUMEN GLOBAL)'!M387</f>
        <v>ECCE 2 SECCIÓN</v>
      </c>
      <c r="C387">
        <f>+'[1]VENTAS(RESUMEN GLOBAL)'!B387</f>
        <v>600500</v>
      </c>
      <c r="D387" t="str">
        <f>INDEX('[1]CÓDIGOS DE PRODUCTO'!$D$3:$D$1000,MATCH(C387,'[1]CÓDIGOS DE PRODUCTO'!$A$3:$A$1000,0))</f>
        <v>50192109 </v>
      </c>
      <c r="E387" t="str">
        <f>VLOOKUP(C387,'[1]CÓDIGOS DE PRODUCTO'!$A$4:$B$156,2,FALSE)</f>
        <v>SABRIMAYOREO</v>
      </c>
      <c r="F387" t="str">
        <f>INDEX('[1]CÓDIGOS DE PRODUCTO'!$C$3:$C$1000,MATCH(C387,'[1]CÓDIGOS DE PRODUCTO'!$A$3:$A$1000,0))</f>
        <v>Papas fritas</v>
      </c>
      <c r="G387">
        <f>+'[1]VENTAS(RESUMEN GLOBAL)'!D387-'[1]VENTAS(RESUMEN GLOBAL)'!E387</f>
        <v>11</v>
      </c>
      <c r="H387" s="9">
        <f>+'[1]VENTAS(RESUMEN GLOBAL)'!K387</f>
        <v>9.625</v>
      </c>
      <c r="I387" s="8">
        <f>+G387*'[1]VENTAS(RESUMEN GLOBAL)'!F387</f>
        <v>275</v>
      </c>
      <c r="J387" s="8">
        <f>'[1]VENTAS(RESUMEN GLOBAL)'!G387*(1-'[1]VENTAS(RESUMEN GLOBAL)'!H387)</f>
        <v>137.5</v>
      </c>
      <c r="K387" s="8">
        <f t="shared" ref="K387:K450" si="6">+I387-J387</f>
        <v>137.5</v>
      </c>
      <c r="L387" s="8">
        <f>+'[1]VENTAS(RESUMEN GLOBAL)'!J387</f>
        <v>17.1875</v>
      </c>
      <c r="M387" s="8">
        <f>+Tabla1[[#This Row],[utilidad x dia]]*7</f>
        <v>120.3125</v>
      </c>
    </row>
    <row r="388" spans="1:13" x14ac:dyDescent="0.3">
      <c r="A388" s="6">
        <f>+'[1]VENTAS(RESUMEN GLOBAL)'!L388</f>
        <v>46055</v>
      </c>
      <c r="B388" s="6" t="str">
        <f>+'[1]VENTAS(RESUMEN GLOBAL)'!M388</f>
        <v>ECCE 2 SECCIÓN</v>
      </c>
      <c r="C388">
        <f>+'[1]VENTAS(RESUMEN GLOBAL)'!B388</f>
        <v>0</v>
      </c>
      <c r="D388" t="e">
        <f>INDEX('[1]CÓDIGOS DE PRODUCTO'!$D$3:$D$1000,MATCH(C388,'[1]CÓDIGOS DE PRODUCTO'!$A$3:$A$1000,0))</f>
        <v>#N/A</v>
      </c>
      <c r="E388">
        <f>VLOOKUP(C388,'[1]CÓDIGOS DE PRODUCTO'!$A$4:$B$156,2,FALSE)</f>
        <v>0</v>
      </c>
      <c r="F388">
        <f>INDEX('[1]CÓDIGOS DE PRODUCTO'!$C$3:$C$1000,MATCH(C388,'[1]CÓDIGOS DE PRODUCTO'!$A$3:$A$1000,0))</f>
        <v>0</v>
      </c>
      <c r="G388">
        <f>+'[1]VENTAS(RESUMEN GLOBAL)'!D388-'[1]VENTAS(RESUMEN GLOBAL)'!E388</f>
        <v>0</v>
      </c>
      <c r="H388" s="9">
        <f>+'[1]VENTAS(RESUMEN GLOBAL)'!K388</f>
        <v>0</v>
      </c>
      <c r="I388" s="8">
        <f>+G388*'[1]VENTAS(RESUMEN GLOBAL)'!F388</f>
        <v>0</v>
      </c>
      <c r="J388" s="8">
        <f>'[1]VENTAS(RESUMEN GLOBAL)'!G388*(1-'[1]VENTAS(RESUMEN GLOBAL)'!H388)</f>
        <v>0</v>
      </c>
      <c r="K388" s="8">
        <f t="shared" si="6"/>
        <v>0</v>
      </c>
      <c r="L388" s="8">
        <f>+'[1]VENTAS(RESUMEN GLOBAL)'!J388</f>
        <v>0</v>
      </c>
      <c r="M388" s="8">
        <f>+Tabla1[[#This Row],[utilidad x dia]]*7</f>
        <v>0</v>
      </c>
    </row>
    <row r="389" spans="1:13" x14ac:dyDescent="0.3">
      <c r="A389" s="6">
        <f>+'[1]VENTAS(RESUMEN GLOBAL)'!L389</f>
        <v>46055</v>
      </c>
      <c r="B389" s="6" t="str">
        <f>+'[1]VENTAS(RESUMEN GLOBAL)'!M389</f>
        <v>ECCE 2 SECCIÓN</v>
      </c>
      <c r="C389">
        <f>+'[1]VENTAS(RESUMEN GLOBAL)'!B389</f>
        <v>0</v>
      </c>
      <c r="D389" t="e">
        <f>INDEX('[1]CÓDIGOS DE PRODUCTO'!$D$3:$D$1000,MATCH(C389,'[1]CÓDIGOS DE PRODUCTO'!$A$3:$A$1000,0))</f>
        <v>#N/A</v>
      </c>
      <c r="E389">
        <f>VLOOKUP(C389,'[1]CÓDIGOS DE PRODUCTO'!$A$4:$B$156,2,FALSE)</f>
        <v>0</v>
      </c>
      <c r="F389">
        <f>INDEX('[1]CÓDIGOS DE PRODUCTO'!$C$3:$C$1000,MATCH(C389,'[1]CÓDIGOS DE PRODUCTO'!$A$3:$A$1000,0))</f>
        <v>0</v>
      </c>
      <c r="G389">
        <f>+'[1]VENTAS(RESUMEN GLOBAL)'!D389-'[1]VENTAS(RESUMEN GLOBAL)'!E389</f>
        <v>2</v>
      </c>
      <c r="H389" s="9">
        <f>+'[1]VENTAS(RESUMEN GLOBAL)'!K389</f>
        <v>1.75</v>
      </c>
      <c r="I389" s="8">
        <f>+G389*'[1]VENTAS(RESUMEN GLOBAL)'!F389</f>
        <v>40</v>
      </c>
      <c r="J389" s="8">
        <f>'[1]VENTAS(RESUMEN GLOBAL)'!G389*(1-'[1]VENTAS(RESUMEN GLOBAL)'!H389)</f>
        <v>17.200000000000003</v>
      </c>
      <c r="K389" s="8">
        <f t="shared" si="6"/>
        <v>22.799999999999997</v>
      </c>
      <c r="L389" s="8">
        <f>+'[1]VENTAS(RESUMEN GLOBAL)'!J389</f>
        <v>2.8499999999999996</v>
      </c>
      <c r="M389" s="8">
        <f>+Tabla1[[#This Row],[utilidad x dia]]*7</f>
        <v>19.949999999999996</v>
      </c>
    </row>
    <row r="390" spans="1:13" x14ac:dyDescent="0.3">
      <c r="A390" s="6">
        <f>+'[1]VENTAS(RESUMEN GLOBAL)'!L390</f>
        <v>46055</v>
      </c>
      <c r="B390" s="6" t="str">
        <f>+'[1]VENTAS(RESUMEN GLOBAL)'!M390</f>
        <v>ECCE 2 SECCIÓN</v>
      </c>
      <c r="C390">
        <f>+'[1]VENTAS(RESUMEN GLOBAL)'!B390</f>
        <v>100400</v>
      </c>
      <c r="D390" t="str">
        <f>INDEX('[1]CÓDIGOS DE PRODUCTO'!$D$3:$D$1000,MATCH(C390,'[1]CÓDIGOS DE PRODUCTO'!$A$3:$A$1000,0))</f>
        <v>50202300 </v>
      </c>
      <c r="E390" t="str">
        <f>VLOOKUP(C390,'[1]CÓDIGOS DE PRODUCTO'!$A$4:$B$156,2,FALSE)</f>
        <v>Jumex</v>
      </c>
      <c r="F390" t="str">
        <f>INDEX('[1]CÓDIGOS DE PRODUCTO'!$C$3:$C$1000,MATCH(C390,'[1]CÓDIGOS DE PRODUCTO'!$A$3:$A$1000,0))</f>
        <v>Bebidas</v>
      </c>
      <c r="G390">
        <f>+'[1]VENTAS(RESUMEN GLOBAL)'!D390-'[1]VENTAS(RESUMEN GLOBAL)'!E390</f>
        <v>1</v>
      </c>
      <c r="H390" s="9">
        <f>+'[1]VENTAS(RESUMEN GLOBAL)'!K390</f>
        <v>0.875</v>
      </c>
      <c r="I390" s="8">
        <f>+G390*'[1]VENTAS(RESUMEN GLOBAL)'!F390</f>
        <v>15</v>
      </c>
      <c r="J390" s="8">
        <f>'[1]VENTAS(RESUMEN GLOBAL)'!G390*(1-'[1]VENTAS(RESUMEN GLOBAL)'!H390)</f>
        <v>5.0999999999999996</v>
      </c>
      <c r="K390" s="8">
        <f t="shared" si="6"/>
        <v>9.9</v>
      </c>
      <c r="L390" s="8">
        <f>+'[1]VENTAS(RESUMEN GLOBAL)'!J390</f>
        <v>1.2375</v>
      </c>
      <c r="M390" s="8">
        <f>+Tabla1[[#This Row],[utilidad x dia]]*7</f>
        <v>8.6624999999999996</v>
      </c>
    </row>
    <row r="391" spans="1:13" x14ac:dyDescent="0.3">
      <c r="A391" s="6">
        <f>+'[1]VENTAS(RESUMEN GLOBAL)'!L391</f>
        <v>46055</v>
      </c>
      <c r="B391" s="6" t="str">
        <f>+'[1]VENTAS(RESUMEN GLOBAL)'!M391</f>
        <v>ECCE 2 SECCIÓN</v>
      </c>
      <c r="C391">
        <f>+'[1]VENTAS(RESUMEN GLOBAL)'!B391</f>
        <v>100400</v>
      </c>
      <c r="D391" t="str">
        <f>INDEX('[1]CÓDIGOS DE PRODUCTO'!$D$3:$D$1000,MATCH(C391,'[1]CÓDIGOS DE PRODUCTO'!$A$3:$A$1000,0))</f>
        <v>50202300 </v>
      </c>
      <c r="E391" t="str">
        <f>VLOOKUP(C391,'[1]CÓDIGOS DE PRODUCTO'!$A$4:$B$156,2,FALSE)</f>
        <v>Jumex</v>
      </c>
      <c r="F391" t="str">
        <f>INDEX('[1]CÓDIGOS DE PRODUCTO'!$C$3:$C$1000,MATCH(C391,'[1]CÓDIGOS DE PRODUCTO'!$A$3:$A$1000,0))</f>
        <v>Bebidas</v>
      </c>
      <c r="G391">
        <f>+'[1]VENTAS(RESUMEN GLOBAL)'!D391-'[1]VENTAS(RESUMEN GLOBAL)'!E391</f>
        <v>4</v>
      </c>
      <c r="H391" s="9">
        <f>+'[1]VENTAS(RESUMEN GLOBAL)'!K391</f>
        <v>3.5</v>
      </c>
      <c r="I391" s="8">
        <f>+G391*'[1]VENTAS(RESUMEN GLOBAL)'!F391</f>
        <v>60</v>
      </c>
      <c r="J391" s="8">
        <f>'[1]VENTAS(RESUMEN GLOBAL)'!G391*(1-'[1]VENTAS(RESUMEN GLOBAL)'!H391)</f>
        <v>20.399999999999999</v>
      </c>
      <c r="K391" s="8">
        <f t="shared" si="6"/>
        <v>39.6</v>
      </c>
      <c r="L391" s="8">
        <f>+'[1]VENTAS(RESUMEN GLOBAL)'!J391</f>
        <v>4.95</v>
      </c>
      <c r="M391" s="8">
        <f>+Tabla1[[#This Row],[utilidad x dia]]*7</f>
        <v>34.65</v>
      </c>
    </row>
    <row r="392" spans="1:13" x14ac:dyDescent="0.3">
      <c r="A392" s="6">
        <f>+'[1]VENTAS(RESUMEN GLOBAL)'!L392</f>
        <v>46055</v>
      </c>
      <c r="B392" s="6" t="str">
        <f>+'[1]VENTAS(RESUMEN GLOBAL)'!M392</f>
        <v>ECCE 2 SECCIÓN</v>
      </c>
      <c r="C392">
        <f>+'[1]VENTAS(RESUMEN GLOBAL)'!B392</f>
        <v>0</v>
      </c>
      <c r="D392" t="e">
        <f>INDEX('[1]CÓDIGOS DE PRODUCTO'!$D$3:$D$1000,MATCH(C392,'[1]CÓDIGOS DE PRODUCTO'!$A$3:$A$1000,0))</f>
        <v>#N/A</v>
      </c>
      <c r="E392">
        <f>VLOOKUP(C392,'[1]CÓDIGOS DE PRODUCTO'!$A$4:$B$156,2,FALSE)</f>
        <v>0</v>
      </c>
      <c r="F392">
        <f>INDEX('[1]CÓDIGOS DE PRODUCTO'!$C$3:$C$1000,MATCH(C392,'[1]CÓDIGOS DE PRODUCTO'!$A$3:$A$1000,0))</f>
        <v>0</v>
      </c>
      <c r="G392">
        <f>+'[1]VENTAS(RESUMEN GLOBAL)'!D392-'[1]VENTAS(RESUMEN GLOBAL)'!E392</f>
        <v>5</v>
      </c>
      <c r="H392" s="9">
        <f>+'[1]VENTAS(RESUMEN GLOBAL)'!K392</f>
        <v>4.375</v>
      </c>
      <c r="I392" s="8">
        <f>+G392*'[1]VENTAS(RESUMEN GLOBAL)'!F392</f>
        <v>100</v>
      </c>
      <c r="J392" s="8">
        <f>'[1]VENTAS(RESUMEN GLOBAL)'!G392*(1-'[1]VENTAS(RESUMEN GLOBAL)'!H392)</f>
        <v>34</v>
      </c>
      <c r="K392" s="8">
        <f t="shared" si="6"/>
        <v>66</v>
      </c>
      <c r="L392" s="8">
        <f>+'[1]VENTAS(RESUMEN GLOBAL)'!J392</f>
        <v>8.25</v>
      </c>
      <c r="M392" s="8">
        <f>+Tabla1[[#This Row],[utilidad x dia]]*7</f>
        <v>57.75</v>
      </c>
    </row>
    <row r="393" spans="1:13" x14ac:dyDescent="0.3">
      <c r="A393" s="6">
        <f>+'[1]VENTAS(RESUMEN GLOBAL)'!L393</f>
        <v>46055</v>
      </c>
      <c r="B393" s="6" t="str">
        <f>+'[1]VENTAS(RESUMEN GLOBAL)'!M393</f>
        <v>ECCE 2 SECCIÓN</v>
      </c>
      <c r="C393">
        <f>+'[1]VENTAS(RESUMEN GLOBAL)'!B393</f>
        <v>0</v>
      </c>
      <c r="D393" t="e">
        <f>INDEX('[1]CÓDIGOS DE PRODUCTO'!$D$3:$D$1000,MATCH(C393,'[1]CÓDIGOS DE PRODUCTO'!$A$3:$A$1000,0))</f>
        <v>#N/A</v>
      </c>
      <c r="E393">
        <f>VLOOKUP(C393,'[1]CÓDIGOS DE PRODUCTO'!$A$4:$B$156,2,FALSE)</f>
        <v>0</v>
      </c>
      <c r="F393">
        <f>INDEX('[1]CÓDIGOS DE PRODUCTO'!$C$3:$C$1000,MATCH(C393,'[1]CÓDIGOS DE PRODUCTO'!$A$3:$A$1000,0))</f>
        <v>0</v>
      </c>
      <c r="G393">
        <f>+'[1]VENTAS(RESUMEN GLOBAL)'!D393-'[1]VENTAS(RESUMEN GLOBAL)'!E393</f>
        <v>6</v>
      </c>
      <c r="H393" s="9">
        <f>+'[1]VENTAS(RESUMEN GLOBAL)'!K393</f>
        <v>5.25</v>
      </c>
      <c r="I393" s="8">
        <f>+G393*'[1]VENTAS(RESUMEN GLOBAL)'!F393</f>
        <v>120</v>
      </c>
      <c r="J393" s="8">
        <f>'[1]VENTAS(RESUMEN GLOBAL)'!G393*(1-'[1]VENTAS(RESUMEN GLOBAL)'!H393)</f>
        <v>53.999999999999993</v>
      </c>
      <c r="K393" s="8">
        <f t="shared" si="6"/>
        <v>66</v>
      </c>
      <c r="L393" s="8">
        <f>+'[1]VENTAS(RESUMEN GLOBAL)'!J393</f>
        <v>8.25</v>
      </c>
      <c r="M393" s="8">
        <f>+Tabla1[[#This Row],[utilidad x dia]]*7</f>
        <v>57.75</v>
      </c>
    </row>
    <row r="394" spans="1:13" x14ac:dyDescent="0.3">
      <c r="A394" s="6">
        <f>+'[1]VENTAS(RESUMEN GLOBAL)'!L394</f>
        <v>46055</v>
      </c>
      <c r="B394" s="6" t="str">
        <f>+'[1]VENTAS(RESUMEN GLOBAL)'!M394</f>
        <v>ECCE 2 SECCIÓN</v>
      </c>
      <c r="C394">
        <f>+'[1]VENTAS(RESUMEN GLOBAL)'!B394</f>
        <v>0</v>
      </c>
      <c r="D394" t="e">
        <f>INDEX('[1]CÓDIGOS DE PRODUCTO'!$D$3:$D$1000,MATCH(C394,'[1]CÓDIGOS DE PRODUCTO'!$A$3:$A$1000,0))</f>
        <v>#N/A</v>
      </c>
      <c r="E394">
        <f>VLOOKUP(C394,'[1]CÓDIGOS DE PRODUCTO'!$A$4:$B$156,2,FALSE)</f>
        <v>0</v>
      </c>
      <c r="F394">
        <f>INDEX('[1]CÓDIGOS DE PRODUCTO'!$C$3:$C$1000,MATCH(C394,'[1]CÓDIGOS DE PRODUCTO'!$A$3:$A$1000,0))</f>
        <v>0</v>
      </c>
      <c r="G394">
        <f>+'[1]VENTAS(RESUMEN GLOBAL)'!D394-'[1]VENTAS(RESUMEN GLOBAL)'!E394</f>
        <v>0</v>
      </c>
      <c r="H394" s="9">
        <f>+'[1]VENTAS(RESUMEN GLOBAL)'!K394</f>
        <v>0</v>
      </c>
      <c r="I394" s="8">
        <f>+G394*'[1]VENTAS(RESUMEN GLOBAL)'!F394</f>
        <v>0</v>
      </c>
      <c r="J394" s="8">
        <f>'[1]VENTAS(RESUMEN GLOBAL)'!G394*(1-'[1]VENTAS(RESUMEN GLOBAL)'!H394)</f>
        <v>0</v>
      </c>
      <c r="K394" s="8">
        <f t="shared" si="6"/>
        <v>0</v>
      </c>
      <c r="L394" s="8">
        <f>+'[1]VENTAS(RESUMEN GLOBAL)'!J394</f>
        <v>0</v>
      </c>
      <c r="M394" s="8">
        <f>+Tabla1[[#This Row],[utilidad x dia]]*7</f>
        <v>0</v>
      </c>
    </row>
    <row r="395" spans="1:13" x14ac:dyDescent="0.3">
      <c r="A395" s="6">
        <f>+'[1]VENTAS(RESUMEN GLOBAL)'!L395</f>
        <v>46055</v>
      </c>
      <c r="B395" s="6" t="str">
        <f>+'[1]VENTAS(RESUMEN GLOBAL)'!M395</f>
        <v>ECCE 2 SECCIÓN</v>
      </c>
      <c r="C395">
        <f>+'[1]VENTAS(RESUMEN GLOBAL)'!B395</f>
        <v>0</v>
      </c>
      <c r="D395" t="e">
        <f>INDEX('[1]CÓDIGOS DE PRODUCTO'!$D$3:$D$1000,MATCH(C395,'[1]CÓDIGOS DE PRODUCTO'!$A$3:$A$1000,0))</f>
        <v>#N/A</v>
      </c>
      <c r="E395">
        <f>VLOOKUP(C395,'[1]CÓDIGOS DE PRODUCTO'!$A$4:$B$156,2,FALSE)</f>
        <v>0</v>
      </c>
      <c r="F395">
        <f>INDEX('[1]CÓDIGOS DE PRODUCTO'!$C$3:$C$1000,MATCH(C395,'[1]CÓDIGOS DE PRODUCTO'!$A$3:$A$1000,0))</f>
        <v>0</v>
      </c>
      <c r="G395">
        <f>+'[1]VENTAS(RESUMEN GLOBAL)'!D395-'[1]VENTAS(RESUMEN GLOBAL)'!E395</f>
        <v>0</v>
      </c>
      <c r="H395" s="9">
        <f>+'[1]VENTAS(RESUMEN GLOBAL)'!K395</f>
        <v>0</v>
      </c>
      <c r="I395" s="8">
        <f>+G395*'[1]VENTAS(RESUMEN GLOBAL)'!F395</f>
        <v>0</v>
      </c>
      <c r="J395" s="8">
        <f>'[1]VENTAS(RESUMEN GLOBAL)'!G395*(1-'[1]VENTAS(RESUMEN GLOBAL)'!H395)</f>
        <v>0</v>
      </c>
      <c r="K395" s="8">
        <f t="shared" si="6"/>
        <v>0</v>
      </c>
      <c r="L395" s="8">
        <f>+'[1]VENTAS(RESUMEN GLOBAL)'!J395</f>
        <v>0</v>
      </c>
      <c r="M395" s="8">
        <f>+Tabla1[[#This Row],[utilidad x dia]]*7</f>
        <v>0</v>
      </c>
    </row>
    <row r="396" spans="1:13" x14ac:dyDescent="0.3">
      <c r="A396" s="6">
        <f>+'[1]VENTAS(RESUMEN GLOBAL)'!L396</f>
        <v>0</v>
      </c>
      <c r="B396" s="6">
        <f>+'[1]VENTAS(RESUMEN GLOBAL)'!M396</f>
        <v>0</v>
      </c>
      <c r="C396">
        <f>+'[1]VENTAS(RESUMEN GLOBAL)'!B396</f>
        <v>0</v>
      </c>
      <c r="D396" t="e">
        <f>INDEX('[1]CÓDIGOS DE PRODUCTO'!$D$3:$D$1000,MATCH(C396,'[1]CÓDIGOS DE PRODUCTO'!$A$3:$A$1000,0))</f>
        <v>#N/A</v>
      </c>
      <c r="E396">
        <f>VLOOKUP(C396,'[1]CÓDIGOS DE PRODUCTO'!$A$4:$B$156,2,FALSE)</f>
        <v>0</v>
      </c>
      <c r="F396">
        <f>INDEX('[1]CÓDIGOS DE PRODUCTO'!$C$3:$C$1000,MATCH(C396,'[1]CÓDIGOS DE PRODUCTO'!$A$3:$A$1000,0))</f>
        <v>0</v>
      </c>
      <c r="G396">
        <f>+'[1]VENTAS(RESUMEN GLOBAL)'!D396-'[1]VENTAS(RESUMEN GLOBAL)'!E396</f>
        <v>0</v>
      </c>
      <c r="H396" s="9">
        <f>+'[1]VENTAS(RESUMEN GLOBAL)'!K396</f>
        <v>0</v>
      </c>
      <c r="I396" s="8">
        <f>+G396*'[1]VENTAS(RESUMEN GLOBAL)'!F396</f>
        <v>0</v>
      </c>
      <c r="J396" s="8">
        <f>'[1]VENTAS(RESUMEN GLOBAL)'!G396*(1-'[1]VENTAS(RESUMEN GLOBAL)'!H396)</f>
        <v>0</v>
      </c>
      <c r="K396" s="8">
        <f t="shared" si="6"/>
        <v>0</v>
      </c>
      <c r="L396" s="8">
        <f>+'[1]VENTAS(RESUMEN GLOBAL)'!J396</f>
        <v>0</v>
      </c>
      <c r="M396" s="8">
        <f>+Tabla1[[#This Row],[utilidad x dia]]*7</f>
        <v>0</v>
      </c>
    </row>
    <row r="397" spans="1:13" x14ac:dyDescent="0.3">
      <c r="A397" s="6">
        <f>+'[1]VENTAS(RESUMEN GLOBAL)'!L397</f>
        <v>46055</v>
      </c>
      <c r="B397" s="6" t="str">
        <f>+'[1]VENTAS(RESUMEN GLOBAL)'!M397</f>
        <v>ECCE RECEPCIÓN</v>
      </c>
      <c r="C397">
        <f>+'[1]VENTAS(RESUMEN GLOBAL)'!B397</f>
        <v>6005103</v>
      </c>
      <c r="D397" t="str">
        <f>INDEX('[1]CÓDIGOS DE PRODUCTO'!$D$3:$D$1000,MATCH(C397,'[1]CÓDIGOS DE PRODUCTO'!$A$3:$A$1000,0))</f>
        <v>50192109 </v>
      </c>
      <c r="E397" t="str">
        <f>VLOOKUP(C397,'[1]CÓDIGOS DE PRODUCTO'!$A$4:$B$156,2,FALSE)</f>
        <v>DORITOS ROJOS</v>
      </c>
      <c r="F397" t="str">
        <f>INDEX('[1]CÓDIGOS DE PRODUCTO'!$C$3:$C$1000,MATCH(C397,'[1]CÓDIGOS DE PRODUCTO'!$A$3:$A$1000,0))</f>
        <v>Papas fritas</v>
      </c>
      <c r="G397">
        <f>+'[1]VENTAS(RESUMEN GLOBAL)'!D397-'[1]VENTAS(RESUMEN GLOBAL)'!E397</f>
        <v>7</v>
      </c>
      <c r="H397" s="9">
        <f>+'[1]VENTAS(RESUMEN GLOBAL)'!K397</f>
        <v>6.125</v>
      </c>
      <c r="I397" s="8">
        <f>+G397*'[1]VENTAS(RESUMEN GLOBAL)'!F397</f>
        <v>175</v>
      </c>
      <c r="J397" s="8">
        <f>'[1]VENTAS(RESUMEN GLOBAL)'!G397*(1-'[1]VENTAS(RESUMEN GLOBAL)'!H397)</f>
        <v>54.250000000000007</v>
      </c>
      <c r="K397" s="8">
        <f t="shared" si="6"/>
        <v>120.75</v>
      </c>
      <c r="L397" s="8">
        <f>+'[1]VENTAS(RESUMEN GLOBAL)'!J397</f>
        <v>15.093749999999998</v>
      </c>
      <c r="M397" s="8">
        <f>+Tabla1[[#This Row],[utilidad x dia]]*7</f>
        <v>105.65624999999999</v>
      </c>
    </row>
    <row r="398" spans="1:13" x14ac:dyDescent="0.3">
      <c r="A398" s="6">
        <f>+'[1]VENTAS(RESUMEN GLOBAL)'!L398</f>
        <v>46055</v>
      </c>
      <c r="B398" s="6" t="str">
        <f>+'[1]VENTAS(RESUMEN GLOBAL)'!M398</f>
        <v>ECCE RECEPCIÓN</v>
      </c>
      <c r="C398">
        <f>+'[1]VENTAS(RESUMEN GLOBAL)'!B398</f>
        <v>600300</v>
      </c>
      <c r="D398" t="str">
        <f>INDEX('[1]CÓDIGOS DE PRODUCTO'!$D$3:$D$1000,MATCH(C398,'[1]CÓDIGOS DE PRODUCTO'!$A$3:$A$1000,0))</f>
        <v>50192109 </v>
      </c>
      <c r="E398" t="str">
        <f>VLOOKUP(C398,'[1]CÓDIGOS DE PRODUCTO'!$A$4:$B$156,2,FALSE)</f>
        <v>TAKIS FUEGO</v>
      </c>
      <c r="F398" t="str">
        <f>INDEX('[1]CÓDIGOS DE PRODUCTO'!$C$3:$C$1000,MATCH(C398,'[1]CÓDIGOS DE PRODUCTO'!$A$3:$A$1000,0))</f>
        <v>Papas fritas</v>
      </c>
      <c r="G398">
        <f>+'[1]VENTAS(RESUMEN GLOBAL)'!D398-'[1]VENTAS(RESUMEN GLOBAL)'!E398</f>
        <v>5</v>
      </c>
      <c r="H398" s="9">
        <f>+'[1]VENTAS(RESUMEN GLOBAL)'!K398</f>
        <v>4.375</v>
      </c>
      <c r="I398" s="8">
        <f>+G398*'[1]VENTAS(RESUMEN GLOBAL)'!F398</f>
        <v>125</v>
      </c>
      <c r="J398" s="8">
        <f>'[1]VENTAS(RESUMEN GLOBAL)'!G398*(1-'[1]VENTAS(RESUMEN GLOBAL)'!H398)</f>
        <v>51.064999999999998</v>
      </c>
      <c r="K398" s="8">
        <f t="shared" si="6"/>
        <v>73.935000000000002</v>
      </c>
      <c r="L398" s="8">
        <f>+'[1]VENTAS(RESUMEN GLOBAL)'!J398</f>
        <v>9.2418750000000003</v>
      </c>
      <c r="M398" s="8">
        <f>+Tabla1[[#This Row],[utilidad x dia]]*7</f>
        <v>64.693125000000009</v>
      </c>
    </row>
    <row r="399" spans="1:13" x14ac:dyDescent="0.3">
      <c r="A399" s="6">
        <f>+'[1]VENTAS(RESUMEN GLOBAL)'!L399</f>
        <v>46055</v>
      </c>
      <c r="B399" s="6" t="str">
        <f>+'[1]VENTAS(RESUMEN GLOBAL)'!M399</f>
        <v>ECCE RECEPCIÓN</v>
      </c>
      <c r="C399">
        <f>+'[1]VENTAS(RESUMEN GLOBAL)'!B399</f>
        <v>600500</v>
      </c>
      <c r="D399" t="str">
        <f>INDEX('[1]CÓDIGOS DE PRODUCTO'!$D$3:$D$1000,MATCH(C399,'[1]CÓDIGOS DE PRODUCTO'!$A$3:$A$1000,0))</f>
        <v>50192109 </v>
      </c>
      <c r="E399" t="str">
        <f>VLOOKUP(C399,'[1]CÓDIGOS DE PRODUCTO'!$A$4:$B$156,2,FALSE)</f>
        <v>SABRIMAYOREO</v>
      </c>
      <c r="F399" t="str">
        <f>INDEX('[1]CÓDIGOS DE PRODUCTO'!$C$3:$C$1000,MATCH(C399,'[1]CÓDIGOS DE PRODUCTO'!$A$3:$A$1000,0))</f>
        <v>Papas fritas</v>
      </c>
      <c r="G399">
        <f>+'[1]VENTAS(RESUMEN GLOBAL)'!D399-'[1]VENTAS(RESUMEN GLOBAL)'!E399</f>
        <v>4</v>
      </c>
      <c r="H399" s="9">
        <f>+'[1]VENTAS(RESUMEN GLOBAL)'!K399</f>
        <v>3.5</v>
      </c>
      <c r="I399" s="8">
        <f>+G399*'[1]VENTAS(RESUMEN GLOBAL)'!F399</f>
        <v>100</v>
      </c>
      <c r="J399" s="8">
        <f>'[1]VENTAS(RESUMEN GLOBAL)'!G399*(1-'[1]VENTAS(RESUMEN GLOBAL)'!H399)</f>
        <v>31.000000000000007</v>
      </c>
      <c r="K399" s="8">
        <f t="shared" si="6"/>
        <v>69</v>
      </c>
      <c r="L399" s="8">
        <f>+'[1]VENTAS(RESUMEN GLOBAL)'!J399</f>
        <v>8.625</v>
      </c>
      <c r="M399" s="8">
        <f>+Tabla1[[#This Row],[utilidad x dia]]*7</f>
        <v>60.375</v>
      </c>
    </row>
    <row r="400" spans="1:13" x14ac:dyDescent="0.3">
      <c r="A400" s="6">
        <f>+'[1]VENTAS(RESUMEN GLOBAL)'!L400</f>
        <v>46055</v>
      </c>
      <c r="B400" s="6" t="str">
        <f>+'[1]VENTAS(RESUMEN GLOBAL)'!M400</f>
        <v>ECCE RECEPCIÓN</v>
      </c>
      <c r="C400">
        <f>+'[1]VENTAS(RESUMEN GLOBAL)'!B400</f>
        <v>600500</v>
      </c>
      <c r="D400" t="str">
        <f>INDEX('[1]CÓDIGOS DE PRODUCTO'!$D$3:$D$1000,MATCH(C400,'[1]CÓDIGOS DE PRODUCTO'!$A$3:$A$1000,0))</f>
        <v>50192109 </v>
      </c>
      <c r="E400" t="str">
        <f>VLOOKUP(C400,'[1]CÓDIGOS DE PRODUCTO'!$A$4:$B$156,2,FALSE)</f>
        <v>SABRIMAYOREO</v>
      </c>
      <c r="F400" t="str">
        <f>INDEX('[1]CÓDIGOS DE PRODUCTO'!$C$3:$C$1000,MATCH(C400,'[1]CÓDIGOS DE PRODUCTO'!$A$3:$A$1000,0))</f>
        <v>Papas fritas</v>
      </c>
      <c r="G400">
        <f>+'[1]VENTAS(RESUMEN GLOBAL)'!D400-'[1]VENTAS(RESUMEN GLOBAL)'!E400</f>
        <v>3</v>
      </c>
      <c r="H400" s="9">
        <f>+'[1]VENTAS(RESUMEN GLOBAL)'!K400</f>
        <v>2.625</v>
      </c>
      <c r="I400" s="8">
        <f>+G400*'[1]VENTAS(RESUMEN GLOBAL)'!F400</f>
        <v>75</v>
      </c>
      <c r="J400" s="8">
        <f>'[1]VENTAS(RESUMEN GLOBAL)'!G400*(1-'[1]VENTAS(RESUMEN GLOBAL)'!H400)</f>
        <v>23.250000000000004</v>
      </c>
      <c r="K400" s="8">
        <f t="shared" si="6"/>
        <v>51.75</v>
      </c>
      <c r="L400" s="8">
        <f>+'[1]VENTAS(RESUMEN GLOBAL)'!J400</f>
        <v>6.4687499999999991</v>
      </c>
      <c r="M400" s="8">
        <f>+Tabla1[[#This Row],[utilidad x dia]]*7</f>
        <v>45.281249999999993</v>
      </c>
    </row>
    <row r="401" spans="1:13" x14ac:dyDescent="0.3">
      <c r="A401" s="6">
        <f>+'[1]VENTAS(RESUMEN GLOBAL)'!L401</f>
        <v>46055</v>
      </c>
      <c r="B401" s="6" t="str">
        <f>+'[1]VENTAS(RESUMEN GLOBAL)'!M401</f>
        <v>ECCE RECEPCIÓN</v>
      </c>
      <c r="C401">
        <f>+'[1]VENTAS(RESUMEN GLOBAL)'!B401</f>
        <v>600500</v>
      </c>
      <c r="D401" t="str">
        <f>INDEX('[1]CÓDIGOS DE PRODUCTO'!$D$3:$D$1000,MATCH(C401,'[1]CÓDIGOS DE PRODUCTO'!$A$3:$A$1000,0))</f>
        <v>50192109 </v>
      </c>
      <c r="E401" t="str">
        <f>VLOOKUP(C401,'[1]CÓDIGOS DE PRODUCTO'!$A$4:$B$156,2,FALSE)</f>
        <v>SABRIMAYOREO</v>
      </c>
      <c r="F401" t="str">
        <f>INDEX('[1]CÓDIGOS DE PRODUCTO'!$C$3:$C$1000,MATCH(C401,'[1]CÓDIGOS DE PRODUCTO'!$A$3:$A$1000,0))</f>
        <v>Papas fritas</v>
      </c>
      <c r="G401">
        <f>+'[1]VENTAS(RESUMEN GLOBAL)'!D401-'[1]VENTAS(RESUMEN GLOBAL)'!E401</f>
        <v>6</v>
      </c>
      <c r="H401" s="9">
        <f>+'[1]VENTAS(RESUMEN GLOBAL)'!K401</f>
        <v>5.25</v>
      </c>
      <c r="I401" s="8">
        <f>+G401*'[1]VENTAS(RESUMEN GLOBAL)'!F401</f>
        <v>150</v>
      </c>
      <c r="J401" s="8">
        <f>'[1]VENTAS(RESUMEN GLOBAL)'!G401*(1-'[1]VENTAS(RESUMEN GLOBAL)'!H401)</f>
        <v>46.500000000000007</v>
      </c>
      <c r="K401" s="8">
        <f t="shared" si="6"/>
        <v>103.5</v>
      </c>
      <c r="L401" s="8">
        <f>+'[1]VENTAS(RESUMEN GLOBAL)'!J401</f>
        <v>12.937499999999998</v>
      </c>
      <c r="M401" s="8">
        <f>+Tabla1[[#This Row],[utilidad x dia]]*7</f>
        <v>90.562499999999986</v>
      </c>
    </row>
    <row r="402" spans="1:13" x14ac:dyDescent="0.3">
      <c r="A402" s="6">
        <f>+'[1]VENTAS(RESUMEN GLOBAL)'!L402</f>
        <v>46055</v>
      </c>
      <c r="B402" s="6" t="str">
        <f>+'[1]VENTAS(RESUMEN GLOBAL)'!M402</f>
        <v>ECCE RECEPCIÓN</v>
      </c>
      <c r="C402">
        <f>+'[1]VENTAS(RESUMEN GLOBAL)'!B402</f>
        <v>600500</v>
      </c>
      <c r="D402" t="str">
        <f>INDEX('[1]CÓDIGOS DE PRODUCTO'!$D$3:$D$1000,MATCH(C402,'[1]CÓDIGOS DE PRODUCTO'!$A$3:$A$1000,0))</f>
        <v>50192109 </v>
      </c>
      <c r="E402" t="str">
        <f>VLOOKUP(C402,'[1]CÓDIGOS DE PRODUCTO'!$A$4:$B$156,2,FALSE)</f>
        <v>SABRIMAYOREO</v>
      </c>
      <c r="F402" t="str">
        <f>INDEX('[1]CÓDIGOS DE PRODUCTO'!$C$3:$C$1000,MATCH(C402,'[1]CÓDIGOS DE PRODUCTO'!$A$3:$A$1000,0))</f>
        <v>Papas fritas</v>
      </c>
      <c r="G402">
        <f>+'[1]VENTAS(RESUMEN GLOBAL)'!D402-'[1]VENTAS(RESUMEN GLOBAL)'!E402</f>
        <v>4</v>
      </c>
      <c r="H402" s="9">
        <f>+'[1]VENTAS(RESUMEN GLOBAL)'!K402</f>
        <v>3.5</v>
      </c>
      <c r="I402" s="8">
        <f>+G402*'[1]VENTAS(RESUMEN GLOBAL)'!F402</f>
        <v>80</v>
      </c>
      <c r="J402" s="8">
        <f>'[1]VENTAS(RESUMEN GLOBAL)'!G402*(1-'[1]VENTAS(RESUMEN GLOBAL)'!H402)</f>
        <v>24.800000000000004</v>
      </c>
      <c r="K402" s="8">
        <f t="shared" si="6"/>
        <v>55.199999999999996</v>
      </c>
      <c r="L402" s="8">
        <f>+'[1]VENTAS(RESUMEN GLOBAL)'!J402</f>
        <v>6.8999999999999995</v>
      </c>
      <c r="M402" s="8">
        <f>+Tabla1[[#This Row],[utilidad x dia]]*7</f>
        <v>48.3</v>
      </c>
    </row>
    <row r="403" spans="1:13" x14ac:dyDescent="0.3">
      <c r="A403" s="6">
        <f>+'[1]VENTAS(RESUMEN GLOBAL)'!L403</f>
        <v>46055</v>
      </c>
      <c r="B403" s="6" t="str">
        <f>+'[1]VENTAS(RESUMEN GLOBAL)'!M403</f>
        <v>ECCE RECEPCIÓN</v>
      </c>
      <c r="C403">
        <f>+'[1]VENTAS(RESUMEN GLOBAL)'!B403</f>
        <v>600500</v>
      </c>
      <c r="D403" t="str">
        <f>INDEX('[1]CÓDIGOS DE PRODUCTO'!$D$3:$D$1000,MATCH(C403,'[1]CÓDIGOS DE PRODUCTO'!$A$3:$A$1000,0))</f>
        <v>50192109 </v>
      </c>
      <c r="E403" t="str">
        <f>VLOOKUP(C403,'[1]CÓDIGOS DE PRODUCTO'!$A$4:$B$156,2,FALSE)</f>
        <v>SABRIMAYOREO</v>
      </c>
      <c r="F403" t="str">
        <f>INDEX('[1]CÓDIGOS DE PRODUCTO'!$C$3:$C$1000,MATCH(C403,'[1]CÓDIGOS DE PRODUCTO'!$A$3:$A$1000,0))</f>
        <v>Papas fritas</v>
      </c>
      <c r="G403">
        <f>+'[1]VENTAS(RESUMEN GLOBAL)'!D403-'[1]VENTAS(RESUMEN GLOBAL)'!E403</f>
        <v>4</v>
      </c>
      <c r="H403" s="9">
        <f>+'[1]VENTAS(RESUMEN GLOBAL)'!K403</f>
        <v>3.5</v>
      </c>
      <c r="I403" s="8">
        <f>+G403*'[1]VENTAS(RESUMEN GLOBAL)'!F403</f>
        <v>100</v>
      </c>
      <c r="J403" s="8">
        <f>'[1]VENTAS(RESUMEN GLOBAL)'!G403*(1-'[1]VENTAS(RESUMEN GLOBAL)'!H403)</f>
        <v>31.000000000000007</v>
      </c>
      <c r="K403" s="8">
        <f t="shared" si="6"/>
        <v>69</v>
      </c>
      <c r="L403" s="8">
        <f>+'[1]VENTAS(RESUMEN GLOBAL)'!J403</f>
        <v>8.625</v>
      </c>
      <c r="M403" s="8">
        <f>+Tabla1[[#This Row],[utilidad x dia]]*7</f>
        <v>60.375</v>
      </c>
    </row>
    <row r="404" spans="1:13" x14ac:dyDescent="0.3">
      <c r="A404" s="6">
        <f>+'[1]VENTAS(RESUMEN GLOBAL)'!L404</f>
        <v>46055</v>
      </c>
      <c r="B404" s="6" t="str">
        <f>+'[1]VENTAS(RESUMEN GLOBAL)'!M404</f>
        <v>ECCE RECEPCIÓN</v>
      </c>
      <c r="C404">
        <f>+'[1]VENTAS(RESUMEN GLOBAL)'!B404</f>
        <v>600400</v>
      </c>
      <c r="D404" t="str">
        <f>INDEX('[1]CÓDIGOS DE PRODUCTO'!$D$3:$D$1000,MATCH(C404,'[1]CÓDIGOS DE PRODUCTO'!$A$3:$A$1000,0))</f>
        <v>50192109 </v>
      </c>
      <c r="E404" t="str">
        <f>VLOOKUP(C404,'[1]CÓDIGOS DE PRODUCTO'!$A$4:$B$156,2,FALSE)</f>
        <v>FRITOS (CHORIZO U OTROS)</v>
      </c>
      <c r="F404" t="str">
        <f>INDEX('[1]CÓDIGOS DE PRODUCTO'!$C$3:$C$1000,MATCH(C404,'[1]CÓDIGOS DE PRODUCTO'!$A$3:$A$1000,0))</f>
        <v>Papas fritas</v>
      </c>
      <c r="G404">
        <f>+'[1]VENTAS(RESUMEN GLOBAL)'!D404-'[1]VENTAS(RESUMEN GLOBAL)'!E404</f>
        <v>6</v>
      </c>
      <c r="H404" s="9">
        <f>+'[1]VENTAS(RESUMEN GLOBAL)'!K404</f>
        <v>5.25</v>
      </c>
      <c r="I404" s="8">
        <f>+G404*'[1]VENTAS(RESUMEN GLOBAL)'!F404</f>
        <v>120</v>
      </c>
      <c r="J404" s="8">
        <f>'[1]VENTAS(RESUMEN GLOBAL)'!G404*(1-'[1]VENTAS(RESUMEN GLOBAL)'!H404)</f>
        <v>49.080000000000005</v>
      </c>
      <c r="K404" s="8">
        <f t="shared" si="6"/>
        <v>70.919999999999987</v>
      </c>
      <c r="L404" s="8">
        <f>+'[1]VENTAS(RESUMEN GLOBAL)'!J404</f>
        <v>8.8650000000000002</v>
      </c>
      <c r="M404" s="8">
        <f>+Tabla1[[#This Row],[utilidad x dia]]*7</f>
        <v>62.055</v>
      </c>
    </row>
    <row r="405" spans="1:13" x14ac:dyDescent="0.3">
      <c r="A405" s="6">
        <f>+'[1]VENTAS(RESUMEN GLOBAL)'!L405</f>
        <v>46055</v>
      </c>
      <c r="B405" s="6" t="str">
        <f>+'[1]VENTAS(RESUMEN GLOBAL)'!M405</f>
        <v>ECCE RECEPCIÓN</v>
      </c>
      <c r="C405">
        <f>+'[1]VENTAS(RESUMEN GLOBAL)'!B405</f>
        <v>600500</v>
      </c>
      <c r="D405" t="str">
        <f>INDEX('[1]CÓDIGOS DE PRODUCTO'!$D$3:$D$1000,MATCH(C405,'[1]CÓDIGOS DE PRODUCTO'!$A$3:$A$1000,0))</f>
        <v>50192109 </v>
      </c>
      <c r="E405" t="str">
        <f>VLOOKUP(C405,'[1]CÓDIGOS DE PRODUCTO'!$A$4:$B$156,2,FALSE)</f>
        <v>SABRIMAYOREO</v>
      </c>
      <c r="F405" t="str">
        <f>INDEX('[1]CÓDIGOS DE PRODUCTO'!$C$3:$C$1000,MATCH(C405,'[1]CÓDIGOS DE PRODUCTO'!$A$3:$A$1000,0))</f>
        <v>Papas fritas</v>
      </c>
      <c r="G405">
        <f>+'[1]VENTAS(RESUMEN GLOBAL)'!D405-'[1]VENTAS(RESUMEN GLOBAL)'!E405</f>
        <v>8</v>
      </c>
      <c r="H405" s="9">
        <f>+'[1]VENTAS(RESUMEN GLOBAL)'!K405</f>
        <v>7</v>
      </c>
      <c r="I405" s="8">
        <f>+G405*'[1]VENTAS(RESUMEN GLOBAL)'!F405</f>
        <v>160</v>
      </c>
      <c r="J405" s="8">
        <f>'[1]VENTAS(RESUMEN GLOBAL)'!G405*(1-'[1]VENTAS(RESUMEN GLOBAL)'!H405)</f>
        <v>49.600000000000009</v>
      </c>
      <c r="K405" s="8">
        <f t="shared" si="6"/>
        <v>110.39999999999999</v>
      </c>
      <c r="L405" s="8">
        <f>+'[1]VENTAS(RESUMEN GLOBAL)'!J405</f>
        <v>13.799999999999999</v>
      </c>
      <c r="M405" s="8">
        <f>+Tabla1[[#This Row],[utilidad x dia]]*7</f>
        <v>96.6</v>
      </c>
    </row>
    <row r="406" spans="1:13" x14ac:dyDescent="0.3">
      <c r="A406" s="6">
        <f>+'[1]VENTAS(RESUMEN GLOBAL)'!L406</f>
        <v>46055</v>
      </c>
      <c r="B406" s="6" t="str">
        <f>+'[1]VENTAS(RESUMEN GLOBAL)'!M406</f>
        <v>ECCE RECEPCIÓN</v>
      </c>
      <c r="C406">
        <f>+'[1]VENTAS(RESUMEN GLOBAL)'!B406</f>
        <v>800900</v>
      </c>
      <c r="D406" t="str">
        <f>INDEX('[1]CÓDIGOS DE PRODUCTO'!$D$3:$D$1000,MATCH(C406,'[1]CÓDIGOS DE PRODUCTO'!$A$3:$A$1000,0))</f>
        <v>50181900 </v>
      </c>
      <c r="E406" t="str">
        <f>VLOOKUP(C406,'[1]CÓDIGOS DE PRODUCTO'!$A$4:$B$156,2,FALSE)</f>
        <v>MANTECADAS</v>
      </c>
      <c r="F406" t="str">
        <f>INDEX('[1]CÓDIGOS DE PRODUCTO'!$C$3:$C$1000,MATCH(C406,'[1]CÓDIGOS DE PRODUCTO'!$A$3:$A$1000,0))</f>
        <v>GALLETAS Y PAN DULCE</v>
      </c>
      <c r="G406">
        <f>+'[1]VENTAS(RESUMEN GLOBAL)'!D406-'[1]VENTAS(RESUMEN GLOBAL)'!E406</f>
        <v>2</v>
      </c>
      <c r="H406" s="9">
        <f>+'[1]VENTAS(RESUMEN GLOBAL)'!K406</f>
        <v>1.75</v>
      </c>
      <c r="I406" s="8">
        <f>+G406*'[1]VENTAS(RESUMEN GLOBAL)'!F406</f>
        <v>40</v>
      </c>
      <c r="J406" s="8">
        <f>'[1]VENTAS(RESUMEN GLOBAL)'!G406*(1-'[1]VENTAS(RESUMEN GLOBAL)'!H406)</f>
        <v>19.436666666666667</v>
      </c>
      <c r="K406" s="8">
        <f t="shared" si="6"/>
        <v>20.563333333333333</v>
      </c>
      <c r="L406" s="8">
        <f>+'[1]VENTAS(RESUMEN GLOBAL)'!J406</f>
        <v>2.5704166666666666</v>
      </c>
      <c r="M406" s="8">
        <f>+Tabla1[[#This Row],[utilidad x dia]]*7</f>
        <v>17.992916666666666</v>
      </c>
    </row>
    <row r="407" spans="1:13" x14ac:dyDescent="0.3">
      <c r="A407" s="6">
        <f>+'[1]VENTAS(RESUMEN GLOBAL)'!L407</f>
        <v>46055</v>
      </c>
      <c r="B407" s="6" t="str">
        <f>+'[1]VENTAS(RESUMEN GLOBAL)'!M407</f>
        <v>ECCE RECEPCIÓN</v>
      </c>
      <c r="C407">
        <f>+'[1]VENTAS(RESUMEN GLOBAL)'!B407</f>
        <v>300200</v>
      </c>
      <c r="D407" t="str">
        <f>INDEX('[1]CÓDIGOS DE PRODUCTO'!$D$3:$D$1000,MATCH(C407,'[1]CÓDIGOS DE PRODUCTO'!$A$3:$A$1000,0))</f>
        <v>50161800 </v>
      </c>
      <c r="E407" t="str">
        <f>VLOOKUP(C407,'[1]CÓDIGOS DE PRODUCTO'!$A$4:$B$156,2,FALSE)</f>
        <v>SKWINKLES</v>
      </c>
      <c r="F407" t="str">
        <f>INDEX('[1]CÓDIGOS DE PRODUCTO'!$C$3:$C$1000,MATCH(C407,'[1]CÓDIGOS DE PRODUCTO'!$A$3:$A$1000,0))</f>
        <v>Snacks &amp; Dulces</v>
      </c>
      <c r="G407">
        <f>+'[1]VENTAS(RESUMEN GLOBAL)'!D407-'[1]VENTAS(RESUMEN GLOBAL)'!E407</f>
        <v>2</v>
      </c>
      <c r="H407" s="9">
        <f>+'[1]VENTAS(RESUMEN GLOBAL)'!K407</f>
        <v>1.75</v>
      </c>
      <c r="I407" s="8">
        <f>+G407*'[1]VENTAS(RESUMEN GLOBAL)'!F407</f>
        <v>40</v>
      </c>
      <c r="J407" s="8">
        <f>'[1]VENTAS(RESUMEN GLOBAL)'!G407*(1-'[1]VENTAS(RESUMEN GLOBAL)'!H407)</f>
        <v>14.406666666666666</v>
      </c>
      <c r="K407" s="8">
        <f t="shared" si="6"/>
        <v>25.593333333333334</v>
      </c>
      <c r="L407" s="8">
        <f>+'[1]VENTAS(RESUMEN GLOBAL)'!J407</f>
        <v>3.1991666666666667</v>
      </c>
      <c r="M407" s="8">
        <f>+Tabla1[[#This Row],[utilidad x dia]]*7</f>
        <v>22.394166666666667</v>
      </c>
    </row>
    <row r="408" spans="1:13" x14ac:dyDescent="0.3">
      <c r="A408" s="6">
        <f>+'[1]VENTAS(RESUMEN GLOBAL)'!L408</f>
        <v>46055</v>
      </c>
      <c r="B408" s="6" t="str">
        <f>+'[1]VENTAS(RESUMEN GLOBAL)'!M408</f>
        <v>ECCE RECEPCIÓN</v>
      </c>
      <c r="C408">
        <f>+'[1]VENTAS(RESUMEN GLOBAL)'!B408</f>
        <v>900200</v>
      </c>
      <c r="D408" t="str">
        <f>INDEX('[1]CÓDIGOS DE PRODUCTO'!$D$3:$D$1000,MATCH(C408,'[1]CÓDIGOS DE PRODUCTO'!$A$3:$A$1000,0))</f>
        <v>IDENTIFICAR MANUAL</v>
      </c>
      <c r="E408" t="str">
        <f>VLOOKUP(C408,'[1]CÓDIGOS DE PRODUCTO'!$A$4:$B$156,2,FALSE)</f>
        <v>KLEENEX</v>
      </c>
      <c r="F408" t="str">
        <f>INDEX('[1]CÓDIGOS DE PRODUCTO'!$C$3:$C$1000,MATCH(C408,'[1]CÓDIGOS DE PRODUCTO'!$A$3:$A$1000,0))</f>
        <v>OTROS</v>
      </c>
      <c r="G408">
        <f>+'[1]VENTAS(RESUMEN GLOBAL)'!D408-'[1]VENTAS(RESUMEN GLOBAL)'!E408</f>
        <v>1</v>
      </c>
      <c r="H408" s="9">
        <f>+'[1]VENTAS(RESUMEN GLOBAL)'!K408</f>
        <v>0.875</v>
      </c>
      <c r="I408" s="8">
        <f>+G408*'[1]VENTAS(RESUMEN GLOBAL)'!F408</f>
        <v>18</v>
      </c>
      <c r="J408" s="8">
        <f>'[1]VENTAS(RESUMEN GLOBAL)'!G408*(1-'[1]VENTAS(RESUMEN GLOBAL)'!H408)</f>
        <v>4.706999999999999</v>
      </c>
      <c r="K408" s="8">
        <f t="shared" si="6"/>
        <v>13.293000000000001</v>
      </c>
      <c r="L408" s="8">
        <f>+'[1]VENTAS(RESUMEN GLOBAL)'!J408</f>
        <v>1.6616250000000001</v>
      </c>
      <c r="M408" s="8">
        <f>+Tabla1[[#This Row],[utilidad x dia]]*7</f>
        <v>11.631375</v>
      </c>
    </row>
    <row r="409" spans="1:13" x14ac:dyDescent="0.3">
      <c r="A409" s="6">
        <f>+'[1]VENTAS(RESUMEN GLOBAL)'!L409</f>
        <v>46055</v>
      </c>
      <c r="B409" s="6" t="str">
        <f>+'[1]VENTAS(RESUMEN GLOBAL)'!M409</f>
        <v>ECCE RECEPCIÓN</v>
      </c>
      <c r="C409">
        <f>+'[1]VENTAS(RESUMEN GLOBAL)'!B409</f>
        <v>300100</v>
      </c>
      <c r="D409" t="str">
        <f>INDEX('[1]CÓDIGOS DE PRODUCTO'!$D$3:$D$1000,MATCH(C409,'[1]CÓDIGOS DE PRODUCTO'!$A$3:$A$1000,0))</f>
        <v>50161800 </v>
      </c>
      <c r="E409" t="str">
        <f>VLOOKUP(C409,'[1]CÓDIGOS DE PRODUCTO'!$A$4:$B$156,2,FALSE)</f>
        <v>Pelonetes</v>
      </c>
      <c r="F409" t="str">
        <f>INDEX('[1]CÓDIGOS DE PRODUCTO'!$C$3:$C$1000,MATCH(C409,'[1]CÓDIGOS DE PRODUCTO'!$A$3:$A$1000,0))</f>
        <v>Snacks &amp; Dulces</v>
      </c>
      <c r="G409">
        <f>+'[1]VENTAS(RESUMEN GLOBAL)'!D409-'[1]VENTAS(RESUMEN GLOBAL)'!E409</f>
        <v>0</v>
      </c>
      <c r="H409" s="9">
        <f>+'[1]VENTAS(RESUMEN GLOBAL)'!K409</f>
        <v>0</v>
      </c>
      <c r="I409" s="8">
        <f>+G409*'[1]VENTAS(RESUMEN GLOBAL)'!F409</f>
        <v>0</v>
      </c>
      <c r="J409" s="8">
        <f>'[1]VENTAS(RESUMEN GLOBAL)'!G409*(1-'[1]VENTAS(RESUMEN GLOBAL)'!H409)</f>
        <v>0</v>
      </c>
      <c r="K409" s="8">
        <f t="shared" si="6"/>
        <v>0</v>
      </c>
      <c r="L409" s="8">
        <f>+'[1]VENTAS(RESUMEN GLOBAL)'!J409</f>
        <v>0</v>
      </c>
      <c r="M409" s="8">
        <f>+Tabla1[[#This Row],[utilidad x dia]]*7</f>
        <v>0</v>
      </c>
    </row>
    <row r="410" spans="1:13" x14ac:dyDescent="0.3">
      <c r="A410" s="6">
        <f>+'[1]VENTAS(RESUMEN GLOBAL)'!L410</f>
        <v>46055</v>
      </c>
      <c r="B410" s="6" t="str">
        <f>+'[1]VENTAS(RESUMEN GLOBAL)'!M410</f>
        <v>ECCE RECEPCIÓN</v>
      </c>
      <c r="C410">
        <f>+'[1]VENTAS(RESUMEN GLOBAL)'!B410</f>
        <v>500100</v>
      </c>
      <c r="D410" t="str">
        <f>INDEX('[1]CÓDIGOS DE PRODUCTO'!$D$3:$D$1000,MATCH(C410,'[1]CÓDIGOS DE PRODUCTO'!$A$3:$A$1000,0))</f>
        <v>53102800 </v>
      </c>
      <c r="E410" t="str">
        <f>VLOOKUP(C410,'[1]CÓDIGOS DE PRODUCTO'!$A$4:$B$156,2,FALSE)</f>
        <v>Trajes de baño</v>
      </c>
      <c r="F410" t="str">
        <f>INDEX('[1]CÓDIGOS DE PRODUCTO'!$C$3:$C$1000,MATCH(C410,'[1]CÓDIGOS DE PRODUCTO'!$A$3:$A$1000,0))</f>
        <v>SWIMWEAR</v>
      </c>
      <c r="G410">
        <f>+'[1]VENTAS(RESUMEN GLOBAL)'!D410-'[1]VENTAS(RESUMEN GLOBAL)'!E410</f>
        <v>1</v>
      </c>
      <c r="H410" s="9">
        <f>+'[1]VENTAS(RESUMEN GLOBAL)'!K410</f>
        <v>0.875</v>
      </c>
      <c r="I410" s="8">
        <f>+G410*'[1]VENTAS(RESUMEN GLOBAL)'!F410</f>
        <v>290</v>
      </c>
      <c r="J410" s="8">
        <f>'[1]VENTAS(RESUMEN GLOBAL)'!G410*(1-'[1]VENTAS(RESUMEN GLOBAL)'!H410)</f>
        <v>145</v>
      </c>
      <c r="K410" s="8">
        <f t="shared" si="6"/>
        <v>145</v>
      </c>
      <c r="L410" s="8">
        <f>+'[1]VENTAS(RESUMEN GLOBAL)'!J410</f>
        <v>18.125</v>
      </c>
      <c r="M410" s="8">
        <f>+Tabla1[[#This Row],[utilidad x dia]]*7</f>
        <v>126.875</v>
      </c>
    </row>
    <row r="411" spans="1:13" x14ac:dyDescent="0.3">
      <c r="A411" s="6">
        <f>+'[1]VENTAS(RESUMEN GLOBAL)'!L411</f>
        <v>46055</v>
      </c>
      <c r="B411" s="6" t="str">
        <f>+'[1]VENTAS(RESUMEN GLOBAL)'!M411</f>
        <v>ECCE RECEPCIÓN</v>
      </c>
      <c r="C411">
        <f>+'[1]VENTAS(RESUMEN GLOBAL)'!B411</f>
        <v>900300</v>
      </c>
      <c r="D411">
        <f>INDEX('[1]CÓDIGOS DE PRODUCTO'!$D$3:$D$1000,MATCH(C411,'[1]CÓDIGOS DE PRODUCTO'!$A$3:$A$1000,0))</f>
        <v>50161815</v>
      </c>
      <c r="E411" t="str">
        <f>VLOOKUP(C411,'[1]CÓDIGOS DE PRODUCTO'!$A$4:$B$156,2,FALSE)</f>
        <v>CHICLES TRIDENT</v>
      </c>
      <c r="F411" t="str">
        <f>INDEX('[1]CÓDIGOS DE PRODUCTO'!$C$3:$C$1000,MATCH(C411,'[1]CÓDIGOS DE PRODUCTO'!$A$3:$A$1000,0))</f>
        <v>OTROS</v>
      </c>
      <c r="G411">
        <f>+'[1]VENTAS(RESUMEN GLOBAL)'!D411-'[1]VENTAS(RESUMEN GLOBAL)'!E411</f>
        <v>5</v>
      </c>
      <c r="H411" s="9">
        <f>+'[1]VENTAS(RESUMEN GLOBAL)'!K411</f>
        <v>4.375</v>
      </c>
      <c r="I411" s="8">
        <f>+G411*'[1]VENTAS(RESUMEN GLOBAL)'!F411</f>
        <v>125</v>
      </c>
      <c r="J411" s="8">
        <f>'[1]VENTAS(RESUMEN GLOBAL)'!G411*(1-'[1]VENTAS(RESUMEN GLOBAL)'!H411)</f>
        <v>66.066666666666663</v>
      </c>
      <c r="K411" s="8">
        <f t="shared" si="6"/>
        <v>58.933333333333337</v>
      </c>
      <c r="L411" s="8">
        <f>+'[1]VENTAS(RESUMEN GLOBAL)'!J411</f>
        <v>7.3666666666666671</v>
      </c>
      <c r="M411" s="8">
        <f>+Tabla1[[#This Row],[utilidad x dia]]*7</f>
        <v>51.56666666666667</v>
      </c>
    </row>
    <row r="412" spans="1:13" x14ac:dyDescent="0.3">
      <c r="A412" s="6">
        <f>+'[1]VENTAS(RESUMEN GLOBAL)'!L412</f>
        <v>46055</v>
      </c>
      <c r="B412" s="6" t="str">
        <f>+'[1]VENTAS(RESUMEN GLOBAL)'!M412</f>
        <v>ECCE RECEPCIÓN</v>
      </c>
      <c r="C412">
        <f>+'[1]VENTAS(RESUMEN GLOBAL)'!B412</f>
        <v>400200</v>
      </c>
      <c r="D412" t="str">
        <f>INDEX('[1]CÓDIGOS DE PRODUCTO'!$D$3:$D$1000,MATCH(C412,'[1]CÓDIGOS DE PRODUCTO'!$A$3:$A$1000,0))</f>
        <v>N/A</v>
      </c>
      <c r="E412" t="str">
        <f>VLOOKUP(C412,'[1]CÓDIGOS DE PRODUCTO'!$A$4:$B$156,2,FALSE)</f>
        <v>MARLBORO ROJOS</v>
      </c>
      <c r="F412" t="str">
        <f>INDEX('[1]CÓDIGOS DE PRODUCTO'!$C$3:$C$1000,MATCH(C412,'[1]CÓDIGOS DE PRODUCTO'!$A$3:$A$1000,0))</f>
        <v>Cigarros</v>
      </c>
      <c r="G412">
        <f>+'[1]VENTAS(RESUMEN GLOBAL)'!D412-'[1]VENTAS(RESUMEN GLOBAL)'!E412</f>
        <v>0</v>
      </c>
      <c r="H412" s="9">
        <f>+'[1]VENTAS(RESUMEN GLOBAL)'!K412</f>
        <v>0</v>
      </c>
      <c r="I412" s="8">
        <f>+G412*'[1]VENTAS(RESUMEN GLOBAL)'!F412</f>
        <v>0</v>
      </c>
      <c r="J412" s="8">
        <f>'[1]VENTAS(RESUMEN GLOBAL)'!G412*(1-'[1]VENTAS(RESUMEN GLOBAL)'!H412)</f>
        <v>0</v>
      </c>
      <c r="K412" s="8">
        <f t="shared" si="6"/>
        <v>0</v>
      </c>
      <c r="L412" s="8">
        <f>+'[1]VENTAS(RESUMEN GLOBAL)'!J412</f>
        <v>0</v>
      </c>
      <c r="M412" s="8">
        <f>+Tabla1[[#This Row],[utilidad x dia]]*7</f>
        <v>0</v>
      </c>
    </row>
    <row r="413" spans="1:13" x14ac:dyDescent="0.3">
      <c r="A413" s="6">
        <f>+'[1]VENTAS(RESUMEN GLOBAL)'!L413</f>
        <v>46055</v>
      </c>
      <c r="B413" s="6" t="str">
        <f>+'[1]VENTAS(RESUMEN GLOBAL)'!M413</f>
        <v>ECCE RECEPCIÓN</v>
      </c>
      <c r="C413">
        <f>+'[1]VENTAS(RESUMEN GLOBAL)'!B413</f>
        <v>400100</v>
      </c>
      <c r="D413" t="str">
        <f>INDEX('[1]CÓDIGOS DE PRODUCTO'!$D$3:$D$1000,MATCH(C413,'[1]CÓDIGOS DE PRODUCTO'!$A$3:$A$1000,0))</f>
        <v>N/A</v>
      </c>
      <c r="E413" t="str">
        <f>VLOOKUP(C413,'[1]CÓDIGOS DE PRODUCTO'!$A$4:$B$156,2,FALSE)</f>
        <v>MARLBORO BLANCOS</v>
      </c>
      <c r="F413" t="str">
        <f>INDEX('[1]CÓDIGOS DE PRODUCTO'!$C$3:$C$1000,MATCH(C413,'[1]CÓDIGOS DE PRODUCTO'!$A$3:$A$1000,0))</f>
        <v>Cigarros</v>
      </c>
      <c r="G413">
        <f>+'[1]VENTAS(RESUMEN GLOBAL)'!D413-'[1]VENTAS(RESUMEN GLOBAL)'!E413</f>
        <v>0</v>
      </c>
      <c r="H413" s="9">
        <f>+'[1]VENTAS(RESUMEN GLOBAL)'!K413</f>
        <v>0</v>
      </c>
      <c r="I413" s="8">
        <f>+G413*'[1]VENTAS(RESUMEN GLOBAL)'!F413</f>
        <v>0</v>
      </c>
      <c r="J413" s="8">
        <f>'[1]VENTAS(RESUMEN GLOBAL)'!G413*(1-'[1]VENTAS(RESUMEN GLOBAL)'!H413)</f>
        <v>0</v>
      </c>
      <c r="K413" s="8">
        <f t="shared" si="6"/>
        <v>0</v>
      </c>
      <c r="L413" s="8">
        <f>+'[1]VENTAS(RESUMEN GLOBAL)'!J413</f>
        <v>0</v>
      </c>
      <c r="M413" s="8">
        <f>+Tabla1[[#This Row],[utilidad x dia]]*7</f>
        <v>0</v>
      </c>
    </row>
    <row r="414" spans="1:13" x14ac:dyDescent="0.3">
      <c r="A414" s="6">
        <f>+'[1]VENTAS(RESUMEN GLOBAL)'!L414</f>
        <v>46055</v>
      </c>
      <c r="B414" s="6" t="str">
        <f>+'[1]VENTAS(RESUMEN GLOBAL)'!M414</f>
        <v>ECCE RECEPCIÓN</v>
      </c>
      <c r="C414">
        <f>+'[1]VENTAS(RESUMEN GLOBAL)'!B414</f>
        <v>300700</v>
      </c>
      <c r="D414" t="str">
        <f>INDEX('[1]CÓDIGOS DE PRODUCTO'!$D$3:$D$1000,MATCH(C414,'[1]CÓDIGOS DE PRODUCTO'!$A$3:$A$1000,0))</f>
        <v>50161800 </v>
      </c>
      <c r="E414" t="str">
        <f>VLOOKUP(C414,'[1]CÓDIGOS DE PRODUCTO'!$A$4:$B$156,2,FALSE)</f>
        <v>ZUMBA GOMA</v>
      </c>
      <c r="F414" t="str">
        <f>INDEX('[1]CÓDIGOS DE PRODUCTO'!$C$3:$C$1000,MATCH(C414,'[1]CÓDIGOS DE PRODUCTO'!$A$3:$A$1000,0))</f>
        <v>Snacks &amp; Dulces</v>
      </c>
      <c r="G414">
        <f>+'[1]VENTAS(RESUMEN GLOBAL)'!D414-'[1]VENTAS(RESUMEN GLOBAL)'!E414</f>
        <v>6</v>
      </c>
      <c r="H414" s="9">
        <f>+'[1]VENTAS(RESUMEN GLOBAL)'!K414</f>
        <v>5.25</v>
      </c>
      <c r="I414" s="8">
        <f>+G414*'[1]VENTAS(RESUMEN GLOBAL)'!F414</f>
        <v>60</v>
      </c>
      <c r="J414" s="8">
        <f>'[1]VENTAS(RESUMEN GLOBAL)'!G414*(1-'[1]VENTAS(RESUMEN GLOBAL)'!H414)</f>
        <v>17.647499999999997</v>
      </c>
      <c r="K414" s="8">
        <f t="shared" si="6"/>
        <v>42.352500000000006</v>
      </c>
      <c r="L414" s="8">
        <f>+'[1]VENTAS(RESUMEN GLOBAL)'!J414</f>
        <v>5.2940624999999999</v>
      </c>
      <c r="M414" s="8">
        <f>+Tabla1[[#This Row],[utilidad x dia]]*7</f>
        <v>37.058437499999997</v>
      </c>
    </row>
    <row r="415" spans="1:13" x14ac:dyDescent="0.3">
      <c r="A415" s="6">
        <f>+'[1]VENTAS(RESUMEN GLOBAL)'!L415</f>
        <v>46055</v>
      </c>
      <c r="B415" s="6" t="str">
        <f>+'[1]VENTAS(RESUMEN GLOBAL)'!M415</f>
        <v>ECCE RECEPCIÓN</v>
      </c>
      <c r="C415">
        <f>+'[1]VENTAS(RESUMEN GLOBAL)'!B415</f>
        <v>300300</v>
      </c>
      <c r="D415" t="str">
        <f>INDEX('[1]CÓDIGOS DE PRODUCTO'!$D$3:$D$1000,MATCH(C415,'[1]CÓDIGOS DE PRODUCTO'!$A$3:$A$1000,0))</f>
        <v>50161800 </v>
      </c>
      <c r="E415" t="str">
        <f>VLOOKUP(C415,'[1]CÓDIGOS DE PRODUCTO'!$A$4:$B$156,2,FALSE)</f>
        <v>FRUIT FOOT</v>
      </c>
      <c r="F415" t="str">
        <f>INDEX('[1]CÓDIGOS DE PRODUCTO'!$C$3:$C$1000,MATCH(C415,'[1]CÓDIGOS DE PRODUCTO'!$A$3:$A$1000,0))</f>
        <v>Snacks &amp; Dulces</v>
      </c>
      <c r="G415">
        <f>+'[1]VENTAS(RESUMEN GLOBAL)'!D415-'[1]VENTAS(RESUMEN GLOBAL)'!E415</f>
        <v>1</v>
      </c>
      <c r="H415" s="9">
        <f>+'[1]VENTAS(RESUMEN GLOBAL)'!K415</f>
        <v>0.875</v>
      </c>
      <c r="I415" s="8">
        <f>+G415*'[1]VENTAS(RESUMEN GLOBAL)'!F415</f>
        <v>15</v>
      </c>
      <c r="J415" s="8">
        <f>'[1]VENTAS(RESUMEN GLOBAL)'!G415*(1-'[1]VENTAS(RESUMEN GLOBAL)'!H415)</f>
        <v>8.1000000000000014</v>
      </c>
      <c r="K415" s="8">
        <f t="shared" si="6"/>
        <v>6.8999999999999986</v>
      </c>
      <c r="L415" s="8">
        <f>+'[1]VENTAS(RESUMEN GLOBAL)'!J415</f>
        <v>0.86250000000000004</v>
      </c>
      <c r="M415" s="8">
        <f>+Tabla1[[#This Row],[utilidad x dia]]*7</f>
        <v>6.0375000000000005</v>
      </c>
    </row>
    <row r="416" spans="1:13" x14ac:dyDescent="0.3">
      <c r="A416" s="6">
        <f>+'[1]VENTAS(RESUMEN GLOBAL)'!L416</f>
        <v>46055</v>
      </c>
      <c r="B416" s="6" t="str">
        <f>+'[1]VENTAS(RESUMEN GLOBAL)'!M416</f>
        <v>ECCE RECEPCIÓN</v>
      </c>
      <c r="C416">
        <f>+'[1]VENTAS(RESUMEN GLOBAL)'!B416</f>
        <v>300500</v>
      </c>
      <c r="D416" t="str">
        <f>INDEX('[1]CÓDIGOS DE PRODUCTO'!$D$3:$D$1000,MATCH(C416,'[1]CÓDIGOS DE PRODUCTO'!$A$3:$A$1000,0))</f>
        <v>50161800 </v>
      </c>
      <c r="E416" t="str">
        <f>VLOOKUP(C416,'[1]CÓDIGOS DE PRODUCTO'!$A$4:$B$156,2,FALSE)</f>
        <v>Halls</v>
      </c>
      <c r="F416" t="str">
        <f>INDEX('[1]CÓDIGOS DE PRODUCTO'!$C$3:$C$1000,MATCH(C416,'[1]CÓDIGOS DE PRODUCTO'!$A$3:$A$1000,0))</f>
        <v>Snacks &amp; Dulces</v>
      </c>
      <c r="G416">
        <f>+'[1]VENTAS(RESUMEN GLOBAL)'!D416-'[1]VENTAS(RESUMEN GLOBAL)'!E416</f>
        <v>2</v>
      </c>
      <c r="H416" s="9">
        <f>+'[1]VENTAS(RESUMEN GLOBAL)'!K416</f>
        <v>1.75</v>
      </c>
      <c r="I416" s="8">
        <f>+G416*'[1]VENTAS(RESUMEN GLOBAL)'!F416</f>
        <v>30</v>
      </c>
      <c r="J416" s="8">
        <f>'[1]VENTAS(RESUMEN GLOBAL)'!G416*(1-'[1]VENTAS(RESUMEN GLOBAL)'!H416)</f>
        <v>11.934444444444445</v>
      </c>
      <c r="K416" s="8">
        <f t="shared" si="6"/>
        <v>18.065555555555555</v>
      </c>
      <c r="L416" s="8">
        <f>+'[1]VENTAS(RESUMEN GLOBAL)'!J416</f>
        <v>2.2581944444444444</v>
      </c>
      <c r="M416" s="8">
        <f>+Tabla1[[#This Row],[utilidad x dia]]*7</f>
        <v>15.80736111111111</v>
      </c>
    </row>
    <row r="417" spans="1:13" x14ac:dyDescent="0.3">
      <c r="A417" s="6">
        <f>+'[1]VENTAS(RESUMEN GLOBAL)'!L417</f>
        <v>46055</v>
      </c>
      <c r="B417" s="6" t="str">
        <f>+'[1]VENTAS(RESUMEN GLOBAL)'!M417</f>
        <v>ECCE RECEPCIÓN</v>
      </c>
      <c r="C417">
        <f>+'[1]VENTAS(RESUMEN GLOBAL)'!B417</f>
        <v>300400</v>
      </c>
      <c r="D417" t="str">
        <f>INDEX('[1]CÓDIGOS DE PRODUCTO'!$D$3:$D$1000,MATCH(C417,'[1]CÓDIGOS DE PRODUCTO'!$A$3:$A$1000,0))</f>
        <v>50161800 </v>
      </c>
      <c r="E417" t="str">
        <f>VLOOKUP(C417,'[1]CÓDIGOS DE PRODUCTO'!$A$4:$B$156,2,FALSE)</f>
        <v>Welchs GOMITAS</v>
      </c>
      <c r="F417" t="str">
        <f>INDEX('[1]CÓDIGOS DE PRODUCTO'!$C$3:$C$1000,MATCH(C417,'[1]CÓDIGOS DE PRODUCTO'!$A$3:$A$1000,0))</f>
        <v>Snacks &amp; Dulces</v>
      </c>
      <c r="G417">
        <f>+'[1]VENTAS(RESUMEN GLOBAL)'!D417-'[1]VENTAS(RESUMEN GLOBAL)'!E417</f>
        <v>5</v>
      </c>
      <c r="H417" s="9">
        <f>+'[1]VENTAS(RESUMEN GLOBAL)'!K417</f>
        <v>4.375</v>
      </c>
      <c r="I417" s="8">
        <f>+G417*'[1]VENTAS(RESUMEN GLOBAL)'!F417</f>
        <v>50</v>
      </c>
      <c r="J417" s="8">
        <f>'[1]VENTAS(RESUMEN GLOBAL)'!G417*(1-'[1]VENTAS(RESUMEN GLOBAL)'!H417)</f>
        <v>21.622727272727278</v>
      </c>
      <c r="K417" s="8">
        <f t="shared" si="6"/>
        <v>28.377272727272722</v>
      </c>
      <c r="L417" s="8">
        <f>+'[1]VENTAS(RESUMEN GLOBAL)'!J417</f>
        <v>3.5471590909090902</v>
      </c>
      <c r="M417" s="8">
        <f>+Tabla1[[#This Row],[utilidad x dia]]*7</f>
        <v>24.830113636363631</v>
      </c>
    </row>
    <row r="418" spans="1:13" x14ac:dyDescent="0.3">
      <c r="A418" s="6">
        <f>+'[1]VENTAS(RESUMEN GLOBAL)'!L418</f>
        <v>46055</v>
      </c>
      <c r="B418" s="6" t="str">
        <f>+'[1]VENTAS(RESUMEN GLOBAL)'!M418</f>
        <v>ECCE RECEPCIÓN</v>
      </c>
      <c r="C418">
        <f>+'[1]VENTAS(RESUMEN GLOBAL)'!B418</f>
        <v>800300</v>
      </c>
      <c r="D418" t="str">
        <f>INDEX('[1]CÓDIGOS DE PRODUCTO'!$D$3:$D$1000,MATCH(C418,'[1]CÓDIGOS DE PRODUCTO'!$A$3:$A$1000,0))</f>
        <v>50181900 </v>
      </c>
      <c r="E418" t="str">
        <f>VLOOKUP(C418,'[1]CÓDIGOS DE PRODUCTO'!$A$4:$B$156,2,FALSE)</f>
        <v>Cereal barra</v>
      </c>
      <c r="F418" t="str">
        <f>INDEX('[1]CÓDIGOS DE PRODUCTO'!$C$3:$C$1000,MATCH(C418,'[1]CÓDIGOS DE PRODUCTO'!$A$3:$A$1000,0))</f>
        <v>GALLETAS Y PAN DULCE</v>
      </c>
      <c r="G418">
        <f>+'[1]VENTAS(RESUMEN GLOBAL)'!D418-'[1]VENTAS(RESUMEN GLOBAL)'!E418</f>
        <v>1</v>
      </c>
      <c r="H418" s="9">
        <f>+'[1]VENTAS(RESUMEN GLOBAL)'!K418</f>
        <v>0.875</v>
      </c>
      <c r="I418" s="8">
        <f>+G418*'[1]VENTAS(RESUMEN GLOBAL)'!F418</f>
        <v>15</v>
      </c>
      <c r="J418" s="8">
        <f>'[1]VENTAS(RESUMEN GLOBAL)'!G418*(1-'[1]VENTAS(RESUMEN GLOBAL)'!H418)</f>
        <v>6.4868181818181831</v>
      </c>
      <c r="K418" s="8">
        <f t="shared" si="6"/>
        <v>8.5131818181818169</v>
      </c>
      <c r="L418" s="8">
        <f>+'[1]VENTAS(RESUMEN GLOBAL)'!J418</f>
        <v>1.0641477272727271</v>
      </c>
      <c r="M418" s="8">
        <f>+Tabla1[[#This Row],[utilidad x dia]]*7</f>
        <v>7.4490340909090893</v>
      </c>
    </row>
    <row r="419" spans="1:13" x14ac:dyDescent="0.3">
      <c r="A419" s="6">
        <f>+'[1]VENTAS(RESUMEN GLOBAL)'!L419</f>
        <v>46055</v>
      </c>
      <c r="B419" s="6" t="str">
        <f>+'[1]VENTAS(RESUMEN GLOBAL)'!M419</f>
        <v>ECCE RECEPCIÓN</v>
      </c>
      <c r="C419">
        <f>+'[1]VENTAS(RESUMEN GLOBAL)'!B419</f>
        <v>700700</v>
      </c>
      <c r="D419" t="str">
        <f>INDEX('[1]CÓDIGOS DE PRODUCTO'!$D$3:$D$1000,MATCH(C419,'[1]CÓDIGOS DE PRODUCTO'!$A$3:$A$1000,0))</f>
        <v>50161511 </v>
      </c>
      <c r="E419" t="str">
        <f>VLOOKUP(C419,'[1]CÓDIGOS DE PRODUCTO'!$A$4:$B$156,2,FALSE)</f>
        <v>Milkiway</v>
      </c>
      <c r="F419" t="str">
        <f>INDEX('[1]CÓDIGOS DE PRODUCTO'!$C$3:$C$1000,MATCH(C419,'[1]CÓDIGOS DE PRODUCTO'!$A$3:$A$1000,0))</f>
        <v>CHOCOLATES</v>
      </c>
      <c r="G419">
        <f>+'[1]VENTAS(RESUMEN GLOBAL)'!D419-'[1]VENTAS(RESUMEN GLOBAL)'!E419</f>
        <v>0</v>
      </c>
      <c r="H419" s="9">
        <f>+'[1]VENTAS(RESUMEN GLOBAL)'!K419</f>
        <v>0</v>
      </c>
      <c r="I419" s="8">
        <f>+G419*'[1]VENTAS(RESUMEN GLOBAL)'!F419</f>
        <v>0</v>
      </c>
      <c r="J419" s="8">
        <f>'[1]VENTAS(RESUMEN GLOBAL)'!G419*(1-'[1]VENTAS(RESUMEN GLOBAL)'!H419)</f>
        <v>0</v>
      </c>
      <c r="K419" s="8">
        <f t="shared" si="6"/>
        <v>0</v>
      </c>
      <c r="L419" s="8">
        <f>+'[1]VENTAS(RESUMEN GLOBAL)'!J419</f>
        <v>0</v>
      </c>
      <c r="M419" s="8">
        <f>+Tabla1[[#This Row],[utilidad x dia]]*7</f>
        <v>0</v>
      </c>
    </row>
    <row r="420" spans="1:13" x14ac:dyDescent="0.3">
      <c r="A420" s="6">
        <f>+'[1]VENTAS(RESUMEN GLOBAL)'!L420</f>
        <v>46055</v>
      </c>
      <c r="B420" s="6" t="str">
        <f>+'[1]VENTAS(RESUMEN GLOBAL)'!M420</f>
        <v>ECCE RECEPCIÓN</v>
      </c>
      <c r="C420">
        <f>+'[1]VENTAS(RESUMEN GLOBAL)'!B420</f>
        <v>700200</v>
      </c>
      <c r="D420" t="str">
        <f>INDEX('[1]CÓDIGOS DE PRODUCTO'!$D$3:$D$1000,MATCH(C420,'[1]CÓDIGOS DE PRODUCTO'!$A$3:$A$1000,0))</f>
        <v>50161511 </v>
      </c>
      <c r="E420" t="str">
        <f>VLOOKUP(C420,'[1]CÓDIGOS DE PRODUCTO'!$A$4:$B$156,2,FALSE)</f>
        <v>Snickers</v>
      </c>
      <c r="F420" t="str">
        <f>INDEX('[1]CÓDIGOS DE PRODUCTO'!$C$3:$C$1000,MATCH(C420,'[1]CÓDIGOS DE PRODUCTO'!$A$3:$A$1000,0))</f>
        <v>CHOCOLATES</v>
      </c>
      <c r="G420">
        <f>+'[1]VENTAS(RESUMEN GLOBAL)'!D420-'[1]VENTAS(RESUMEN GLOBAL)'!E420</f>
        <v>4</v>
      </c>
      <c r="H420" s="9">
        <f>+'[1]VENTAS(RESUMEN GLOBAL)'!K420</f>
        <v>3.5</v>
      </c>
      <c r="I420" s="8">
        <f>+G420*'[1]VENTAS(RESUMEN GLOBAL)'!F420</f>
        <v>108</v>
      </c>
      <c r="J420" s="8">
        <f>'[1]VENTAS(RESUMEN GLOBAL)'!G420*(1-'[1]VENTAS(RESUMEN GLOBAL)'!H420)</f>
        <v>56.160000000000004</v>
      </c>
      <c r="K420" s="8">
        <f t="shared" si="6"/>
        <v>51.839999999999996</v>
      </c>
      <c r="L420" s="8">
        <f>+'[1]VENTAS(RESUMEN GLOBAL)'!J420</f>
        <v>6.4799999999999995</v>
      </c>
      <c r="M420" s="8">
        <f>+Tabla1[[#This Row],[utilidad x dia]]*7</f>
        <v>45.36</v>
      </c>
    </row>
    <row r="421" spans="1:13" x14ac:dyDescent="0.3">
      <c r="A421" s="6">
        <f>+'[1]VENTAS(RESUMEN GLOBAL)'!L421</f>
        <v>46055</v>
      </c>
      <c r="B421" s="6" t="str">
        <f>+'[1]VENTAS(RESUMEN GLOBAL)'!M421</f>
        <v>ECCE RECEPCIÓN</v>
      </c>
      <c r="C421">
        <f>+'[1]VENTAS(RESUMEN GLOBAL)'!B421</f>
        <v>700900</v>
      </c>
      <c r="D421" t="str">
        <f>INDEX('[1]CÓDIGOS DE PRODUCTO'!$D$3:$D$1000,MATCH(C421,'[1]CÓDIGOS DE PRODUCTO'!$A$3:$A$1000,0))</f>
        <v>50161511 </v>
      </c>
      <c r="E421" t="str">
        <f>VLOOKUP(C421,'[1]CÓDIGOS DE PRODUCTO'!$A$4:$B$156,2,FALSE)</f>
        <v>M&amp;M AMARILLOS</v>
      </c>
      <c r="F421" t="str">
        <f>INDEX('[1]CÓDIGOS DE PRODUCTO'!$C$3:$C$1000,MATCH(C421,'[1]CÓDIGOS DE PRODUCTO'!$A$3:$A$1000,0))</f>
        <v>CHOCOLATES</v>
      </c>
      <c r="G421">
        <f>+'[1]VENTAS(RESUMEN GLOBAL)'!D421-'[1]VENTAS(RESUMEN GLOBAL)'!E421</f>
        <v>0</v>
      </c>
      <c r="H421" s="9">
        <f>+'[1]VENTAS(RESUMEN GLOBAL)'!K421</f>
        <v>0</v>
      </c>
      <c r="I421" s="8">
        <f>+G421*'[1]VENTAS(RESUMEN GLOBAL)'!F421</f>
        <v>0</v>
      </c>
      <c r="J421" s="8">
        <f>'[1]VENTAS(RESUMEN GLOBAL)'!G421*(1-'[1]VENTAS(RESUMEN GLOBAL)'!H421)</f>
        <v>0</v>
      </c>
      <c r="K421" s="8">
        <f t="shared" si="6"/>
        <v>0</v>
      </c>
      <c r="L421" s="8">
        <f>+'[1]VENTAS(RESUMEN GLOBAL)'!J421</f>
        <v>0</v>
      </c>
      <c r="M421" s="8">
        <f>+Tabla1[[#This Row],[utilidad x dia]]*7</f>
        <v>0</v>
      </c>
    </row>
    <row r="422" spans="1:13" x14ac:dyDescent="0.3">
      <c r="A422" s="6">
        <f>+'[1]VENTAS(RESUMEN GLOBAL)'!L422</f>
        <v>46055</v>
      </c>
      <c r="B422" s="6" t="str">
        <f>+'[1]VENTAS(RESUMEN GLOBAL)'!M422</f>
        <v>ECCE RECEPCIÓN</v>
      </c>
      <c r="C422">
        <f>+'[1]VENTAS(RESUMEN GLOBAL)'!B422</f>
        <v>700800</v>
      </c>
      <c r="D422" t="str">
        <f>INDEX('[1]CÓDIGOS DE PRODUCTO'!$D$3:$D$1000,MATCH(C422,'[1]CÓDIGOS DE PRODUCTO'!$A$3:$A$1000,0))</f>
        <v>50161511 </v>
      </c>
      <c r="E422" t="str">
        <f>VLOOKUP(C422,'[1]CÓDIGOS DE PRODUCTO'!$A$4:$B$156,2,FALSE)</f>
        <v>Kinder delice</v>
      </c>
      <c r="F422" t="str">
        <f>INDEX('[1]CÓDIGOS DE PRODUCTO'!$C$3:$C$1000,MATCH(C422,'[1]CÓDIGOS DE PRODUCTO'!$A$3:$A$1000,0))</f>
        <v>CHOCOLATES</v>
      </c>
      <c r="G422">
        <f>+'[1]VENTAS(RESUMEN GLOBAL)'!D422-'[1]VENTAS(RESUMEN GLOBAL)'!E422</f>
        <v>4</v>
      </c>
      <c r="H422" s="9">
        <f>+'[1]VENTAS(RESUMEN GLOBAL)'!K422</f>
        <v>3.5</v>
      </c>
      <c r="I422" s="8">
        <f>+G422*'[1]VENTAS(RESUMEN GLOBAL)'!F422</f>
        <v>100</v>
      </c>
      <c r="J422" s="8">
        <f>'[1]VENTAS(RESUMEN GLOBAL)'!G422*(1-'[1]VENTAS(RESUMEN GLOBAL)'!H422)</f>
        <v>50.191999999999993</v>
      </c>
      <c r="K422" s="8">
        <f t="shared" si="6"/>
        <v>49.808000000000007</v>
      </c>
      <c r="L422" s="8">
        <f>+'[1]VENTAS(RESUMEN GLOBAL)'!J422</f>
        <v>6.226</v>
      </c>
      <c r="M422" s="8">
        <f>+Tabla1[[#This Row],[utilidad x dia]]*7</f>
        <v>43.582000000000001</v>
      </c>
    </row>
    <row r="423" spans="1:13" x14ac:dyDescent="0.3">
      <c r="A423" s="6">
        <f>+'[1]VENTAS(RESUMEN GLOBAL)'!L423</f>
        <v>46055</v>
      </c>
      <c r="B423" s="6" t="str">
        <f>+'[1]VENTAS(RESUMEN GLOBAL)'!M423</f>
        <v>ECCE RECEPCIÓN</v>
      </c>
      <c r="C423">
        <f>+'[1]VENTAS(RESUMEN GLOBAL)'!B423</f>
        <v>700400</v>
      </c>
      <c r="D423" t="str">
        <f>INDEX('[1]CÓDIGOS DE PRODUCTO'!$D$3:$D$1000,MATCH(C423,'[1]CÓDIGOS DE PRODUCTO'!$A$3:$A$1000,0))</f>
        <v>50161511 </v>
      </c>
      <c r="E423" t="str">
        <f>VLOOKUP(C423,'[1]CÓDIGOS DE PRODUCTO'!$A$4:$B$156,2,FALSE)</f>
        <v>KIT KAT</v>
      </c>
      <c r="F423" t="str">
        <f>INDEX('[1]CÓDIGOS DE PRODUCTO'!$C$3:$C$1000,MATCH(C423,'[1]CÓDIGOS DE PRODUCTO'!$A$3:$A$1000,0))</f>
        <v>CHOCOLATES</v>
      </c>
      <c r="G423">
        <f>+'[1]VENTAS(RESUMEN GLOBAL)'!D423-'[1]VENTAS(RESUMEN GLOBAL)'!E423</f>
        <v>4</v>
      </c>
      <c r="H423" s="9">
        <f>+'[1]VENTAS(RESUMEN GLOBAL)'!K423</f>
        <v>3.5</v>
      </c>
      <c r="I423" s="8">
        <f>+G423*'[1]VENTAS(RESUMEN GLOBAL)'!F423</f>
        <v>100</v>
      </c>
      <c r="J423" s="8">
        <f>'[1]VENTAS(RESUMEN GLOBAL)'!G423*(1-'[1]VENTAS(RESUMEN GLOBAL)'!H423)</f>
        <v>50.126666666666665</v>
      </c>
      <c r="K423" s="8">
        <f t="shared" si="6"/>
        <v>49.873333333333335</v>
      </c>
      <c r="L423" s="8">
        <f>+'[1]VENTAS(RESUMEN GLOBAL)'!J423</f>
        <v>6.2341666666666669</v>
      </c>
      <c r="M423" s="8">
        <f>+Tabla1[[#This Row],[utilidad x dia]]*7</f>
        <v>43.639166666666668</v>
      </c>
    </row>
    <row r="424" spans="1:13" x14ac:dyDescent="0.3">
      <c r="A424" s="6">
        <f>+'[1]VENTAS(RESUMEN GLOBAL)'!L424</f>
        <v>46055</v>
      </c>
      <c r="B424" s="6" t="str">
        <f>+'[1]VENTAS(RESUMEN GLOBAL)'!M424</f>
        <v>ECCE RECEPCIÓN</v>
      </c>
      <c r="C424">
        <f>+'[1]VENTAS(RESUMEN GLOBAL)'!B424</f>
        <v>701000</v>
      </c>
      <c r="D424" t="str">
        <f>INDEX('[1]CÓDIGOS DE PRODUCTO'!$D$3:$D$1000,MATCH(C424,'[1]CÓDIGOS DE PRODUCTO'!$A$3:$A$1000,0))</f>
        <v>50161511 </v>
      </c>
      <c r="E424" t="str">
        <f>VLOOKUP(C424,'[1]CÓDIGOS DE PRODUCTO'!$A$4:$B$156,2,FALSE)</f>
        <v>BUBULUBU</v>
      </c>
      <c r="F424" t="str">
        <f>INDEX('[1]CÓDIGOS DE PRODUCTO'!$C$3:$C$1000,MATCH(C424,'[1]CÓDIGOS DE PRODUCTO'!$A$3:$A$1000,0))</f>
        <v>CHOCOLATES</v>
      </c>
      <c r="G424">
        <f>+'[1]VENTAS(RESUMEN GLOBAL)'!D424-'[1]VENTAS(RESUMEN GLOBAL)'!E424</f>
        <v>8</v>
      </c>
      <c r="H424" s="9">
        <f>+'[1]VENTAS(RESUMEN GLOBAL)'!K424</f>
        <v>7</v>
      </c>
      <c r="I424" s="8">
        <f>+G424*'[1]VENTAS(RESUMEN GLOBAL)'!F424</f>
        <v>104</v>
      </c>
      <c r="J424" s="8">
        <f>'[1]VENTAS(RESUMEN GLOBAL)'!G424*(1-'[1]VENTAS(RESUMEN GLOBAL)'!H424)</f>
        <v>36.4</v>
      </c>
      <c r="K424" s="8">
        <f t="shared" si="6"/>
        <v>67.599999999999994</v>
      </c>
      <c r="L424" s="8">
        <f>+'[1]VENTAS(RESUMEN GLOBAL)'!J424</f>
        <v>8.4500000000000011</v>
      </c>
      <c r="M424" s="8">
        <f>+Tabla1[[#This Row],[utilidad x dia]]*7</f>
        <v>59.150000000000006</v>
      </c>
    </row>
    <row r="425" spans="1:13" x14ac:dyDescent="0.3">
      <c r="A425" s="6">
        <f>+'[1]VENTAS(RESUMEN GLOBAL)'!L425</f>
        <v>46055</v>
      </c>
      <c r="B425" s="6" t="str">
        <f>+'[1]VENTAS(RESUMEN GLOBAL)'!M425</f>
        <v>ECCE RECEPCIÓN</v>
      </c>
      <c r="C425">
        <f>+'[1]VENTAS(RESUMEN GLOBAL)'!B425</f>
        <v>800500</v>
      </c>
      <c r="D425" t="str">
        <f>INDEX('[1]CÓDIGOS DE PRODUCTO'!$D$3:$D$1000,MATCH(C425,'[1]CÓDIGOS DE PRODUCTO'!$A$3:$A$1000,0))</f>
        <v>50181900 </v>
      </c>
      <c r="E425" t="str">
        <f>VLOOKUP(C425,'[1]CÓDIGOS DE PRODUCTO'!$A$4:$B$156,2,FALSE)</f>
        <v>RICE KRISPIES</v>
      </c>
      <c r="F425" t="str">
        <f>INDEX('[1]CÓDIGOS DE PRODUCTO'!$C$3:$C$1000,MATCH(C425,'[1]CÓDIGOS DE PRODUCTO'!$A$3:$A$1000,0))</f>
        <v>GALLETAS Y PAN DULCE</v>
      </c>
      <c r="G425">
        <f>+'[1]VENTAS(RESUMEN GLOBAL)'!D425-'[1]VENTAS(RESUMEN GLOBAL)'!E425</f>
        <v>11</v>
      </c>
      <c r="H425" s="9">
        <f>+'[1]VENTAS(RESUMEN GLOBAL)'!K425</f>
        <v>9.625</v>
      </c>
      <c r="I425" s="8">
        <f>+G425*'[1]VENTAS(RESUMEN GLOBAL)'!F425</f>
        <v>110</v>
      </c>
      <c r="J425" s="8">
        <f>'[1]VENTAS(RESUMEN GLOBAL)'!G425*(1-'[1]VENTAS(RESUMEN GLOBAL)'!H425)</f>
        <v>52.049250000000001</v>
      </c>
      <c r="K425" s="8">
        <f t="shared" si="6"/>
        <v>57.950749999999999</v>
      </c>
      <c r="L425" s="8">
        <f>+'[1]VENTAS(RESUMEN GLOBAL)'!J425</f>
        <v>7.2438437499999999</v>
      </c>
      <c r="M425" s="8">
        <f>+Tabla1[[#This Row],[utilidad x dia]]*7</f>
        <v>50.706906250000003</v>
      </c>
    </row>
    <row r="426" spans="1:13" x14ac:dyDescent="0.3">
      <c r="A426" s="6">
        <f>+'[1]VENTAS(RESUMEN GLOBAL)'!L426</f>
        <v>46055</v>
      </c>
      <c r="B426" s="6" t="str">
        <f>+'[1]VENTAS(RESUMEN GLOBAL)'!M426</f>
        <v>ECCE RECEPCIÓN</v>
      </c>
      <c r="C426">
        <f>+'[1]VENTAS(RESUMEN GLOBAL)'!B426</f>
        <v>700600</v>
      </c>
      <c r="D426" t="str">
        <f>INDEX('[1]CÓDIGOS DE PRODUCTO'!$D$3:$D$1000,MATCH(C426,'[1]CÓDIGOS DE PRODUCTO'!$A$3:$A$1000,0))</f>
        <v>50161511 </v>
      </c>
      <c r="E426" t="str">
        <f>VLOOKUP(C426,'[1]CÓDIGOS DE PRODUCTO'!$A$4:$B$156,2,FALSE)</f>
        <v>CHOCO MUIBÓN</v>
      </c>
      <c r="F426" t="str">
        <f>INDEX('[1]CÓDIGOS DE PRODUCTO'!$C$3:$C$1000,MATCH(C426,'[1]CÓDIGOS DE PRODUCTO'!$A$3:$A$1000,0))</f>
        <v>CHOCOLATES</v>
      </c>
      <c r="G426">
        <f>+'[1]VENTAS(RESUMEN GLOBAL)'!D426-'[1]VENTAS(RESUMEN GLOBAL)'!E426</f>
        <v>1</v>
      </c>
      <c r="H426" s="9">
        <f>+'[1]VENTAS(RESUMEN GLOBAL)'!K426</f>
        <v>0.875</v>
      </c>
      <c r="I426" s="8">
        <f>+G426*'[1]VENTAS(RESUMEN GLOBAL)'!F426</f>
        <v>10</v>
      </c>
      <c r="J426" s="8">
        <f>'[1]VENTAS(RESUMEN GLOBAL)'!G426*(1-'[1]VENTAS(RESUMEN GLOBAL)'!H426)</f>
        <v>3.5</v>
      </c>
      <c r="K426" s="8">
        <f t="shared" si="6"/>
        <v>6.5</v>
      </c>
      <c r="L426" s="8">
        <f>+'[1]VENTAS(RESUMEN GLOBAL)'!J426</f>
        <v>0.8125</v>
      </c>
      <c r="M426" s="8">
        <f>+Tabla1[[#This Row],[utilidad x dia]]*7</f>
        <v>5.6875</v>
      </c>
    </row>
    <row r="427" spans="1:13" x14ac:dyDescent="0.3">
      <c r="A427" s="6">
        <f>+'[1]VENTAS(RESUMEN GLOBAL)'!L427</f>
        <v>46055</v>
      </c>
      <c r="B427" s="6" t="str">
        <f>+'[1]VENTAS(RESUMEN GLOBAL)'!M427</f>
        <v>ECCE RECEPCIÓN</v>
      </c>
      <c r="C427">
        <f>+'[1]VENTAS(RESUMEN GLOBAL)'!B427</f>
        <v>700500</v>
      </c>
      <c r="D427" t="str">
        <f>INDEX('[1]CÓDIGOS DE PRODUCTO'!$D$3:$D$1000,MATCH(C427,'[1]CÓDIGOS DE PRODUCTO'!$A$3:$A$1000,0))</f>
        <v>50161511 </v>
      </c>
      <c r="E427" t="str">
        <f>VLOOKUP(C427,'[1]CÓDIGOS DE PRODUCTO'!$A$4:$B$156,2,FALSE)</f>
        <v>HERSHEYS BLANCO</v>
      </c>
      <c r="F427" t="str">
        <f>INDEX('[1]CÓDIGOS DE PRODUCTO'!$C$3:$C$1000,MATCH(C427,'[1]CÓDIGOS DE PRODUCTO'!$A$3:$A$1000,0))</f>
        <v>CHOCOLATES</v>
      </c>
      <c r="G427">
        <f>+'[1]VENTAS(RESUMEN GLOBAL)'!D427-'[1]VENTAS(RESUMEN GLOBAL)'!E427</f>
        <v>4</v>
      </c>
      <c r="H427" s="9">
        <f>+'[1]VENTAS(RESUMEN GLOBAL)'!K427</f>
        <v>3.5</v>
      </c>
      <c r="I427" s="8">
        <f>+G427*'[1]VENTAS(RESUMEN GLOBAL)'!F427</f>
        <v>60</v>
      </c>
      <c r="J427" s="8">
        <f>'[1]VENTAS(RESUMEN GLOBAL)'!G427*(1-'[1]VENTAS(RESUMEN GLOBAL)'!H427)</f>
        <v>28.2</v>
      </c>
      <c r="K427" s="8">
        <f t="shared" si="6"/>
        <v>31.8</v>
      </c>
      <c r="L427" s="8">
        <f>+'[1]VENTAS(RESUMEN GLOBAL)'!J427</f>
        <v>3.9750000000000001</v>
      </c>
      <c r="M427" s="8">
        <f>+Tabla1[[#This Row],[utilidad x dia]]*7</f>
        <v>27.824999999999999</v>
      </c>
    </row>
    <row r="428" spans="1:13" x14ac:dyDescent="0.3">
      <c r="A428" s="6">
        <f>+'[1]VENTAS(RESUMEN GLOBAL)'!L428</f>
        <v>46055</v>
      </c>
      <c r="B428" s="6" t="str">
        <f>+'[1]VENTAS(RESUMEN GLOBAL)'!M428</f>
        <v>ECCE RECEPCIÓN</v>
      </c>
      <c r="C428">
        <f>+'[1]VENTAS(RESUMEN GLOBAL)'!B428</f>
        <v>0</v>
      </c>
      <c r="D428" t="e">
        <f>INDEX('[1]CÓDIGOS DE PRODUCTO'!$D$3:$D$1000,MATCH(C428,'[1]CÓDIGOS DE PRODUCTO'!$A$3:$A$1000,0))</f>
        <v>#N/A</v>
      </c>
      <c r="E428">
        <f>VLOOKUP(C428,'[1]CÓDIGOS DE PRODUCTO'!$A$4:$B$156,2,FALSE)</f>
        <v>0</v>
      </c>
      <c r="F428">
        <f>INDEX('[1]CÓDIGOS DE PRODUCTO'!$C$3:$C$1000,MATCH(C428,'[1]CÓDIGOS DE PRODUCTO'!$A$3:$A$1000,0))</f>
        <v>0</v>
      </c>
      <c r="G428">
        <f>+'[1]VENTAS(RESUMEN GLOBAL)'!D428-'[1]VENTAS(RESUMEN GLOBAL)'!E428</f>
        <v>0</v>
      </c>
      <c r="H428" s="9">
        <f>+'[1]VENTAS(RESUMEN GLOBAL)'!K428</f>
        <v>0</v>
      </c>
      <c r="I428" s="8">
        <f>+G428*'[1]VENTAS(RESUMEN GLOBAL)'!F428</f>
        <v>0</v>
      </c>
      <c r="J428" s="8">
        <f>'[1]VENTAS(RESUMEN GLOBAL)'!G428*(1-'[1]VENTAS(RESUMEN GLOBAL)'!H428)</f>
        <v>0</v>
      </c>
      <c r="K428" s="8">
        <f t="shared" si="6"/>
        <v>0</v>
      </c>
      <c r="L428" s="8">
        <f>+'[1]VENTAS(RESUMEN GLOBAL)'!J428</f>
        <v>0</v>
      </c>
      <c r="M428" s="8">
        <f>+Tabla1[[#This Row],[utilidad x dia]]*7</f>
        <v>0</v>
      </c>
    </row>
    <row r="429" spans="1:13" x14ac:dyDescent="0.3">
      <c r="A429" s="6">
        <f>+'[1]VENTAS(RESUMEN GLOBAL)'!L429</f>
        <v>46055</v>
      </c>
      <c r="B429" s="6" t="str">
        <f>+'[1]VENTAS(RESUMEN GLOBAL)'!M429</f>
        <v>ECCE RECEPCIÓN</v>
      </c>
      <c r="C429">
        <f>+'[1]VENTAS(RESUMEN GLOBAL)'!B429</f>
        <v>0</v>
      </c>
      <c r="D429" t="e">
        <f>INDEX('[1]CÓDIGOS DE PRODUCTO'!$D$3:$D$1000,MATCH(C429,'[1]CÓDIGOS DE PRODUCTO'!$A$3:$A$1000,0))</f>
        <v>#N/A</v>
      </c>
      <c r="E429">
        <f>VLOOKUP(C429,'[1]CÓDIGOS DE PRODUCTO'!$A$4:$B$156,2,FALSE)</f>
        <v>0</v>
      </c>
      <c r="F429">
        <f>INDEX('[1]CÓDIGOS DE PRODUCTO'!$C$3:$C$1000,MATCH(C429,'[1]CÓDIGOS DE PRODUCTO'!$A$3:$A$1000,0))</f>
        <v>0</v>
      </c>
      <c r="G429">
        <f>+'[1]VENTAS(RESUMEN GLOBAL)'!D429-'[1]VENTAS(RESUMEN GLOBAL)'!E429</f>
        <v>0</v>
      </c>
      <c r="H429" s="9">
        <f>+'[1]VENTAS(RESUMEN GLOBAL)'!K429</f>
        <v>0</v>
      </c>
      <c r="I429" s="8">
        <f>+G429*'[1]VENTAS(RESUMEN GLOBAL)'!F429</f>
        <v>0</v>
      </c>
      <c r="J429" s="8">
        <f>'[1]VENTAS(RESUMEN GLOBAL)'!G429*(1-'[1]VENTAS(RESUMEN GLOBAL)'!H429)</f>
        <v>0</v>
      </c>
      <c r="K429" s="8">
        <f t="shared" si="6"/>
        <v>0</v>
      </c>
      <c r="L429" s="8">
        <f>+'[1]VENTAS(RESUMEN GLOBAL)'!J429</f>
        <v>0</v>
      </c>
      <c r="M429" s="8">
        <f>+Tabla1[[#This Row],[utilidad x dia]]*7</f>
        <v>0</v>
      </c>
    </row>
    <row r="430" spans="1:13" x14ac:dyDescent="0.3">
      <c r="A430" s="6">
        <f>+'[1]VENTAS(RESUMEN GLOBAL)'!L430</f>
        <v>46055</v>
      </c>
      <c r="B430" s="6" t="str">
        <f>+'[1]VENTAS(RESUMEN GLOBAL)'!M430</f>
        <v>ECCE RECEPCIÓN</v>
      </c>
      <c r="C430">
        <f>+'[1]VENTAS(RESUMEN GLOBAL)'!B430</f>
        <v>0</v>
      </c>
      <c r="D430" t="e">
        <f>INDEX('[1]CÓDIGOS DE PRODUCTO'!$D$3:$D$1000,MATCH(C430,'[1]CÓDIGOS DE PRODUCTO'!$A$3:$A$1000,0))</f>
        <v>#N/A</v>
      </c>
      <c r="E430">
        <f>VLOOKUP(C430,'[1]CÓDIGOS DE PRODUCTO'!$A$4:$B$156,2,FALSE)</f>
        <v>0</v>
      </c>
      <c r="F430">
        <f>INDEX('[1]CÓDIGOS DE PRODUCTO'!$C$3:$C$1000,MATCH(C430,'[1]CÓDIGOS DE PRODUCTO'!$A$3:$A$1000,0))</f>
        <v>0</v>
      </c>
      <c r="G430">
        <f>+'[1]VENTAS(RESUMEN GLOBAL)'!D430-'[1]VENTAS(RESUMEN GLOBAL)'!E430</f>
        <v>0</v>
      </c>
      <c r="H430" s="9">
        <f>+'[1]VENTAS(RESUMEN GLOBAL)'!K430</f>
        <v>0</v>
      </c>
      <c r="I430" s="8">
        <f>+G430*'[1]VENTAS(RESUMEN GLOBAL)'!F430</f>
        <v>0</v>
      </c>
      <c r="J430" s="8">
        <f>'[1]VENTAS(RESUMEN GLOBAL)'!G430*(1-'[1]VENTAS(RESUMEN GLOBAL)'!H430)</f>
        <v>0</v>
      </c>
      <c r="K430" s="8">
        <f t="shared" si="6"/>
        <v>0</v>
      </c>
      <c r="L430" s="8">
        <f>+'[1]VENTAS(RESUMEN GLOBAL)'!J430</f>
        <v>0</v>
      </c>
      <c r="M430" s="8">
        <f>+Tabla1[[#This Row],[utilidad x dia]]*7</f>
        <v>0</v>
      </c>
    </row>
    <row r="431" spans="1:13" x14ac:dyDescent="0.3">
      <c r="A431" s="6">
        <f>+'[1]VENTAS(RESUMEN GLOBAL)'!L431</f>
        <v>46055</v>
      </c>
      <c r="B431" s="6" t="str">
        <f>+'[1]VENTAS(RESUMEN GLOBAL)'!M431</f>
        <v>ECCE RECEPCIÓN</v>
      </c>
      <c r="C431">
        <f>+'[1]VENTAS(RESUMEN GLOBAL)'!B431</f>
        <v>0</v>
      </c>
      <c r="D431" t="e">
        <f>INDEX('[1]CÓDIGOS DE PRODUCTO'!$D$3:$D$1000,MATCH(C431,'[1]CÓDIGOS DE PRODUCTO'!$A$3:$A$1000,0))</f>
        <v>#N/A</v>
      </c>
      <c r="E431">
        <f>VLOOKUP(C431,'[1]CÓDIGOS DE PRODUCTO'!$A$4:$B$156,2,FALSE)</f>
        <v>0</v>
      </c>
      <c r="F431">
        <f>INDEX('[1]CÓDIGOS DE PRODUCTO'!$C$3:$C$1000,MATCH(C431,'[1]CÓDIGOS DE PRODUCTO'!$A$3:$A$1000,0))</f>
        <v>0</v>
      </c>
      <c r="G431">
        <f>+'[1]VENTAS(RESUMEN GLOBAL)'!D431-'[1]VENTAS(RESUMEN GLOBAL)'!E431</f>
        <v>0</v>
      </c>
      <c r="H431" s="9">
        <f>+'[1]VENTAS(RESUMEN GLOBAL)'!K431</f>
        <v>0</v>
      </c>
      <c r="I431" s="8">
        <f>+G431*'[1]VENTAS(RESUMEN GLOBAL)'!F431</f>
        <v>0</v>
      </c>
      <c r="J431" s="8">
        <f>'[1]VENTAS(RESUMEN GLOBAL)'!G431*(1-'[1]VENTAS(RESUMEN GLOBAL)'!H431)</f>
        <v>0</v>
      </c>
      <c r="K431" s="8">
        <f t="shared" si="6"/>
        <v>0</v>
      </c>
      <c r="L431" s="8">
        <f>+'[1]VENTAS(RESUMEN GLOBAL)'!J431</f>
        <v>0</v>
      </c>
      <c r="M431" s="8">
        <f>+Tabla1[[#This Row],[utilidad x dia]]*7</f>
        <v>0</v>
      </c>
    </row>
    <row r="432" spans="1:13" x14ac:dyDescent="0.3">
      <c r="A432" s="6">
        <f>+'[1]VENTAS(RESUMEN GLOBAL)'!L432</f>
        <v>46055</v>
      </c>
      <c r="B432" s="6" t="str">
        <f>+'[1]VENTAS(RESUMEN GLOBAL)'!M432</f>
        <v>ECCE RECEPCIÓN</v>
      </c>
      <c r="C432">
        <f>+'[1]VENTAS(RESUMEN GLOBAL)'!B432</f>
        <v>800800</v>
      </c>
      <c r="D432" t="str">
        <f>INDEX('[1]CÓDIGOS DE PRODUCTO'!$D$3:$D$1000,MATCH(C432,'[1]CÓDIGOS DE PRODUCTO'!$A$3:$A$1000,0))</f>
        <v>50181900 </v>
      </c>
      <c r="E432" t="str">
        <f>VLOOKUP(C432,'[1]CÓDIGOS DE PRODUCTO'!$A$4:$B$156,2,FALSE)</f>
        <v>DORADITAS</v>
      </c>
      <c r="F432" t="str">
        <f>INDEX('[1]CÓDIGOS DE PRODUCTO'!$C$3:$C$1000,MATCH(C432,'[1]CÓDIGOS DE PRODUCTO'!$A$3:$A$1000,0))</f>
        <v>GALLETAS Y PAN DULCE</v>
      </c>
      <c r="G432">
        <f>+'[1]VENTAS(RESUMEN GLOBAL)'!D432-'[1]VENTAS(RESUMEN GLOBAL)'!E432</f>
        <v>0</v>
      </c>
      <c r="H432" s="9">
        <f>+'[1]VENTAS(RESUMEN GLOBAL)'!K432</f>
        <v>0</v>
      </c>
      <c r="I432" s="8">
        <f>+G432*'[1]VENTAS(RESUMEN GLOBAL)'!F432</f>
        <v>0</v>
      </c>
      <c r="J432" s="8">
        <f>'[1]VENTAS(RESUMEN GLOBAL)'!G432*(1-'[1]VENTAS(RESUMEN GLOBAL)'!H432)</f>
        <v>0</v>
      </c>
      <c r="K432" s="8">
        <f t="shared" si="6"/>
        <v>0</v>
      </c>
      <c r="L432" s="8">
        <f>+'[1]VENTAS(RESUMEN GLOBAL)'!J432</f>
        <v>0</v>
      </c>
      <c r="M432" s="8">
        <f>+Tabla1[[#This Row],[utilidad x dia]]*7</f>
        <v>0</v>
      </c>
    </row>
    <row r="433" spans="1:13" x14ac:dyDescent="0.3">
      <c r="A433" s="6">
        <f>+'[1]VENTAS(RESUMEN GLOBAL)'!L433</f>
        <v>46055</v>
      </c>
      <c r="B433" s="6" t="str">
        <f>+'[1]VENTAS(RESUMEN GLOBAL)'!M433</f>
        <v>ECCE RECEPCIÓN</v>
      </c>
      <c r="C433">
        <f>+'[1]VENTAS(RESUMEN GLOBAL)'!B433</f>
        <v>800600</v>
      </c>
      <c r="D433" t="str">
        <f>INDEX('[1]CÓDIGOS DE PRODUCTO'!$D$3:$D$1000,MATCH(C433,'[1]CÓDIGOS DE PRODUCTO'!$A$3:$A$1000,0))</f>
        <v>50181900 </v>
      </c>
      <c r="E433" t="str">
        <f>VLOOKUP(C433,'[1]CÓDIGOS DE PRODUCTO'!$A$4:$B$156,2,FALSE)</f>
        <v>CREMAX</v>
      </c>
      <c r="F433" t="str">
        <f>INDEX('[1]CÓDIGOS DE PRODUCTO'!$C$3:$C$1000,MATCH(C433,'[1]CÓDIGOS DE PRODUCTO'!$A$3:$A$1000,0))</f>
        <v>GALLETAS Y PAN DULCE</v>
      </c>
      <c r="G433">
        <f>+'[1]VENTAS(RESUMEN GLOBAL)'!D433-'[1]VENTAS(RESUMEN GLOBAL)'!E433</f>
        <v>1</v>
      </c>
      <c r="H433" s="9">
        <f>+'[1]VENTAS(RESUMEN GLOBAL)'!K433</f>
        <v>0.875</v>
      </c>
      <c r="I433" s="8">
        <f>+G433*'[1]VENTAS(RESUMEN GLOBAL)'!F433</f>
        <v>20</v>
      </c>
      <c r="J433" s="8">
        <f>'[1]VENTAS(RESUMEN GLOBAL)'!G433*(1-'[1]VENTAS(RESUMEN GLOBAL)'!H433)</f>
        <v>7</v>
      </c>
      <c r="K433" s="8">
        <f t="shared" si="6"/>
        <v>13</v>
      </c>
      <c r="L433" s="8">
        <f>+'[1]VENTAS(RESUMEN GLOBAL)'!J433</f>
        <v>1.625</v>
      </c>
      <c r="M433" s="8">
        <f>+Tabla1[[#This Row],[utilidad x dia]]*7</f>
        <v>11.375</v>
      </c>
    </row>
    <row r="434" spans="1:13" x14ac:dyDescent="0.3">
      <c r="A434" s="6">
        <f>+'[1]VENTAS(RESUMEN GLOBAL)'!L434</f>
        <v>46055</v>
      </c>
      <c r="B434" s="6" t="str">
        <f>+'[1]VENTAS(RESUMEN GLOBAL)'!M434</f>
        <v>ECCE RECEPCIÓN</v>
      </c>
      <c r="C434">
        <f>+'[1]VENTAS(RESUMEN GLOBAL)'!B434</f>
        <v>801400</v>
      </c>
      <c r="D434" t="str">
        <f>INDEX('[1]CÓDIGOS DE PRODUCTO'!$D$3:$D$1000,MATCH(C434,'[1]CÓDIGOS DE PRODUCTO'!$A$3:$A$1000,0))</f>
        <v>50181900 </v>
      </c>
      <c r="E434" t="str">
        <f>VLOOKUP(C434,'[1]CÓDIGOS DE PRODUCTO'!$A$4:$B$156,2,FALSE)</f>
        <v>CHIPS AJOY</v>
      </c>
      <c r="F434" t="str">
        <f>INDEX('[1]CÓDIGOS DE PRODUCTO'!$C$3:$C$1000,MATCH(C434,'[1]CÓDIGOS DE PRODUCTO'!$A$3:$A$1000,0))</f>
        <v>GALLETAS Y PAN DULCE</v>
      </c>
      <c r="G434">
        <f>+'[1]VENTAS(RESUMEN GLOBAL)'!D434-'[1]VENTAS(RESUMEN GLOBAL)'!E434</f>
        <v>2</v>
      </c>
      <c r="H434" s="9">
        <f>+'[1]VENTAS(RESUMEN GLOBAL)'!K434</f>
        <v>1.75</v>
      </c>
      <c r="I434" s="8">
        <f>+G434*'[1]VENTAS(RESUMEN GLOBAL)'!F434</f>
        <v>40</v>
      </c>
      <c r="J434" s="8">
        <f>'[1]VENTAS(RESUMEN GLOBAL)'!G434*(1-'[1]VENTAS(RESUMEN GLOBAL)'!H434)</f>
        <v>15.799999999999997</v>
      </c>
      <c r="K434" s="8">
        <f t="shared" si="6"/>
        <v>24.200000000000003</v>
      </c>
      <c r="L434" s="8">
        <f>+'[1]VENTAS(RESUMEN GLOBAL)'!J434</f>
        <v>3.0250000000000004</v>
      </c>
      <c r="M434" s="8">
        <f>+Tabla1[[#This Row],[utilidad x dia]]*7</f>
        <v>21.175000000000004</v>
      </c>
    </row>
    <row r="435" spans="1:13" x14ac:dyDescent="0.3">
      <c r="A435" s="6">
        <f>+'[1]VENTAS(RESUMEN GLOBAL)'!L435</f>
        <v>46055</v>
      </c>
      <c r="B435" s="6" t="str">
        <f>+'[1]VENTAS(RESUMEN GLOBAL)'!M435</f>
        <v>ECCE RECEPCIÓN</v>
      </c>
      <c r="C435">
        <f>+'[1]VENTAS(RESUMEN GLOBAL)'!B435</f>
        <v>800400</v>
      </c>
      <c r="D435" t="str">
        <f>INDEX('[1]CÓDIGOS DE PRODUCTO'!$D$3:$D$1000,MATCH(C435,'[1]CÓDIGOS DE PRODUCTO'!$A$3:$A$1000,0))</f>
        <v>50181900 </v>
      </c>
      <c r="E435" t="str">
        <f>VLOOKUP(C435,'[1]CÓDIGOS DE PRODUCTO'!$A$4:$B$156,2,FALSE)</f>
        <v>Barritas FRESA</v>
      </c>
      <c r="F435" t="str">
        <f>INDEX('[1]CÓDIGOS DE PRODUCTO'!$C$3:$C$1000,MATCH(C435,'[1]CÓDIGOS DE PRODUCTO'!$A$3:$A$1000,0))</f>
        <v>GALLETAS Y PAN DULCE</v>
      </c>
      <c r="G435">
        <f>+'[1]VENTAS(RESUMEN GLOBAL)'!D435-'[1]VENTAS(RESUMEN GLOBAL)'!E435</f>
        <v>5</v>
      </c>
      <c r="H435" s="9">
        <f>+'[1]VENTAS(RESUMEN GLOBAL)'!K435</f>
        <v>4.375</v>
      </c>
      <c r="I435" s="8">
        <f>+G435*'[1]VENTAS(RESUMEN GLOBAL)'!F435</f>
        <v>100</v>
      </c>
      <c r="J435" s="8">
        <f>'[1]VENTAS(RESUMEN GLOBAL)'!G435*(1-'[1]VENTAS(RESUMEN GLOBAL)'!H435)</f>
        <v>32.927083333333343</v>
      </c>
      <c r="K435" s="8">
        <f t="shared" si="6"/>
        <v>67.072916666666657</v>
      </c>
      <c r="L435" s="8">
        <f>+'[1]VENTAS(RESUMEN GLOBAL)'!J435</f>
        <v>8.3841145833333321</v>
      </c>
      <c r="M435" s="8">
        <f>+Tabla1[[#This Row],[utilidad x dia]]*7</f>
        <v>58.688802083333329</v>
      </c>
    </row>
    <row r="436" spans="1:13" x14ac:dyDescent="0.3">
      <c r="A436" s="6">
        <f>+'[1]VENTAS(RESUMEN GLOBAL)'!L436</f>
        <v>46055</v>
      </c>
      <c r="B436" s="6" t="str">
        <f>+'[1]VENTAS(RESUMEN GLOBAL)'!M436</f>
        <v>ECCE RECEPCIÓN</v>
      </c>
      <c r="C436">
        <f>+'[1]VENTAS(RESUMEN GLOBAL)'!B436</f>
        <v>800700</v>
      </c>
      <c r="D436" t="str">
        <f>INDEX('[1]CÓDIGOS DE PRODUCTO'!$D$3:$D$1000,MATCH(C436,'[1]CÓDIGOS DE PRODUCTO'!$A$3:$A$1000,0))</f>
        <v>50181900 </v>
      </c>
      <c r="E436" t="str">
        <f>VLOOKUP(C436,'[1]CÓDIGOS DE PRODUCTO'!$A$4:$B$156,2,FALSE)</f>
        <v>BARRITAS PIÑA</v>
      </c>
      <c r="F436" t="str">
        <f>INDEX('[1]CÓDIGOS DE PRODUCTO'!$C$3:$C$1000,MATCH(C436,'[1]CÓDIGOS DE PRODUCTO'!$A$3:$A$1000,0))</f>
        <v>GALLETAS Y PAN DULCE</v>
      </c>
      <c r="G436">
        <f>+'[1]VENTAS(RESUMEN GLOBAL)'!D436-'[1]VENTAS(RESUMEN GLOBAL)'!E436</f>
        <v>1</v>
      </c>
      <c r="H436" s="9">
        <f>+'[1]VENTAS(RESUMEN GLOBAL)'!K436</f>
        <v>0.875</v>
      </c>
      <c r="I436" s="8">
        <f>+G436*'[1]VENTAS(RESUMEN GLOBAL)'!F436</f>
        <v>20</v>
      </c>
      <c r="J436" s="8">
        <f>'[1]VENTAS(RESUMEN GLOBAL)'!G436*(1-'[1]VENTAS(RESUMEN GLOBAL)'!H436)</f>
        <v>6.585416666666668</v>
      </c>
      <c r="K436" s="8">
        <f t="shared" si="6"/>
        <v>13.414583333333333</v>
      </c>
      <c r="L436" s="8">
        <f>+'[1]VENTAS(RESUMEN GLOBAL)'!J436</f>
        <v>1.6768229166666666</v>
      </c>
      <c r="M436" s="8">
        <f>+Tabla1[[#This Row],[utilidad x dia]]*7</f>
        <v>11.737760416666667</v>
      </c>
    </row>
    <row r="437" spans="1:13" x14ac:dyDescent="0.3">
      <c r="A437" s="6">
        <f>+'[1]VENTAS(RESUMEN GLOBAL)'!L437</f>
        <v>46055</v>
      </c>
      <c r="B437" s="6" t="str">
        <f>+'[1]VENTAS(RESUMEN GLOBAL)'!M437</f>
        <v>ECCE RECEPCIÓN</v>
      </c>
      <c r="C437">
        <f>+'[1]VENTAS(RESUMEN GLOBAL)'!B437</f>
        <v>800200</v>
      </c>
      <c r="D437" t="str">
        <f>INDEX('[1]CÓDIGOS DE PRODUCTO'!$D$3:$D$1000,MATCH(C437,'[1]CÓDIGOS DE PRODUCTO'!$A$3:$A$1000,0))</f>
        <v>50181900 </v>
      </c>
      <c r="E437" t="str">
        <f>VLOOKUP(C437,'[1]CÓDIGOS DE PRODUCTO'!$A$4:$B$156,2,FALSE)</f>
        <v>Príncipe (6 PZ-63 GR)</v>
      </c>
      <c r="F437" t="str">
        <f>INDEX('[1]CÓDIGOS DE PRODUCTO'!$C$3:$C$1000,MATCH(C437,'[1]CÓDIGOS DE PRODUCTO'!$A$3:$A$1000,0))</f>
        <v>GALLETAS Y PAN DULCE</v>
      </c>
      <c r="G437">
        <f>+'[1]VENTAS(RESUMEN GLOBAL)'!D437-'[1]VENTAS(RESUMEN GLOBAL)'!E437</f>
        <v>6</v>
      </c>
      <c r="H437" s="9">
        <f>+'[1]VENTAS(RESUMEN GLOBAL)'!K437</f>
        <v>5.25</v>
      </c>
      <c r="I437" s="8">
        <f>+G437*'[1]VENTAS(RESUMEN GLOBAL)'!F437</f>
        <v>120</v>
      </c>
      <c r="J437" s="8">
        <f>'[1]VENTAS(RESUMEN GLOBAL)'!G437*(1-'[1]VENTAS(RESUMEN GLOBAL)'!H437)</f>
        <v>42.966666666666669</v>
      </c>
      <c r="K437" s="8">
        <f t="shared" si="6"/>
        <v>77.033333333333331</v>
      </c>
      <c r="L437" s="8">
        <f>+'[1]VENTAS(RESUMEN GLOBAL)'!J437</f>
        <v>9.6291666666666664</v>
      </c>
      <c r="M437" s="8">
        <f>+Tabla1[[#This Row],[utilidad x dia]]*7</f>
        <v>67.404166666666669</v>
      </c>
    </row>
    <row r="438" spans="1:13" x14ac:dyDescent="0.3">
      <c r="A438" s="6">
        <f>+'[1]VENTAS(RESUMEN GLOBAL)'!L438</f>
        <v>46055</v>
      </c>
      <c r="B438" s="6" t="str">
        <f>+'[1]VENTAS(RESUMEN GLOBAL)'!M438</f>
        <v>ECCE RECEPCIÓN</v>
      </c>
      <c r="C438">
        <f>+'[1]VENTAS(RESUMEN GLOBAL)'!B438</f>
        <v>100200</v>
      </c>
      <c r="D438" t="str">
        <f>INDEX('[1]CÓDIGOS DE PRODUCTO'!$D$3:$D$1000,MATCH(C438,'[1]CÓDIGOS DE PRODUCTO'!$A$3:$A$1000,0))</f>
        <v>50202300 </v>
      </c>
      <c r="E438" t="str">
        <f>VLOOKUP(C438,'[1]CÓDIGOS DE PRODUCTO'!$A$4:$B$156,2,FALSE)</f>
        <v>Agua SAMS</v>
      </c>
      <c r="F438" t="str">
        <f>INDEX('[1]CÓDIGOS DE PRODUCTO'!$C$3:$C$1000,MATCH(C438,'[1]CÓDIGOS DE PRODUCTO'!$A$3:$A$1000,0))</f>
        <v>Bebidas</v>
      </c>
      <c r="G438">
        <f>+'[1]VENTAS(RESUMEN GLOBAL)'!D438-'[1]VENTAS(RESUMEN GLOBAL)'!E438</f>
        <v>4</v>
      </c>
      <c r="H438" s="9">
        <f>+'[1]VENTAS(RESUMEN GLOBAL)'!K438</f>
        <v>3.5</v>
      </c>
      <c r="I438" s="8">
        <f>+G438*'[1]VENTAS(RESUMEN GLOBAL)'!F438</f>
        <v>80</v>
      </c>
      <c r="J438" s="8">
        <f>'[1]VENTAS(RESUMEN GLOBAL)'!G438*(1-'[1]VENTAS(RESUMEN GLOBAL)'!H438)</f>
        <v>12.973037037037036</v>
      </c>
      <c r="K438" s="8">
        <f t="shared" si="6"/>
        <v>67.026962962962969</v>
      </c>
      <c r="L438" s="8">
        <f>+'[1]VENTAS(RESUMEN GLOBAL)'!J438</f>
        <v>8.3783703703703711</v>
      </c>
      <c r="M438" s="8">
        <f>+Tabla1[[#This Row],[utilidad x dia]]*7</f>
        <v>58.6485925925926</v>
      </c>
    </row>
    <row r="439" spans="1:13" x14ac:dyDescent="0.3">
      <c r="A439" s="6">
        <f>+'[1]VENTAS(RESUMEN GLOBAL)'!L439</f>
        <v>46055</v>
      </c>
      <c r="B439" s="6" t="str">
        <f>+'[1]VENTAS(RESUMEN GLOBAL)'!M439</f>
        <v>ECCE RECEPCIÓN</v>
      </c>
      <c r="C439">
        <f>+'[1]VENTAS(RESUMEN GLOBAL)'!B439</f>
        <v>100200</v>
      </c>
      <c r="D439" t="str">
        <f>INDEX('[1]CÓDIGOS DE PRODUCTO'!$D$3:$D$1000,MATCH(C439,'[1]CÓDIGOS DE PRODUCTO'!$A$3:$A$1000,0))</f>
        <v>50202300 </v>
      </c>
      <c r="E439" t="str">
        <f>VLOOKUP(C439,'[1]CÓDIGOS DE PRODUCTO'!$A$4:$B$156,2,FALSE)</f>
        <v>Agua SAMS</v>
      </c>
      <c r="F439" t="str">
        <f>INDEX('[1]CÓDIGOS DE PRODUCTO'!$C$3:$C$1000,MATCH(C439,'[1]CÓDIGOS DE PRODUCTO'!$A$3:$A$1000,0))</f>
        <v>Bebidas</v>
      </c>
      <c r="G439">
        <f>+'[1]VENTAS(RESUMEN GLOBAL)'!D439-'[1]VENTAS(RESUMEN GLOBAL)'!E439</f>
        <v>3</v>
      </c>
      <c r="H439" s="9">
        <f>+'[1]VENTAS(RESUMEN GLOBAL)'!K439</f>
        <v>2.625</v>
      </c>
      <c r="I439" s="8">
        <f>+G439*'[1]VENTAS(RESUMEN GLOBAL)'!F439</f>
        <v>60</v>
      </c>
      <c r="J439" s="8">
        <f>'[1]VENTAS(RESUMEN GLOBAL)'!G439*(1-'[1]VENTAS(RESUMEN GLOBAL)'!H439)</f>
        <v>9.7297777777777767</v>
      </c>
      <c r="K439" s="8">
        <f t="shared" si="6"/>
        <v>50.270222222222223</v>
      </c>
      <c r="L439" s="8">
        <f>+'[1]VENTAS(RESUMEN GLOBAL)'!J439</f>
        <v>6.2837777777777779</v>
      </c>
      <c r="M439" s="8">
        <f>+Tabla1[[#This Row],[utilidad x dia]]*7</f>
        <v>43.986444444444444</v>
      </c>
    </row>
    <row r="440" spans="1:13" x14ac:dyDescent="0.3">
      <c r="A440" s="6">
        <f>+'[1]VENTAS(RESUMEN GLOBAL)'!L440</f>
        <v>46055</v>
      </c>
      <c r="B440" s="6" t="str">
        <f>+'[1]VENTAS(RESUMEN GLOBAL)'!M440</f>
        <v>ECCE RECEPCIÓN</v>
      </c>
      <c r="C440">
        <f>+'[1]VENTAS(RESUMEN GLOBAL)'!B440</f>
        <v>101000</v>
      </c>
      <c r="D440" t="str">
        <f>INDEX('[1]CÓDIGOS DE PRODUCTO'!$D$3:$D$1000,MATCH(C440,'[1]CÓDIGOS DE PRODUCTO'!$A$3:$A$1000,0))</f>
        <v>50202300 </v>
      </c>
      <c r="E440" t="str">
        <f>VLOOKUP(C440,'[1]CÓDIGOS DE PRODUCTO'!$A$4:$B$156,2,FALSE)</f>
        <v>ARIZONA</v>
      </c>
      <c r="F440" t="str">
        <f>INDEX('[1]CÓDIGOS DE PRODUCTO'!$C$3:$C$1000,MATCH(C440,'[1]CÓDIGOS DE PRODUCTO'!$A$3:$A$1000,0))</f>
        <v>Bebidas</v>
      </c>
      <c r="G440">
        <f>+'[1]VENTAS(RESUMEN GLOBAL)'!D440-'[1]VENTAS(RESUMEN GLOBAL)'!E440</f>
        <v>9</v>
      </c>
      <c r="H440" s="9">
        <f>+'[1]VENTAS(RESUMEN GLOBAL)'!K440</f>
        <v>7.875</v>
      </c>
      <c r="I440" s="8">
        <f>+G440*'[1]VENTAS(RESUMEN GLOBAL)'!F440</f>
        <v>270</v>
      </c>
      <c r="J440" s="8">
        <f>'[1]VENTAS(RESUMEN GLOBAL)'!G440*(1-'[1]VENTAS(RESUMEN GLOBAL)'!H440)</f>
        <v>137.43</v>
      </c>
      <c r="K440" s="8">
        <f t="shared" si="6"/>
        <v>132.57</v>
      </c>
      <c r="L440" s="8">
        <f>+'[1]VENTAS(RESUMEN GLOBAL)'!J440</f>
        <v>16.571249999999999</v>
      </c>
      <c r="M440" s="8">
        <f>+Tabla1[[#This Row],[utilidad x dia]]*7</f>
        <v>115.99875</v>
      </c>
    </row>
    <row r="441" spans="1:13" x14ac:dyDescent="0.3">
      <c r="A441" s="6">
        <f>+'[1]VENTAS(RESUMEN GLOBAL)'!L441</f>
        <v>46055</v>
      </c>
      <c r="B441" s="6" t="str">
        <f>+'[1]VENTAS(RESUMEN GLOBAL)'!M441</f>
        <v>ECCE RECEPCIÓN</v>
      </c>
      <c r="C441">
        <f>+'[1]VENTAS(RESUMEN GLOBAL)'!B441</f>
        <v>100800</v>
      </c>
      <c r="D441" t="str">
        <f>INDEX('[1]CÓDIGOS DE PRODUCTO'!$D$3:$D$1000,MATCH(C441,'[1]CÓDIGOS DE PRODUCTO'!$A$3:$A$1000,0))</f>
        <v>50202300 </v>
      </c>
      <c r="E441" t="str">
        <f>VLOOKUP(C441,'[1]CÓDIGOS DE PRODUCTO'!$A$4:$B$156,2,FALSE)</f>
        <v>TÉ VERDE KIRKLAND</v>
      </c>
      <c r="F441" t="str">
        <f>INDEX('[1]CÓDIGOS DE PRODUCTO'!$C$3:$C$1000,MATCH(C441,'[1]CÓDIGOS DE PRODUCTO'!$A$3:$A$1000,0))</f>
        <v>Bebidas</v>
      </c>
      <c r="G441">
        <f>+'[1]VENTAS(RESUMEN GLOBAL)'!D441-'[1]VENTAS(RESUMEN GLOBAL)'!E441</f>
        <v>8</v>
      </c>
      <c r="H441" s="9">
        <f>+'[1]VENTAS(RESUMEN GLOBAL)'!K441</f>
        <v>7</v>
      </c>
      <c r="I441" s="8">
        <f>+G441*'[1]VENTAS(RESUMEN GLOBAL)'!F441</f>
        <v>176</v>
      </c>
      <c r="J441" s="8">
        <f>'[1]VENTAS(RESUMEN GLOBAL)'!G441*(1-'[1]VENTAS(RESUMEN GLOBAL)'!H441)</f>
        <v>79.199999999999989</v>
      </c>
      <c r="K441" s="8">
        <f t="shared" si="6"/>
        <v>96.800000000000011</v>
      </c>
      <c r="L441" s="8">
        <f>+'[1]VENTAS(RESUMEN GLOBAL)'!J441</f>
        <v>12.100000000000001</v>
      </c>
      <c r="M441" s="8">
        <f>+Tabla1[[#This Row],[utilidad x dia]]*7</f>
        <v>84.700000000000017</v>
      </c>
    </row>
    <row r="442" spans="1:13" x14ac:dyDescent="0.3">
      <c r="A442" s="6">
        <f>+'[1]VENTAS(RESUMEN GLOBAL)'!L442</f>
        <v>46055</v>
      </c>
      <c r="B442" s="6" t="str">
        <f>+'[1]VENTAS(RESUMEN GLOBAL)'!M442</f>
        <v>ECCE RECEPCIÓN</v>
      </c>
      <c r="C442">
        <f>+'[1]VENTAS(RESUMEN GLOBAL)'!B442</f>
        <v>801300</v>
      </c>
      <c r="D442" t="str">
        <f>INDEX('[1]CÓDIGOS DE PRODUCTO'!$D$3:$D$1000,MATCH(C442,'[1]CÓDIGOS DE PRODUCTO'!$A$3:$A$1000,0))</f>
        <v>50181900 </v>
      </c>
      <c r="E442" t="str">
        <f>VLOOKUP(C442,'[1]CÓDIGOS DE PRODUCTO'!$A$4:$B$156,2,FALSE)</f>
        <v>OREO GDE</v>
      </c>
      <c r="F442" t="str">
        <f>INDEX('[1]CÓDIGOS DE PRODUCTO'!$C$3:$C$1000,MATCH(C442,'[1]CÓDIGOS DE PRODUCTO'!$A$3:$A$1000,0))</f>
        <v>GALLETAS Y PAN DULCE</v>
      </c>
      <c r="G442">
        <f>+'[1]VENTAS(RESUMEN GLOBAL)'!D442-'[1]VENTAS(RESUMEN GLOBAL)'!E442</f>
        <v>0</v>
      </c>
      <c r="H442" s="9">
        <f>+'[1]VENTAS(RESUMEN GLOBAL)'!K442</f>
        <v>0</v>
      </c>
      <c r="I442" s="8">
        <f>+G442*'[1]VENTAS(RESUMEN GLOBAL)'!F442</f>
        <v>0</v>
      </c>
      <c r="J442" s="8">
        <f>'[1]VENTAS(RESUMEN GLOBAL)'!G442*(1-'[1]VENTAS(RESUMEN GLOBAL)'!H442)</f>
        <v>0</v>
      </c>
      <c r="K442" s="8">
        <f t="shared" si="6"/>
        <v>0</v>
      </c>
      <c r="L442" s="8">
        <f>+'[1]VENTAS(RESUMEN GLOBAL)'!J442</f>
        <v>0</v>
      </c>
      <c r="M442" s="8">
        <f>+Tabla1[[#This Row],[utilidad x dia]]*7</f>
        <v>0</v>
      </c>
    </row>
    <row r="443" spans="1:13" x14ac:dyDescent="0.3">
      <c r="A443" s="6">
        <f>+'[1]VENTAS(RESUMEN GLOBAL)'!L443</f>
        <v>46055</v>
      </c>
      <c r="B443" s="6" t="str">
        <f>+'[1]VENTAS(RESUMEN GLOBAL)'!M443</f>
        <v>ECCE RECEPCIÓN</v>
      </c>
      <c r="C443">
        <f>+'[1]VENTAS(RESUMEN GLOBAL)'!B443</f>
        <v>200200</v>
      </c>
      <c r="D443" t="str">
        <f>INDEX('[1]CÓDIGOS DE PRODUCTO'!$D$3:$D$1000,MATCH(C443,'[1]CÓDIGOS DE PRODUCTO'!$A$3:$A$1000,0))</f>
        <v>IDENTIFICAR MANUAL</v>
      </c>
      <c r="E443" t="str">
        <f>VLOOKUP(C443,'[1]CÓDIGOS DE PRODUCTO'!$A$4:$B$156,2,FALSE)</f>
        <v>KIT DENTAL</v>
      </c>
      <c r="F443" t="str">
        <f>INDEX('[1]CÓDIGOS DE PRODUCTO'!$C$3:$C$1000,MATCH(C443,'[1]CÓDIGOS DE PRODUCTO'!$A$3:$A$1000,0))</f>
        <v>Pharmacy</v>
      </c>
      <c r="G443">
        <f>+'[1]VENTAS(RESUMEN GLOBAL)'!D443-'[1]VENTAS(RESUMEN GLOBAL)'!E443</f>
        <v>5</v>
      </c>
      <c r="H443" s="9">
        <f>+'[1]VENTAS(RESUMEN GLOBAL)'!K443</f>
        <v>4.375</v>
      </c>
      <c r="I443" s="8">
        <f>+G443*'[1]VENTAS(RESUMEN GLOBAL)'!F443</f>
        <v>300</v>
      </c>
      <c r="J443" s="8">
        <f>'[1]VENTAS(RESUMEN GLOBAL)'!G443*(1-'[1]VENTAS(RESUMEN GLOBAL)'!H443)</f>
        <v>150</v>
      </c>
      <c r="K443" s="8">
        <f t="shared" si="6"/>
        <v>150</v>
      </c>
      <c r="L443" s="8">
        <f>+'[1]VENTAS(RESUMEN GLOBAL)'!J443</f>
        <v>18.75</v>
      </c>
      <c r="M443" s="8">
        <f>+Tabla1[[#This Row],[utilidad x dia]]*7</f>
        <v>131.25</v>
      </c>
    </row>
    <row r="444" spans="1:13" x14ac:dyDescent="0.3">
      <c r="A444" s="6">
        <f>+'[1]VENTAS(RESUMEN GLOBAL)'!L444</f>
        <v>46055</v>
      </c>
      <c r="B444" s="6" t="str">
        <f>+'[1]VENTAS(RESUMEN GLOBAL)'!M444</f>
        <v>ECCE RECEPCIÓN</v>
      </c>
      <c r="C444">
        <f>+'[1]VENTAS(RESUMEN GLOBAL)'!B444</f>
        <v>100900</v>
      </c>
      <c r="D444" t="str">
        <f>INDEX('[1]CÓDIGOS DE PRODUCTO'!$D$3:$D$1000,MATCH(C444,'[1]CÓDIGOS DE PRODUCTO'!$A$3:$A$1000,0))</f>
        <v>50202300 </v>
      </c>
      <c r="E444" t="str">
        <f>VLOOKUP(C444,'[1]CÓDIGOS DE PRODUCTO'!$A$4:$B$156,2,FALSE)</f>
        <v>VOLT</v>
      </c>
      <c r="F444" t="str">
        <f>INDEX('[1]CÓDIGOS DE PRODUCTO'!$C$3:$C$1000,MATCH(C444,'[1]CÓDIGOS DE PRODUCTO'!$A$3:$A$1000,0))</f>
        <v>Bebidas</v>
      </c>
      <c r="G444">
        <f>+'[1]VENTAS(RESUMEN GLOBAL)'!D444-'[1]VENTAS(RESUMEN GLOBAL)'!E444</f>
        <v>1</v>
      </c>
      <c r="H444" s="9">
        <f>+'[1]VENTAS(RESUMEN GLOBAL)'!K444</f>
        <v>0.875</v>
      </c>
      <c r="I444" s="8">
        <f>+G444*'[1]VENTAS(RESUMEN GLOBAL)'!F444</f>
        <v>30</v>
      </c>
      <c r="J444" s="8">
        <f>'[1]VENTAS(RESUMEN GLOBAL)'!G444*(1-'[1]VENTAS(RESUMEN GLOBAL)'!H444)</f>
        <v>15</v>
      </c>
      <c r="K444" s="8">
        <f t="shared" si="6"/>
        <v>15</v>
      </c>
      <c r="L444" s="8">
        <f>+'[1]VENTAS(RESUMEN GLOBAL)'!J444</f>
        <v>1.875</v>
      </c>
      <c r="M444" s="8">
        <f>+Tabla1[[#This Row],[utilidad x dia]]*7</f>
        <v>13.125</v>
      </c>
    </row>
    <row r="445" spans="1:13" x14ac:dyDescent="0.3">
      <c r="A445" s="6">
        <f>+'[1]VENTAS(RESUMEN GLOBAL)'!L445</f>
        <v>0</v>
      </c>
      <c r="B445" s="6">
        <f>+'[1]VENTAS(RESUMEN GLOBAL)'!M445</f>
        <v>0</v>
      </c>
      <c r="C445">
        <f>+'[1]VENTAS(RESUMEN GLOBAL)'!B445</f>
        <v>0</v>
      </c>
      <c r="D445" t="e">
        <f>INDEX('[1]CÓDIGOS DE PRODUCTO'!$D$3:$D$1000,MATCH(C445,'[1]CÓDIGOS DE PRODUCTO'!$A$3:$A$1000,0))</f>
        <v>#N/A</v>
      </c>
      <c r="E445">
        <f>VLOOKUP(C445,'[1]CÓDIGOS DE PRODUCTO'!$A$4:$B$156,2,FALSE)</f>
        <v>0</v>
      </c>
      <c r="F445">
        <f>INDEX('[1]CÓDIGOS DE PRODUCTO'!$C$3:$C$1000,MATCH(C445,'[1]CÓDIGOS DE PRODUCTO'!$A$3:$A$1000,0))</f>
        <v>0</v>
      </c>
      <c r="G445">
        <f>+'[1]VENTAS(RESUMEN GLOBAL)'!D445-'[1]VENTAS(RESUMEN GLOBAL)'!E445</f>
        <v>0</v>
      </c>
      <c r="H445" s="9">
        <f>+'[1]VENTAS(RESUMEN GLOBAL)'!K445</f>
        <v>0</v>
      </c>
      <c r="I445" s="8">
        <f>+G445*'[1]VENTAS(RESUMEN GLOBAL)'!F445</f>
        <v>0</v>
      </c>
      <c r="J445" s="8">
        <f>'[1]VENTAS(RESUMEN GLOBAL)'!G445*(1-'[1]VENTAS(RESUMEN GLOBAL)'!H445)</f>
        <v>0</v>
      </c>
      <c r="K445" s="8">
        <f t="shared" si="6"/>
        <v>0</v>
      </c>
      <c r="L445" s="8">
        <f>+'[1]VENTAS(RESUMEN GLOBAL)'!J445</f>
        <v>0</v>
      </c>
      <c r="M445" s="8">
        <f>+Tabla1[[#This Row],[utilidad x dia]]*7</f>
        <v>0</v>
      </c>
    </row>
    <row r="446" spans="1:13" x14ac:dyDescent="0.3">
      <c r="A446" s="6">
        <f>+'[1]VENTAS(RESUMEN GLOBAL)'!L446</f>
        <v>46048</v>
      </c>
      <c r="B446" s="6" t="str">
        <f>+'[1]VENTAS(RESUMEN GLOBAL)'!M446</f>
        <v>RIVULIS</v>
      </c>
      <c r="C446">
        <f>+'[1]VENTAS(RESUMEN GLOBAL)'!B446</f>
        <v>600300</v>
      </c>
      <c r="D446" t="str">
        <f>INDEX('[1]CÓDIGOS DE PRODUCTO'!$D$3:$D$1000,MATCH(C446,'[1]CÓDIGOS DE PRODUCTO'!$A$3:$A$1000,0))</f>
        <v>50192109 </v>
      </c>
      <c r="E446" t="str">
        <f>VLOOKUP(C446,'[1]CÓDIGOS DE PRODUCTO'!$A$4:$B$156,2,FALSE)</f>
        <v>TAKIS FUEGO</v>
      </c>
      <c r="F446" t="str">
        <f>INDEX('[1]CÓDIGOS DE PRODUCTO'!$C$3:$C$1000,MATCH(C446,'[1]CÓDIGOS DE PRODUCTO'!$A$3:$A$1000,0))</f>
        <v>Papas fritas</v>
      </c>
      <c r="G446">
        <f>+'[1]VENTAS(RESUMEN GLOBAL)'!D446-'[1]VENTAS(RESUMEN GLOBAL)'!E446</f>
        <v>5</v>
      </c>
      <c r="H446" s="9">
        <f>+'[1]VENTAS(RESUMEN GLOBAL)'!K446</f>
        <v>5</v>
      </c>
      <c r="I446" s="8">
        <f>+G446*'[1]VENTAS(RESUMEN GLOBAL)'!F446</f>
        <v>125</v>
      </c>
      <c r="J446" s="8">
        <f>'[1]VENTAS(RESUMEN GLOBAL)'!G446*(1-'[1]VENTAS(RESUMEN GLOBAL)'!H446)</f>
        <v>51.250000000000007</v>
      </c>
      <c r="K446" s="8">
        <f t="shared" si="6"/>
        <v>73.75</v>
      </c>
      <c r="L446" s="8">
        <f>+'[1]VENTAS(RESUMEN GLOBAL)'!J446</f>
        <v>10.535714285714286</v>
      </c>
      <c r="M446" s="8">
        <f>+Tabla1[[#This Row],[utilidad x dia]]*7</f>
        <v>73.75</v>
      </c>
    </row>
    <row r="447" spans="1:13" x14ac:dyDescent="0.3">
      <c r="A447" s="6">
        <f>+'[1]VENTAS(RESUMEN GLOBAL)'!L447</f>
        <v>46048</v>
      </c>
      <c r="B447" s="6" t="str">
        <f>+'[1]VENTAS(RESUMEN GLOBAL)'!M447</f>
        <v>RIVULIS</v>
      </c>
      <c r="C447">
        <f>+'[1]VENTAS(RESUMEN GLOBAL)'!B447</f>
        <v>6005101</v>
      </c>
      <c r="D447" t="str">
        <f>INDEX('[1]CÓDIGOS DE PRODUCTO'!$D$3:$D$1000,MATCH(C447,'[1]CÓDIGOS DE PRODUCTO'!$A$3:$A$1000,0))</f>
        <v>50192109 </v>
      </c>
      <c r="E447" t="str">
        <f>VLOOKUP(C447,'[1]CÓDIGOS DE PRODUCTO'!$A$4:$B$156,2,FALSE)</f>
        <v>SABRITAS AMARILLAS</v>
      </c>
      <c r="F447" t="str">
        <f>INDEX('[1]CÓDIGOS DE PRODUCTO'!$C$3:$C$1000,MATCH(C447,'[1]CÓDIGOS DE PRODUCTO'!$A$3:$A$1000,0))</f>
        <v>Papas fritas</v>
      </c>
      <c r="G447">
        <f>+'[1]VENTAS(RESUMEN GLOBAL)'!D447-'[1]VENTAS(RESUMEN GLOBAL)'!E447</f>
        <v>3</v>
      </c>
      <c r="H447" s="9">
        <f>+'[1]VENTAS(RESUMEN GLOBAL)'!K447</f>
        <v>3</v>
      </c>
      <c r="I447" s="8">
        <f>+G447*'[1]VENTAS(RESUMEN GLOBAL)'!F447</f>
        <v>75</v>
      </c>
      <c r="J447" s="8">
        <f>'[1]VENTAS(RESUMEN GLOBAL)'!G447*(1-'[1]VENTAS(RESUMEN GLOBAL)'!H447)</f>
        <v>25.499999999999996</v>
      </c>
      <c r="K447" s="8">
        <f t="shared" si="6"/>
        <v>49.5</v>
      </c>
      <c r="L447" s="8">
        <f>+'[1]VENTAS(RESUMEN GLOBAL)'!J447</f>
        <v>7.0714285714285712</v>
      </c>
      <c r="M447" s="8">
        <f>+Tabla1[[#This Row],[utilidad x dia]]*7</f>
        <v>49.5</v>
      </c>
    </row>
    <row r="448" spans="1:13" x14ac:dyDescent="0.3">
      <c r="A448" s="6">
        <f>+'[1]VENTAS(RESUMEN GLOBAL)'!L448</f>
        <v>46048</v>
      </c>
      <c r="B448" s="6" t="str">
        <f>+'[1]VENTAS(RESUMEN GLOBAL)'!M448</f>
        <v>RIVULIS</v>
      </c>
      <c r="C448">
        <f>+'[1]VENTAS(RESUMEN GLOBAL)'!B448</f>
        <v>6005102</v>
      </c>
      <c r="D448" t="str">
        <f>INDEX('[1]CÓDIGOS DE PRODUCTO'!$D$3:$D$1000,MATCH(C448,'[1]CÓDIGOS DE PRODUCTO'!$A$3:$A$1000,0))</f>
        <v>50192109 </v>
      </c>
      <c r="E448" t="str">
        <f>VLOOKUP(C448,'[1]CÓDIGOS DE PRODUCTO'!$A$4:$B$156,2,FALSE)</f>
        <v>RUFFLES</v>
      </c>
      <c r="F448" t="str">
        <f>INDEX('[1]CÓDIGOS DE PRODUCTO'!$C$3:$C$1000,MATCH(C448,'[1]CÓDIGOS DE PRODUCTO'!$A$3:$A$1000,0))</f>
        <v>Papas fritas</v>
      </c>
      <c r="G448">
        <f>+'[1]VENTAS(RESUMEN GLOBAL)'!D448-'[1]VENTAS(RESUMEN GLOBAL)'!E448</f>
        <v>5</v>
      </c>
      <c r="H448" s="9">
        <f>+'[1]VENTAS(RESUMEN GLOBAL)'!K448</f>
        <v>5</v>
      </c>
      <c r="I448" s="8">
        <f>+G448*'[1]VENTAS(RESUMEN GLOBAL)'!F448</f>
        <v>125</v>
      </c>
      <c r="J448" s="8">
        <f>'[1]VENTAS(RESUMEN GLOBAL)'!G448*(1-'[1]VENTAS(RESUMEN GLOBAL)'!H448)</f>
        <v>42.499999999999993</v>
      </c>
      <c r="K448" s="8">
        <f t="shared" si="6"/>
        <v>82.5</v>
      </c>
      <c r="L448" s="8">
        <f>+'[1]VENTAS(RESUMEN GLOBAL)'!J448</f>
        <v>11.785714285714286</v>
      </c>
      <c r="M448" s="8">
        <f>+Tabla1[[#This Row],[utilidad x dia]]*7</f>
        <v>82.5</v>
      </c>
    </row>
    <row r="449" spans="1:13" x14ac:dyDescent="0.3">
      <c r="A449" s="6">
        <f>+'[1]VENTAS(RESUMEN GLOBAL)'!L449</f>
        <v>46048</v>
      </c>
      <c r="B449" s="6" t="str">
        <f>+'[1]VENTAS(RESUMEN GLOBAL)'!M449</f>
        <v>RIVULIS</v>
      </c>
      <c r="C449">
        <f>+'[1]VENTAS(RESUMEN GLOBAL)'!B449</f>
        <v>6005103</v>
      </c>
      <c r="D449" t="str">
        <f>INDEX('[1]CÓDIGOS DE PRODUCTO'!$D$3:$D$1000,MATCH(C449,'[1]CÓDIGOS DE PRODUCTO'!$A$3:$A$1000,0))</f>
        <v>50192109 </v>
      </c>
      <c r="E449" t="str">
        <f>VLOOKUP(C449,'[1]CÓDIGOS DE PRODUCTO'!$A$4:$B$156,2,FALSE)</f>
        <v>DORITOS ROJOS</v>
      </c>
      <c r="F449" t="str">
        <f>INDEX('[1]CÓDIGOS DE PRODUCTO'!$C$3:$C$1000,MATCH(C449,'[1]CÓDIGOS DE PRODUCTO'!$A$3:$A$1000,0))</f>
        <v>Papas fritas</v>
      </c>
      <c r="G449">
        <f>+'[1]VENTAS(RESUMEN GLOBAL)'!D449-'[1]VENTAS(RESUMEN GLOBAL)'!E449</f>
        <v>3</v>
      </c>
      <c r="H449" s="9">
        <f>+'[1]VENTAS(RESUMEN GLOBAL)'!K449</f>
        <v>3</v>
      </c>
      <c r="I449" s="8">
        <f>+G449*'[1]VENTAS(RESUMEN GLOBAL)'!F449</f>
        <v>75</v>
      </c>
      <c r="J449" s="8">
        <f>'[1]VENTAS(RESUMEN GLOBAL)'!G449*(1-'[1]VENTAS(RESUMEN GLOBAL)'!H449)</f>
        <v>25.499999999999996</v>
      </c>
      <c r="K449" s="8">
        <f t="shared" si="6"/>
        <v>49.5</v>
      </c>
      <c r="L449" s="8">
        <f>+'[1]VENTAS(RESUMEN GLOBAL)'!J449</f>
        <v>7.0714285714285712</v>
      </c>
      <c r="M449" s="8">
        <f>+Tabla1[[#This Row],[utilidad x dia]]*7</f>
        <v>49.5</v>
      </c>
    </row>
    <row r="450" spans="1:13" x14ac:dyDescent="0.3">
      <c r="A450" s="6">
        <f>+'[1]VENTAS(RESUMEN GLOBAL)'!L450</f>
        <v>46048</v>
      </c>
      <c r="B450" s="6" t="str">
        <f>+'[1]VENTAS(RESUMEN GLOBAL)'!M450</f>
        <v>RIVULIS</v>
      </c>
      <c r="C450">
        <f>+'[1]VENTAS(RESUMEN GLOBAL)'!B450</f>
        <v>600101</v>
      </c>
      <c r="D450" t="str">
        <f>INDEX('[1]CÓDIGOS DE PRODUCTO'!$D$3:$D$1000,MATCH(C450,'[1]CÓDIGOS DE PRODUCTO'!$A$3:$A$1000,0))</f>
        <v>50192109 </v>
      </c>
      <c r="E450" t="str">
        <f>VLOOKUP(C450,'[1]CÓDIGOS DE PRODUCTO'!$A$4:$B$156,2,FALSE)</f>
        <v>CHIPS VERDES</v>
      </c>
      <c r="F450" t="str">
        <f>INDEX('[1]CÓDIGOS DE PRODUCTO'!$C$3:$C$1000,MATCH(C450,'[1]CÓDIGOS DE PRODUCTO'!$A$3:$A$1000,0))</f>
        <v>Papas fritas</v>
      </c>
      <c r="G450">
        <f>+'[1]VENTAS(RESUMEN GLOBAL)'!D450-'[1]VENTAS(RESUMEN GLOBAL)'!E450</f>
        <v>4</v>
      </c>
      <c r="H450" s="9">
        <f>+'[1]VENTAS(RESUMEN GLOBAL)'!K450</f>
        <v>4</v>
      </c>
      <c r="I450" s="8">
        <f>+G450*'[1]VENTAS(RESUMEN GLOBAL)'!F450</f>
        <v>100</v>
      </c>
      <c r="J450" s="8">
        <f>'[1]VENTAS(RESUMEN GLOBAL)'!G450*(1-'[1]VENTAS(RESUMEN GLOBAL)'!H450)</f>
        <v>36</v>
      </c>
      <c r="K450" s="8">
        <f t="shared" si="6"/>
        <v>64</v>
      </c>
      <c r="L450" s="8">
        <f>+'[1]VENTAS(RESUMEN GLOBAL)'!J450</f>
        <v>9.1428571428571423</v>
      </c>
      <c r="M450" s="8">
        <f>+Tabla1[[#This Row],[utilidad x dia]]*7</f>
        <v>64</v>
      </c>
    </row>
    <row r="451" spans="1:13" x14ac:dyDescent="0.3">
      <c r="A451" s="6">
        <f>+'[1]VENTAS(RESUMEN GLOBAL)'!L451</f>
        <v>46048</v>
      </c>
      <c r="B451" s="6" t="str">
        <f>+'[1]VENTAS(RESUMEN GLOBAL)'!M451</f>
        <v>RIVULIS</v>
      </c>
      <c r="C451">
        <f>+'[1]VENTAS(RESUMEN GLOBAL)'!B451</f>
        <v>600102</v>
      </c>
      <c r="D451" t="str">
        <f>INDEX('[1]CÓDIGOS DE PRODUCTO'!$D$3:$D$1000,MATCH(C451,'[1]CÓDIGOS DE PRODUCTO'!$A$3:$A$1000,0))</f>
        <v>50192109 </v>
      </c>
      <c r="E451" t="str">
        <f>VLOOKUP(C451,'[1]CÓDIGOS DE PRODUCTO'!$A$4:$B$156,2,FALSE)</f>
        <v>RUNNERS</v>
      </c>
      <c r="F451" t="str">
        <f>INDEX('[1]CÓDIGOS DE PRODUCTO'!$C$3:$C$1000,MATCH(C451,'[1]CÓDIGOS DE PRODUCTO'!$A$3:$A$1000,0))</f>
        <v>Papas fritas</v>
      </c>
      <c r="G451">
        <f>+'[1]VENTAS(RESUMEN GLOBAL)'!D451-'[1]VENTAS(RESUMEN GLOBAL)'!E451</f>
        <v>7</v>
      </c>
      <c r="H451" s="9">
        <f>+'[1]VENTAS(RESUMEN GLOBAL)'!K451</f>
        <v>7</v>
      </c>
      <c r="I451" s="8">
        <f>+G451*'[1]VENTAS(RESUMEN GLOBAL)'!F451</f>
        <v>175</v>
      </c>
      <c r="J451" s="8">
        <f>'[1]VENTAS(RESUMEN GLOBAL)'!G451*(1-'[1]VENTAS(RESUMEN GLOBAL)'!H451)</f>
        <v>63</v>
      </c>
      <c r="K451" s="8">
        <f t="shared" ref="K451:K514" si="7">+I451-J451</f>
        <v>112</v>
      </c>
      <c r="L451" s="8">
        <f>+'[1]VENTAS(RESUMEN GLOBAL)'!J451</f>
        <v>16</v>
      </c>
      <c r="M451" s="8">
        <f>+Tabla1[[#This Row],[utilidad x dia]]*7</f>
        <v>112</v>
      </c>
    </row>
    <row r="452" spans="1:13" x14ac:dyDescent="0.3">
      <c r="A452" s="6">
        <f>+'[1]VENTAS(RESUMEN GLOBAL)'!L452</f>
        <v>46048</v>
      </c>
      <c r="B452" s="6" t="str">
        <f>+'[1]VENTAS(RESUMEN GLOBAL)'!M452</f>
        <v>RIVULIS</v>
      </c>
      <c r="C452">
        <f>+'[1]VENTAS(RESUMEN GLOBAL)'!B452</f>
        <v>6005104</v>
      </c>
      <c r="D452" t="str">
        <f>INDEX('[1]CÓDIGOS DE PRODUCTO'!$D$3:$D$1000,MATCH(C452,'[1]CÓDIGOS DE PRODUCTO'!$A$3:$A$1000,0))</f>
        <v>50192109 </v>
      </c>
      <c r="E452" t="str">
        <f>VLOOKUP(C452,'[1]CÓDIGOS DE PRODUCTO'!$A$4:$B$156,2,FALSE)</f>
        <v>RANCHERITOS</v>
      </c>
      <c r="F452" t="str">
        <f>INDEX('[1]CÓDIGOS DE PRODUCTO'!$C$3:$C$1000,MATCH(C452,'[1]CÓDIGOS DE PRODUCTO'!$A$3:$A$1000,0))</f>
        <v>Papas fritas</v>
      </c>
      <c r="G452">
        <f>+'[1]VENTAS(RESUMEN GLOBAL)'!D452-'[1]VENTAS(RESUMEN GLOBAL)'!E452</f>
        <v>3</v>
      </c>
      <c r="H452" s="9">
        <f>+'[1]VENTAS(RESUMEN GLOBAL)'!K452</f>
        <v>3</v>
      </c>
      <c r="I452" s="8">
        <f>+G452*'[1]VENTAS(RESUMEN GLOBAL)'!F452</f>
        <v>75</v>
      </c>
      <c r="J452" s="8">
        <f>'[1]VENTAS(RESUMEN GLOBAL)'!G452*(1-'[1]VENTAS(RESUMEN GLOBAL)'!H452)</f>
        <v>25.499999999999996</v>
      </c>
      <c r="K452" s="8">
        <f t="shared" si="7"/>
        <v>49.5</v>
      </c>
      <c r="L452" s="8">
        <f>+'[1]VENTAS(RESUMEN GLOBAL)'!J452</f>
        <v>7.0714285714285712</v>
      </c>
      <c r="M452" s="8">
        <f>+Tabla1[[#This Row],[utilidad x dia]]*7</f>
        <v>49.5</v>
      </c>
    </row>
    <row r="453" spans="1:13" x14ac:dyDescent="0.3">
      <c r="A453" s="6">
        <f>+'[1]VENTAS(RESUMEN GLOBAL)'!L453</f>
        <v>46048</v>
      </c>
      <c r="B453" s="6" t="str">
        <f>+'[1]VENTAS(RESUMEN GLOBAL)'!M453</f>
        <v>RIVULIS</v>
      </c>
      <c r="C453">
        <f>+'[1]VENTAS(RESUMEN GLOBAL)'!B453</f>
        <v>600600</v>
      </c>
      <c r="D453" t="str">
        <f>INDEX('[1]CÓDIGOS DE PRODUCTO'!$D$3:$D$1000,MATCH(C453,'[1]CÓDIGOS DE PRODUCTO'!$A$3:$A$1000,0))</f>
        <v>50192109 </v>
      </c>
      <c r="E453" t="str">
        <f>VLOOKUP(C453,'[1]CÓDIGOS DE PRODUCTO'!$A$4:$B$156,2,FALSE)</f>
        <v>CHICHARRON SURTIDO</v>
      </c>
      <c r="F453" t="str">
        <f>INDEX('[1]CÓDIGOS DE PRODUCTO'!$C$3:$C$1000,MATCH(C453,'[1]CÓDIGOS DE PRODUCTO'!$A$3:$A$1000,0))</f>
        <v>Papas fritas</v>
      </c>
      <c r="G453">
        <f>+'[1]VENTAS(RESUMEN GLOBAL)'!D453-'[1]VENTAS(RESUMEN GLOBAL)'!E453</f>
        <v>5</v>
      </c>
      <c r="H453" s="9">
        <f>+'[1]VENTAS(RESUMEN GLOBAL)'!K453</f>
        <v>5</v>
      </c>
      <c r="I453" s="8">
        <f>+G453*'[1]VENTAS(RESUMEN GLOBAL)'!F453</f>
        <v>125</v>
      </c>
      <c r="J453" s="8">
        <f>'[1]VENTAS(RESUMEN GLOBAL)'!G453*(1-'[1]VENTAS(RESUMEN GLOBAL)'!H453)</f>
        <v>58.75</v>
      </c>
      <c r="K453" s="8">
        <f t="shared" si="7"/>
        <v>66.25</v>
      </c>
      <c r="L453" s="8">
        <f>+'[1]VENTAS(RESUMEN GLOBAL)'!J453</f>
        <v>9.4642857142857135</v>
      </c>
      <c r="M453" s="8">
        <f>+Tabla1[[#This Row],[utilidad x dia]]*7</f>
        <v>66.25</v>
      </c>
    </row>
    <row r="454" spans="1:13" x14ac:dyDescent="0.3">
      <c r="A454" s="6">
        <f>+'[1]VENTAS(RESUMEN GLOBAL)'!L454</f>
        <v>46048</v>
      </c>
      <c r="B454" s="6" t="str">
        <f>+'[1]VENTAS(RESUMEN GLOBAL)'!M454</f>
        <v>RIVULIS</v>
      </c>
      <c r="C454">
        <f>+'[1]VENTAS(RESUMEN GLOBAL)'!B454</f>
        <v>600500</v>
      </c>
      <c r="D454" t="str">
        <f>INDEX('[1]CÓDIGOS DE PRODUCTO'!$D$3:$D$1000,MATCH(C454,'[1]CÓDIGOS DE PRODUCTO'!$A$3:$A$1000,0))</f>
        <v>50192109 </v>
      </c>
      <c r="E454" t="str">
        <f>VLOOKUP(C454,'[1]CÓDIGOS DE PRODUCTO'!$A$4:$B$156,2,FALSE)</f>
        <v>SABRIMAYOREO</v>
      </c>
      <c r="F454" t="str">
        <f>INDEX('[1]CÓDIGOS DE PRODUCTO'!$C$3:$C$1000,MATCH(C454,'[1]CÓDIGOS DE PRODUCTO'!$A$3:$A$1000,0))</f>
        <v>Papas fritas</v>
      </c>
      <c r="G454">
        <f>+'[1]VENTAS(RESUMEN GLOBAL)'!D454-'[1]VENTAS(RESUMEN GLOBAL)'!E454</f>
        <v>2</v>
      </c>
      <c r="H454" s="9">
        <f>+'[1]VENTAS(RESUMEN GLOBAL)'!K454</f>
        <v>2</v>
      </c>
      <c r="I454" s="8">
        <f>+G454*'[1]VENTAS(RESUMEN GLOBAL)'!F454</f>
        <v>50</v>
      </c>
      <c r="J454" s="8">
        <f>'[1]VENTAS(RESUMEN GLOBAL)'!G454*(1-'[1]VENTAS(RESUMEN GLOBAL)'!H454)</f>
        <v>17</v>
      </c>
      <c r="K454" s="8">
        <f t="shared" si="7"/>
        <v>33</v>
      </c>
      <c r="L454" s="8">
        <f>+'[1]VENTAS(RESUMEN GLOBAL)'!J454</f>
        <v>4.7142857142857144</v>
      </c>
      <c r="M454" s="8">
        <f>+Tabla1[[#This Row],[utilidad x dia]]*7</f>
        <v>33</v>
      </c>
    </row>
    <row r="455" spans="1:13" x14ac:dyDescent="0.3">
      <c r="A455" s="6">
        <f>+'[1]VENTAS(RESUMEN GLOBAL)'!L455</f>
        <v>46048</v>
      </c>
      <c r="B455" s="6" t="str">
        <f>+'[1]VENTAS(RESUMEN GLOBAL)'!M455</f>
        <v>RIVULIS</v>
      </c>
      <c r="C455">
        <f>+'[1]VENTAS(RESUMEN GLOBAL)'!B455</f>
        <v>600400</v>
      </c>
      <c r="D455" t="str">
        <f>INDEX('[1]CÓDIGOS DE PRODUCTO'!$D$3:$D$1000,MATCH(C455,'[1]CÓDIGOS DE PRODUCTO'!$A$3:$A$1000,0))</f>
        <v>50192109 </v>
      </c>
      <c r="E455" t="str">
        <f>VLOOKUP(C455,'[1]CÓDIGOS DE PRODUCTO'!$A$4:$B$156,2,FALSE)</f>
        <v>FRITOS (CHORIZO U OTROS)</v>
      </c>
      <c r="F455" t="str">
        <f>INDEX('[1]CÓDIGOS DE PRODUCTO'!$C$3:$C$1000,MATCH(C455,'[1]CÓDIGOS DE PRODUCTO'!$A$3:$A$1000,0))</f>
        <v>Papas fritas</v>
      </c>
      <c r="G455">
        <f>+'[1]VENTAS(RESUMEN GLOBAL)'!D455-'[1]VENTAS(RESUMEN GLOBAL)'!E455</f>
        <v>9</v>
      </c>
      <c r="H455" s="9">
        <f>+'[1]VENTAS(RESUMEN GLOBAL)'!K455</f>
        <v>9</v>
      </c>
      <c r="I455" s="8">
        <f>+G455*'[1]VENTAS(RESUMEN GLOBAL)'!F455</f>
        <v>180</v>
      </c>
      <c r="J455" s="8">
        <f>'[1]VENTAS(RESUMEN GLOBAL)'!G455*(1-'[1]VENTAS(RESUMEN GLOBAL)'!H455)</f>
        <v>73.800000000000011</v>
      </c>
      <c r="K455" s="8">
        <f t="shared" si="7"/>
        <v>106.19999999999999</v>
      </c>
      <c r="L455" s="8">
        <f>+'[1]VENTAS(RESUMEN GLOBAL)'!J455</f>
        <v>15.171428571428569</v>
      </c>
      <c r="M455" s="8">
        <f>+Tabla1[[#This Row],[utilidad x dia]]*7</f>
        <v>106.19999999999999</v>
      </c>
    </row>
    <row r="456" spans="1:13" x14ac:dyDescent="0.3">
      <c r="A456" s="6">
        <f>+'[1]VENTAS(RESUMEN GLOBAL)'!L456</f>
        <v>46048</v>
      </c>
      <c r="B456" s="6" t="str">
        <f>+'[1]VENTAS(RESUMEN GLOBAL)'!M456</f>
        <v>RIVULIS</v>
      </c>
      <c r="C456">
        <f>+'[1]VENTAS(RESUMEN GLOBAL)'!B456</f>
        <v>100400</v>
      </c>
      <c r="D456" t="str">
        <f>INDEX('[1]CÓDIGOS DE PRODUCTO'!$D$3:$D$1000,MATCH(C456,'[1]CÓDIGOS DE PRODUCTO'!$A$3:$A$1000,0))</f>
        <v>50202300 </v>
      </c>
      <c r="E456" t="str">
        <f>VLOOKUP(C456,'[1]CÓDIGOS DE PRODUCTO'!$A$4:$B$156,2,FALSE)</f>
        <v>Jumex</v>
      </c>
      <c r="F456" t="str">
        <f>INDEX('[1]CÓDIGOS DE PRODUCTO'!$C$3:$C$1000,MATCH(C456,'[1]CÓDIGOS DE PRODUCTO'!$A$3:$A$1000,0))</f>
        <v>Bebidas</v>
      </c>
      <c r="G456">
        <f>+'[1]VENTAS(RESUMEN GLOBAL)'!D456-'[1]VENTAS(RESUMEN GLOBAL)'!E456</f>
        <v>1</v>
      </c>
      <c r="H456" s="9">
        <f>+'[1]VENTAS(RESUMEN GLOBAL)'!K456</f>
        <v>1</v>
      </c>
      <c r="I456" s="8">
        <f>+G456*'[1]VENTAS(RESUMEN GLOBAL)'!F456</f>
        <v>15</v>
      </c>
      <c r="J456" s="8">
        <f>'[1]VENTAS(RESUMEN GLOBAL)'!G456*(1-'[1]VENTAS(RESUMEN GLOBAL)'!H456)</f>
        <v>7.5</v>
      </c>
      <c r="K456" s="8">
        <f t="shared" si="7"/>
        <v>7.5</v>
      </c>
      <c r="L456" s="8">
        <f>+'[1]VENTAS(RESUMEN GLOBAL)'!J456</f>
        <v>1.0714285714285714</v>
      </c>
      <c r="M456" s="8">
        <f>+Tabla1[[#This Row],[utilidad x dia]]*7</f>
        <v>7.5</v>
      </c>
    </row>
    <row r="457" spans="1:13" x14ac:dyDescent="0.3">
      <c r="A457" s="6">
        <f>+'[1]VENTAS(RESUMEN GLOBAL)'!L457</f>
        <v>46048</v>
      </c>
      <c r="B457" s="6" t="str">
        <f>+'[1]VENTAS(RESUMEN GLOBAL)'!M457</f>
        <v>RIVULIS</v>
      </c>
      <c r="C457">
        <f>+'[1]VENTAS(RESUMEN GLOBAL)'!B457</f>
        <v>100400</v>
      </c>
      <c r="D457" t="str">
        <f>INDEX('[1]CÓDIGOS DE PRODUCTO'!$D$3:$D$1000,MATCH(C457,'[1]CÓDIGOS DE PRODUCTO'!$A$3:$A$1000,0))</f>
        <v>50202300 </v>
      </c>
      <c r="E457" t="str">
        <f>VLOOKUP(C457,'[1]CÓDIGOS DE PRODUCTO'!$A$4:$B$156,2,FALSE)</f>
        <v>Jumex</v>
      </c>
      <c r="F457" t="str">
        <f>INDEX('[1]CÓDIGOS DE PRODUCTO'!$C$3:$C$1000,MATCH(C457,'[1]CÓDIGOS DE PRODUCTO'!$A$3:$A$1000,0))</f>
        <v>Bebidas</v>
      </c>
      <c r="G457">
        <f>+'[1]VENTAS(RESUMEN GLOBAL)'!D457-'[1]VENTAS(RESUMEN GLOBAL)'!E457</f>
        <v>8</v>
      </c>
      <c r="H457" s="9">
        <f>+'[1]VENTAS(RESUMEN GLOBAL)'!K457</f>
        <v>8</v>
      </c>
      <c r="I457" s="8">
        <f>+G457*'[1]VENTAS(RESUMEN GLOBAL)'!F457</f>
        <v>120</v>
      </c>
      <c r="J457" s="8">
        <f>'[1]VENTAS(RESUMEN GLOBAL)'!G457*(1-'[1]VENTAS(RESUMEN GLOBAL)'!H457)</f>
        <v>60</v>
      </c>
      <c r="K457" s="8">
        <f t="shared" si="7"/>
        <v>60</v>
      </c>
      <c r="L457" s="8">
        <f>+'[1]VENTAS(RESUMEN GLOBAL)'!J457</f>
        <v>8.5714285714285712</v>
      </c>
      <c r="M457" s="8">
        <f>+Tabla1[[#This Row],[utilidad x dia]]*7</f>
        <v>60</v>
      </c>
    </row>
    <row r="458" spans="1:13" x14ac:dyDescent="0.3">
      <c r="A458" s="6">
        <f>+'[1]VENTAS(RESUMEN GLOBAL)'!L458</f>
        <v>46048</v>
      </c>
      <c r="B458" s="6" t="str">
        <f>+'[1]VENTAS(RESUMEN GLOBAL)'!M458</f>
        <v>RIVULIS</v>
      </c>
      <c r="C458">
        <f>+'[1]VENTAS(RESUMEN GLOBAL)'!B458</f>
        <v>100600</v>
      </c>
      <c r="D458" t="str">
        <f>INDEX('[1]CÓDIGOS DE PRODUCTO'!$D$3:$D$1000,MATCH(C458,'[1]CÓDIGOS DE PRODUCTO'!$A$3:$A$1000,0))</f>
        <v>50202300 </v>
      </c>
      <c r="E458" t="str">
        <f>VLOOKUP(C458,'[1]CÓDIGOS DE PRODUCTO'!$A$4:$B$156,2,FALSE)</f>
        <v>Leche santa clara</v>
      </c>
      <c r="F458" t="str">
        <f>INDEX('[1]CÓDIGOS DE PRODUCTO'!$C$3:$C$1000,MATCH(C458,'[1]CÓDIGOS DE PRODUCTO'!$A$3:$A$1000,0))</f>
        <v>Bebidas</v>
      </c>
      <c r="G458">
        <f>+'[1]VENTAS(RESUMEN GLOBAL)'!D458-'[1]VENTAS(RESUMEN GLOBAL)'!E458</f>
        <v>4</v>
      </c>
      <c r="H458" s="9">
        <f>+'[1]VENTAS(RESUMEN GLOBAL)'!K458</f>
        <v>4</v>
      </c>
      <c r="I458" s="8">
        <f>+G458*'[1]VENTAS(RESUMEN GLOBAL)'!F458</f>
        <v>60</v>
      </c>
      <c r="J458" s="8">
        <f>'[1]VENTAS(RESUMEN GLOBAL)'!G458*(1-'[1]VENTAS(RESUMEN GLOBAL)'!H458)</f>
        <v>34.200000000000003</v>
      </c>
      <c r="K458" s="8">
        <f t="shared" si="7"/>
        <v>25.799999999999997</v>
      </c>
      <c r="L458" s="8">
        <f>+'[1]VENTAS(RESUMEN GLOBAL)'!J458</f>
        <v>3.6857142857142859</v>
      </c>
      <c r="M458" s="8">
        <f>+Tabla1[[#This Row],[utilidad x dia]]*7</f>
        <v>25.8</v>
      </c>
    </row>
    <row r="459" spans="1:13" x14ac:dyDescent="0.3">
      <c r="A459" s="6">
        <f>+'[1]VENTAS(RESUMEN GLOBAL)'!L459</f>
        <v>46048</v>
      </c>
      <c r="B459" s="6" t="str">
        <f>+'[1]VENTAS(RESUMEN GLOBAL)'!M459</f>
        <v>RIVULIS</v>
      </c>
      <c r="C459">
        <f>+'[1]VENTAS(RESUMEN GLOBAL)'!B459</f>
        <v>100600</v>
      </c>
      <c r="D459" t="str">
        <f>INDEX('[1]CÓDIGOS DE PRODUCTO'!$D$3:$D$1000,MATCH(C459,'[1]CÓDIGOS DE PRODUCTO'!$A$3:$A$1000,0))</f>
        <v>50202300 </v>
      </c>
      <c r="E459" t="str">
        <f>VLOOKUP(C459,'[1]CÓDIGOS DE PRODUCTO'!$A$4:$B$156,2,FALSE)</f>
        <v>Leche santa clara</v>
      </c>
      <c r="F459" t="str">
        <f>INDEX('[1]CÓDIGOS DE PRODUCTO'!$C$3:$C$1000,MATCH(C459,'[1]CÓDIGOS DE PRODUCTO'!$A$3:$A$1000,0))</f>
        <v>Bebidas</v>
      </c>
      <c r="G459">
        <f>+'[1]VENTAS(RESUMEN GLOBAL)'!D459-'[1]VENTAS(RESUMEN GLOBAL)'!E459</f>
        <v>7</v>
      </c>
      <c r="H459" s="9">
        <f>+'[1]VENTAS(RESUMEN GLOBAL)'!K459</f>
        <v>7</v>
      </c>
      <c r="I459" s="8">
        <f>+G459*'[1]VENTAS(RESUMEN GLOBAL)'!F459</f>
        <v>105</v>
      </c>
      <c r="J459" s="8">
        <f>'[1]VENTAS(RESUMEN GLOBAL)'!G459*(1-'[1]VENTAS(RESUMEN GLOBAL)'!H459)</f>
        <v>59.850000000000009</v>
      </c>
      <c r="K459" s="8">
        <f t="shared" si="7"/>
        <v>45.149999999999991</v>
      </c>
      <c r="L459" s="8">
        <f>+'[1]VENTAS(RESUMEN GLOBAL)'!J459</f>
        <v>6.45</v>
      </c>
      <c r="M459" s="8">
        <f>+Tabla1[[#This Row],[utilidad x dia]]*7</f>
        <v>45.15</v>
      </c>
    </row>
    <row r="460" spans="1:13" x14ac:dyDescent="0.3">
      <c r="A460" s="6">
        <f>+'[1]VENTAS(RESUMEN GLOBAL)'!L460</f>
        <v>46048</v>
      </c>
      <c r="B460" s="6" t="str">
        <f>+'[1]VENTAS(RESUMEN GLOBAL)'!M460</f>
        <v>RIVULIS</v>
      </c>
      <c r="C460">
        <f>+'[1]VENTAS(RESUMEN GLOBAL)'!B460</f>
        <v>800900</v>
      </c>
      <c r="D460" t="str">
        <f>INDEX('[1]CÓDIGOS DE PRODUCTO'!$D$3:$D$1000,MATCH(C460,'[1]CÓDIGOS DE PRODUCTO'!$A$3:$A$1000,0))</f>
        <v>50181900 </v>
      </c>
      <c r="E460" t="str">
        <f>VLOOKUP(C460,'[1]CÓDIGOS DE PRODUCTO'!$A$4:$B$156,2,FALSE)</f>
        <v>MANTECADAS</v>
      </c>
      <c r="F460" t="str">
        <f>INDEX('[1]CÓDIGOS DE PRODUCTO'!$C$3:$C$1000,MATCH(C460,'[1]CÓDIGOS DE PRODUCTO'!$A$3:$A$1000,0))</f>
        <v>GALLETAS Y PAN DULCE</v>
      </c>
      <c r="G460">
        <f>+'[1]VENTAS(RESUMEN GLOBAL)'!D460-'[1]VENTAS(RESUMEN GLOBAL)'!E460</f>
        <v>3</v>
      </c>
      <c r="H460" s="9">
        <f>+'[1]VENTAS(RESUMEN GLOBAL)'!K460</f>
        <v>3</v>
      </c>
      <c r="I460" s="8">
        <f>+G460*'[1]VENTAS(RESUMEN GLOBAL)'!F460</f>
        <v>60</v>
      </c>
      <c r="J460" s="8">
        <f>'[1]VENTAS(RESUMEN GLOBAL)'!G460*(1-'[1]VENTAS(RESUMEN GLOBAL)'!H460)</f>
        <v>29.4</v>
      </c>
      <c r="K460" s="8">
        <f t="shared" si="7"/>
        <v>30.6</v>
      </c>
      <c r="L460" s="8">
        <f>+'[1]VENTAS(RESUMEN GLOBAL)'!J460</f>
        <v>4.3714285714285719</v>
      </c>
      <c r="M460" s="8">
        <f>+Tabla1[[#This Row],[utilidad x dia]]*7</f>
        <v>30.6</v>
      </c>
    </row>
    <row r="461" spans="1:13" x14ac:dyDescent="0.3">
      <c r="A461" s="6">
        <f>+'[1]VENTAS(RESUMEN GLOBAL)'!L461</f>
        <v>46048</v>
      </c>
      <c r="B461" s="6" t="str">
        <f>+'[1]VENTAS(RESUMEN GLOBAL)'!M461</f>
        <v>RIVULIS</v>
      </c>
      <c r="C461">
        <f>+'[1]VENTAS(RESUMEN GLOBAL)'!B461</f>
        <v>300700</v>
      </c>
      <c r="D461" t="str">
        <f>INDEX('[1]CÓDIGOS DE PRODUCTO'!$D$3:$D$1000,MATCH(C461,'[1]CÓDIGOS DE PRODUCTO'!$A$3:$A$1000,0))</f>
        <v>50161800 </v>
      </c>
      <c r="E461" t="str">
        <f>VLOOKUP(C461,'[1]CÓDIGOS DE PRODUCTO'!$A$4:$B$156,2,FALSE)</f>
        <v>ZUMBA GOMA</v>
      </c>
      <c r="F461" t="str">
        <f>INDEX('[1]CÓDIGOS DE PRODUCTO'!$C$3:$C$1000,MATCH(C461,'[1]CÓDIGOS DE PRODUCTO'!$A$3:$A$1000,0))</f>
        <v>Snacks &amp; Dulces</v>
      </c>
      <c r="G461">
        <f>+'[1]VENTAS(RESUMEN GLOBAL)'!D461-'[1]VENTAS(RESUMEN GLOBAL)'!E461</f>
        <v>3</v>
      </c>
      <c r="H461" s="9">
        <f>+'[1]VENTAS(RESUMEN GLOBAL)'!K461</f>
        <v>3</v>
      </c>
      <c r="I461" s="8">
        <f>+G461*'[1]VENTAS(RESUMEN GLOBAL)'!F461</f>
        <v>30</v>
      </c>
      <c r="J461" s="8">
        <f>'[1]VENTAS(RESUMEN GLOBAL)'!G461*(1-'[1]VENTAS(RESUMEN GLOBAL)'!H461)</f>
        <v>8.7000000000000011</v>
      </c>
      <c r="K461" s="8">
        <f t="shared" si="7"/>
        <v>21.299999999999997</v>
      </c>
      <c r="L461" s="8">
        <f>+'[1]VENTAS(RESUMEN GLOBAL)'!J461</f>
        <v>3.0428571428571423</v>
      </c>
      <c r="M461" s="8">
        <f>+Tabla1[[#This Row],[utilidad x dia]]*7</f>
        <v>21.299999999999997</v>
      </c>
    </row>
    <row r="462" spans="1:13" x14ac:dyDescent="0.3">
      <c r="A462" s="6">
        <f>+'[1]VENTAS(RESUMEN GLOBAL)'!L462</f>
        <v>46048</v>
      </c>
      <c r="B462" s="6" t="str">
        <f>+'[1]VENTAS(RESUMEN GLOBAL)'!M462</f>
        <v>RIVULIS</v>
      </c>
      <c r="C462">
        <f>+'[1]VENTAS(RESUMEN GLOBAL)'!B462</f>
        <v>300200</v>
      </c>
      <c r="D462" t="str">
        <f>INDEX('[1]CÓDIGOS DE PRODUCTO'!$D$3:$D$1000,MATCH(C462,'[1]CÓDIGOS DE PRODUCTO'!$A$3:$A$1000,0))</f>
        <v>50161800 </v>
      </c>
      <c r="E462" t="str">
        <f>VLOOKUP(C462,'[1]CÓDIGOS DE PRODUCTO'!$A$4:$B$156,2,FALSE)</f>
        <v>SKWINKLES</v>
      </c>
      <c r="F462" t="str">
        <f>INDEX('[1]CÓDIGOS DE PRODUCTO'!$C$3:$C$1000,MATCH(C462,'[1]CÓDIGOS DE PRODUCTO'!$A$3:$A$1000,0))</f>
        <v>Snacks &amp; Dulces</v>
      </c>
      <c r="G462">
        <f>+'[1]VENTAS(RESUMEN GLOBAL)'!D462-'[1]VENTAS(RESUMEN GLOBAL)'!E462</f>
        <v>0</v>
      </c>
      <c r="H462" s="9">
        <f>+'[1]VENTAS(RESUMEN GLOBAL)'!K462</f>
        <v>0</v>
      </c>
      <c r="I462" s="8">
        <f>+G462*'[1]VENTAS(RESUMEN GLOBAL)'!F462</f>
        <v>0</v>
      </c>
      <c r="J462" s="8">
        <f>'[1]VENTAS(RESUMEN GLOBAL)'!G462*(1-'[1]VENTAS(RESUMEN GLOBAL)'!H462)</f>
        <v>0</v>
      </c>
      <c r="K462" s="8">
        <f t="shared" si="7"/>
        <v>0</v>
      </c>
      <c r="L462" s="8">
        <f>+'[1]VENTAS(RESUMEN GLOBAL)'!J462</f>
        <v>0</v>
      </c>
      <c r="M462" s="8">
        <f>+Tabla1[[#This Row],[utilidad x dia]]*7</f>
        <v>0</v>
      </c>
    </row>
    <row r="463" spans="1:13" x14ac:dyDescent="0.3">
      <c r="A463" s="6">
        <f>+'[1]VENTAS(RESUMEN GLOBAL)'!L463</f>
        <v>46048</v>
      </c>
      <c r="B463" s="6" t="str">
        <f>+'[1]VENTAS(RESUMEN GLOBAL)'!M463</f>
        <v>RIVULIS</v>
      </c>
      <c r="C463">
        <f>+'[1]VENTAS(RESUMEN GLOBAL)'!B463</f>
        <v>300100</v>
      </c>
      <c r="D463" t="str">
        <f>INDEX('[1]CÓDIGOS DE PRODUCTO'!$D$3:$D$1000,MATCH(C463,'[1]CÓDIGOS DE PRODUCTO'!$A$3:$A$1000,0))</f>
        <v>50161800 </v>
      </c>
      <c r="E463" t="str">
        <f>VLOOKUP(C463,'[1]CÓDIGOS DE PRODUCTO'!$A$4:$B$156,2,FALSE)</f>
        <v>Pelonetes</v>
      </c>
      <c r="F463" t="str">
        <f>INDEX('[1]CÓDIGOS DE PRODUCTO'!$C$3:$C$1000,MATCH(C463,'[1]CÓDIGOS DE PRODUCTO'!$A$3:$A$1000,0))</f>
        <v>Snacks &amp; Dulces</v>
      </c>
      <c r="G463">
        <f>+'[1]VENTAS(RESUMEN GLOBAL)'!D463-'[1]VENTAS(RESUMEN GLOBAL)'!E463</f>
        <v>3</v>
      </c>
      <c r="H463" s="9">
        <f>+'[1]VENTAS(RESUMEN GLOBAL)'!K463</f>
        <v>3</v>
      </c>
      <c r="I463" s="8">
        <f>+G463*'[1]VENTAS(RESUMEN GLOBAL)'!F463</f>
        <v>45</v>
      </c>
      <c r="J463" s="8">
        <f>'[1]VENTAS(RESUMEN GLOBAL)'!G463*(1-'[1]VENTAS(RESUMEN GLOBAL)'!H463)</f>
        <v>19.350000000000001</v>
      </c>
      <c r="K463" s="8">
        <f t="shared" si="7"/>
        <v>25.65</v>
      </c>
      <c r="L463" s="8">
        <f>+'[1]VENTAS(RESUMEN GLOBAL)'!J463</f>
        <v>3.6642857142857141</v>
      </c>
      <c r="M463" s="8">
        <f>+Tabla1[[#This Row],[utilidad x dia]]*7</f>
        <v>25.65</v>
      </c>
    </row>
    <row r="464" spans="1:13" x14ac:dyDescent="0.3">
      <c r="A464" s="6">
        <f>+'[1]VENTAS(RESUMEN GLOBAL)'!L464</f>
        <v>46048</v>
      </c>
      <c r="B464" s="6" t="str">
        <f>+'[1]VENTAS(RESUMEN GLOBAL)'!M464</f>
        <v>RIVULIS</v>
      </c>
      <c r="C464">
        <f>+'[1]VENTAS(RESUMEN GLOBAL)'!B464</f>
        <v>900300</v>
      </c>
      <c r="D464">
        <f>INDEX('[1]CÓDIGOS DE PRODUCTO'!$D$3:$D$1000,MATCH(C464,'[1]CÓDIGOS DE PRODUCTO'!$A$3:$A$1000,0))</f>
        <v>50161815</v>
      </c>
      <c r="E464" t="str">
        <f>VLOOKUP(C464,'[1]CÓDIGOS DE PRODUCTO'!$A$4:$B$156,2,FALSE)</f>
        <v>CHICLES TRIDENT</v>
      </c>
      <c r="F464" t="str">
        <f>INDEX('[1]CÓDIGOS DE PRODUCTO'!$C$3:$C$1000,MATCH(C464,'[1]CÓDIGOS DE PRODUCTO'!$A$3:$A$1000,0))</f>
        <v>OTROS</v>
      </c>
      <c r="G464">
        <f>+'[1]VENTAS(RESUMEN GLOBAL)'!D464-'[1]VENTAS(RESUMEN GLOBAL)'!E464</f>
        <v>6</v>
      </c>
      <c r="H464" s="9">
        <f>+'[1]VENTAS(RESUMEN GLOBAL)'!K464</f>
        <v>6</v>
      </c>
      <c r="I464" s="8">
        <f>+G464*'[1]VENTAS(RESUMEN GLOBAL)'!F464</f>
        <v>150</v>
      </c>
      <c r="J464" s="8">
        <f>'[1]VENTAS(RESUMEN GLOBAL)'!G464*(1-'[1]VENTAS(RESUMEN GLOBAL)'!H464)</f>
        <v>90</v>
      </c>
      <c r="K464" s="8">
        <f t="shared" si="7"/>
        <v>60</v>
      </c>
      <c r="L464" s="8">
        <f>+'[1]VENTAS(RESUMEN GLOBAL)'!J464</f>
        <v>8.5714285714285712</v>
      </c>
      <c r="M464" s="8">
        <f>+Tabla1[[#This Row],[utilidad x dia]]*7</f>
        <v>60</v>
      </c>
    </row>
    <row r="465" spans="1:13" x14ac:dyDescent="0.3">
      <c r="A465" s="6">
        <f>+'[1]VENTAS(RESUMEN GLOBAL)'!L465</f>
        <v>46048</v>
      </c>
      <c r="B465" s="6" t="str">
        <f>+'[1]VENTAS(RESUMEN GLOBAL)'!M465</f>
        <v>RIVULIS</v>
      </c>
      <c r="C465">
        <f>+'[1]VENTAS(RESUMEN GLOBAL)'!B465</f>
        <v>300400</v>
      </c>
      <c r="D465" t="str">
        <f>INDEX('[1]CÓDIGOS DE PRODUCTO'!$D$3:$D$1000,MATCH(C465,'[1]CÓDIGOS DE PRODUCTO'!$A$3:$A$1000,0))</f>
        <v>50161800 </v>
      </c>
      <c r="E465" t="str">
        <f>VLOOKUP(C465,'[1]CÓDIGOS DE PRODUCTO'!$A$4:$B$156,2,FALSE)</f>
        <v>Welchs GOMITAS</v>
      </c>
      <c r="F465" t="str">
        <f>INDEX('[1]CÓDIGOS DE PRODUCTO'!$C$3:$C$1000,MATCH(C465,'[1]CÓDIGOS DE PRODUCTO'!$A$3:$A$1000,0))</f>
        <v>Snacks &amp; Dulces</v>
      </c>
      <c r="G465">
        <f>+'[1]VENTAS(RESUMEN GLOBAL)'!D465-'[1]VENTAS(RESUMEN GLOBAL)'!E465</f>
        <v>2</v>
      </c>
      <c r="H465" s="9">
        <f>+'[1]VENTAS(RESUMEN GLOBAL)'!K465</f>
        <v>2</v>
      </c>
      <c r="I465" s="8">
        <f>+G465*'[1]VENTAS(RESUMEN GLOBAL)'!F465</f>
        <v>20</v>
      </c>
      <c r="J465" s="8">
        <f>'[1]VENTAS(RESUMEN GLOBAL)'!G465*(1-'[1]VENTAS(RESUMEN GLOBAL)'!H465)</f>
        <v>12</v>
      </c>
      <c r="K465" s="8">
        <f t="shared" si="7"/>
        <v>8</v>
      </c>
      <c r="L465" s="8">
        <f>+'[1]VENTAS(RESUMEN GLOBAL)'!J465</f>
        <v>1.1428571428571428</v>
      </c>
      <c r="M465" s="8">
        <f>+Tabla1[[#This Row],[utilidad x dia]]*7</f>
        <v>8</v>
      </c>
    </row>
    <row r="466" spans="1:13" x14ac:dyDescent="0.3">
      <c r="A466" s="6">
        <f>+'[1]VENTAS(RESUMEN GLOBAL)'!L466</f>
        <v>46048</v>
      </c>
      <c r="B466" s="6" t="str">
        <f>+'[1]VENTAS(RESUMEN GLOBAL)'!M466</f>
        <v>RIVULIS</v>
      </c>
      <c r="C466">
        <f>+'[1]VENTAS(RESUMEN GLOBAL)'!B466</f>
        <v>700500</v>
      </c>
      <c r="D466" t="str">
        <f>INDEX('[1]CÓDIGOS DE PRODUCTO'!$D$3:$D$1000,MATCH(C466,'[1]CÓDIGOS DE PRODUCTO'!$A$3:$A$1000,0))</f>
        <v>50161511 </v>
      </c>
      <c r="E466" t="str">
        <f>VLOOKUP(C466,'[1]CÓDIGOS DE PRODUCTO'!$A$4:$B$156,2,FALSE)</f>
        <v>HERSHEYS BLANCO</v>
      </c>
      <c r="F466" t="str">
        <f>INDEX('[1]CÓDIGOS DE PRODUCTO'!$C$3:$C$1000,MATCH(C466,'[1]CÓDIGOS DE PRODUCTO'!$A$3:$A$1000,0))</f>
        <v>CHOCOLATES</v>
      </c>
      <c r="G466">
        <f>+'[1]VENTAS(RESUMEN GLOBAL)'!D466-'[1]VENTAS(RESUMEN GLOBAL)'!E466</f>
        <v>8</v>
      </c>
      <c r="H466" s="9">
        <f>+'[1]VENTAS(RESUMEN GLOBAL)'!K466</f>
        <v>8</v>
      </c>
      <c r="I466" s="8">
        <f>+G466*'[1]VENTAS(RESUMEN GLOBAL)'!F466</f>
        <v>120</v>
      </c>
      <c r="J466" s="8">
        <f>'[1]VENTAS(RESUMEN GLOBAL)'!G466*(1-'[1]VENTAS(RESUMEN GLOBAL)'!H466)</f>
        <v>51.600000000000009</v>
      </c>
      <c r="K466" s="8">
        <f t="shared" si="7"/>
        <v>68.399999999999991</v>
      </c>
      <c r="L466" s="8">
        <f>+'[1]VENTAS(RESUMEN GLOBAL)'!J466</f>
        <v>9.7714285714285705</v>
      </c>
      <c r="M466" s="8">
        <f>+Tabla1[[#This Row],[utilidad x dia]]*7</f>
        <v>68.399999999999991</v>
      </c>
    </row>
    <row r="467" spans="1:13" x14ac:dyDescent="0.3">
      <c r="A467" s="6">
        <f>+'[1]VENTAS(RESUMEN GLOBAL)'!L467</f>
        <v>46048</v>
      </c>
      <c r="B467" s="6" t="str">
        <f>+'[1]VENTAS(RESUMEN GLOBAL)'!M467</f>
        <v>RIVULIS</v>
      </c>
      <c r="C467">
        <f>+'[1]VENTAS(RESUMEN GLOBAL)'!B467</f>
        <v>700400</v>
      </c>
      <c r="D467" t="str">
        <f>INDEX('[1]CÓDIGOS DE PRODUCTO'!$D$3:$D$1000,MATCH(C467,'[1]CÓDIGOS DE PRODUCTO'!$A$3:$A$1000,0))</f>
        <v>50161511 </v>
      </c>
      <c r="E467" t="str">
        <f>VLOOKUP(C467,'[1]CÓDIGOS DE PRODUCTO'!$A$4:$B$156,2,FALSE)</f>
        <v>KIT KAT</v>
      </c>
      <c r="F467" t="str">
        <f>INDEX('[1]CÓDIGOS DE PRODUCTO'!$C$3:$C$1000,MATCH(C467,'[1]CÓDIGOS DE PRODUCTO'!$A$3:$A$1000,0))</f>
        <v>CHOCOLATES</v>
      </c>
      <c r="G467">
        <f>+'[1]VENTAS(RESUMEN GLOBAL)'!D467-'[1]VENTAS(RESUMEN GLOBAL)'!E467</f>
        <v>2</v>
      </c>
      <c r="H467" s="9">
        <f>+'[1]VENTAS(RESUMEN GLOBAL)'!K467</f>
        <v>2</v>
      </c>
      <c r="I467" s="8">
        <f>+G467*'[1]VENTAS(RESUMEN GLOBAL)'!F467</f>
        <v>50</v>
      </c>
      <c r="J467" s="8">
        <f>'[1]VENTAS(RESUMEN GLOBAL)'!G467*(1-'[1]VENTAS(RESUMEN GLOBAL)'!H467)</f>
        <v>26</v>
      </c>
      <c r="K467" s="8">
        <f t="shared" si="7"/>
        <v>24</v>
      </c>
      <c r="L467" s="8">
        <f>+'[1]VENTAS(RESUMEN GLOBAL)'!J467</f>
        <v>3.4285714285714284</v>
      </c>
      <c r="M467" s="8">
        <f>+Tabla1[[#This Row],[utilidad x dia]]*7</f>
        <v>24</v>
      </c>
    </row>
    <row r="468" spans="1:13" x14ac:dyDescent="0.3">
      <c r="A468" s="6">
        <f>+'[1]VENTAS(RESUMEN GLOBAL)'!L468</f>
        <v>46048</v>
      </c>
      <c r="B468" s="6" t="str">
        <f>+'[1]VENTAS(RESUMEN GLOBAL)'!M468</f>
        <v>RIVULIS</v>
      </c>
      <c r="C468">
        <f>+'[1]VENTAS(RESUMEN GLOBAL)'!B468</f>
        <v>700800</v>
      </c>
      <c r="D468" t="str">
        <f>INDEX('[1]CÓDIGOS DE PRODUCTO'!$D$3:$D$1000,MATCH(C468,'[1]CÓDIGOS DE PRODUCTO'!$A$3:$A$1000,0))</f>
        <v>50161511 </v>
      </c>
      <c r="E468" t="str">
        <f>VLOOKUP(C468,'[1]CÓDIGOS DE PRODUCTO'!$A$4:$B$156,2,FALSE)</f>
        <v>Kinder delice</v>
      </c>
      <c r="F468" t="str">
        <f>INDEX('[1]CÓDIGOS DE PRODUCTO'!$C$3:$C$1000,MATCH(C468,'[1]CÓDIGOS DE PRODUCTO'!$A$3:$A$1000,0))</f>
        <v>CHOCOLATES</v>
      </c>
      <c r="G468">
        <f>+'[1]VENTAS(RESUMEN GLOBAL)'!D468-'[1]VENTAS(RESUMEN GLOBAL)'!E468</f>
        <v>7</v>
      </c>
      <c r="H468" s="9">
        <f>+'[1]VENTAS(RESUMEN GLOBAL)'!K468</f>
        <v>7</v>
      </c>
      <c r="I468" s="8">
        <f>+G468*'[1]VENTAS(RESUMEN GLOBAL)'!F468</f>
        <v>140</v>
      </c>
      <c r="J468" s="8">
        <f>'[1]VENTAS(RESUMEN GLOBAL)'!G468*(1-'[1]VENTAS(RESUMEN GLOBAL)'!H468)</f>
        <v>86.8</v>
      </c>
      <c r="K468" s="8">
        <f t="shared" si="7"/>
        <v>53.2</v>
      </c>
      <c r="L468" s="8">
        <f>+'[1]VENTAS(RESUMEN GLOBAL)'!J468</f>
        <v>7.6000000000000005</v>
      </c>
      <c r="M468" s="8">
        <f>+Tabla1[[#This Row],[utilidad x dia]]*7</f>
        <v>53.2</v>
      </c>
    </row>
    <row r="469" spans="1:13" x14ac:dyDescent="0.3">
      <c r="A469" s="6">
        <f>+'[1]VENTAS(RESUMEN GLOBAL)'!L469</f>
        <v>46048</v>
      </c>
      <c r="B469" s="6" t="str">
        <f>+'[1]VENTAS(RESUMEN GLOBAL)'!M469</f>
        <v>RIVULIS</v>
      </c>
      <c r="C469">
        <f>+'[1]VENTAS(RESUMEN GLOBAL)'!B469</f>
        <v>700700</v>
      </c>
      <c r="D469" t="str">
        <f>INDEX('[1]CÓDIGOS DE PRODUCTO'!$D$3:$D$1000,MATCH(C469,'[1]CÓDIGOS DE PRODUCTO'!$A$3:$A$1000,0))</f>
        <v>50161511 </v>
      </c>
      <c r="E469" t="str">
        <f>VLOOKUP(C469,'[1]CÓDIGOS DE PRODUCTO'!$A$4:$B$156,2,FALSE)</f>
        <v>Milkiway</v>
      </c>
      <c r="F469" t="str">
        <f>INDEX('[1]CÓDIGOS DE PRODUCTO'!$C$3:$C$1000,MATCH(C469,'[1]CÓDIGOS DE PRODUCTO'!$A$3:$A$1000,0))</f>
        <v>CHOCOLATES</v>
      </c>
      <c r="G469">
        <f>+'[1]VENTAS(RESUMEN GLOBAL)'!D469-'[1]VENTAS(RESUMEN GLOBAL)'!E469</f>
        <v>0</v>
      </c>
      <c r="H469" s="9">
        <f>+'[1]VENTAS(RESUMEN GLOBAL)'!K469</f>
        <v>0</v>
      </c>
      <c r="I469" s="8">
        <f>+G469*'[1]VENTAS(RESUMEN GLOBAL)'!F469</f>
        <v>0</v>
      </c>
      <c r="J469" s="8">
        <f>'[1]VENTAS(RESUMEN GLOBAL)'!G469*(1-'[1]VENTAS(RESUMEN GLOBAL)'!H469)</f>
        <v>0</v>
      </c>
      <c r="K469" s="8">
        <f t="shared" si="7"/>
        <v>0</v>
      </c>
      <c r="L469" s="8">
        <f>+'[1]VENTAS(RESUMEN GLOBAL)'!J469</f>
        <v>0</v>
      </c>
      <c r="M469" s="8">
        <f>+Tabla1[[#This Row],[utilidad x dia]]*7</f>
        <v>0</v>
      </c>
    </row>
    <row r="470" spans="1:13" x14ac:dyDescent="0.3">
      <c r="A470" s="6">
        <f>+'[1]VENTAS(RESUMEN GLOBAL)'!L470</f>
        <v>46048</v>
      </c>
      <c r="B470" s="6" t="str">
        <f>+'[1]VENTAS(RESUMEN GLOBAL)'!M470</f>
        <v>RIVULIS</v>
      </c>
      <c r="C470">
        <f>+'[1]VENTAS(RESUMEN GLOBAL)'!B470</f>
        <v>700200</v>
      </c>
      <c r="D470" t="str">
        <f>INDEX('[1]CÓDIGOS DE PRODUCTO'!$D$3:$D$1000,MATCH(C470,'[1]CÓDIGOS DE PRODUCTO'!$A$3:$A$1000,0))</f>
        <v>50161511 </v>
      </c>
      <c r="E470" t="str">
        <f>VLOOKUP(C470,'[1]CÓDIGOS DE PRODUCTO'!$A$4:$B$156,2,FALSE)</f>
        <v>Snickers</v>
      </c>
      <c r="F470" t="str">
        <f>INDEX('[1]CÓDIGOS DE PRODUCTO'!$C$3:$C$1000,MATCH(C470,'[1]CÓDIGOS DE PRODUCTO'!$A$3:$A$1000,0))</f>
        <v>CHOCOLATES</v>
      </c>
      <c r="G470">
        <f>+'[1]VENTAS(RESUMEN GLOBAL)'!D470-'[1]VENTAS(RESUMEN GLOBAL)'!E470</f>
        <v>0</v>
      </c>
      <c r="H470" s="9">
        <f>+'[1]VENTAS(RESUMEN GLOBAL)'!K470</f>
        <v>0</v>
      </c>
      <c r="I470" s="8">
        <f>+G470*'[1]VENTAS(RESUMEN GLOBAL)'!F470</f>
        <v>0</v>
      </c>
      <c r="J470" s="8">
        <f>'[1]VENTAS(RESUMEN GLOBAL)'!G470*(1-'[1]VENTAS(RESUMEN GLOBAL)'!H470)</f>
        <v>0</v>
      </c>
      <c r="K470" s="8">
        <f t="shared" si="7"/>
        <v>0</v>
      </c>
      <c r="L470" s="8">
        <f>+'[1]VENTAS(RESUMEN GLOBAL)'!J470</f>
        <v>0</v>
      </c>
      <c r="M470" s="8">
        <f>+Tabla1[[#This Row],[utilidad x dia]]*7</f>
        <v>0</v>
      </c>
    </row>
    <row r="471" spans="1:13" x14ac:dyDescent="0.3">
      <c r="A471" s="6">
        <f>+'[1]VENTAS(RESUMEN GLOBAL)'!L471</f>
        <v>46048</v>
      </c>
      <c r="B471" s="6" t="str">
        <f>+'[1]VENTAS(RESUMEN GLOBAL)'!M471</f>
        <v>RIVULIS</v>
      </c>
      <c r="C471">
        <f>+'[1]VENTAS(RESUMEN GLOBAL)'!B471</f>
        <v>800500</v>
      </c>
      <c r="D471" t="str">
        <f>INDEX('[1]CÓDIGOS DE PRODUCTO'!$D$3:$D$1000,MATCH(C471,'[1]CÓDIGOS DE PRODUCTO'!$A$3:$A$1000,0))</f>
        <v>50181900 </v>
      </c>
      <c r="E471" t="str">
        <f>VLOOKUP(C471,'[1]CÓDIGOS DE PRODUCTO'!$A$4:$B$156,2,FALSE)</f>
        <v>RICE KRISPIES</v>
      </c>
      <c r="F471" t="str">
        <f>INDEX('[1]CÓDIGOS DE PRODUCTO'!$C$3:$C$1000,MATCH(C471,'[1]CÓDIGOS DE PRODUCTO'!$A$3:$A$1000,0))</f>
        <v>GALLETAS Y PAN DULCE</v>
      </c>
      <c r="G471">
        <f>+'[1]VENTAS(RESUMEN GLOBAL)'!D471-'[1]VENTAS(RESUMEN GLOBAL)'!E471</f>
        <v>1</v>
      </c>
      <c r="H471" s="9">
        <f>+'[1]VENTAS(RESUMEN GLOBAL)'!K471</f>
        <v>1</v>
      </c>
      <c r="I471" s="8">
        <f>+G471*'[1]VENTAS(RESUMEN GLOBAL)'!F471</f>
        <v>10</v>
      </c>
      <c r="J471" s="8">
        <f>'[1]VENTAS(RESUMEN GLOBAL)'!G471*(1-'[1]VENTAS(RESUMEN GLOBAL)'!H471)</f>
        <v>3.0000000000000004</v>
      </c>
      <c r="K471" s="8">
        <f t="shared" si="7"/>
        <v>7</v>
      </c>
      <c r="L471" s="8">
        <f>+'[1]VENTAS(RESUMEN GLOBAL)'!J471</f>
        <v>1</v>
      </c>
      <c r="M471" s="8">
        <f>+Tabla1[[#This Row],[utilidad x dia]]*7</f>
        <v>7</v>
      </c>
    </row>
    <row r="472" spans="1:13" x14ac:dyDescent="0.3">
      <c r="A472" s="6">
        <f>+'[1]VENTAS(RESUMEN GLOBAL)'!L472</f>
        <v>46048</v>
      </c>
      <c r="B472" s="6" t="str">
        <f>+'[1]VENTAS(RESUMEN GLOBAL)'!M472</f>
        <v>RIVULIS</v>
      </c>
      <c r="C472">
        <f>+'[1]VENTAS(RESUMEN GLOBAL)'!B472</f>
        <v>800700</v>
      </c>
      <c r="D472" t="str">
        <f>INDEX('[1]CÓDIGOS DE PRODUCTO'!$D$3:$D$1000,MATCH(C472,'[1]CÓDIGOS DE PRODUCTO'!$A$3:$A$1000,0))</f>
        <v>50181900 </v>
      </c>
      <c r="E472" t="str">
        <f>VLOOKUP(C472,'[1]CÓDIGOS DE PRODUCTO'!$A$4:$B$156,2,FALSE)</f>
        <v>BARRITAS PIÑA</v>
      </c>
      <c r="F472" t="str">
        <f>INDEX('[1]CÓDIGOS DE PRODUCTO'!$C$3:$C$1000,MATCH(C472,'[1]CÓDIGOS DE PRODUCTO'!$A$3:$A$1000,0))</f>
        <v>GALLETAS Y PAN DULCE</v>
      </c>
      <c r="G472">
        <f>+'[1]VENTAS(RESUMEN GLOBAL)'!D472-'[1]VENTAS(RESUMEN GLOBAL)'!E472</f>
        <v>0</v>
      </c>
      <c r="H472" s="9">
        <f>+'[1]VENTAS(RESUMEN GLOBAL)'!K472</f>
        <v>0</v>
      </c>
      <c r="I472" s="8">
        <f>+G472*'[1]VENTAS(RESUMEN GLOBAL)'!F472</f>
        <v>0</v>
      </c>
      <c r="J472" s="8">
        <f>'[1]VENTAS(RESUMEN GLOBAL)'!G472*(1-'[1]VENTAS(RESUMEN GLOBAL)'!H472)</f>
        <v>0</v>
      </c>
      <c r="K472" s="8">
        <f t="shared" si="7"/>
        <v>0</v>
      </c>
      <c r="L472" s="8">
        <f>+'[1]VENTAS(RESUMEN GLOBAL)'!J472</f>
        <v>0</v>
      </c>
      <c r="M472" s="8">
        <f>+Tabla1[[#This Row],[utilidad x dia]]*7</f>
        <v>0</v>
      </c>
    </row>
    <row r="473" spans="1:13" x14ac:dyDescent="0.3">
      <c r="A473" s="6">
        <f>+'[1]VENTAS(RESUMEN GLOBAL)'!L473</f>
        <v>46048</v>
      </c>
      <c r="B473" s="6" t="str">
        <f>+'[1]VENTAS(RESUMEN GLOBAL)'!M473</f>
        <v>RIVULIS</v>
      </c>
      <c r="C473">
        <f>+'[1]VENTAS(RESUMEN GLOBAL)'!B473</f>
        <v>800400</v>
      </c>
      <c r="D473" t="str">
        <f>INDEX('[1]CÓDIGOS DE PRODUCTO'!$D$3:$D$1000,MATCH(C473,'[1]CÓDIGOS DE PRODUCTO'!$A$3:$A$1000,0))</f>
        <v>50181900 </v>
      </c>
      <c r="E473" t="str">
        <f>VLOOKUP(C473,'[1]CÓDIGOS DE PRODUCTO'!$A$4:$B$156,2,FALSE)</f>
        <v>Barritas FRESA</v>
      </c>
      <c r="F473" t="str">
        <f>INDEX('[1]CÓDIGOS DE PRODUCTO'!$C$3:$C$1000,MATCH(C473,'[1]CÓDIGOS DE PRODUCTO'!$A$3:$A$1000,0))</f>
        <v>GALLETAS Y PAN DULCE</v>
      </c>
      <c r="G473">
        <f>+'[1]VENTAS(RESUMEN GLOBAL)'!D473-'[1]VENTAS(RESUMEN GLOBAL)'!E473</f>
        <v>4</v>
      </c>
      <c r="H473" s="9">
        <f>+'[1]VENTAS(RESUMEN GLOBAL)'!K473</f>
        <v>4</v>
      </c>
      <c r="I473" s="8">
        <f>+G473*'[1]VENTAS(RESUMEN GLOBAL)'!F473</f>
        <v>80</v>
      </c>
      <c r="J473" s="8">
        <f>'[1]VENTAS(RESUMEN GLOBAL)'!G473*(1-'[1]VENTAS(RESUMEN GLOBAL)'!H473)</f>
        <v>36</v>
      </c>
      <c r="K473" s="8">
        <f t="shared" si="7"/>
        <v>44</v>
      </c>
      <c r="L473" s="8">
        <f>+'[1]VENTAS(RESUMEN GLOBAL)'!J473</f>
        <v>6.2857142857142856</v>
      </c>
      <c r="M473" s="8">
        <f>+Tabla1[[#This Row],[utilidad x dia]]*7</f>
        <v>44</v>
      </c>
    </row>
    <row r="474" spans="1:13" x14ac:dyDescent="0.3">
      <c r="A474" s="6">
        <f>+'[1]VENTAS(RESUMEN GLOBAL)'!L474</f>
        <v>46048</v>
      </c>
      <c r="B474" s="6" t="str">
        <f>+'[1]VENTAS(RESUMEN GLOBAL)'!M474</f>
        <v>RIVULIS</v>
      </c>
      <c r="C474">
        <f>+'[1]VENTAS(RESUMEN GLOBAL)'!B474</f>
        <v>800601</v>
      </c>
      <c r="D474" t="str">
        <f>INDEX('[1]CÓDIGOS DE PRODUCTO'!$D$3:$D$1000,MATCH(C474,'[1]CÓDIGOS DE PRODUCTO'!$A$3:$A$1000,0))</f>
        <v>50181900 </v>
      </c>
      <c r="E474" t="str">
        <f>VLOOKUP(C474,'[1]CÓDIGOS DE PRODUCTO'!$A$4:$B$156,2,FALSE)</f>
        <v>CREMAX AZULES</v>
      </c>
      <c r="F474" t="str">
        <f>INDEX('[1]CÓDIGOS DE PRODUCTO'!$C$3:$C$1000,MATCH(C474,'[1]CÓDIGOS DE PRODUCTO'!$A$3:$A$1000,0))</f>
        <v>GALLETAS Y PAN DULCE</v>
      </c>
      <c r="G474">
        <f>+'[1]VENTAS(RESUMEN GLOBAL)'!D474-'[1]VENTAS(RESUMEN GLOBAL)'!E474</f>
        <v>3</v>
      </c>
      <c r="H474" s="9">
        <f>+'[1]VENTAS(RESUMEN GLOBAL)'!K474</f>
        <v>3</v>
      </c>
      <c r="I474" s="8">
        <f>+G474*'[1]VENTAS(RESUMEN GLOBAL)'!F474</f>
        <v>45</v>
      </c>
      <c r="J474" s="8">
        <f>'[1]VENTAS(RESUMEN GLOBAL)'!G474*(1-'[1]VENTAS(RESUMEN GLOBAL)'!H474)</f>
        <v>20.249999999999996</v>
      </c>
      <c r="K474" s="8">
        <f t="shared" si="7"/>
        <v>24.750000000000004</v>
      </c>
      <c r="L474" s="8">
        <f>+'[1]VENTAS(RESUMEN GLOBAL)'!J474</f>
        <v>3.535714285714286</v>
      </c>
      <c r="M474" s="8">
        <f>+Tabla1[[#This Row],[utilidad x dia]]*7</f>
        <v>24.750000000000004</v>
      </c>
    </row>
    <row r="475" spans="1:13" x14ac:dyDescent="0.3">
      <c r="A475" s="6">
        <f>+'[1]VENTAS(RESUMEN GLOBAL)'!L475</f>
        <v>46048</v>
      </c>
      <c r="B475" s="6" t="str">
        <f>+'[1]VENTAS(RESUMEN GLOBAL)'!M475</f>
        <v>RIVULIS</v>
      </c>
      <c r="C475">
        <f>+'[1]VENTAS(RESUMEN GLOBAL)'!B475</f>
        <v>800600</v>
      </c>
      <c r="D475" t="str">
        <f>INDEX('[1]CÓDIGOS DE PRODUCTO'!$D$3:$D$1000,MATCH(C475,'[1]CÓDIGOS DE PRODUCTO'!$A$3:$A$1000,0))</f>
        <v>50181900 </v>
      </c>
      <c r="E475" t="str">
        <f>VLOOKUP(C475,'[1]CÓDIGOS DE PRODUCTO'!$A$4:$B$156,2,FALSE)</f>
        <v>CREMAX</v>
      </c>
      <c r="F475" t="str">
        <f>INDEX('[1]CÓDIGOS DE PRODUCTO'!$C$3:$C$1000,MATCH(C475,'[1]CÓDIGOS DE PRODUCTO'!$A$3:$A$1000,0))</f>
        <v>GALLETAS Y PAN DULCE</v>
      </c>
      <c r="G475">
        <f>+'[1]VENTAS(RESUMEN GLOBAL)'!D475-'[1]VENTAS(RESUMEN GLOBAL)'!E475</f>
        <v>9</v>
      </c>
      <c r="H475" s="9">
        <f>+'[1]VENTAS(RESUMEN GLOBAL)'!K475</f>
        <v>9</v>
      </c>
      <c r="I475" s="8">
        <f>+G475*'[1]VENTAS(RESUMEN GLOBAL)'!F475</f>
        <v>135</v>
      </c>
      <c r="J475" s="8">
        <f>'[1]VENTAS(RESUMEN GLOBAL)'!G475*(1-'[1]VENTAS(RESUMEN GLOBAL)'!H475)</f>
        <v>60.749999999999993</v>
      </c>
      <c r="K475" s="8">
        <f t="shared" si="7"/>
        <v>74.25</v>
      </c>
      <c r="L475" s="8">
        <f>+'[1]VENTAS(RESUMEN GLOBAL)'!J475</f>
        <v>10.607142857142858</v>
      </c>
      <c r="M475" s="8">
        <f>+Tabla1[[#This Row],[utilidad x dia]]*7</f>
        <v>74.25</v>
      </c>
    </row>
    <row r="476" spans="1:13" x14ac:dyDescent="0.3">
      <c r="A476" s="6">
        <f>+'[1]VENTAS(RESUMEN GLOBAL)'!L476</f>
        <v>46048</v>
      </c>
      <c r="B476" s="6" t="str">
        <f>+'[1]VENTAS(RESUMEN GLOBAL)'!M476</f>
        <v>RIVULIS</v>
      </c>
      <c r="C476">
        <f>+'[1]VENTAS(RESUMEN GLOBAL)'!B476</f>
        <v>800800</v>
      </c>
      <c r="D476" t="str">
        <f>INDEX('[1]CÓDIGOS DE PRODUCTO'!$D$3:$D$1000,MATCH(C476,'[1]CÓDIGOS DE PRODUCTO'!$A$3:$A$1000,0))</f>
        <v>50181900 </v>
      </c>
      <c r="E476" t="str">
        <f>VLOOKUP(C476,'[1]CÓDIGOS DE PRODUCTO'!$A$4:$B$156,2,FALSE)</f>
        <v>DORADITAS</v>
      </c>
      <c r="F476" t="str">
        <f>INDEX('[1]CÓDIGOS DE PRODUCTO'!$C$3:$C$1000,MATCH(C476,'[1]CÓDIGOS DE PRODUCTO'!$A$3:$A$1000,0))</f>
        <v>GALLETAS Y PAN DULCE</v>
      </c>
      <c r="G476">
        <f>+'[1]VENTAS(RESUMEN GLOBAL)'!D476-'[1]VENTAS(RESUMEN GLOBAL)'!E476</f>
        <v>2</v>
      </c>
      <c r="H476" s="9">
        <f>+'[1]VENTAS(RESUMEN GLOBAL)'!K476</f>
        <v>2</v>
      </c>
      <c r="I476" s="8">
        <f>+G476*'[1]VENTAS(RESUMEN GLOBAL)'!F476</f>
        <v>30</v>
      </c>
      <c r="J476" s="8">
        <f>'[1]VENTAS(RESUMEN GLOBAL)'!G476*(1-'[1]VENTAS(RESUMEN GLOBAL)'!H476)</f>
        <v>19.5</v>
      </c>
      <c r="K476" s="8">
        <f t="shared" si="7"/>
        <v>10.5</v>
      </c>
      <c r="L476" s="8">
        <f>+'[1]VENTAS(RESUMEN GLOBAL)'!J476</f>
        <v>1.5</v>
      </c>
      <c r="M476" s="8">
        <f>+Tabla1[[#This Row],[utilidad x dia]]*7</f>
        <v>10.5</v>
      </c>
    </row>
    <row r="477" spans="1:13" x14ac:dyDescent="0.3">
      <c r="A477" s="6">
        <f>+'[1]VENTAS(RESUMEN GLOBAL)'!L477</f>
        <v>46048</v>
      </c>
      <c r="B477" s="6" t="str">
        <f>+'[1]VENTAS(RESUMEN GLOBAL)'!M477</f>
        <v>RIVULIS</v>
      </c>
      <c r="C477">
        <f>+'[1]VENTAS(RESUMEN GLOBAL)'!B477</f>
        <v>801000</v>
      </c>
      <c r="D477" t="str">
        <f>INDEX('[1]CÓDIGOS DE PRODUCTO'!$D$3:$D$1000,MATCH(C477,'[1]CÓDIGOS DE PRODUCTO'!$A$3:$A$1000,0))</f>
        <v>50181900 </v>
      </c>
      <c r="E477" t="str">
        <f>VLOOKUP(C477,'[1]CÓDIGOS DE PRODUCTO'!$A$4:$B$156,2,FALSE)</f>
        <v>BRAN FRUIT</v>
      </c>
      <c r="F477" t="str">
        <f>INDEX('[1]CÓDIGOS DE PRODUCTO'!$C$3:$C$1000,MATCH(C477,'[1]CÓDIGOS DE PRODUCTO'!$A$3:$A$1000,0))</f>
        <v>GALLETAS Y PAN DULCE</v>
      </c>
      <c r="G477">
        <f>+'[1]VENTAS(RESUMEN GLOBAL)'!D477-'[1]VENTAS(RESUMEN GLOBAL)'!E477</f>
        <v>5</v>
      </c>
      <c r="H477" s="9">
        <f>+'[1]VENTAS(RESUMEN GLOBAL)'!K477</f>
        <v>5</v>
      </c>
      <c r="I477" s="8">
        <f>+G477*'[1]VENTAS(RESUMEN GLOBAL)'!F477</f>
        <v>75</v>
      </c>
      <c r="J477" s="8">
        <f>'[1]VENTAS(RESUMEN GLOBAL)'!G477*(1-'[1]VENTAS(RESUMEN GLOBAL)'!H477)</f>
        <v>45</v>
      </c>
      <c r="K477" s="8">
        <f t="shared" si="7"/>
        <v>30</v>
      </c>
      <c r="L477" s="8">
        <f>+'[1]VENTAS(RESUMEN GLOBAL)'!J477</f>
        <v>4.2857142857142856</v>
      </c>
      <c r="M477" s="8">
        <f>+Tabla1[[#This Row],[utilidad x dia]]*7</f>
        <v>30</v>
      </c>
    </row>
    <row r="478" spans="1:13" x14ac:dyDescent="0.3">
      <c r="A478" s="6">
        <f>+'[1]VENTAS(RESUMEN GLOBAL)'!L478</f>
        <v>46048</v>
      </c>
      <c r="B478" s="6" t="str">
        <f>+'[1]VENTAS(RESUMEN GLOBAL)'!M478</f>
        <v>RIVULIS</v>
      </c>
      <c r="C478">
        <f>+'[1]VENTAS(RESUMEN GLOBAL)'!B478</f>
        <v>801100</v>
      </c>
      <c r="D478" t="str">
        <f>INDEX('[1]CÓDIGOS DE PRODUCTO'!$D$3:$D$1000,MATCH(C478,'[1]CÓDIGOS DE PRODUCTO'!$A$3:$A$1000,0))</f>
        <v>50181900 </v>
      </c>
      <c r="E478" t="str">
        <f>VLOOKUP(C478,'[1]CÓDIGOS DE PRODUCTO'!$A$4:$B$156,2,FALSE)</f>
        <v>GALLETA ARCOÍRIS</v>
      </c>
      <c r="F478" t="str">
        <f>INDEX('[1]CÓDIGOS DE PRODUCTO'!$C$3:$C$1000,MATCH(C478,'[1]CÓDIGOS DE PRODUCTO'!$A$3:$A$1000,0))</f>
        <v>GALLETAS Y PAN DULCE</v>
      </c>
      <c r="G478">
        <f>+'[1]VENTAS(RESUMEN GLOBAL)'!D478-'[1]VENTAS(RESUMEN GLOBAL)'!E478</f>
        <v>10</v>
      </c>
      <c r="H478" s="9">
        <f>+'[1]VENTAS(RESUMEN GLOBAL)'!K478</f>
        <v>10</v>
      </c>
      <c r="I478" s="8">
        <f>+G478*'[1]VENTAS(RESUMEN GLOBAL)'!F478</f>
        <v>200</v>
      </c>
      <c r="J478" s="8">
        <f>'[1]VENTAS(RESUMEN GLOBAL)'!G478*(1-'[1]VENTAS(RESUMEN GLOBAL)'!H478)</f>
        <v>100</v>
      </c>
      <c r="K478" s="8">
        <f t="shared" si="7"/>
        <v>100</v>
      </c>
      <c r="L478" s="8">
        <f>+'[1]VENTAS(RESUMEN GLOBAL)'!J478</f>
        <v>14.285714285714286</v>
      </c>
      <c r="M478" s="8">
        <f>+Tabla1[[#This Row],[utilidad x dia]]*7</f>
        <v>100</v>
      </c>
    </row>
    <row r="479" spans="1:13" x14ac:dyDescent="0.3">
      <c r="A479" s="6">
        <f>+'[1]VENTAS(RESUMEN GLOBAL)'!L479</f>
        <v>46048</v>
      </c>
      <c r="B479" s="6" t="str">
        <f>+'[1]VENTAS(RESUMEN GLOBAL)'!M479</f>
        <v>RIVULIS</v>
      </c>
      <c r="C479">
        <f>+'[1]VENTAS(RESUMEN GLOBAL)'!B479</f>
        <v>801200</v>
      </c>
      <c r="D479" t="str">
        <f>INDEX('[1]CÓDIGOS DE PRODUCTO'!$D$3:$D$1000,MATCH(C479,'[1]CÓDIGOS DE PRODUCTO'!$A$3:$A$1000,0))</f>
        <v>50181900 </v>
      </c>
      <c r="E479" t="str">
        <f>VLOOKUP(C479,'[1]CÓDIGOS DE PRODUCTO'!$A$4:$B$156,2,FALSE)</f>
        <v>CANELITAS</v>
      </c>
      <c r="F479" t="str">
        <f>INDEX('[1]CÓDIGOS DE PRODUCTO'!$C$3:$C$1000,MATCH(C479,'[1]CÓDIGOS DE PRODUCTO'!$A$3:$A$1000,0))</f>
        <v>GALLETAS Y PAN DULCE</v>
      </c>
      <c r="G479">
        <f>+'[1]VENTAS(RESUMEN GLOBAL)'!D479-'[1]VENTAS(RESUMEN GLOBAL)'!E479</f>
        <v>12</v>
      </c>
      <c r="H479" s="9">
        <f>+'[1]VENTAS(RESUMEN GLOBAL)'!K479</f>
        <v>12</v>
      </c>
      <c r="I479" s="8">
        <f>+G479*'[1]VENTAS(RESUMEN GLOBAL)'!F479</f>
        <v>240</v>
      </c>
      <c r="J479" s="8">
        <f>'[1]VENTAS(RESUMEN GLOBAL)'!G479*(1-'[1]VENTAS(RESUMEN GLOBAL)'!H479)</f>
        <v>107.99999999999999</v>
      </c>
      <c r="K479" s="8">
        <f t="shared" si="7"/>
        <v>132</v>
      </c>
      <c r="L479" s="8">
        <f>+'[1]VENTAS(RESUMEN GLOBAL)'!J479</f>
        <v>18.857142857142858</v>
      </c>
      <c r="M479" s="8">
        <f>+Tabla1[[#This Row],[utilidad x dia]]*7</f>
        <v>132</v>
      </c>
    </row>
    <row r="480" spans="1:13" x14ac:dyDescent="0.3">
      <c r="A480" s="6">
        <f>+'[1]VENTAS(RESUMEN GLOBAL)'!L480</f>
        <v>46048</v>
      </c>
      <c r="B480" s="6" t="str">
        <f>+'[1]VENTAS(RESUMEN GLOBAL)'!M480</f>
        <v>RIVULIS</v>
      </c>
      <c r="C480">
        <f>+'[1]VENTAS(RESUMEN GLOBAL)'!B480</f>
        <v>800200</v>
      </c>
      <c r="D480" t="str">
        <f>INDEX('[1]CÓDIGOS DE PRODUCTO'!$D$3:$D$1000,MATCH(C480,'[1]CÓDIGOS DE PRODUCTO'!$A$3:$A$1000,0))</f>
        <v>50181900 </v>
      </c>
      <c r="E480" t="str">
        <f>VLOOKUP(C480,'[1]CÓDIGOS DE PRODUCTO'!$A$4:$B$156,2,FALSE)</f>
        <v>Príncipe (6 PZ-63 GR)</v>
      </c>
      <c r="F480" t="str">
        <f>INDEX('[1]CÓDIGOS DE PRODUCTO'!$C$3:$C$1000,MATCH(C480,'[1]CÓDIGOS DE PRODUCTO'!$A$3:$A$1000,0))</f>
        <v>GALLETAS Y PAN DULCE</v>
      </c>
      <c r="G480">
        <f>+'[1]VENTAS(RESUMEN GLOBAL)'!D480-'[1]VENTAS(RESUMEN GLOBAL)'!E480</f>
        <v>14</v>
      </c>
      <c r="H480" s="9">
        <f>+'[1]VENTAS(RESUMEN GLOBAL)'!K480</f>
        <v>14</v>
      </c>
      <c r="I480" s="8">
        <f>+G480*'[1]VENTAS(RESUMEN GLOBAL)'!F480</f>
        <v>280</v>
      </c>
      <c r="J480" s="8">
        <f>'[1]VENTAS(RESUMEN GLOBAL)'!G480*(1-'[1]VENTAS(RESUMEN GLOBAL)'!H480)</f>
        <v>98</v>
      </c>
      <c r="K480" s="8">
        <f t="shared" si="7"/>
        <v>182</v>
      </c>
      <c r="L480" s="8">
        <f>+'[1]VENTAS(RESUMEN GLOBAL)'!J480</f>
        <v>26</v>
      </c>
      <c r="M480" s="8">
        <f>+Tabla1[[#This Row],[utilidad x dia]]*7</f>
        <v>182</v>
      </c>
    </row>
    <row r="481" spans="1:13" x14ac:dyDescent="0.3">
      <c r="A481" s="6">
        <f>+'[1]VENTAS(RESUMEN GLOBAL)'!L481</f>
        <v>46048</v>
      </c>
      <c r="B481" s="6" t="str">
        <f>+'[1]VENTAS(RESUMEN GLOBAL)'!M481</f>
        <v>RIVULIS</v>
      </c>
      <c r="C481">
        <f>+'[1]VENTAS(RESUMEN GLOBAL)'!B481</f>
        <v>100200</v>
      </c>
      <c r="D481" t="str">
        <f>INDEX('[1]CÓDIGOS DE PRODUCTO'!$D$3:$D$1000,MATCH(C481,'[1]CÓDIGOS DE PRODUCTO'!$A$3:$A$1000,0))</f>
        <v>50202300 </v>
      </c>
      <c r="E481" t="str">
        <f>VLOOKUP(C481,'[1]CÓDIGOS DE PRODUCTO'!$A$4:$B$156,2,FALSE)</f>
        <v>Agua SAMS</v>
      </c>
      <c r="F481" t="str">
        <f>INDEX('[1]CÓDIGOS DE PRODUCTO'!$C$3:$C$1000,MATCH(C481,'[1]CÓDIGOS DE PRODUCTO'!$A$3:$A$1000,0))</f>
        <v>Bebidas</v>
      </c>
      <c r="G481">
        <f>+'[1]VENTAS(RESUMEN GLOBAL)'!D481-'[1]VENTAS(RESUMEN GLOBAL)'!E481</f>
        <v>1</v>
      </c>
      <c r="H481" s="9">
        <f>+'[1]VENTAS(RESUMEN GLOBAL)'!K481</f>
        <v>1</v>
      </c>
      <c r="I481" s="8">
        <f>+G481*'[1]VENTAS(RESUMEN GLOBAL)'!F481</f>
        <v>15</v>
      </c>
      <c r="J481" s="8">
        <f>'[1]VENTAS(RESUMEN GLOBAL)'!G481*(1-'[1]VENTAS(RESUMEN GLOBAL)'!H481)</f>
        <v>2.9999999999999991</v>
      </c>
      <c r="K481" s="8">
        <f t="shared" si="7"/>
        <v>12</v>
      </c>
      <c r="L481" s="8">
        <f>+'[1]VENTAS(RESUMEN GLOBAL)'!J481</f>
        <v>1.7142857142857142</v>
      </c>
      <c r="M481" s="8">
        <f>+Tabla1[[#This Row],[utilidad x dia]]*7</f>
        <v>12</v>
      </c>
    </row>
    <row r="482" spans="1:13" x14ac:dyDescent="0.3">
      <c r="A482" s="6">
        <f>+'[1]VENTAS(RESUMEN GLOBAL)'!L482</f>
        <v>46048</v>
      </c>
      <c r="B482" s="6" t="str">
        <f>+'[1]VENTAS(RESUMEN GLOBAL)'!M482</f>
        <v>RIVULIS</v>
      </c>
      <c r="C482">
        <f>+'[1]VENTAS(RESUMEN GLOBAL)'!B482</f>
        <v>100200</v>
      </c>
      <c r="D482" t="str">
        <f>INDEX('[1]CÓDIGOS DE PRODUCTO'!$D$3:$D$1000,MATCH(C482,'[1]CÓDIGOS DE PRODUCTO'!$A$3:$A$1000,0))</f>
        <v>50202300 </v>
      </c>
      <c r="E482" t="str">
        <f>VLOOKUP(C482,'[1]CÓDIGOS DE PRODUCTO'!$A$4:$B$156,2,FALSE)</f>
        <v>Agua SAMS</v>
      </c>
      <c r="F482" t="str">
        <f>INDEX('[1]CÓDIGOS DE PRODUCTO'!$C$3:$C$1000,MATCH(C482,'[1]CÓDIGOS DE PRODUCTO'!$A$3:$A$1000,0))</f>
        <v>Bebidas</v>
      </c>
      <c r="G482">
        <f>+'[1]VENTAS(RESUMEN GLOBAL)'!D482-'[1]VENTAS(RESUMEN GLOBAL)'!E482</f>
        <v>0</v>
      </c>
      <c r="H482" s="9">
        <f>+'[1]VENTAS(RESUMEN GLOBAL)'!K482</f>
        <v>0</v>
      </c>
      <c r="I482" s="8">
        <f>+G482*'[1]VENTAS(RESUMEN GLOBAL)'!F482</f>
        <v>0</v>
      </c>
      <c r="J482" s="8">
        <f>'[1]VENTAS(RESUMEN GLOBAL)'!G482*(1-'[1]VENTAS(RESUMEN GLOBAL)'!H482)</f>
        <v>0</v>
      </c>
      <c r="K482" s="8">
        <f t="shared" si="7"/>
        <v>0</v>
      </c>
      <c r="L482" s="8">
        <f>+'[1]VENTAS(RESUMEN GLOBAL)'!J482</f>
        <v>0</v>
      </c>
      <c r="M482" s="8">
        <f>+Tabla1[[#This Row],[utilidad x dia]]*7</f>
        <v>0</v>
      </c>
    </row>
    <row r="483" spans="1:13" x14ac:dyDescent="0.3">
      <c r="A483" s="6">
        <f>+'[1]VENTAS(RESUMEN GLOBAL)'!L483</f>
        <v>46048</v>
      </c>
      <c r="B483" s="6" t="str">
        <f>+'[1]VENTAS(RESUMEN GLOBAL)'!M483</f>
        <v>RIVULIS</v>
      </c>
      <c r="C483">
        <f>+'[1]VENTAS(RESUMEN GLOBAL)'!B483</f>
        <v>100900</v>
      </c>
      <c r="D483" t="str">
        <f>INDEX('[1]CÓDIGOS DE PRODUCTO'!$D$3:$D$1000,MATCH(C483,'[1]CÓDIGOS DE PRODUCTO'!$A$3:$A$1000,0))</f>
        <v>50202300 </v>
      </c>
      <c r="E483" t="str">
        <f>VLOOKUP(C483,'[1]CÓDIGOS DE PRODUCTO'!$A$4:$B$156,2,FALSE)</f>
        <v>VOLT</v>
      </c>
      <c r="F483" t="str">
        <f>INDEX('[1]CÓDIGOS DE PRODUCTO'!$C$3:$C$1000,MATCH(C483,'[1]CÓDIGOS DE PRODUCTO'!$A$3:$A$1000,0))</f>
        <v>Bebidas</v>
      </c>
      <c r="G483">
        <f>+'[1]VENTAS(RESUMEN GLOBAL)'!D483-'[1]VENTAS(RESUMEN GLOBAL)'!E483</f>
        <v>2</v>
      </c>
      <c r="H483" s="9">
        <f>+'[1]VENTAS(RESUMEN GLOBAL)'!K483</f>
        <v>2</v>
      </c>
      <c r="I483" s="8">
        <f>+G483*'[1]VENTAS(RESUMEN GLOBAL)'!F483</f>
        <v>40</v>
      </c>
      <c r="J483" s="8">
        <f>'[1]VENTAS(RESUMEN GLOBAL)'!G483*(1-'[1]VENTAS(RESUMEN GLOBAL)'!H483)</f>
        <v>28</v>
      </c>
      <c r="K483" s="8">
        <f t="shared" si="7"/>
        <v>12</v>
      </c>
      <c r="L483" s="8">
        <f>+'[1]VENTAS(RESUMEN GLOBAL)'!J483</f>
        <v>1.7142857142857142</v>
      </c>
      <c r="M483" s="8">
        <f>+Tabla1[[#This Row],[utilidad x dia]]*7</f>
        <v>12</v>
      </c>
    </row>
    <row r="484" spans="1:13" x14ac:dyDescent="0.3">
      <c r="A484" s="6">
        <f>+'[1]VENTAS(RESUMEN GLOBAL)'!L484</f>
        <v>46048</v>
      </c>
      <c r="B484" s="6" t="str">
        <f>+'[1]VENTAS(RESUMEN GLOBAL)'!M484</f>
        <v>RIVULIS</v>
      </c>
      <c r="C484">
        <f>+'[1]VENTAS(RESUMEN GLOBAL)'!B484</f>
        <v>100300</v>
      </c>
      <c r="D484" t="str">
        <f>INDEX('[1]CÓDIGOS DE PRODUCTO'!$D$3:$D$1000,MATCH(C484,'[1]CÓDIGOS DE PRODUCTO'!$A$3:$A$1000,0))</f>
        <v>50202300 </v>
      </c>
      <c r="E484" t="str">
        <f>VLOOKUP(C484,'[1]CÓDIGOS DE PRODUCTO'!$A$4:$B$156,2,FALSE)</f>
        <v>Gatorade</v>
      </c>
      <c r="F484" t="str">
        <f>INDEX('[1]CÓDIGOS DE PRODUCTO'!$C$3:$C$1000,MATCH(C484,'[1]CÓDIGOS DE PRODUCTO'!$A$3:$A$1000,0))</f>
        <v>Bebidas</v>
      </c>
      <c r="G484">
        <f>+'[1]VENTAS(RESUMEN GLOBAL)'!D484-'[1]VENTAS(RESUMEN GLOBAL)'!E484</f>
        <v>3</v>
      </c>
      <c r="H484" s="9">
        <f>+'[1]VENTAS(RESUMEN GLOBAL)'!K484</f>
        <v>3</v>
      </c>
      <c r="I484" s="8">
        <f>+G484*'[1]VENTAS(RESUMEN GLOBAL)'!F484</f>
        <v>75</v>
      </c>
      <c r="J484" s="8">
        <f>'[1]VENTAS(RESUMEN GLOBAL)'!G484*(1-'[1]VENTAS(RESUMEN GLOBAL)'!H484)</f>
        <v>48</v>
      </c>
      <c r="K484" s="8">
        <f t="shared" si="7"/>
        <v>27</v>
      </c>
      <c r="L484" s="8">
        <f>+'[1]VENTAS(RESUMEN GLOBAL)'!J484</f>
        <v>3.8571428571428572</v>
      </c>
      <c r="M484" s="8">
        <f>+Tabla1[[#This Row],[utilidad x dia]]*7</f>
        <v>27</v>
      </c>
    </row>
    <row r="485" spans="1:13" x14ac:dyDescent="0.3">
      <c r="A485" s="6">
        <f>+'[1]VENTAS(RESUMEN GLOBAL)'!L485</f>
        <v>46048</v>
      </c>
      <c r="B485" s="6" t="str">
        <f>+'[1]VENTAS(RESUMEN GLOBAL)'!M485</f>
        <v>RIVULIS</v>
      </c>
      <c r="C485">
        <f>+'[1]VENTAS(RESUMEN GLOBAL)'!B485</f>
        <v>100800</v>
      </c>
      <c r="D485" t="str">
        <f>INDEX('[1]CÓDIGOS DE PRODUCTO'!$D$3:$D$1000,MATCH(C485,'[1]CÓDIGOS DE PRODUCTO'!$A$3:$A$1000,0))</f>
        <v>50202300 </v>
      </c>
      <c r="E485" t="str">
        <f>VLOOKUP(C485,'[1]CÓDIGOS DE PRODUCTO'!$A$4:$B$156,2,FALSE)</f>
        <v>TÉ VERDE KIRKLAND</v>
      </c>
      <c r="F485" t="str">
        <f>INDEX('[1]CÓDIGOS DE PRODUCTO'!$C$3:$C$1000,MATCH(C485,'[1]CÓDIGOS DE PRODUCTO'!$A$3:$A$1000,0))</f>
        <v>Bebidas</v>
      </c>
      <c r="G485">
        <f>+'[1]VENTAS(RESUMEN GLOBAL)'!D485-'[1]VENTAS(RESUMEN GLOBAL)'!E485</f>
        <v>2</v>
      </c>
      <c r="H485" s="9">
        <f>+'[1]VENTAS(RESUMEN GLOBAL)'!K485</f>
        <v>2</v>
      </c>
      <c r="I485" s="8">
        <f>+G485*'[1]VENTAS(RESUMEN GLOBAL)'!F485</f>
        <v>36</v>
      </c>
      <c r="J485" s="8">
        <f>'[1]VENTAS(RESUMEN GLOBAL)'!G485*(1-'[1]VENTAS(RESUMEN GLOBAL)'!H485)</f>
        <v>6.8399999999999981</v>
      </c>
      <c r="K485" s="8">
        <f t="shared" si="7"/>
        <v>29.160000000000004</v>
      </c>
      <c r="L485" s="8">
        <f>+'[1]VENTAS(RESUMEN GLOBAL)'!J485</f>
        <v>4.1657142857142864</v>
      </c>
      <c r="M485" s="8">
        <f>+Tabla1[[#This Row],[utilidad x dia]]*7</f>
        <v>29.160000000000004</v>
      </c>
    </row>
    <row r="486" spans="1:13" x14ac:dyDescent="0.3">
      <c r="A486" s="6">
        <f>+'[1]VENTAS(RESUMEN GLOBAL)'!L486</f>
        <v>46048</v>
      </c>
      <c r="B486" s="6" t="str">
        <f>+'[1]VENTAS(RESUMEN GLOBAL)'!M486</f>
        <v>RIVULIS</v>
      </c>
      <c r="C486">
        <f>+'[1]VENTAS(RESUMEN GLOBAL)'!B486</f>
        <v>801300</v>
      </c>
      <c r="D486" t="str">
        <f>INDEX('[1]CÓDIGOS DE PRODUCTO'!$D$3:$D$1000,MATCH(C486,'[1]CÓDIGOS DE PRODUCTO'!$A$3:$A$1000,0))</f>
        <v>50181900 </v>
      </c>
      <c r="E486" t="str">
        <f>VLOOKUP(C486,'[1]CÓDIGOS DE PRODUCTO'!$A$4:$B$156,2,FALSE)</f>
        <v>OREO GDE</v>
      </c>
      <c r="F486" t="str">
        <f>INDEX('[1]CÓDIGOS DE PRODUCTO'!$C$3:$C$1000,MATCH(C486,'[1]CÓDIGOS DE PRODUCTO'!$A$3:$A$1000,0))</f>
        <v>GALLETAS Y PAN DULCE</v>
      </c>
      <c r="G486">
        <f>+'[1]VENTAS(RESUMEN GLOBAL)'!D486-'[1]VENTAS(RESUMEN GLOBAL)'!E486</f>
        <v>8</v>
      </c>
      <c r="H486" s="9">
        <f>+'[1]VENTAS(RESUMEN GLOBAL)'!K486</f>
        <v>8</v>
      </c>
      <c r="I486" s="8">
        <f>+G486*'[1]VENTAS(RESUMEN GLOBAL)'!F486</f>
        <v>200</v>
      </c>
      <c r="J486" s="8">
        <f>'[1]VENTAS(RESUMEN GLOBAL)'!G486*(1-'[1]VENTAS(RESUMEN GLOBAL)'!H486)</f>
        <v>100</v>
      </c>
      <c r="K486" s="8">
        <f t="shared" si="7"/>
        <v>100</v>
      </c>
      <c r="L486" s="8">
        <f>+'[1]VENTAS(RESUMEN GLOBAL)'!J486</f>
        <v>14.285714285714286</v>
      </c>
      <c r="M486" s="8">
        <f>+Tabla1[[#This Row],[utilidad x dia]]*7</f>
        <v>100</v>
      </c>
    </row>
    <row r="487" spans="1:13" x14ac:dyDescent="0.3">
      <c r="A487" s="6">
        <f>+'[1]VENTAS(RESUMEN GLOBAL)'!L487</f>
        <v>0</v>
      </c>
      <c r="B487" s="6">
        <f>+'[1]VENTAS(RESUMEN GLOBAL)'!M487</f>
        <v>0</v>
      </c>
      <c r="C487">
        <f>+'[1]VENTAS(RESUMEN GLOBAL)'!B487</f>
        <v>0</v>
      </c>
      <c r="D487" t="e">
        <f>INDEX('[1]CÓDIGOS DE PRODUCTO'!$D$3:$D$1000,MATCH(C487,'[1]CÓDIGOS DE PRODUCTO'!$A$3:$A$1000,0))</f>
        <v>#N/A</v>
      </c>
      <c r="E487">
        <f>VLOOKUP(C487,'[1]CÓDIGOS DE PRODUCTO'!$A$4:$B$156,2,FALSE)</f>
        <v>0</v>
      </c>
      <c r="F487">
        <f>INDEX('[1]CÓDIGOS DE PRODUCTO'!$C$3:$C$1000,MATCH(C487,'[1]CÓDIGOS DE PRODUCTO'!$A$3:$A$1000,0))</f>
        <v>0</v>
      </c>
      <c r="G487">
        <f>+'[1]VENTAS(RESUMEN GLOBAL)'!D487-'[1]VENTAS(RESUMEN GLOBAL)'!E487</f>
        <v>0</v>
      </c>
      <c r="H487" s="9">
        <f>+'[1]VENTAS(RESUMEN GLOBAL)'!K487</f>
        <v>0</v>
      </c>
      <c r="I487" s="8">
        <f>+G487*'[1]VENTAS(RESUMEN GLOBAL)'!F487</f>
        <v>0</v>
      </c>
      <c r="J487" s="8">
        <f>'[1]VENTAS(RESUMEN GLOBAL)'!G487*(1-'[1]VENTAS(RESUMEN GLOBAL)'!H487)</f>
        <v>0</v>
      </c>
      <c r="K487" s="8">
        <f t="shared" si="7"/>
        <v>0</v>
      </c>
      <c r="L487" s="8">
        <f>+'[1]VENTAS(RESUMEN GLOBAL)'!J487</f>
        <v>0</v>
      </c>
      <c r="M487" s="8">
        <f>+Tabla1[[#This Row],[utilidad x dia]]*7</f>
        <v>0</v>
      </c>
    </row>
    <row r="488" spans="1:13" x14ac:dyDescent="0.3">
      <c r="A488" s="6">
        <f>+'[1]VENTAS(RESUMEN GLOBAL)'!L488</f>
        <v>46056</v>
      </c>
      <c r="B488" s="6" t="str">
        <f>+'[1]VENTAS(RESUMEN GLOBAL)'!M488</f>
        <v>RIVULIS</v>
      </c>
      <c r="C488">
        <f>+'[1]VENTAS(RESUMEN GLOBAL)'!B488</f>
        <v>600300</v>
      </c>
      <c r="D488" t="str">
        <f>INDEX('[1]CÓDIGOS DE PRODUCTO'!$D$3:$D$1000,MATCH(C488,'[1]CÓDIGOS DE PRODUCTO'!$A$3:$A$1000,0))</f>
        <v>50192109 </v>
      </c>
      <c r="E488" t="str">
        <f>VLOOKUP(C488,'[1]CÓDIGOS DE PRODUCTO'!$A$4:$B$156,2,FALSE)</f>
        <v>TAKIS FUEGO</v>
      </c>
      <c r="F488" t="str">
        <f>INDEX('[1]CÓDIGOS DE PRODUCTO'!$C$3:$C$1000,MATCH(C488,'[1]CÓDIGOS DE PRODUCTO'!$A$3:$A$1000,0))</f>
        <v>Papas fritas</v>
      </c>
      <c r="G488">
        <f>+'[1]VENTAS(RESUMEN GLOBAL)'!D488-'[1]VENTAS(RESUMEN GLOBAL)'!E488</f>
        <v>8</v>
      </c>
      <c r="H488" s="9">
        <f>+'[1]VENTAS(RESUMEN GLOBAL)'!K488</f>
        <v>7</v>
      </c>
      <c r="I488" s="8">
        <f>+G488*'[1]VENTAS(RESUMEN GLOBAL)'!F488</f>
        <v>200</v>
      </c>
      <c r="J488" s="8">
        <f>'[1]VENTAS(RESUMEN GLOBAL)'!G488*(1-'[1]VENTAS(RESUMEN GLOBAL)'!H488)</f>
        <v>82</v>
      </c>
      <c r="K488" s="8">
        <f t="shared" si="7"/>
        <v>118</v>
      </c>
      <c r="L488" s="8">
        <f>+'[1]VENTAS(RESUMEN GLOBAL)'!J488</f>
        <v>14.75</v>
      </c>
      <c r="M488" s="8">
        <f>+Tabla1[[#This Row],[utilidad x dia]]*7</f>
        <v>103.25</v>
      </c>
    </row>
    <row r="489" spans="1:13" x14ac:dyDescent="0.3">
      <c r="A489" s="6">
        <f>+'[1]VENTAS(RESUMEN GLOBAL)'!L489</f>
        <v>46056</v>
      </c>
      <c r="B489" s="6" t="str">
        <f>+'[1]VENTAS(RESUMEN GLOBAL)'!M489</f>
        <v>RIVULIS</v>
      </c>
      <c r="C489">
        <f>+'[1]VENTAS(RESUMEN GLOBAL)'!B489</f>
        <v>6005101</v>
      </c>
      <c r="D489" t="str">
        <f>INDEX('[1]CÓDIGOS DE PRODUCTO'!$D$3:$D$1000,MATCH(C489,'[1]CÓDIGOS DE PRODUCTO'!$A$3:$A$1000,0))</f>
        <v>50192109 </v>
      </c>
      <c r="E489" t="str">
        <f>VLOOKUP(C489,'[1]CÓDIGOS DE PRODUCTO'!$A$4:$B$156,2,FALSE)</f>
        <v>SABRITAS AMARILLAS</v>
      </c>
      <c r="F489" t="str">
        <f>INDEX('[1]CÓDIGOS DE PRODUCTO'!$C$3:$C$1000,MATCH(C489,'[1]CÓDIGOS DE PRODUCTO'!$A$3:$A$1000,0))</f>
        <v>Papas fritas</v>
      </c>
      <c r="G489">
        <f>+'[1]VENTAS(RESUMEN GLOBAL)'!D489-'[1]VENTAS(RESUMEN GLOBAL)'!E489</f>
        <v>1</v>
      </c>
      <c r="H489" s="9">
        <f>+'[1]VENTAS(RESUMEN GLOBAL)'!K489</f>
        <v>0.875</v>
      </c>
      <c r="I489" s="8">
        <f>+G489*'[1]VENTAS(RESUMEN GLOBAL)'!F489</f>
        <v>25</v>
      </c>
      <c r="J489" s="8">
        <f>'[1]VENTAS(RESUMEN GLOBAL)'!G489*(1-'[1]VENTAS(RESUMEN GLOBAL)'!H489)</f>
        <v>8.5</v>
      </c>
      <c r="K489" s="8">
        <f t="shared" si="7"/>
        <v>16.5</v>
      </c>
      <c r="L489" s="8">
        <f>+'[1]VENTAS(RESUMEN GLOBAL)'!J489</f>
        <v>2.0625</v>
      </c>
      <c r="M489" s="8">
        <f>+Tabla1[[#This Row],[utilidad x dia]]*7</f>
        <v>14.4375</v>
      </c>
    </row>
    <row r="490" spans="1:13" x14ac:dyDescent="0.3">
      <c r="A490" s="6">
        <f>+'[1]VENTAS(RESUMEN GLOBAL)'!L490</f>
        <v>46056</v>
      </c>
      <c r="B490" s="6" t="str">
        <f>+'[1]VENTAS(RESUMEN GLOBAL)'!M490</f>
        <v>RIVULIS</v>
      </c>
      <c r="C490">
        <f>+'[1]VENTAS(RESUMEN GLOBAL)'!B490</f>
        <v>6005102</v>
      </c>
      <c r="D490" t="str">
        <f>INDEX('[1]CÓDIGOS DE PRODUCTO'!$D$3:$D$1000,MATCH(C490,'[1]CÓDIGOS DE PRODUCTO'!$A$3:$A$1000,0))</f>
        <v>50192109 </v>
      </c>
      <c r="E490" t="str">
        <f>VLOOKUP(C490,'[1]CÓDIGOS DE PRODUCTO'!$A$4:$B$156,2,FALSE)</f>
        <v>RUFFLES</v>
      </c>
      <c r="F490" t="str">
        <f>INDEX('[1]CÓDIGOS DE PRODUCTO'!$C$3:$C$1000,MATCH(C490,'[1]CÓDIGOS DE PRODUCTO'!$A$3:$A$1000,0))</f>
        <v>Papas fritas</v>
      </c>
      <c r="G490">
        <f>+'[1]VENTAS(RESUMEN GLOBAL)'!D490-'[1]VENTAS(RESUMEN GLOBAL)'!E490</f>
        <v>7</v>
      </c>
      <c r="H490" s="9">
        <f>+'[1]VENTAS(RESUMEN GLOBAL)'!K490</f>
        <v>6.125</v>
      </c>
      <c r="I490" s="8">
        <f>+G490*'[1]VENTAS(RESUMEN GLOBAL)'!F490</f>
        <v>175</v>
      </c>
      <c r="J490" s="8">
        <f>'[1]VENTAS(RESUMEN GLOBAL)'!G490*(1-'[1]VENTAS(RESUMEN GLOBAL)'!H490)</f>
        <v>59.499999999999993</v>
      </c>
      <c r="K490" s="8">
        <f t="shared" si="7"/>
        <v>115.5</v>
      </c>
      <c r="L490" s="8">
        <f>+'[1]VENTAS(RESUMEN GLOBAL)'!J490</f>
        <v>14.4375</v>
      </c>
      <c r="M490" s="8">
        <f>+Tabla1[[#This Row],[utilidad x dia]]*7</f>
        <v>101.0625</v>
      </c>
    </row>
    <row r="491" spans="1:13" x14ac:dyDescent="0.3">
      <c r="A491" s="6">
        <f>+'[1]VENTAS(RESUMEN GLOBAL)'!L491</f>
        <v>46056</v>
      </c>
      <c r="B491" s="6" t="str">
        <f>+'[1]VENTAS(RESUMEN GLOBAL)'!M491</f>
        <v>RIVULIS</v>
      </c>
      <c r="C491">
        <f>+'[1]VENTAS(RESUMEN GLOBAL)'!B491</f>
        <v>6005103</v>
      </c>
      <c r="D491" t="str">
        <f>INDEX('[1]CÓDIGOS DE PRODUCTO'!$D$3:$D$1000,MATCH(C491,'[1]CÓDIGOS DE PRODUCTO'!$A$3:$A$1000,0))</f>
        <v>50192109 </v>
      </c>
      <c r="E491" t="str">
        <f>VLOOKUP(C491,'[1]CÓDIGOS DE PRODUCTO'!$A$4:$B$156,2,FALSE)</f>
        <v>DORITOS ROJOS</v>
      </c>
      <c r="F491" t="str">
        <f>INDEX('[1]CÓDIGOS DE PRODUCTO'!$C$3:$C$1000,MATCH(C491,'[1]CÓDIGOS DE PRODUCTO'!$A$3:$A$1000,0))</f>
        <v>Papas fritas</v>
      </c>
      <c r="G491">
        <f>+'[1]VENTAS(RESUMEN GLOBAL)'!D491-'[1]VENTAS(RESUMEN GLOBAL)'!E491</f>
        <v>8</v>
      </c>
      <c r="H491" s="9">
        <f>+'[1]VENTAS(RESUMEN GLOBAL)'!K491</f>
        <v>7</v>
      </c>
      <c r="I491" s="8">
        <f>+G491*'[1]VENTAS(RESUMEN GLOBAL)'!F491</f>
        <v>200</v>
      </c>
      <c r="J491" s="8">
        <f>'[1]VENTAS(RESUMEN GLOBAL)'!G491*(1-'[1]VENTAS(RESUMEN GLOBAL)'!H491)</f>
        <v>68</v>
      </c>
      <c r="K491" s="8">
        <f t="shared" si="7"/>
        <v>132</v>
      </c>
      <c r="L491" s="8">
        <f>+'[1]VENTAS(RESUMEN GLOBAL)'!J491</f>
        <v>16.5</v>
      </c>
      <c r="M491" s="8">
        <f>+Tabla1[[#This Row],[utilidad x dia]]*7</f>
        <v>115.5</v>
      </c>
    </row>
    <row r="492" spans="1:13" x14ac:dyDescent="0.3">
      <c r="A492" s="6">
        <f>+'[1]VENTAS(RESUMEN GLOBAL)'!L492</f>
        <v>46056</v>
      </c>
      <c r="B492" s="6" t="str">
        <f>+'[1]VENTAS(RESUMEN GLOBAL)'!M492</f>
        <v>RIVULIS</v>
      </c>
      <c r="C492">
        <f>+'[1]VENTAS(RESUMEN GLOBAL)'!B492</f>
        <v>600101</v>
      </c>
      <c r="D492" t="str">
        <f>INDEX('[1]CÓDIGOS DE PRODUCTO'!$D$3:$D$1000,MATCH(C492,'[1]CÓDIGOS DE PRODUCTO'!$A$3:$A$1000,0))</f>
        <v>50192109 </v>
      </c>
      <c r="E492" t="str">
        <f>VLOOKUP(C492,'[1]CÓDIGOS DE PRODUCTO'!$A$4:$B$156,2,FALSE)</f>
        <v>CHIPS VERDES</v>
      </c>
      <c r="F492" t="str">
        <f>INDEX('[1]CÓDIGOS DE PRODUCTO'!$C$3:$C$1000,MATCH(C492,'[1]CÓDIGOS DE PRODUCTO'!$A$3:$A$1000,0))</f>
        <v>Papas fritas</v>
      </c>
      <c r="G492">
        <f>+'[1]VENTAS(RESUMEN GLOBAL)'!D492-'[1]VENTAS(RESUMEN GLOBAL)'!E492</f>
        <v>5</v>
      </c>
      <c r="H492" s="9">
        <f>+'[1]VENTAS(RESUMEN GLOBAL)'!K492</f>
        <v>4.375</v>
      </c>
      <c r="I492" s="8">
        <f>+G492*'[1]VENTAS(RESUMEN GLOBAL)'!F492</f>
        <v>125</v>
      </c>
      <c r="J492" s="8">
        <f>'[1]VENTAS(RESUMEN GLOBAL)'!G492*(1-'[1]VENTAS(RESUMEN GLOBAL)'!H492)</f>
        <v>45</v>
      </c>
      <c r="K492" s="8">
        <f t="shared" si="7"/>
        <v>80</v>
      </c>
      <c r="L492" s="8">
        <f>+'[1]VENTAS(RESUMEN GLOBAL)'!J492</f>
        <v>10</v>
      </c>
      <c r="M492" s="8">
        <f>+Tabla1[[#This Row],[utilidad x dia]]*7</f>
        <v>70</v>
      </c>
    </row>
    <row r="493" spans="1:13" x14ac:dyDescent="0.3">
      <c r="A493" s="6">
        <f>+'[1]VENTAS(RESUMEN GLOBAL)'!L493</f>
        <v>46056</v>
      </c>
      <c r="B493" s="6" t="str">
        <f>+'[1]VENTAS(RESUMEN GLOBAL)'!M493</f>
        <v>RIVULIS</v>
      </c>
      <c r="C493">
        <f>+'[1]VENTAS(RESUMEN GLOBAL)'!B493</f>
        <v>600102</v>
      </c>
      <c r="D493" t="str">
        <f>INDEX('[1]CÓDIGOS DE PRODUCTO'!$D$3:$D$1000,MATCH(C493,'[1]CÓDIGOS DE PRODUCTO'!$A$3:$A$1000,0))</f>
        <v>50192109 </v>
      </c>
      <c r="E493" t="str">
        <f>VLOOKUP(C493,'[1]CÓDIGOS DE PRODUCTO'!$A$4:$B$156,2,FALSE)</f>
        <v>RUNNERS</v>
      </c>
      <c r="F493" t="str">
        <f>INDEX('[1]CÓDIGOS DE PRODUCTO'!$C$3:$C$1000,MATCH(C493,'[1]CÓDIGOS DE PRODUCTO'!$A$3:$A$1000,0))</f>
        <v>Papas fritas</v>
      </c>
      <c r="G493">
        <f>+'[1]VENTAS(RESUMEN GLOBAL)'!D493-'[1]VENTAS(RESUMEN GLOBAL)'!E493</f>
        <v>7</v>
      </c>
      <c r="H493" s="9">
        <f>+'[1]VENTAS(RESUMEN GLOBAL)'!K493</f>
        <v>6.125</v>
      </c>
      <c r="I493" s="8">
        <f>+G493*'[1]VENTAS(RESUMEN GLOBAL)'!F493</f>
        <v>175</v>
      </c>
      <c r="J493" s="8">
        <f>'[1]VENTAS(RESUMEN GLOBAL)'!G493*(1-'[1]VENTAS(RESUMEN GLOBAL)'!H493)</f>
        <v>63</v>
      </c>
      <c r="K493" s="8">
        <f t="shared" si="7"/>
        <v>112</v>
      </c>
      <c r="L493" s="8">
        <f>+'[1]VENTAS(RESUMEN GLOBAL)'!J493</f>
        <v>14</v>
      </c>
      <c r="M493" s="8">
        <f>+Tabla1[[#This Row],[utilidad x dia]]*7</f>
        <v>98</v>
      </c>
    </row>
    <row r="494" spans="1:13" x14ac:dyDescent="0.3">
      <c r="A494" s="6">
        <f>+'[1]VENTAS(RESUMEN GLOBAL)'!L494</f>
        <v>46056</v>
      </c>
      <c r="B494" s="6" t="str">
        <f>+'[1]VENTAS(RESUMEN GLOBAL)'!M494</f>
        <v>RIVULIS</v>
      </c>
      <c r="C494">
        <f>+'[1]VENTAS(RESUMEN GLOBAL)'!B494</f>
        <v>6005104</v>
      </c>
      <c r="D494" t="str">
        <f>INDEX('[1]CÓDIGOS DE PRODUCTO'!$D$3:$D$1000,MATCH(C494,'[1]CÓDIGOS DE PRODUCTO'!$A$3:$A$1000,0))</f>
        <v>50192109 </v>
      </c>
      <c r="E494" t="str">
        <f>VLOOKUP(C494,'[1]CÓDIGOS DE PRODUCTO'!$A$4:$B$156,2,FALSE)</f>
        <v>RANCHERITOS</v>
      </c>
      <c r="F494" t="str">
        <f>INDEX('[1]CÓDIGOS DE PRODUCTO'!$C$3:$C$1000,MATCH(C494,'[1]CÓDIGOS DE PRODUCTO'!$A$3:$A$1000,0))</f>
        <v>Papas fritas</v>
      </c>
      <c r="G494">
        <f>+'[1]VENTAS(RESUMEN GLOBAL)'!D494-'[1]VENTAS(RESUMEN GLOBAL)'!E494</f>
        <v>5</v>
      </c>
      <c r="H494" s="9">
        <f>+'[1]VENTAS(RESUMEN GLOBAL)'!K494</f>
        <v>4.375</v>
      </c>
      <c r="I494" s="8">
        <f>+G494*'[1]VENTAS(RESUMEN GLOBAL)'!F494</f>
        <v>125</v>
      </c>
      <c r="J494" s="8">
        <f>'[1]VENTAS(RESUMEN GLOBAL)'!G494*(1-'[1]VENTAS(RESUMEN GLOBAL)'!H494)</f>
        <v>42.499999999999993</v>
      </c>
      <c r="K494" s="8">
        <f t="shared" si="7"/>
        <v>82.5</v>
      </c>
      <c r="L494" s="8">
        <f>+'[1]VENTAS(RESUMEN GLOBAL)'!J494</f>
        <v>10.3125</v>
      </c>
      <c r="M494" s="8">
        <f>+Tabla1[[#This Row],[utilidad x dia]]*7</f>
        <v>72.1875</v>
      </c>
    </row>
    <row r="495" spans="1:13" x14ac:dyDescent="0.3">
      <c r="A495" s="6">
        <f>+'[1]VENTAS(RESUMEN GLOBAL)'!L495</f>
        <v>46056</v>
      </c>
      <c r="B495" s="6" t="str">
        <f>+'[1]VENTAS(RESUMEN GLOBAL)'!M495</f>
        <v>RIVULIS</v>
      </c>
      <c r="C495">
        <f>+'[1]VENTAS(RESUMEN GLOBAL)'!B495</f>
        <v>600600</v>
      </c>
      <c r="D495" t="str">
        <f>INDEX('[1]CÓDIGOS DE PRODUCTO'!$D$3:$D$1000,MATCH(C495,'[1]CÓDIGOS DE PRODUCTO'!$A$3:$A$1000,0))</f>
        <v>50192109 </v>
      </c>
      <c r="E495" t="str">
        <f>VLOOKUP(C495,'[1]CÓDIGOS DE PRODUCTO'!$A$4:$B$156,2,FALSE)</f>
        <v>CHICHARRON SURTIDO</v>
      </c>
      <c r="F495" t="str">
        <f>INDEX('[1]CÓDIGOS DE PRODUCTO'!$C$3:$C$1000,MATCH(C495,'[1]CÓDIGOS DE PRODUCTO'!$A$3:$A$1000,0))</f>
        <v>Papas fritas</v>
      </c>
      <c r="G495">
        <f>+'[1]VENTAS(RESUMEN GLOBAL)'!D495-'[1]VENTAS(RESUMEN GLOBAL)'!E495</f>
        <v>3</v>
      </c>
      <c r="H495" s="9">
        <f>+'[1]VENTAS(RESUMEN GLOBAL)'!K495</f>
        <v>2.625</v>
      </c>
      <c r="I495" s="8">
        <f>+G495*'[1]VENTAS(RESUMEN GLOBAL)'!F495</f>
        <v>75</v>
      </c>
      <c r="J495" s="8">
        <f>'[1]VENTAS(RESUMEN GLOBAL)'!G495*(1-'[1]VENTAS(RESUMEN GLOBAL)'!H495)</f>
        <v>35.25</v>
      </c>
      <c r="K495" s="8">
        <f t="shared" si="7"/>
        <v>39.75</v>
      </c>
      <c r="L495" s="8">
        <f>+'[1]VENTAS(RESUMEN GLOBAL)'!J495</f>
        <v>4.96875</v>
      </c>
      <c r="M495" s="8">
        <f>+Tabla1[[#This Row],[utilidad x dia]]*7</f>
        <v>34.78125</v>
      </c>
    </row>
    <row r="496" spans="1:13" x14ac:dyDescent="0.3">
      <c r="A496" s="6">
        <f>+'[1]VENTAS(RESUMEN GLOBAL)'!L496</f>
        <v>46056</v>
      </c>
      <c r="B496" s="6" t="str">
        <f>+'[1]VENTAS(RESUMEN GLOBAL)'!M496</f>
        <v>RIVULIS</v>
      </c>
      <c r="C496">
        <f>+'[1]VENTAS(RESUMEN GLOBAL)'!B496</f>
        <v>600500</v>
      </c>
      <c r="D496" t="str">
        <f>INDEX('[1]CÓDIGOS DE PRODUCTO'!$D$3:$D$1000,MATCH(C496,'[1]CÓDIGOS DE PRODUCTO'!$A$3:$A$1000,0))</f>
        <v>50192109 </v>
      </c>
      <c r="E496" t="str">
        <f>VLOOKUP(C496,'[1]CÓDIGOS DE PRODUCTO'!$A$4:$B$156,2,FALSE)</f>
        <v>SABRIMAYOREO</v>
      </c>
      <c r="F496" t="str">
        <f>INDEX('[1]CÓDIGOS DE PRODUCTO'!$C$3:$C$1000,MATCH(C496,'[1]CÓDIGOS DE PRODUCTO'!$A$3:$A$1000,0))</f>
        <v>Papas fritas</v>
      </c>
      <c r="G496">
        <f>+'[1]VENTAS(RESUMEN GLOBAL)'!D496-'[1]VENTAS(RESUMEN GLOBAL)'!E496</f>
        <v>6</v>
      </c>
      <c r="H496" s="9">
        <f>+'[1]VENTAS(RESUMEN GLOBAL)'!K496</f>
        <v>5.25</v>
      </c>
      <c r="I496" s="8">
        <f>+G496*'[1]VENTAS(RESUMEN GLOBAL)'!F496</f>
        <v>150</v>
      </c>
      <c r="J496" s="8">
        <f>'[1]VENTAS(RESUMEN GLOBAL)'!G496*(1-'[1]VENTAS(RESUMEN GLOBAL)'!H496)</f>
        <v>50.999999999999993</v>
      </c>
      <c r="K496" s="8">
        <f t="shared" si="7"/>
        <v>99</v>
      </c>
      <c r="L496" s="8">
        <f>+'[1]VENTAS(RESUMEN GLOBAL)'!J496</f>
        <v>12.375</v>
      </c>
      <c r="M496" s="8">
        <f>+Tabla1[[#This Row],[utilidad x dia]]*7</f>
        <v>86.625</v>
      </c>
    </row>
    <row r="497" spans="1:13" x14ac:dyDescent="0.3">
      <c r="A497" s="6">
        <f>+'[1]VENTAS(RESUMEN GLOBAL)'!L497</f>
        <v>46056</v>
      </c>
      <c r="B497" s="6" t="str">
        <f>+'[1]VENTAS(RESUMEN GLOBAL)'!M497</f>
        <v>RIVULIS</v>
      </c>
      <c r="C497">
        <f>+'[1]VENTAS(RESUMEN GLOBAL)'!B497</f>
        <v>600400</v>
      </c>
      <c r="D497" t="str">
        <f>INDEX('[1]CÓDIGOS DE PRODUCTO'!$D$3:$D$1000,MATCH(C497,'[1]CÓDIGOS DE PRODUCTO'!$A$3:$A$1000,0))</f>
        <v>50192109 </v>
      </c>
      <c r="E497" t="str">
        <f>VLOOKUP(C497,'[1]CÓDIGOS DE PRODUCTO'!$A$4:$B$156,2,FALSE)</f>
        <v>FRITOS (CHORIZO U OTROS)</v>
      </c>
      <c r="F497" t="str">
        <f>INDEX('[1]CÓDIGOS DE PRODUCTO'!$C$3:$C$1000,MATCH(C497,'[1]CÓDIGOS DE PRODUCTO'!$A$3:$A$1000,0))</f>
        <v>Papas fritas</v>
      </c>
      <c r="G497">
        <f>+'[1]VENTAS(RESUMEN GLOBAL)'!D497-'[1]VENTAS(RESUMEN GLOBAL)'!E497</f>
        <v>4</v>
      </c>
      <c r="H497" s="9">
        <f>+'[1]VENTAS(RESUMEN GLOBAL)'!K497</f>
        <v>3.5</v>
      </c>
      <c r="I497" s="8">
        <f>+G497*'[1]VENTAS(RESUMEN GLOBAL)'!F497</f>
        <v>80</v>
      </c>
      <c r="J497" s="8">
        <f>'[1]VENTAS(RESUMEN GLOBAL)'!G497*(1-'[1]VENTAS(RESUMEN GLOBAL)'!H497)</f>
        <v>32.800000000000004</v>
      </c>
      <c r="K497" s="8">
        <f t="shared" si="7"/>
        <v>47.199999999999996</v>
      </c>
      <c r="L497" s="8">
        <f>+'[1]VENTAS(RESUMEN GLOBAL)'!J497</f>
        <v>5.8999999999999995</v>
      </c>
      <c r="M497" s="8">
        <f>+Tabla1[[#This Row],[utilidad x dia]]*7</f>
        <v>41.3</v>
      </c>
    </row>
    <row r="498" spans="1:13" x14ac:dyDescent="0.3">
      <c r="A498" s="6">
        <f>+'[1]VENTAS(RESUMEN GLOBAL)'!L498</f>
        <v>46056</v>
      </c>
      <c r="B498" s="6" t="str">
        <f>+'[1]VENTAS(RESUMEN GLOBAL)'!M498</f>
        <v>RIVULIS</v>
      </c>
      <c r="C498">
        <f>+'[1]VENTAS(RESUMEN GLOBAL)'!B498</f>
        <v>100400</v>
      </c>
      <c r="D498" t="str">
        <f>INDEX('[1]CÓDIGOS DE PRODUCTO'!$D$3:$D$1000,MATCH(C498,'[1]CÓDIGOS DE PRODUCTO'!$A$3:$A$1000,0))</f>
        <v>50202300 </v>
      </c>
      <c r="E498" t="str">
        <f>VLOOKUP(C498,'[1]CÓDIGOS DE PRODUCTO'!$A$4:$B$156,2,FALSE)</f>
        <v>Jumex</v>
      </c>
      <c r="F498" t="str">
        <f>INDEX('[1]CÓDIGOS DE PRODUCTO'!$C$3:$C$1000,MATCH(C498,'[1]CÓDIGOS DE PRODUCTO'!$A$3:$A$1000,0))</f>
        <v>Bebidas</v>
      </c>
      <c r="G498">
        <f>+'[1]VENTAS(RESUMEN GLOBAL)'!D498-'[1]VENTAS(RESUMEN GLOBAL)'!E498</f>
        <v>6</v>
      </c>
      <c r="H498" s="9">
        <f>+'[1]VENTAS(RESUMEN GLOBAL)'!K498</f>
        <v>5.25</v>
      </c>
      <c r="I498" s="8">
        <f>+G498*'[1]VENTAS(RESUMEN GLOBAL)'!F498</f>
        <v>90</v>
      </c>
      <c r="J498" s="8">
        <f>'[1]VENTAS(RESUMEN GLOBAL)'!G498*(1-'[1]VENTAS(RESUMEN GLOBAL)'!H498)</f>
        <v>45</v>
      </c>
      <c r="K498" s="8">
        <f t="shared" si="7"/>
        <v>45</v>
      </c>
      <c r="L498" s="8">
        <f>+'[1]VENTAS(RESUMEN GLOBAL)'!J498</f>
        <v>5.625</v>
      </c>
      <c r="M498" s="8">
        <f>+Tabla1[[#This Row],[utilidad x dia]]*7</f>
        <v>39.375</v>
      </c>
    </row>
    <row r="499" spans="1:13" x14ac:dyDescent="0.3">
      <c r="A499" s="6">
        <f>+'[1]VENTAS(RESUMEN GLOBAL)'!L499</f>
        <v>46056</v>
      </c>
      <c r="B499" s="6" t="str">
        <f>+'[1]VENTAS(RESUMEN GLOBAL)'!M499</f>
        <v>RIVULIS</v>
      </c>
      <c r="C499">
        <f>+'[1]VENTAS(RESUMEN GLOBAL)'!B499</f>
        <v>100400</v>
      </c>
      <c r="D499" t="str">
        <f>INDEX('[1]CÓDIGOS DE PRODUCTO'!$D$3:$D$1000,MATCH(C499,'[1]CÓDIGOS DE PRODUCTO'!$A$3:$A$1000,0))</f>
        <v>50202300 </v>
      </c>
      <c r="E499" t="str">
        <f>VLOOKUP(C499,'[1]CÓDIGOS DE PRODUCTO'!$A$4:$B$156,2,FALSE)</f>
        <v>Jumex</v>
      </c>
      <c r="F499" t="str">
        <f>INDEX('[1]CÓDIGOS DE PRODUCTO'!$C$3:$C$1000,MATCH(C499,'[1]CÓDIGOS DE PRODUCTO'!$A$3:$A$1000,0))</f>
        <v>Bebidas</v>
      </c>
      <c r="G499">
        <f>+'[1]VENTAS(RESUMEN GLOBAL)'!D499-'[1]VENTAS(RESUMEN GLOBAL)'!E499</f>
        <v>2</v>
      </c>
      <c r="H499" s="9">
        <f>+'[1]VENTAS(RESUMEN GLOBAL)'!K499</f>
        <v>1.75</v>
      </c>
      <c r="I499" s="8">
        <f>+G499*'[1]VENTAS(RESUMEN GLOBAL)'!F499</f>
        <v>30</v>
      </c>
      <c r="J499" s="8">
        <f>'[1]VENTAS(RESUMEN GLOBAL)'!G499*(1-'[1]VENTAS(RESUMEN GLOBAL)'!H499)</f>
        <v>15</v>
      </c>
      <c r="K499" s="8">
        <f t="shared" si="7"/>
        <v>15</v>
      </c>
      <c r="L499" s="8">
        <f>+'[1]VENTAS(RESUMEN GLOBAL)'!J499</f>
        <v>1.875</v>
      </c>
      <c r="M499" s="8">
        <f>+Tabla1[[#This Row],[utilidad x dia]]*7</f>
        <v>13.125</v>
      </c>
    </row>
    <row r="500" spans="1:13" x14ac:dyDescent="0.3">
      <c r="A500" s="6">
        <f>+'[1]VENTAS(RESUMEN GLOBAL)'!L500</f>
        <v>46056</v>
      </c>
      <c r="B500" s="6" t="str">
        <f>+'[1]VENTAS(RESUMEN GLOBAL)'!M500</f>
        <v>RIVULIS</v>
      </c>
      <c r="C500">
        <f>+'[1]VENTAS(RESUMEN GLOBAL)'!B500</f>
        <v>100600</v>
      </c>
      <c r="D500" t="str">
        <f>INDEX('[1]CÓDIGOS DE PRODUCTO'!$D$3:$D$1000,MATCH(C500,'[1]CÓDIGOS DE PRODUCTO'!$A$3:$A$1000,0))</f>
        <v>50202300 </v>
      </c>
      <c r="E500" t="str">
        <f>VLOOKUP(C500,'[1]CÓDIGOS DE PRODUCTO'!$A$4:$B$156,2,FALSE)</f>
        <v>Leche santa clara</v>
      </c>
      <c r="F500" t="str">
        <f>INDEX('[1]CÓDIGOS DE PRODUCTO'!$C$3:$C$1000,MATCH(C500,'[1]CÓDIGOS DE PRODUCTO'!$A$3:$A$1000,0))</f>
        <v>Bebidas</v>
      </c>
      <c r="G500">
        <f>+'[1]VENTAS(RESUMEN GLOBAL)'!D500-'[1]VENTAS(RESUMEN GLOBAL)'!E500</f>
        <v>2</v>
      </c>
      <c r="H500" s="9">
        <f>+'[1]VENTAS(RESUMEN GLOBAL)'!K500</f>
        <v>1.75</v>
      </c>
      <c r="I500" s="8">
        <f>+G500*'[1]VENTAS(RESUMEN GLOBAL)'!F500</f>
        <v>36</v>
      </c>
      <c r="J500" s="8">
        <f>'[1]VENTAS(RESUMEN GLOBAL)'!G500*(1-'[1]VENTAS(RESUMEN GLOBAL)'!H500)</f>
        <v>20.520000000000003</v>
      </c>
      <c r="K500" s="8">
        <f t="shared" si="7"/>
        <v>15.479999999999997</v>
      </c>
      <c r="L500" s="8">
        <f>+'[1]VENTAS(RESUMEN GLOBAL)'!J500</f>
        <v>1.9350000000000001</v>
      </c>
      <c r="M500" s="8">
        <f>+Tabla1[[#This Row],[utilidad x dia]]*7</f>
        <v>13.545</v>
      </c>
    </row>
    <row r="501" spans="1:13" x14ac:dyDescent="0.3">
      <c r="A501" s="6">
        <f>+'[1]VENTAS(RESUMEN GLOBAL)'!L501</f>
        <v>46056</v>
      </c>
      <c r="B501" s="6" t="str">
        <f>+'[1]VENTAS(RESUMEN GLOBAL)'!M501</f>
        <v>RIVULIS</v>
      </c>
      <c r="C501">
        <f>+'[1]VENTAS(RESUMEN GLOBAL)'!B501</f>
        <v>100600</v>
      </c>
      <c r="D501" t="str">
        <f>INDEX('[1]CÓDIGOS DE PRODUCTO'!$D$3:$D$1000,MATCH(C501,'[1]CÓDIGOS DE PRODUCTO'!$A$3:$A$1000,0))</f>
        <v>50202300 </v>
      </c>
      <c r="E501" t="str">
        <f>VLOOKUP(C501,'[1]CÓDIGOS DE PRODUCTO'!$A$4:$B$156,2,FALSE)</f>
        <v>Leche santa clara</v>
      </c>
      <c r="F501" t="str">
        <f>INDEX('[1]CÓDIGOS DE PRODUCTO'!$C$3:$C$1000,MATCH(C501,'[1]CÓDIGOS DE PRODUCTO'!$A$3:$A$1000,0))</f>
        <v>Bebidas</v>
      </c>
      <c r="G501">
        <f>+'[1]VENTAS(RESUMEN GLOBAL)'!D501-'[1]VENTAS(RESUMEN GLOBAL)'!E501</f>
        <v>6</v>
      </c>
      <c r="H501" s="9">
        <f>+'[1]VENTAS(RESUMEN GLOBAL)'!K501</f>
        <v>5.25</v>
      </c>
      <c r="I501" s="8">
        <f>+G501*'[1]VENTAS(RESUMEN GLOBAL)'!F501</f>
        <v>108</v>
      </c>
      <c r="J501" s="8">
        <f>'[1]VENTAS(RESUMEN GLOBAL)'!G501*(1-'[1]VENTAS(RESUMEN GLOBAL)'!H501)</f>
        <v>61.560000000000009</v>
      </c>
      <c r="K501" s="8">
        <f t="shared" si="7"/>
        <v>46.439999999999991</v>
      </c>
      <c r="L501" s="8">
        <f>+'[1]VENTAS(RESUMEN GLOBAL)'!J501</f>
        <v>5.8049999999999997</v>
      </c>
      <c r="M501" s="8">
        <f>+Tabla1[[#This Row],[utilidad x dia]]*7</f>
        <v>40.634999999999998</v>
      </c>
    </row>
    <row r="502" spans="1:13" x14ac:dyDescent="0.3">
      <c r="A502" s="6">
        <f>+'[1]VENTAS(RESUMEN GLOBAL)'!L502</f>
        <v>46056</v>
      </c>
      <c r="B502" s="6" t="str">
        <f>+'[1]VENTAS(RESUMEN GLOBAL)'!M502</f>
        <v>RIVULIS</v>
      </c>
      <c r="C502">
        <f>+'[1]VENTAS(RESUMEN GLOBAL)'!B502</f>
        <v>800900</v>
      </c>
      <c r="D502" t="str">
        <f>INDEX('[1]CÓDIGOS DE PRODUCTO'!$D$3:$D$1000,MATCH(C502,'[1]CÓDIGOS DE PRODUCTO'!$A$3:$A$1000,0))</f>
        <v>50181900 </v>
      </c>
      <c r="E502" t="str">
        <f>VLOOKUP(C502,'[1]CÓDIGOS DE PRODUCTO'!$A$4:$B$156,2,FALSE)</f>
        <v>MANTECADAS</v>
      </c>
      <c r="F502" t="str">
        <f>INDEX('[1]CÓDIGOS DE PRODUCTO'!$C$3:$C$1000,MATCH(C502,'[1]CÓDIGOS DE PRODUCTO'!$A$3:$A$1000,0))</f>
        <v>GALLETAS Y PAN DULCE</v>
      </c>
      <c r="G502">
        <f>+'[1]VENTAS(RESUMEN GLOBAL)'!D502-'[1]VENTAS(RESUMEN GLOBAL)'!E502</f>
        <v>13</v>
      </c>
      <c r="H502" s="9">
        <f>+'[1]VENTAS(RESUMEN GLOBAL)'!K502</f>
        <v>11.375</v>
      </c>
      <c r="I502" s="8">
        <f>+G502*'[1]VENTAS(RESUMEN GLOBAL)'!F502</f>
        <v>260</v>
      </c>
      <c r="J502" s="8">
        <f>'[1]VENTAS(RESUMEN GLOBAL)'!G502*(1-'[1]VENTAS(RESUMEN GLOBAL)'!H502)</f>
        <v>127.39999999999999</v>
      </c>
      <c r="K502" s="8">
        <f t="shared" si="7"/>
        <v>132.60000000000002</v>
      </c>
      <c r="L502" s="8">
        <f>+'[1]VENTAS(RESUMEN GLOBAL)'!J502</f>
        <v>16.574999999999999</v>
      </c>
      <c r="M502" s="8">
        <f>+Tabla1[[#This Row],[utilidad x dia]]*7</f>
        <v>116.02499999999999</v>
      </c>
    </row>
    <row r="503" spans="1:13" x14ac:dyDescent="0.3">
      <c r="A503" s="6">
        <f>+'[1]VENTAS(RESUMEN GLOBAL)'!L503</f>
        <v>46056</v>
      </c>
      <c r="B503" s="6" t="str">
        <f>+'[1]VENTAS(RESUMEN GLOBAL)'!M503</f>
        <v>RIVULIS</v>
      </c>
      <c r="C503">
        <f>+'[1]VENTAS(RESUMEN GLOBAL)'!B503</f>
        <v>300700</v>
      </c>
      <c r="D503" t="str">
        <f>INDEX('[1]CÓDIGOS DE PRODUCTO'!$D$3:$D$1000,MATCH(C503,'[1]CÓDIGOS DE PRODUCTO'!$A$3:$A$1000,0))</f>
        <v>50161800 </v>
      </c>
      <c r="E503" t="str">
        <f>VLOOKUP(C503,'[1]CÓDIGOS DE PRODUCTO'!$A$4:$B$156,2,FALSE)</f>
        <v>ZUMBA GOMA</v>
      </c>
      <c r="F503" t="str">
        <f>INDEX('[1]CÓDIGOS DE PRODUCTO'!$C$3:$C$1000,MATCH(C503,'[1]CÓDIGOS DE PRODUCTO'!$A$3:$A$1000,0))</f>
        <v>Snacks &amp; Dulces</v>
      </c>
      <c r="G503">
        <f>+'[1]VENTAS(RESUMEN GLOBAL)'!D503-'[1]VENTAS(RESUMEN GLOBAL)'!E503</f>
        <v>4</v>
      </c>
      <c r="H503" s="9">
        <f>+'[1]VENTAS(RESUMEN GLOBAL)'!K503</f>
        <v>3.5</v>
      </c>
      <c r="I503" s="8">
        <f>+G503*'[1]VENTAS(RESUMEN GLOBAL)'!F503</f>
        <v>40</v>
      </c>
      <c r="J503" s="8">
        <f>'[1]VENTAS(RESUMEN GLOBAL)'!G503*(1-'[1]VENTAS(RESUMEN GLOBAL)'!H503)</f>
        <v>11.600000000000001</v>
      </c>
      <c r="K503" s="8">
        <f t="shared" si="7"/>
        <v>28.4</v>
      </c>
      <c r="L503" s="8">
        <f>+'[1]VENTAS(RESUMEN GLOBAL)'!J503</f>
        <v>3.55</v>
      </c>
      <c r="M503" s="8">
        <f>+Tabla1[[#This Row],[utilidad x dia]]*7</f>
        <v>24.849999999999998</v>
      </c>
    </row>
    <row r="504" spans="1:13" x14ac:dyDescent="0.3">
      <c r="A504" s="6">
        <f>+'[1]VENTAS(RESUMEN GLOBAL)'!L504</f>
        <v>46056</v>
      </c>
      <c r="B504" s="6" t="str">
        <f>+'[1]VENTAS(RESUMEN GLOBAL)'!M504</f>
        <v>RIVULIS</v>
      </c>
      <c r="C504">
        <f>+'[1]VENTAS(RESUMEN GLOBAL)'!B504</f>
        <v>300200</v>
      </c>
      <c r="D504" t="str">
        <f>INDEX('[1]CÓDIGOS DE PRODUCTO'!$D$3:$D$1000,MATCH(C504,'[1]CÓDIGOS DE PRODUCTO'!$A$3:$A$1000,0))</f>
        <v>50161800 </v>
      </c>
      <c r="E504" t="str">
        <f>VLOOKUP(C504,'[1]CÓDIGOS DE PRODUCTO'!$A$4:$B$156,2,FALSE)</f>
        <v>SKWINKLES</v>
      </c>
      <c r="F504" t="str">
        <f>INDEX('[1]CÓDIGOS DE PRODUCTO'!$C$3:$C$1000,MATCH(C504,'[1]CÓDIGOS DE PRODUCTO'!$A$3:$A$1000,0))</f>
        <v>Snacks &amp; Dulces</v>
      </c>
      <c r="G504">
        <f>+'[1]VENTAS(RESUMEN GLOBAL)'!D504-'[1]VENTAS(RESUMEN GLOBAL)'!E504</f>
        <v>0</v>
      </c>
      <c r="H504" s="9">
        <f>+'[1]VENTAS(RESUMEN GLOBAL)'!K504</f>
        <v>0</v>
      </c>
      <c r="I504" s="8">
        <f>+G504*'[1]VENTAS(RESUMEN GLOBAL)'!F504</f>
        <v>0</v>
      </c>
      <c r="J504" s="8">
        <f>'[1]VENTAS(RESUMEN GLOBAL)'!G504*(1-'[1]VENTAS(RESUMEN GLOBAL)'!H504)</f>
        <v>0</v>
      </c>
      <c r="K504" s="8">
        <f t="shared" si="7"/>
        <v>0</v>
      </c>
      <c r="L504" s="8">
        <f>+'[1]VENTAS(RESUMEN GLOBAL)'!J504</f>
        <v>0</v>
      </c>
      <c r="M504" s="8">
        <f>+Tabla1[[#This Row],[utilidad x dia]]*7</f>
        <v>0</v>
      </c>
    </row>
    <row r="505" spans="1:13" x14ac:dyDescent="0.3">
      <c r="A505" s="6">
        <f>+'[1]VENTAS(RESUMEN GLOBAL)'!L505</f>
        <v>46056</v>
      </c>
      <c r="B505" s="6" t="str">
        <f>+'[1]VENTAS(RESUMEN GLOBAL)'!M505</f>
        <v>RIVULIS</v>
      </c>
      <c r="C505">
        <f>+'[1]VENTAS(RESUMEN GLOBAL)'!B505</f>
        <v>300100</v>
      </c>
      <c r="D505" t="str">
        <f>INDEX('[1]CÓDIGOS DE PRODUCTO'!$D$3:$D$1000,MATCH(C505,'[1]CÓDIGOS DE PRODUCTO'!$A$3:$A$1000,0))</f>
        <v>50161800 </v>
      </c>
      <c r="E505" t="str">
        <f>VLOOKUP(C505,'[1]CÓDIGOS DE PRODUCTO'!$A$4:$B$156,2,FALSE)</f>
        <v>Pelonetes</v>
      </c>
      <c r="F505" t="str">
        <f>INDEX('[1]CÓDIGOS DE PRODUCTO'!$C$3:$C$1000,MATCH(C505,'[1]CÓDIGOS DE PRODUCTO'!$A$3:$A$1000,0))</f>
        <v>Snacks &amp; Dulces</v>
      </c>
      <c r="G505">
        <f>+'[1]VENTAS(RESUMEN GLOBAL)'!D505-'[1]VENTAS(RESUMEN GLOBAL)'!E505</f>
        <v>3</v>
      </c>
      <c r="H505" s="9">
        <f>+'[1]VENTAS(RESUMEN GLOBAL)'!K505</f>
        <v>2.625</v>
      </c>
      <c r="I505" s="8">
        <f>+G505*'[1]VENTAS(RESUMEN GLOBAL)'!F505</f>
        <v>45</v>
      </c>
      <c r="J505" s="8">
        <f>'[1]VENTAS(RESUMEN GLOBAL)'!G505*(1-'[1]VENTAS(RESUMEN GLOBAL)'!H505)</f>
        <v>19.350000000000001</v>
      </c>
      <c r="K505" s="8">
        <f t="shared" si="7"/>
        <v>25.65</v>
      </c>
      <c r="L505" s="8">
        <f>+'[1]VENTAS(RESUMEN GLOBAL)'!J505</f>
        <v>3.2062499999999998</v>
      </c>
      <c r="M505" s="8">
        <f>+Tabla1[[#This Row],[utilidad x dia]]*7</f>
        <v>22.443749999999998</v>
      </c>
    </row>
    <row r="506" spans="1:13" x14ac:dyDescent="0.3">
      <c r="A506" s="6">
        <f>+'[1]VENTAS(RESUMEN GLOBAL)'!L506</f>
        <v>46056</v>
      </c>
      <c r="B506" s="6" t="str">
        <f>+'[1]VENTAS(RESUMEN GLOBAL)'!M506</f>
        <v>RIVULIS</v>
      </c>
      <c r="C506">
        <f>+'[1]VENTAS(RESUMEN GLOBAL)'!B506</f>
        <v>900300</v>
      </c>
      <c r="D506">
        <f>INDEX('[1]CÓDIGOS DE PRODUCTO'!$D$3:$D$1000,MATCH(C506,'[1]CÓDIGOS DE PRODUCTO'!$A$3:$A$1000,0))</f>
        <v>50161815</v>
      </c>
      <c r="E506" t="str">
        <f>VLOOKUP(C506,'[1]CÓDIGOS DE PRODUCTO'!$A$4:$B$156,2,FALSE)</f>
        <v>CHICLES TRIDENT</v>
      </c>
      <c r="F506" t="str">
        <f>INDEX('[1]CÓDIGOS DE PRODUCTO'!$C$3:$C$1000,MATCH(C506,'[1]CÓDIGOS DE PRODUCTO'!$A$3:$A$1000,0))</f>
        <v>OTROS</v>
      </c>
      <c r="G506">
        <f>+'[1]VENTAS(RESUMEN GLOBAL)'!D506-'[1]VENTAS(RESUMEN GLOBAL)'!E506</f>
        <v>1</v>
      </c>
      <c r="H506" s="9">
        <f>+'[1]VENTAS(RESUMEN GLOBAL)'!K506</f>
        <v>0.875</v>
      </c>
      <c r="I506" s="8">
        <f>+G506*'[1]VENTAS(RESUMEN GLOBAL)'!F506</f>
        <v>25</v>
      </c>
      <c r="J506" s="8">
        <f>'[1]VENTAS(RESUMEN GLOBAL)'!G506*(1-'[1]VENTAS(RESUMEN GLOBAL)'!H506)</f>
        <v>15</v>
      </c>
      <c r="K506" s="8">
        <f t="shared" si="7"/>
        <v>10</v>
      </c>
      <c r="L506" s="8">
        <f>+'[1]VENTAS(RESUMEN GLOBAL)'!J506</f>
        <v>1.25</v>
      </c>
      <c r="M506" s="8">
        <f>+Tabla1[[#This Row],[utilidad x dia]]*7</f>
        <v>8.75</v>
      </c>
    </row>
    <row r="507" spans="1:13" x14ac:dyDescent="0.3">
      <c r="A507" s="6">
        <f>+'[1]VENTAS(RESUMEN GLOBAL)'!L507</f>
        <v>46056</v>
      </c>
      <c r="B507" s="6" t="str">
        <f>+'[1]VENTAS(RESUMEN GLOBAL)'!M507</f>
        <v>RIVULIS</v>
      </c>
      <c r="C507">
        <f>+'[1]VENTAS(RESUMEN GLOBAL)'!B507</f>
        <v>300400</v>
      </c>
      <c r="D507" t="str">
        <f>INDEX('[1]CÓDIGOS DE PRODUCTO'!$D$3:$D$1000,MATCH(C507,'[1]CÓDIGOS DE PRODUCTO'!$A$3:$A$1000,0))</f>
        <v>50161800 </v>
      </c>
      <c r="E507" t="str">
        <f>VLOOKUP(C507,'[1]CÓDIGOS DE PRODUCTO'!$A$4:$B$156,2,FALSE)</f>
        <v>Welchs GOMITAS</v>
      </c>
      <c r="F507" t="str">
        <f>INDEX('[1]CÓDIGOS DE PRODUCTO'!$C$3:$C$1000,MATCH(C507,'[1]CÓDIGOS DE PRODUCTO'!$A$3:$A$1000,0))</f>
        <v>Snacks &amp; Dulces</v>
      </c>
      <c r="G507">
        <f>+'[1]VENTAS(RESUMEN GLOBAL)'!D507-'[1]VENTAS(RESUMEN GLOBAL)'!E507</f>
        <v>11</v>
      </c>
      <c r="H507" s="9">
        <f>+'[1]VENTAS(RESUMEN GLOBAL)'!K507</f>
        <v>9.625</v>
      </c>
      <c r="I507" s="8">
        <f>+G507*'[1]VENTAS(RESUMEN GLOBAL)'!F507</f>
        <v>110</v>
      </c>
      <c r="J507" s="8">
        <f>'[1]VENTAS(RESUMEN GLOBAL)'!G507*(1-'[1]VENTAS(RESUMEN GLOBAL)'!H507)</f>
        <v>66</v>
      </c>
      <c r="K507" s="8">
        <f t="shared" si="7"/>
        <v>44</v>
      </c>
      <c r="L507" s="8">
        <f>+'[1]VENTAS(RESUMEN GLOBAL)'!J507</f>
        <v>5.5</v>
      </c>
      <c r="M507" s="8">
        <f>+Tabla1[[#This Row],[utilidad x dia]]*7</f>
        <v>38.5</v>
      </c>
    </row>
    <row r="508" spans="1:13" x14ac:dyDescent="0.3">
      <c r="A508" s="6">
        <f>+'[1]VENTAS(RESUMEN GLOBAL)'!L508</f>
        <v>46056</v>
      </c>
      <c r="B508" s="6" t="str">
        <f>+'[1]VENTAS(RESUMEN GLOBAL)'!M508</f>
        <v>RIVULIS</v>
      </c>
      <c r="C508">
        <f>+'[1]VENTAS(RESUMEN GLOBAL)'!B508</f>
        <v>700500</v>
      </c>
      <c r="D508" t="str">
        <f>INDEX('[1]CÓDIGOS DE PRODUCTO'!$D$3:$D$1000,MATCH(C508,'[1]CÓDIGOS DE PRODUCTO'!$A$3:$A$1000,0))</f>
        <v>50161511 </v>
      </c>
      <c r="E508" t="str">
        <f>VLOOKUP(C508,'[1]CÓDIGOS DE PRODUCTO'!$A$4:$B$156,2,FALSE)</f>
        <v>HERSHEYS BLANCO</v>
      </c>
      <c r="F508" t="str">
        <f>INDEX('[1]CÓDIGOS DE PRODUCTO'!$C$3:$C$1000,MATCH(C508,'[1]CÓDIGOS DE PRODUCTO'!$A$3:$A$1000,0))</f>
        <v>CHOCOLATES</v>
      </c>
      <c r="G508">
        <f>+'[1]VENTAS(RESUMEN GLOBAL)'!D508-'[1]VENTAS(RESUMEN GLOBAL)'!E508</f>
        <v>4</v>
      </c>
      <c r="H508" s="9">
        <f>+'[1]VENTAS(RESUMEN GLOBAL)'!K508</f>
        <v>3.5</v>
      </c>
      <c r="I508" s="8">
        <f>+G508*'[1]VENTAS(RESUMEN GLOBAL)'!F508</f>
        <v>60</v>
      </c>
      <c r="J508" s="8">
        <f>'[1]VENTAS(RESUMEN GLOBAL)'!G508*(1-'[1]VENTAS(RESUMEN GLOBAL)'!H508)</f>
        <v>25.800000000000004</v>
      </c>
      <c r="K508" s="8">
        <f t="shared" si="7"/>
        <v>34.199999999999996</v>
      </c>
      <c r="L508" s="8">
        <f>+'[1]VENTAS(RESUMEN GLOBAL)'!J508</f>
        <v>4.2749999999999995</v>
      </c>
      <c r="M508" s="8">
        <f>+Tabla1[[#This Row],[utilidad x dia]]*7</f>
        <v>29.924999999999997</v>
      </c>
    </row>
    <row r="509" spans="1:13" x14ac:dyDescent="0.3">
      <c r="A509" s="6">
        <f>+'[1]VENTAS(RESUMEN GLOBAL)'!L509</f>
        <v>46056</v>
      </c>
      <c r="B509" s="6" t="str">
        <f>+'[1]VENTAS(RESUMEN GLOBAL)'!M509</f>
        <v>RIVULIS</v>
      </c>
      <c r="C509">
        <f>+'[1]VENTAS(RESUMEN GLOBAL)'!B509</f>
        <v>700400</v>
      </c>
      <c r="D509" t="str">
        <f>INDEX('[1]CÓDIGOS DE PRODUCTO'!$D$3:$D$1000,MATCH(C509,'[1]CÓDIGOS DE PRODUCTO'!$A$3:$A$1000,0))</f>
        <v>50161511 </v>
      </c>
      <c r="E509" t="str">
        <f>VLOOKUP(C509,'[1]CÓDIGOS DE PRODUCTO'!$A$4:$B$156,2,FALSE)</f>
        <v>KIT KAT</v>
      </c>
      <c r="F509" t="str">
        <f>INDEX('[1]CÓDIGOS DE PRODUCTO'!$C$3:$C$1000,MATCH(C509,'[1]CÓDIGOS DE PRODUCTO'!$A$3:$A$1000,0))</f>
        <v>CHOCOLATES</v>
      </c>
      <c r="G509">
        <f>+'[1]VENTAS(RESUMEN GLOBAL)'!D509-'[1]VENTAS(RESUMEN GLOBAL)'!E509</f>
        <v>3</v>
      </c>
      <c r="H509" s="9">
        <f>+'[1]VENTAS(RESUMEN GLOBAL)'!K509</f>
        <v>2.625</v>
      </c>
      <c r="I509" s="8">
        <f>+G509*'[1]VENTAS(RESUMEN GLOBAL)'!F509</f>
        <v>75</v>
      </c>
      <c r="J509" s="8">
        <f>'[1]VENTAS(RESUMEN GLOBAL)'!G509*(1-'[1]VENTAS(RESUMEN GLOBAL)'!H509)</f>
        <v>39</v>
      </c>
      <c r="K509" s="8">
        <f t="shared" si="7"/>
        <v>36</v>
      </c>
      <c r="L509" s="8">
        <f>+'[1]VENTAS(RESUMEN GLOBAL)'!J509</f>
        <v>4.5</v>
      </c>
      <c r="M509" s="8">
        <f>+Tabla1[[#This Row],[utilidad x dia]]*7</f>
        <v>31.5</v>
      </c>
    </row>
    <row r="510" spans="1:13" x14ac:dyDescent="0.3">
      <c r="A510" s="6">
        <f>+'[1]VENTAS(RESUMEN GLOBAL)'!L510</f>
        <v>46056</v>
      </c>
      <c r="B510" s="6" t="str">
        <f>+'[1]VENTAS(RESUMEN GLOBAL)'!M510</f>
        <v>RIVULIS</v>
      </c>
      <c r="C510">
        <f>+'[1]VENTAS(RESUMEN GLOBAL)'!B510</f>
        <v>700800</v>
      </c>
      <c r="D510" t="str">
        <f>INDEX('[1]CÓDIGOS DE PRODUCTO'!$D$3:$D$1000,MATCH(C510,'[1]CÓDIGOS DE PRODUCTO'!$A$3:$A$1000,0))</f>
        <v>50161511 </v>
      </c>
      <c r="E510" t="str">
        <f>VLOOKUP(C510,'[1]CÓDIGOS DE PRODUCTO'!$A$4:$B$156,2,FALSE)</f>
        <v>Kinder delice</v>
      </c>
      <c r="F510" t="str">
        <f>INDEX('[1]CÓDIGOS DE PRODUCTO'!$C$3:$C$1000,MATCH(C510,'[1]CÓDIGOS DE PRODUCTO'!$A$3:$A$1000,0))</f>
        <v>CHOCOLATES</v>
      </c>
      <c r="G510">
        <f>+'[1]VENTAS(RESUMEN GLOBAL)'!D510-'[1]VENTAS(RESUMEN GLOBAL)'!E510</f>
        <v>2</v>
      </c>
      <c r="H510" s="9">
        <f>+'[1]VENTAS(RESUMEN GLOBAL)'!K510</f>
        <v>1.75</v>
      </c>
      <c r="I510" s="8">
        <f>+G510*'[1]VENTAS(RESUMEN GLOBAL)'!F510</f>
        <v>40</v>
      </c>
      <c r="J510" s="8">
        <f>'[1]VENTAS(RESUMEN GLOBAL)'!G510*(1-'[1]VENTAS(RESUMEN GLOBAL)'!H510)</f>
        <v>24.8</v>
      </c>
      <c r="K510" s="8">
        <f t="shared" si="7"/>
        <v>15.2</v>
      </c>
      <c r="L510" s="8">
        <f>+'[1]VENTAS(RESUMEN GLOBAL)'!J510</f>
        <v>1.9</v>
      </c>
      <c r="M510" s="8">
        <f>+Tabla1[[#This Row],[utilidad x dia]]*7</f>
        <v>13.299999999999999</v>
      </c>
    </row>
    <row r="511" spans="1:13" x14ac:dyDescent="0.3">
      <c r="A511" s="6">
        <f>+'[1]VENTAS(RESUMEN GLOBAL)'!L511</f>
        <v>46056</v>
      </c>
      <c r="B511" s="6" t="str">
        <f>+'[1]VENTAS(RESUMEN GLOBAL)'!M511</f>
        <v>RIVULIS</v>
      </c>
      <c r="C511">
        <f>+'[1]VENTAS(RESUMEN GLOBAL)'!B511</f>
        <v>700700</v>
      </c>
      <c r="D511" t="str">
        <f>INDEX('[1]CÓDIGOS DE PRODUCTO'!$D$3:$D$1000,MATCH(C511,'[1]CÓDIGOS DE PRODUCTO'!$A$3:$A$1000,0))</f>
        <v>50161511 </v>
      </c>
      <c r="E511" t="str">
        <f>VLOOKUP(C511,'[1]CÓDIGOS DE PRODUCTO'!$A$4:$B$156,2,FALSE)</f>
        <v>Milkiway</v>
      </c>
      <c r="F511" t="str">
        <f>INDEX('[1]CÓDIGOS DE PRODUCTO'!$C$3:$C$1000,MATCH(C511,'[1]CÓDIGOS DE PRODUCTO'!$A$3:$A$1000,0))</f>
        <v>CHOCOLATES</v>
      </c>
      <c r="G511">
        <f>+'[1]VENTAS(RESUMEN GLOBAL)'!D511-'[1]VENTAS(RESUMEN GLOBAL)'!E511</f>
        <v>0</v>
      </c>
      <c r="H511" s="9">
        <f>+'[1]VENTAS(RESUMEN GLOBAL)'!K511</f>
        <v>0</v>
      </c>
      <c r="I511" s="8">
        <f>+G511*'[1]VENTAS(RESUMEN GLOBAL)'!F511</f>
        <v>0</v>
      </c>
      <c r="J511" s="8">
        <f>'[1]VENTAS(RESUMEN GLOBAL)'!G511*(1-'[1]VENTAS(RESUMEN GLOBAL)'!H511)</f>
        <v>0</v>
      </c>
      <c r="K511" s="8">
        <f t="shared" si="7"/>
        <v>0</v>
      </c>
      <c r="L511" s="8">
        <f>+'[1]VENTAS(RESUMEN GLOBAL)'!J511</f>
        <v>0</v>
      </c>
      <c r="M511" s="8">
        <f>+Tabla1[[#This Row],[utilidad x dia]]*7</f>
        <v>0</v>
      </c>
    </row>
    <row r="512" spans="1:13" x14ac:dyDescent="0.3">
      <c r="A512" s="6">
        <f>+'[1]VENTAS(RESUMEN GLOBAL)'!L512</f>
        <v>46056</v>
      </c>
      <c r="B512" s="6" t="str">
        <f>+'[1]VENTAS(RESUMEN GLOBAL)'!M512</f>
        <v>RIVULIS</v>
      </c>
      <c r="C512">
        <f>+'[1]VENTAS(RESUMEN GLOBAL)'!B512</f>
        <v>700200</v>
      </c>
      <c r="D512" t="str">
        <f>INDEX('[1]CÓDIGOS DE PRODUCTO'!$D$3:$D$1000,MATCH(C512,'[1]CÓDIGOS DE PRODUCTO'!$A$3:$A$1000,0))</f>
        <v>50161511 </v>
      </c>
      <c r="E512" t="str">
        <f>VLOOKUP(C512,'[1]CÓDIGOS DE PRODUCTO'!$A$4:$B$156,2,FALSE)</f>
        <v>Snickers</v>
      </c>
      <c r="F512" t="str">
        <f>INDEX('[1]CÓDIGOS DE PRODUCTO'!$C$3:$C$1000,MATCH(C512,'[1]CÓDIGOS DE PRODUCTO'!$A$3:$A$1000,0))</f>
        <v>CHOCOLATES</v>
      </c>
      <c r="G512">
        <f>+'[1]VENTAS(RESUMEN GLOBAL)'!D512-'[1]VENTAS(RESUMEN GLOBAL)'!E512</f>
        <v>2</v>
      </c>
      <c r="H512" s="9">
        <f>+'[1]VENTAS(RESUMEN GLOBAL)'!K512</f>
        <v>1.75</v>
      </c>
      <c r="I512" s="8">
        <f>+G512*'[1]VENTAS(RESUMEN GLOBAL)'!F512</f>
        <v>50</v>
      </c>
      <c r="J512" s="8">
        <f>'[1]VENTAS(RESUMEN GLOBAL)'!G512*(1-'[1]VENTAS(RESUMEN GLOBAL)'!H512)</f>
        <v>28.000000000000004</v>
      </c>
      <c r="K512" s="8">
        <f t="shared" si="7"/>
        <v>21.999999999999996</v>
      </c>
      <c r="L512" s="8">
        <f>+'[1]VENTAS(RESUMEN GLOBAL)'!J512</f>
        <v>2.75</v>
      </c>
      <c r="M512" s="8">
        <f>+Tabla1[[#This Row],[utilidad x dia]]*7</f>
        <v>19.25</v>
      </c>
    </row>
    <row r="513" spans="1:13" x14ac:dyDescent="0.3">
      <c r="A513" s="6">
        <f>+'[1]VENTAS(RESUMEN GLOBAL)'!L513</f>
        <v>46056</v>
      </c>
      <c r="B513" s="6" t="str">
        <f>+'[1]VENTAS(RESUMEN GLOBAL)'!M513</f>
        <v>RIVULIS</v>
      </c>
      <c r="C513">
        <f>+'[1]VENTAS(RESUMEN GLOBAL)'!B513</f>
        <v>800500</v>
      </c>
      <c r="D513" t="str">
        <f>INDEX('[1]CÓDIGOS DE PRODUCTO'!$D$3:$D$1000,MATCH(C513,'[1]CÓDIGOS DE PRODUCTO'!$A$3:$A$1000,0))</f>
        <v>50181900 </v>
      </c>
      <c r="E513" t="str">
        <f>VLOOKUP(C513,'[1]CÓDIGOS DE PRODUCTO'!$A$4:$B$156,2,FALSE)</f>
        <v>RICE KRISPIES</v>
      </c>
      <c r="F513" t="str">
        <f>INDEX('[1]CÓDIGOS DE PRODUCTO'!$C$3:$C$1000,MATCH(C513,'[1]CÓDIGOS DE PRODUCTO'!$A$3:$A$1000,0))</f>
        <v>GALLETAS Y PAN DULCE</v>
      </c>
      <c r="G513">
        <f>+'[1]VENTAS(RESUMEN GLOBAL)'!D513-'[1]VENTAS(RESUMEN GLOBAL)'!E513</f>
        <v>5</v>
      </c>
      <c r="H513" s="9">
        <f>+'[1]VENTAS(RESUMEN GLOBAL)'!K513</f>
        <v>4.375</v>
      </c>
      <c r="I513" s="8">
        <f>+G513*'[1]VENTAS(RESUMEN GLOBAL)'!F513</f>
        <v>50</v>
      </c>
      <c r="J513" s="8">
        <f>'[1]VENTAS(RESUMEN GLOBAL)'!G513*(1-'[1]VENTAS(RESUMEN GLOBAL)'!H513)</f>
        <v>15.000000000000002</v>
      </c>
      <c r="K513" s="8">
        <f t="shared" si="7"/>
        <v>35</v>
      </c>
      <c r="L513" s="8">
        <f>+'[1]VENTAS(RESUMEN GLOBAL)'!J513</f>
        <v>4.375</v>
      </c>
      <c r="M513" s="8">
        <f>+Tabla1[[#This Row],[utilidad x dia]]*7</f>
        <v>30.625</v>
      </c>
    </row>
    <row r="514" spans="1:13" x14ac:dyDescent="0.3">
      <c r="A514" s="6">
        <f>+'[1]VENTAS(RESUMEN GLOBAL)'!L514</f>
        <v>46056</v>
      </c>
      <c r="B514" s="6" t="str">
        <f>+'[1]VENTAS(RESUMEN GLOBAL)'!M514</f>
        <v>RIVULIS</v>
      </c>
      <c r="C514">
        <f>+'[1]VENTAS(RESUMEN GLOBAL)'!B514</f>
        <v>800700</v>
      </c>
      <c r="D514" t="str">
        <f>INDEX('[1]CÓDIGOS DE PRODUCTO'!$D$3:$D$1000,MATCH(C514,'[1]CÓDIGOS DE PRODUCTO'!$A$3:$A$1000,0))</f>
        <v>50181900 </v>
      </c>
      <c r="E514" t="str">
        <f>VLOOKUP(C514,'[1]CÓDIGOS DE PRODUCTO'!$A$4:$B$156,2,FALSE)</f>
        <v>BARRITAS PIÑA</v>
      </c>
      <c r="F514" t="str">
        <f>INDEX('[1]CÓDIGOS DE PRODUCTO'!$C$3:$C$1000,MATCH(C514,'[1]CÓDIGOS DE PRODUCTO'!$A$3:$A$1000,0))</f>
        <v>GALLETAS Y PAN DULCE</v>
      </c>
      <c r="G514">
        <f>+'[1]VENTAS(RESUMEN GLOBAL)'!D514-'[1]VENTAS(RESUMEN GLOBAL)'!E514</f>
        <v>0</v>
      </c>
      <c r="H514" s="9">
        <f>+'[1]VENTAS(RESUMEN GLOBAL)'!K514</f>
        <v>0</v>
      </c>
      <c r="I514" s="8">
        <f>+G514*'[1]VENTAS(RESUMEN GLOBAL)'!F514</f>
        <v>0</v>
      </c>
      <c r="J514" s="8">
        <f>'[1]VENTAS(RESUMEN GLOBAL)'!G514*(1-'[1]VENTAS(RESUMEN GLOBAL)'!H514)</f>
        <v>0</v>
      </c>
      <c r="K514" s="8">
        <f t="shared" si="7"/>
        <v>0</v>
      </c>
      <c r="L514" s="8">
        <f>+'[1]VENTAS(RESUMEN GLOBAL)'!J514</f>
        <v>0</v>
      </c>
      <c r="M514" s="8">
        <f>+Tabla1[[#This Row],[utilidad x dia]]*7</f>
        <v>0</v>
      </c>
    </row>
    <row r="515" spans="1:13" x14ac:dyDescent="0.3">
      <c r="A515" s="6">
        <f>+'[1]VENTAS(RESUMEN GLOBAL)'!L515</f>
        <v>46056</v>
      </c>
      <c r="B515" s="6" t="str">
        <f>+'[1]VENTAS(RESUMEN GLOBAL)'!M515</f>
        <v>RIVULIS</v>
      </c>
      <c r="C515">
        <f>+'[1]VENTAS(RESUMEN GLOBAL)'!B515</f>
        <v>800400</v>
      </c>
      <c r="D515" t="str">
        <f>INDEX('[1]CÓDIGOS DE PRODUCTO'!$D$3:$D$1000,MATCH(C515,'[1]CÓDIGOS DE PRODUCTO'!$A$3:$A$1000,0))</f>
        <v>50181900 </v>
      </c>
      <c r="E515" t="str">
        <f>VLOOKUP(C515,'[1]CÓDIGOS DE PRODUCTO'!$A$4:$B$156,2,FALSE)</f>
        <v>Barritas FRESA</v>
      </c>
      <c r="F515" t="str">
        <f>INDEX('[1]CÓDIGOS DE PRODUCTO'!$C$3:$C$1000,MATCH(C515,'[1]CÓDIGOS DE PRODUCTO'!$A$3:$A$1000,0))</f>
        <v>GALLETAS Y PAN DULCE</v>
      </c>
      <c r="G515">
        <f>+'[1]VENTAS(RESUMEN GLOBAL)'!D515-'[1]VENTAS(RESUMEN GLOBAL)'!E515</f>
        <v>6</v>
      </c>
      <c r="H515" s="9">
        <f>+'[1]VENTAS(RESUMEN GLOBAL)'!K515</f>
        <v>5.25</v>
      </c>
      <c r="I515" s="8">
        <f>+G515*'[1]VENTAS(RESUMEN GLOBAL)'!F515</f>
        <v>120</v>
      </c>
      <c r="J515" s="8">
        <f>'[1]VENTAS(RESUMEN GLOBAL)'!G515*(1-'[1]VENTAS(RESUMEN GLOBAL)'!H515)</f>
        <v>53.999999999999993</v>
      </c>
      <c r="K515" s="8">
        <f t="shared" ref="K515:K578" si="8">+I515-J515</f>
        <v>66</v>
      </c>
      <c r="L515" s="8">
        <f>+'[1]VENTAS(RESUMEN GLOBAL)'!J515</f>
        <v>8.25</v>
      </c>
      <c r="M515" s="8">
        <f>+Tabla1[[#This Row],[utilidad x dia]]*7</f>
        <v>57.75</v>
      </c>
    </row>
    <row r="516" spans="1:13" x14ac:dyDescent="0.3">
      <c r="A516" s="6">
        <f>+'[1]VENTAS(RESUMEN GLOBAL)'!L516</f>
        <v>46056</v>
      </c>
      <c r="B516" s="6" t="str">
        <f>+'[1]VENTAS(RESUMEN GLOBAL)'!M516</f>
        <v>RIVULIS</v>
      </c>
      <c r="C516">
        <f>+'[1]VENTAS(RESUMEN GLOBAL)'!B516</f>
        <v>800601</v>
      </c>
      <c r="D516" t="str">
        <f>INDEX('[1]CÓDIGOS DE PRODUCTO'!$D$3:$D$1000,MATCH(C516,'[1]CÓDIGOS DE PRODUCTO'!$A$3:$A$1000,0))</f>
        <v>50181900 </v>
      </c>
      <c r="E516" t="str">
        <f>VLOOKUP(C516,'[1]CÓDIGOS DE PRODUCTO'!$A$4:$B$156,2,FALSE)</f>
        <v>CREMAX AZULES</v>
      </c>
      <c r="F516" t="str">
        <f>INDEX('[1]CÓDIGOS DE PRODUCTO'!$C$3:$C$1000,MATCH(C516,'[1]CÓDIGOS DE PRODUCTO'!$A$3:$A$1000,0))</f>
        <v>GALLETAS Y PAN DULCE</v>
      </c>
      <c r="G516">
        <f>+'[1]VENTAS(RESUMEN GLOBAL)'!D516-'[1]VENTAS(RESUMEN GLOBAL)'!E516</f>
        <v>3</v>
      </c>
      <c r="H516" s="9">
        <f>+'[1]VENTAS(RESUMEN GLOBAL)'!K516</f>
        <v>2.625</v>
      </c>
      <c r="I516" s="8">
        <f>+G516*'[1]VENTAS(RESUMEN GLOBAL)'!F516</f>
        <v>45</v>
      </c>
      <c r="J516" s="8">
        <f>'[1]VENTAS(RESUMEN GLOBAL)'!G516*(1-'[1]VENTAS(RESUMEN GLOBAL)'!H516)</f>
        <v>20.249999999999996</v>
      </c>
      <c r="K516" s="8">
        <f t="shared" si="8"/>
        <v>24.750000000000004</v>
      </c>
      <c r="L516" s="8">
        <f>+'[1]VENTAS(RESUMEN GLOBAL)'!J516</f>
        <v>3.0937500000000004</v>
      </c>
      <c r="M516" s="8">
        <f>+Tabla1[[#This Row],[utilidad x dia]]*7</f>
        <v>21.656250000000004</v>
      </c>
    </row>
    <row r="517" spans="1:13" x14ac:dyDescent="0.3">
      <c r="A517" s="6">
        <f>+'[1]VENTAS(RESUMEN GLOBAL)'!L517</f>
        <v>46056</v>
      </c>
      <c r="B517" s="6" t="str">
        <f>+'[1]VENTAS(RESUMEN GLOBAL)'!M517</f>
        <v>RIVULIS</v>
      </c>
      <c r="C517">
        <f>+'[1]VENTAS(RESUMEN GLOBAL)'!B517</f>
        <v>800600</v>
      </c>
      <c r="D517" t="str">
        <f>INDEX('[1]CÓDIGOS DE PRODUCTO'!$D$3:$D$1000,MATCH(C517,'[1]CÓDIGOS DE PRODUCTO'!$A$3:$A$1000,0))</f>
        <v>50181900 </v>
      </c>
      <c r="E517" t="str">
        <f>VLOOKUP(C517,'[1]CÓDIGOS DE PRODUCTO'!$A$4:$B$156,2,FALSE)</f>
        <v>CREMAX</v>
      </c>
      <c r="F517" t="str">
        <f>INDEX('[1]CÓDIGOS DE PRODUCTO'!$C$3:$C$1000,MATCH(C517,'[1]CÓDIGOS DE PRODUCTO'!$A$3:$A$1000,0))</f>
        <v>GALLETAS Y PAN DULCE</v>
      </c>
      <c r="G517">
        <f>+'[1]VENTAS(RESUMEN GLOBAL)'!D517-'[1]VENTAS(RESUMEN GLOBAL)'!E517</f>
        <v>4</v>
      </c>
      <c r="H517" s="9">
        <f>+'[1]VENTAS(RESUMEN GLOBAL)'!K517</f>
        <v>3.5</v>
      </c>
      <c r="I517" s="8">
        <f>+G517*'[1]VENTAS(RESUMEN GLOBAL)'!F517</f>
        <v>60</v>
      </c>
      <c r="J517" s="8">
        <f>'[1]VENTAS(RESUMEN GLOBAL)'!G517*(1-'[1]VENTAS(RESUMEN GLOBAL)'!H517)</f>
        <v>26.999999999999996</v>
      </c>
      <c r="K517" s="8">
        <f t="shared" si="8"/>
        <v>33</v>
      </c>
      <c r="L517" s="8">
        <f>+'[1]VENTAS(RESUMEN GLOBAL)'!J517</f>
        <v>4.125</v>
      </c>
      <c r="M517" s="8">
        <f>+Tabla1[[#This Row],[utilidad x dia]]*7</f>
        <v>28.875</v>
      </c>
    </row>
    <row r="518" spans="1:13" x14ac:dyDescent="0.3">
      <c r="A518" s="6">
        <f>+'[1]VENTAS(RESUMEN GLOBAL)'!L518</f>
        <v>46056</v>
      </c>
      <c r="B518" s="6" t="str">
        <f>+'[1]VENTAS(RESUMEN GLOBAL)'!M518</f>
        <v>RIVULIS</v>
      </c>
      <c r="C518">
        <f>+'[1]VENTAS(RESUMEN GLOBAL)'!B518</f>
        <v>800800</v>
      </c>
      <c r="D518" t="str">
        <f>INDEX('[1]CÓDIGOS DE PRODUCTO'!$D$3:$D$1000,MATCH(C518,'[1]CÓDIGOS DE PRODUCTO'!$A$3:$A$1000,0))</f>
        <v>50181900 </v>
      </c>
      <c r="E518" t="str">
        <f>VLOOKUP(C518,'[1]CÓDIGOS DE PRODUCTO'!$A$4:$B$156,2,FALSE)</f>
        <v>DORADITAS</v>
      </c>
      <c r="F518" t="str">
        <f>INDEX('[1]CÓDIGOS DE PRODUCTO'!$C$3:$C$1000,MATCH(C518,'[1]CÓDIGOS DE PRODUCTO'!$A$3:$A$1000,0))</f>
        <v>GALLETAS Y PAN DULCE</v>
      </c>
      <c r="G518">
        <f>+'[1]VENTAS(RESUMEN GLOBAL)'!D518-'[1]VENTAS(RESUMEN GLOBAL)'!E518</f>
        <v>5</v>
      </c>
      <c r="H518" s="9">
        <f>+'[1]VENTAS(RESUMEN GLOBAL)'!K518</f>
        <v>4.375</v>
      </c>
      <c r="I518" s="8">
        <f>+G518*'[1]VENTAS(RESUMEN GLOBAL)'!F518</f>
        <v>75</v>
      </c>
      <c r="J518" s="8">
        <f>'[1]VENTAS(RESUMEN GLOBAL)'!G518*(1-'[1]VENTAS(RESUMEN GLOBAL)'!H518)</f>
        <v>48.75</v>
      </c>
      <c r="K518" s="8">
        <f t="shared" si="8"/>
        <v>26.25</v>
      </c>
      <c r="L518" s="8">
        <f>+'[1]VENTAS(RESUMEN GLOBAL)'!J518</f>
        <v>3.28125</v>
      </c>
      <c r="M518" s="8">
        <f>+Tabla1[[#This Row],[utilidad x dia]]*7</f>
        <v>22.96875</v>
      </c>
    </row>
    <row r="519" spans="1:13" x14ac:dyDescent="0.3">
      <c r="A519" s="6">
        <f>+'[1]VENTAS(RESUMEN GLOBAL)'!L519</f>
        <v>46056</v>
      </c>
      <c r="B519" s="6" t="str">
        <f>+'[1]VENTAS(RESUMEN GLOBAL)'!M519</f>
        <v>RIVULIS</v>
      </c>
      <c r="C519">
        <f>+'[1]VENTAS(RESUMEN GLOBAL)'!B519</f>
        <v>801000</v>
      </c>
      <c r="D519" t="str">
        <f>INDEX('[1]CÓDIGOS DE PRODUCTO'!$D$3:$D$1000,MATCH(C519,'[1]CÓDIGOS DE PRODUCTO'!$A$3:$A$1000,0))</f>
        <v>50181900 </v>
      </c>
      <c r="E519" t="str">
        <f>VLOOKUP(C519,'[1]CÓDIGOS DE PRODUCTO'!$A$4:$B$156,2,FALSE)</f>
        <v>BRAN FRUIT</v>
      </c>
      <c r="F519" t="str">
        <f>INDEX('[1]CÓDIGOS DE PRODUCTO'!$C$3:$C$1000,MATCH(C519,'[1]CÓDIGOS DE PRODUCTO'!$A$3:$A$1000,0))</f>
        <v>GALLETAS Y PAN DULCE</v>
      </c>
      <c r="G519">
        <f>+'[1]VENTAS(RESUMEN GLOBAL)'!D519-'[1]VENTAS(RESUMEN GLOBAL)'!E519</f>
        <v>0</v>
      </c>
      <c r="H519" s="9">
        <f>+'[1]VENTAS(RESUMEN GLOBAL)'!K519</f>
        <v>0</v>
      </c>
      <c r="I519" s="8">
        <f>+G519*'[1]VENTAS(RESUMEN GLOBAL)'!F519</f>
        <v>0</v>
      </c>
      <c r="J519" s="8">
        <f>'[1]VENTAS(RESUMEN GLOBAL)'!G519*(1-'[1]VENTAS(RESUMEN GLOBAL)'!H519)</f>
        <v>0</v>
      </c>
      <c r="K519" s="8">
        <f t="shared" si="8"/>
        <v>0</v>
      </c>
      <c r="L519" s="8">
        <f>+'[1]VENTAS(RESUMEN GLOBAL)'!J519</f>
        <v>0</v>
      </c>
      <c r="M519" s="8">
        <f>+Tabla1[[#This Row],[utilidad x dia]]*7</f>
        <v>0</v>
      </c>
    </row>
    <row r="520" spans="1:13" x14ac:dyDescent="0.3">
      <c r="A520" s="6">
        <f>+'[1]VENTAS(RESUMEN GLOBAL)'!L520</f>
        <v>46056</v>
      </c>
      <c r="B520" s="6" t="str">
        <f>+'[1]VENTAS(RESUMEN GLOBAL)'!M520</f>
        <v>RIVULIS</v>
      </c>
      <c r="C520">
        <f>+'[1]VENTAS(RESUMEN GLOBAL)'!B520</f>
        <v>801100</v>
      </c>
      <c r="D520" t="str">
        <f>INDEX('[1]CÓDIGOS DE PRODUCTO'!$D$3:$D$1000,MATCH(C520,'[1]CÓDIGOS DE PRODUCTO'!$A$3:$A$1000,0))</f>
        <v>50181900 </v>
      </c>
      <c r="E520" t="str">
        <f>VLOOKUP(C520,'[1]CÓDIGOS DE PRODUCTO'!$A$4:$B$156,2,FALSE)</f>
        <v>GALLETA ARCOÍRIS</v>
      </c>
      <c r="F520" t="str">
        <f>INDEX('[1]CÓDIGOS DE PRODUCTO'!$C$3:$C$1000,MATCH(C520,'[1]CÓDIGOS DE PRODUCTO'!$A$3:$A$1000,0))</f>
        <v>GALLETAS Y PAN DULCE</v>
      </c>
      <c r="G520">
        <f>+'[1]VENTAS(RESUMEN GLOBAL)'!D520-'[1]VENTAS(RESUMEN GLOBAL)'!E520</f>
        <v>4</v>
      </c>
      <c r="H520" s="9">
        <f>+'[1]VENTAS(RESUMEN GLOBAL)'!K520</f>
        <v>3.5</v>
      </c>
      <c r="I520" s="8">
        <f>+G520*'[1]VENTAS(RESUMEN GLOBAL)'!F520</f>
        <v>80</v>
      </c>
      <c r="J520" s="8">
        <f>'[1]VENTAS(RESUMEN GLOBAL)'!G520*(1-'[1]VENTAS(RESUMEN GLOBAL)'!H520)</f>
        <v>40</v>
      </c>
      <c r="K520" s="8">
        <f t="shared" si="8"/>
        <v>40</v>
      </c>
      <c r="L520" s="8">
        <f>+'[1]VENTAS(RESUMEN GLOBAL)'!J520</f>
        <v>5</v>
      </c>
      <c r="M520" s="8">
        <f>+Tabla1[[#This Row],[utilidad x dia]]*7</f>
        <v>35</v>
      </c>
    </row>
    <row r="521" spans="1:13" x14ac:dyDescent="0.3">
      <c r="A521" s="6">
        <f>+'[1]VENTAS(RESUMEN GLOBAL)'!L521</f>
        <v>46056</v>
      </c>
      <c r="B521" s="6" t="str">
        <f>+'[1]VENTAS(RESUMEN GLOBAL)'!M521</f>
        <v>RIVULIS</v>
      </c>
      <c r="C521">
        <f>+'[1]VENTAS(RESUMEN GLOBAL)'!B521</f>
        <v>801200</v>
      </c>
      <c r="D521" t="str">
        <f>INDEX('[1]CÓDIGOS DE PRODUCTO'!$D$3:$D$1000,MATCH(C521,'[1]CÓDIGOS DE PRODUCTO'!$A$3:$A$1000,0))</f>
        <v>50181900 </v>
      </c>
      <c r="E521" t="str">
        <f>VLOOKUP(C521,'[1]CÓDIGOS DE PRODUCTO'!$A$4:$B$156,2,FALSE)</f>
        <v>CANELITAS</v>
      </c>
      <c r="F521" t="str">
        <f>INDEX('[1]CÓDIGOS DE PRODUCTO'!$C$3:$C$1000,MATCH(C521,'[1]CÓDIGOS DE PRODUCTO'!$A$3:$A$1000,0))</f>
        <v>GALLETAS Y PAN DULCE</v>
      </c>
      <c r="G521">
        <f>+'[1]VENTAS(RESUMEN GLOBAL)'!D521-'[1]VENTAS(RESUMEN GLOBAL)'!E521</f>
        <v>5</v>
      </c>
      <c r="H521" s="9">
        <f>+'[1]VENTAS(RESUMEN GLOBAL)'!K521</f>
        <v>4.375</v>
      </c>
      <c r="I521" s="8">
        <f>+G521*'[1]VENTAS(RESUMEN GLOBAL)'!F521</f>
        <v>100</v>
      </c>
      <c r="J521" s="8">
        <f>'[1]VENTAS(RESUMEN GLOBAL)'!G521*(1-'[1]VENTAS(RESUMEN GLOBAL)'!H521)</f>
        <v>44.999999999999993</v>
      </c>
      <c r="K521" s="8">
        <f t="shared" si="8"/>
        <v>55.000000000000007</v>
      </c>
      <c r="L521" s="8">
        <f>+'[1]VENTAS(RESUMEN GLOBAL)'!J521</f>
        <v>6.8750000000000009</v>
      </c>
      <c r="M521" s="8">
        <f>+Tabla1[[#This Row],[utilidad x dia]]*7</f>
        <v>48.125000000000007</v>
      </c>
    </row>
    <row r="522" spans="1:13" x14ac:dyDescent="0.3">
      <c r="A522" s="6">
        <f>+'[1]VENTAS(RESUMEN GLOBAL)'!L522</f>
        <v>46056</v>
      </c>
      <c r="B522" s="6" t="str">
        <f>+'[1]VENTAS(RESUMEN GLOBAL)'!M522</f>
        <v>RIVULIS</v>
      </c>
      <c r="C522">
        <f>+'[1]VENTAS(RESUMEN GLOBAL)'!B522</f>
        <v>800200</v>
      </c>
      <c r="D522" t="str">
        <f>INDEX('[1]CÓDIGOS DE PRODUCTO'!$D$3:$D$1000,MATCH(C522,'[1]CÓDIGOS DE PRODUCTO'!$A$3:$A$1000,0))</f>
        <v>50181900 </v>
      </c>
      <c r="E522" t="str">
        <f>VLOOKUP(C522,'[1]CÓDIGOS DE PRODUCTO'!$A$4:$B$156,2,FALSE)</f>
        <v>Príncipe (6 PZ-63 GR)</v>
      </c>
      <c r="F522" t="str">
        <f>INDEX('[1]CÓDIGOS DE PRODUCTO'!$C$3:$C$1000,MATCH(C522,'[1]CÓDIGOS DE PRODUCTO'!$A$3:$A$1000,0))</f>
        <v>GALLETAS Y PAN DULCE</v>
      </c>
      <c r="G522">
        <f>+'[1]VENTAS(RESUMEN GLOBAL)'!D522-'[1]VENTAS(RESUMEN GLOBAL)'!E522</f>
        <v>7</v>
      </c>
      <c r="H522" s="9">
        <f>+'[1]VENTAS(RESUMEN GLOBAL)'!K522</f>
        <v>6.125</v>
      </c>
      <c r="I522" s="8">
        <f>+G522*'[1]VENTAS(RESUMEN GLOBAL)'!F522</f>
        <v>140</v>
      </c>
      <c r="J522" s="8">
        <f>'[1]VENTAS(RESUMEN GLOBAL)'!G522*(1-'[1]VENTAS(RESUMEN GLOBAL)'!H522)</f>
        <v>49</v>
      </c>
      <c r="K522" s="8">
        <f t="shared" si="8"/>
        <v>91</v>
      </c>
      <c r="L522" s="8">
        <f>+'[1]VENTAS(RESUMEN GLOBAL)'!J522</f>
        <v>11.375</v>
      </c>
      <c r="M522" s="8">
        <f>+Tabla1[[#This Row],[utilidad x dia]]*7</f>
        <v>79.625</v>
      </c>
    </row>
    <row r="523" spans="1:13" x14ac:dyDescent="0.3">
      <c r="A523" s="6">
        <f>+'[1]VENTAS(RESUMEN GLOBAL)'!L523</f>
        <v>46056</v>
      </c>
      <c r="B523" s="6" t="str">
        <f>+'[1]VENTAS(RESUMEN GLOBAL)'!M523</f>
        <v>RIVULIS</v>
      </c>
      <c r="C523">
        <f>+'[1]VENTAS(RESUMEN GLOBAL)'!B523</f>
        <v>100200</v>
      </c>
      <c r="D523" t="str">
        <f>INDEX('[1]CÓDIGOS DE PRODUCTO'!$D$3:$D$1000,MATCH(C523,'[1]CÓDIGOS DE PRODUCTO'!$A$3:$A$1000,0))</f>
        <v>50202300 </v>
      </c>
      <c r="E523" t="str">
        <f>VLOOKUP(C523,'[1]CÓDIGOS DE PRODUCTO'!$A$4:$B$156,2,FALSE)</f>
        <v>Agua SAMS</v>
      </c>
      <c r="F523" t="str">
        <f>INDEX('[1]CÓDIGOS DE PRODUCTO'!$C$3:$C$1000,MATCH(C523,'[1]CÓDIGOS DE PRODUCTO'!$A$3:$A$1000,0))</f>
        <v>Bebidas</v>
      </c>
      <c r="G523">
        <f>+'[1]VENTAS(RESUMEN GLOBAL)'!D523-'[1]VENTAS(RESUMEN GLOBAL)'!E523</f>
        <v>0</v>
      </c>
      <c r="H523" s="9">
        <f>+'[1]VENTAS(RESUMEN GLOBAL)'!K523</f>
        <v>0</v>
      </c>
      <c r="I523" s="8">
        <f>+G523*'[1]VENTAS(RESUMEN GLOBAL)'!F523</f>
        <v>0</v>
      </c>
      <c r="J523" s="8">
        <f>'[1]VENTAS(RESUMEN GLOBAL)'!G523*(1-'[1]VENTAS(RESUMEN GLOBAL)'!H523)</f>
        <v>0</v>
      </c>
      <c r="K523" s="8">
        <f t="shared" si="8"/>
        <v>0</v>
      </c>
      <c r="L523" s="8">
        <f>+'[1]VENTAS(RESUMEN GLOBAL)'!J523</f>
        <v>0</v>
      </c>
      <c r="M523" s="8">
        <f>+Tabla1[[#This Row],[utilidad x dia]]*7</f>
        <v>0</v>
      </c>
    </row>
    <row r="524" spans="1:13" x14ac:dyDescent="0.3">
      <c r="A524" s="6">
        <f>+'[1]VENTAS(RESUMEN GLOBAL)'!L524</f>
        <v>46056</v>
      </c>
      <c r="B524" s="6" t="str">
        <f>+'[1]VENTAS(RESUMEN GLOBAL)'!M524</f>
        <v>RIVULIS</v>
      </c>
      <c r="C524">
        <f>+'[1]VENTAS(RESUMEN GLOBAL)'!B524</f>
        <v>100200</v>
      </c>
      <c r="D524" t="str">
        <f>INDEX('[1]CÓDIGOS DE PRODUCTO'!$D$3:$D$1000,MATCH(C524,'[1]CÓDIGOS DE PRODUCTO'!$A$3:$A$1000,0))</f>
        <v>50202300 </v>
      </c>
      <c r="E524" t="str">
        <f>VLOOKUP(C524,'[1]CÓDIGOS DE PRODUCTO'!$A$4:$B$156,2,FALSE)</f>
        <v>Agua SAMS</v>
      </c>
      <c r="F524" t="str">
        <f>INDEX('[1]CÓDIGOS DE PRODUCTO'!$C$3:$C$1000,MATCH(C524,'[1]CÓDIGOS DE PRODUCTO'!$A$3:$A$1000,0))</f>
        <v>Bebidas</v>
      </c>
      <c r="G524">
        <f>+'[1]VENTAS(RESUMEN GLOBAL)'!D524-'[1]VENTAS(RESUMEN GLOBAL)'!E524</f>
        <v>0</v>
      </c>
      <c r="H524" s="9">
        <f>+'[1]VENTAS(RESUMEN GLOBAL)'!K524</f>
        <v>0</v>
      </c>
      <c r="I524" s="8">
        <f>+G524*'[1]VENTAS(RESUMEN GLOBAL)'!F524</f>
        <v>0</v>
      </c>
      <c r="J524" s="8">
        <f>'[1]VENTAS(RESUMEN GLOBAL)'!G524*(1-'[1]VENTAS(RESUMEN GLOBAL)'!H524)</f>
        <v>0</v>
      </c>
      <c r="K524" s="8">
        <f t="shared" si="8"/>
        <v>0</v>
      </c>
      <c r="L524" s="8">
        <f>+'[1]VENTAS(RESUMEN GLOBAL)'!J524</f>
        <v>0</v>
      </c>
      <c r="M524" s="8">
        <f>+Tabla1[[#This Row],[utilidad x dia]]*7</f>
        <v>0</v>
      </c>
    </row>
    <row r="525" spans="1:13" x14ac:dyDescent="0.3">
      <c r="A525" s="6">
        <f>+'[1]VENTAS(RESUMEN GLOBAL)'!L525</f>
        <v>46056</v>
      </c>
      <c r="B525" s="6" t="str">
        <f>+'[1]VENTAS(RESUMEN GLOBAL)'!M525</f>
        <v>RIVULIS</v>
      </c>
      <c r="C525">
        <f>+'[1]VENTAS(RESUMEN GLOBAL)'!B525</f>
        <v>100900</v>
      </c>
      <c r="D525" t="str">
        <f>INDEX('[1]CÓDIGOS DE PRODUCTO'!$D$3:$D$1000,MATCH(C525,'[1]CÓDIGOS DE PRODUCTO'!$A$3:$A$1000,0))</f>
        <v>50202300 </v>
      </c>
      <c r="E525" t="str">
        <f>VLOOKUP(C525,'[1]CÓDIGOS DE PRODUCTO'!$A$4:$B$156,2,FALSE)</f>
        <v>VOLT</v>
      </c>
      <c r="F525" t="str">
        <f>INDEX('[1]CÓDIGOS DE PRODUCTO'!$C$3:$C$1000,MATCH(C525,'[1]CÓDIGOS DE PRODUCTO'!$A$3:$A$1000,0))</f>
        <v>Bebidas</v>
      </c>
      <c r="G525">
        <f>+'[1]VENTAS(RESUMEN GLOBAL)'!D525-'[1]VENTAS(RESUMEN GLOBAL)'!E525</f>
        <v>0</v>
      </c>
      <c r="H525" s="9">
        <f>+'[1]VENTAS(RESUMEN GLOBAL)'!K525</f>
        <v>0</v>
      </c>
      <c r="I525" s="8">
        <f>+G525*'[1]VENTAS(RESUMEN GLOBAL)'!F525</f>
        <v>0</v>
      </c>
      <c r="J525" s="8">
        <f>'[1]VENTAS(RESUMEN GLOBAL)'!G525*(1-'[1]VENTAS(RESUMEN GLOBAL)'!H525)</f>
        <v>0</v>
      </c>
      <c r="K525" s="8">
        <f t="shared" si="8"/>
        <v>0</v>
      </c>
      <c r="L525" s="8">
        <f>+'[1]VENTAS(RESUMEN GLOBAL)'!J525</f>
        <v>0</v>
      </c>
      <c r="M525" s="8">
        <f>+Tabla1[[#This Row],[utilidad x dia]]*7</f>
        <v>0</v>
      </c>
    </row>
    <row r="526" spans="1:13" x14ac:dyDescent="0.3">
      <c r="A526" s="6">
        <f>+'[1]VENTAS(RESUMEN GLOBAL)'!L526</f>
        <v>46056</v>
      </c>
      <c r="B526" s="6" t="str">
        <f>+'[1]VENTAS(RESUMEN GLOBAL)'!M526</f>
        <v>RIVULIS</v>
      </c>
      <c r="C526">
        <f>+'[1]VENTAS(RESUMEN GLOBAL)'!B526</f>
        <v>100300</v>
      </c>
      <c r="D526" t="str">
        <f>INDEX('[1]CÓDIGOS DE PRODUCTO'!$D$3:$D$1000,MATCH(C526,'[1]CÓDIGOS DE PRODUCTO'!$A$3:$A$1000,0))</f>
        <v>50202300 </v>
      </c>
      <c r="E526" t="str">
        <f>VLOOKUP(C526,'[1]CÓDIGOS DE PRODUCTO'!$A$4:$B$156,2,FALSE)</f>
        <v>Gatorade</v>
      </c>
      <c r="F526" t="str">
        <f>INDEX('[1]CÓDIGOS DE PRODUCTO'!$C$3:$C$1000,MATCH(C526,'[1]CÓDIGOS DE PRODUCTO'!$A$3:$A$1000,0))</f>
        <v>Bebidas</v>
      </c>
      <c r="G526">
        <f>+'[1]VENTAS(RESUMEN GLOBAL)'!D526-'[1]VENTAS(RESUMEN GLOBAL)'!E526</f>
        <v>4</v>
      </c>
      <c r="H526" s="9">
        <f>+'[1]VENTAS(RESUMEN GLOBAL)'!K526</f>
        <v>3.5</v>
      </c>
      <c r="I526" s="8">
        <f>+G526*'[1]VENTAS(RESUMEN GLOBAL)'!F526</f>
        <v>100</v>
      </c>
      <c r="J526" s="8">
        <f>'[1]VENTAS(RESUMEN GLOBAL)'!G526*(1-'[1]VENTAS(RESUMEN GLOBAL)'!H526)</f>
        <v>64</v>
      </c>
      <c r="K526" s="8">
        <f t="shared" si="8"/>
        <v>36</v>
      </c>
      <c r="L526" s="8">
        <f>+'[1]VENTAS(RESUMEN GLOBAL)'!J526</f>
        <v>4.5</v>
      </c>
      <c r="M526" s="8">
        <f>+Tabla1[[#This Row],[utilidad x dia]]*7</f>
        <v>31.5</v>
      </c>
    </row>
    <row r="527" spans="1:13" x14ac:dyDescent="0.3">
      <c r="A527" s="6">
        <f>+'[1]VENTAS(RESUMEN GLOBAL)'!L527</f>
        <v>46056</v>
      </c>
      <c r="B527" s="6" t="str">
        <f>+'[1]VENTAS(RESUMEN GLOBAL)'!M527</f>
        <v>RIVULIS</v>
      </c>
      <c r="C527">
        <f>+'[1]VENTAS(RESUMEN GLOBAL)'!B527</f>
        <v>100800</v>
      </c>
      <c r="D527" t="str">
        <f>INDEX('[1]CÓDIGOS DE PRODUCTO'!$D$3:$D$1000,MATCH(C527,'[1]CÓDIGOS DE PRODUCTO'!$A$3:$A$1000,0))</f>
        <v>50202300 </v>
      </c>
      <c r="E527" t="str">
        <f>VLOOKUP(C527,'[1]CÓDIGOS DE PRODUCTO'!$A$4:$B$156,2,FALSE)</f>
        <v>TÉ VERDE KIRKLAND</v>
      </c>
      <c r="F527" t="str">
        <f>INDEX('[1]CÓDIGOS DE PRODUCTO'!$C$3:$C$1000,MATCH(C527,'[1]CÓDIGOS DE PRODUCTO'!$A$3:$A$1000,0))</f>
        <v>Bebidas</v>
      </c>
      <c r="G527">
        <f>+'[1]VENTAS(RESUMEN GLOBAL)'!D527-'[1]VENTAS(RESUMEN GLOBAL)'!E527</f>
        <v>0</v>
      </c>
      <c r="H527" s="9">
        <f>+'[1]VENTAS(RESUMEN GLOBAL)'!K527</f>
        <v>0</v>
      </c>
      <c r="I527" s="8">
        <f>+G527*'[1]VENTAS(RESUMEN GLOBAL)'!F527</f>
        <v>0</v>
      </c>
      <c r="J527" s="8">
        <f>'[1]VENTAS(RESUMEN GLOBAL)'!G527*(1-'[1]VENTAS(RESUMEN GLOBAL)'!H527)</f>
        <v>0</v>
      </c>
      <c r="K527" s="8">
        <f t="shared" si="8"/>
        <v>0</v>
      </c>
      <c r="L527" s="8">
        <f>+'[1]VENTAS(RESUMEN GLOBAL)'!J527</f>
        <v>0</v>
      </c>
      <c r="M527" s="8">
        <f>+Tabla1[[#This Row],[utilidad x dia]]*7</f>
        <v>0</v>
      </c>
    </row>
    <row r="528" spans="1:13" x14ac:dyDescent="0.3">
      <c r="A528" s="6">
        <f>+'[1]VENTAS(RESUMEN GLOBAL)'!L528</f>
        <v>46056</v>
      </c>
      <c r="B528" s="6" t="str">
        <f>+'[1]VENTAS(RESUMEN GLOBAL)'!M528</f>
        <v>RIVULIS</v>
      </c>
      <c r="C528">
        <f>+'[1]VENTAS(RESUMEN GLOBAL)'!B528</f>
        <v>801300</v>
      </c>
      <c r="D528" t="str">
        <f>INDEX('[1]CÓDIGOS DE PRODUCTO'!$D$3:$D$1000,MATCH(C528,'[1]CÓDIGOS DE PRODUCTO'!$A$3:$A$1000,0))</f>
        <v>50181900 </v>
      </c>
      <c r="E528" t="str">
        <f>VLOOKUP(C528,'[1]CÓDIGOS DE PRODUCTO'!$A$4:$B$156,2,FALSE)</f>
        <v>OREO GDE</v>
      </c>
      <c r="F528" t="str">
        <f>INDEX('[1]CÓDIGOS DE PRODUCTO'!$C$3:$C$1000,MATCH(C528,'[1]CÓDIGOS DE PRODUCTO'!$A$3:$A$1000,0))</f>
        <v>GALLETAS Y PAN DULCE</v>
      </c>
      <c r="G528">
        <f>+'[1]VENTAS(RESUMEN GLOBAL)'!D528-'[1]VENTAS(RESUMEN GLOBAL)'!E528</f>
        <v>12</v>
      </c>
      <c r="H528" s="9">
        <f>+'[1]VENTAS(RESUMEN GLOBAL)'!K528</f>
        <v>10.5</v>
      </c>
      <c r="I528" s="8">
        <f>+G528*'[1]VENTAS(RESUMEN GLOBAL)'!F528</f>
        <v>300</v>
      </c>
      <c r="J528" s="8">
        <f>'[1]VENTAS(RESUMEN GLOBAL)'!G528*(1-'[1]VENTAS(RESUMEN GLOBAL)'!H528)</f>
        <v>150</v>
      </c>
      <c r="K528" s="8">
        <f t="shared" si="8"/>
        <v>150</v>
      </c>
      <c r="L528" s="8">
        <f>+'[1]VENTAS(RESUMEN GLOBAL)'!J528</f>
        <v>18.75</v>
      </c>
      <c r="M528" s="8">
        <f>+Tabla1[[#This Row],[utilidad x dia]]*7</f>
        <v>131.25</v>
      </c>
    </row>
    <row r="529" spans="1:13" x14ac:dyDescent="0.3">
      <c r="A529" s="6">
        <f>+'[1]VENTAS(RESUMEN GLOBAL)'!L529</f>
        <v>0</v>
      </c>
      <c r="B529" s="6">
        <f>+'[1]VENTAS(RESUMEN GLOBAL)'!M529</f>
        <v>0</v>
      </c>
      <c r="C529">
        <f>+'[1]VENTAS(RESUMEN GLOBAL)'!B529</f>
        <v>0</v>
      </c>
      <c r="D529" t="e">
        <f>INDEX('[1]CÓDIGOS DE PRODUCTO'!$D$3:$D$1000,MATCH(C529,'[1]CÓDIGOS DE PRODUCTO'!$A$3:$A$1000,0))</f>
        <v>#N/A</v>
      </c>
      <c r="E529">
        <f>VLOOKUP(C529,'[1]CÓDIGOS DE PRODUCTO'!$A$4:$B$156,2,FALSE)</f>
        <v>0</v>
      </c>
      <c r="F529">
        <f>INDEX('[1]CÓDIGOS DE PRODUCTO'!$C$3:$C$1000,MATCH(C529,'[1]CÓDIGOS DE PRODUCTO'!$A$3:$A$1000,0))</f>
        <v>0</v>
      </c>
      <c r="G529">
        <f>+'[1]VENTAS(RESUMEN GLOBAL)'!D529-'[1]VENTAS(RESUMEN GLOBAL)'!E529</f>
        <v>0</v>
      </c>
      <c r="H529" s="9">
        <f>+'[1]VENTAS(RESUMEN GLOBAL)'!K529</f>
        <v>0</v>
      </c>
      <c r="I529" s="8">
        <f>+G529*'[1]VENTAS(RESUMEN GLOBAL)'!F529</f>
        <v>0</v>
      </c>
      <c r="J529" s="8">
        <f>'[1]VENTAS(RESUMEN GLOBAL)'!G529*(1-'[1]VENTAS(RESUMEN GLOBAL)'!H529)</f>
        <v>0</v>
      </c>
      <c r="K529" s="8">
        <f t="shared" si="8"/>
        <v>0</v>
      </c>
      <c r="L529" s="8">
        <f>+'[1]VENTAS(RESUMEN GLOBAL)'!J529</f>
        <v>0</v>
      </c>
      <c r="M529" s="8">
        <f>+Tabla1[[#This Row],[utilidad x dia]]*7</f>
        <v>0</v>
      </c>
    </row>
    <row r="530" spans="1:13" x14ac:dyDescent="0.3">
      <c r="A530" s="6">
        <f>+'[1]VENTAS(RESUMEN GLOBAL)'!L530</f>
        <v>46065</v>
      </c>
      <c r="B530" s="6" t="str">
        <f>+'[1]VENTAS(RESUMEN GLOBAL)'!M530</f>
        <v>ECCE 2 SECCIÓN</v>
      </c>
      <c r="C530">
        <f>+'[1]VENTAS(RESUMEN GLOBAL)'!B530</f>
        <v>100200</v>
      </c>
      <c r="D530" t="str">
        <f>INDEX('[1]CÓDIGOS DE PRODUCTO'!$D$3:$D$1000,MATCH(C530,'[1]CÓDIGOS DE PRODUCTO'!$A$3:$A$1000,0))</f>
        <v>50202300 </v>
      </c>
      <c r="E530" t="str">
        <f>VLOOKUP(C530,'[1]CÓDIGOS DE PRODUCTO'!$A$4:$B$156,2,FALSE)</f>
        <v>Agua SAMS</v>
      </c>
      <c r="F530" t="str">
        <f>INDEX('[1]CÓDIGOS DE PRODUCTO'!$C$3:$C$1000,MATCH(C530,'[1]CÓDIGOS DE PRODUCTO'!$A$3:$A$1000,0))</f>
        <v>Bebidas</v>
      </c>
      <c r="G530">
        <f>+'[1]VENTAS(RESUMEN GLOBAL)'!D530-'[1]VENTAS(RESUMEN GLOBAL)'!E530</f>
        <v>4</v>
      </c>
      <c r="H530" s="9">
        <f>+'[1]VENTAS(RESUMEN GLOBAL)'!K530</f>
        <v>2.8000000000000003</v>
      </c>
      <c r="I530" s="8">
        <f>+G530*'[1]VENTAS(RESUMEN GLOBAL)'!F530</f>
        <v>80</v>
      </c>
      <c r="J530" s="8">
        <f>'[1]VENTAS(RESUMEN GLOBAL)'!G530*(1-'[1]VENTAS(RESUMEN GLOBAL)'!H530)</f>
        <v>12.285714285714295</v>
      </c>
      <c r="K530" s="8">
        <f t="shared" si="8"/>
        <v>67.714285714285708</v>
      </c>
      <c r="L530" s="8">
        <f>+'[1]VENTAS(RESUMEN GLOBAL)'!J530</f>
        <v>6.7714285714285705</v>
      </c>
      <c r="M530" s="8">
        <f>+Tabla1[[#This Row],[utilidad x dia]]*7</f>
        <v>47.399999999999991</v>
      </c>
    </row>
    <row r="531" spans="1:13" x14ac:dyDescent="0.3">
      <c r="A531" s="6">
        <f>+'[1]VENTAS(RESUMEN GLOBAL)'!L531</f>
        <v>46065</v>
      </c>
      <c r="B531" s="6" t="str">
        <f>+'[1]VENTAS(RESUMEN GLOBAL)'!M531</f>
        <v>ECCE 2 SECCIÓN</v>
      </c>
      <c r="C531">
        <f>+'[1]VENTAS(RESUMEN GLOBAL)'!B531</f>
        <v>100200</v>
      </c>
      <c r="D531" t="str">
        <f>INDEX('[1]CÓDIGOS DE PRODUCTO'!$D$3:$D$1000,MATCH(C531,'[1]CÓDIGOS DE PRODUCTO'!$A$3:$A$1000,0))</f>
        <v>50202300 </v>
      </c>
      <c r="E531" t="str">
        <f>VLOOKUP(C531,'[1]CÓDIGOS DE PRODUCTO'!$A$4:$B$156,2,FALSE)</f>
        <v>Agua SAMS</v>
      </c>
      <c r="F531" t="str">
        <f>INDEX('[1]CÓDIGOS DE PRODUCTO'!$C$3:$C$1000,MATCH(C531,'[1]CÓDIGOS DE PRODUCTO'!$A$3:$A$1000,0))</f>
        <v>Bebidas</v>
      </c>
      <c r="G531">
        <f>+'[1]VENTAS(RESUMEN GLOBAL)'!D531-'[1]VENTAS(RESUMEN GLOBAL)'!E531</f>
        <v>0</v>
      </c>
      <c r="H531" s="9">
        <f>+'[1]VENTAS(RESUMEN GLOBAL)'!K531</f>
        <v>0</v>
      </c>
      <c r="I531" s="8">
        <f>+G531*'[1]VENTAS(RESUMEN GLOBAL)'!F531</f>
        <v>0</v>
      </c>
      <c r="J531" s="8">
        <f>'[1]VENTAS(RESUMEN GLOBAL)'!G531*(1-'[1]VENTAS(RESUMEN GLOBAL)'!H531)</f>
        <v>0</v>
      </c>
      <c r="K531" s="8">
        <f t="shared" si="8"/>
        <v>0</v>
      </c>
      <c r="L531" s="8">
        <f>+'[1]VENTAS(RESUMEN GLOBAL)'!J531</f>
        <v>0</v>
      </c>
      <c r="M531" s="8">
        <f>+Tabla1[[#This Row],[utilidad x dia]]*7</f>
        <v>0</v>
      </c>
    </row>
    <row r="532" spans="1:13" x14ac:dyDescent="0.3">
      <c r="A532" s="6">
        <f>+'[1]VENTAS(RESUMEN GLOBAL)'!L532</f>
        <v>46065</v>
      </c>
      <c r="B532" s="6" t="str">
        <f>+'[1]VENTAS(RESUMEN GLOBAL)'!M532</f>
        <v>ECCE 2 SECCIÓN</v>
      </c>
      <c r="C532">
        <f>+'[1]VENTAS(RESUMEN GLOBAL)'!B532</f>
        <v>200200</v>
      </c>
      <c r="D532" t="str">
        <f>INDEX('[1]CÓDIGOS DE PRODUCTO'!$D$3:$D$1000,MATCH(C532,'[1]CÓDIGOS DE PRODUCTO'!$A$3:$A$1000,0))</f>
        <v>IDENTIFICAR MANUAL</v>
      </c>
      <c r="E532" t="str">
        <f>VLOOKUP(C532,'[1]CÓDIGOS DE PRODUCTO'!$A$4:$B$156,2,FALSE)</f>
        <v>KIT DENTAL</v>
      </c>
      <c r="F532" t="str">
        <f>INDEX('[1]CÓDIGOS DE PRODUCTO'!$C$3:$C$1000,MATCH(C532,'[1]CÓDIGOS DE PRODUCTO'!$A$3:$A$1000,0))</f>
        <v>Pharmacy</v>
      </c>
      <c r="G532">
        <f>+'[1]VENTAS(RESUMEN GLOBAL)'!D532-'[1]VENTAS(RESUMEN GLOBAL)'!E532</f>
        <v>0</v>
      </c>
      <c r="H532" s="9">
        <f>+'[1]VENTAS(RESUMEN GLOBAL)'!K532</f>
        <v>0</v>
      </c>
      <c r="I532" s="8">
        <f>+G532*'[1]VENTAS(RESUMEN GLOBAL)'!F532</f>
        <v>0</v>
      </c>
      <c r="J532" s="8">
        <f>'[1]VENTAS(RESUMEN GLOBAL)'!G532*(1-'[1]VENTAS(RESUMEN GLOBAL)'!H532)</f>
        <v>0</v>
      </c>
      <c r="K532" s="8">
        <f t="shared" si="8"/>
        <v>0</v>
      </c>
      <c r="L532" s="8">
        <f>+'[1]VENTAS(RESUMEN GLOBAL)'!J532</f>
        <v>0</v>
      </c>
      <c r="M532" s="8">
        <f>+Tabla1[[#This Row],[utilidad x dia]]*7</f>
        <v>0</v>
      </c>
    </row>
    <row r="533" spans="1:13" x14ac:dyDescent="0.3">
      <c r="A533" s="6">
        <f>+'[1]VENTAS(RESUMEN GLOBAL)'!L533</f>
        <v>46065</v>
      </c>
      <c r="B533" s="6" t="str">
        <f>+'[1]VENTAS(RESUMEN GLOBAL)'!M533</f>
        <v>ECCE 2 SECCIÓN</v>
      </c>
      <c r="C533">
        <f>+'[1]VENTAS(RESUMEN GLOBAL)'!B533</f>
        <v>200100</v>
      </c>
      <c r="D533" t="str">
        <f>INDEX('[1]CÓDIGOS DE PRODUCTO'!$D$3:$D$1000,MATCH(C533,'[1]CÓDIGOS DE PRODUCTO'!$A$3:$A$1000,0))</f>
        <v>IDENTIFICAR MANUAL</v>
      </c>
      <c r="E533" t="str">
        <f>VLOOKUP(C533,'[1]CÓDIGOS DE PRODUCTO'!$A$4:$B$156,2,FALSE)</f>
        <v>Bloqueador</v>
      </c>
      <c r="F533" t="str">
        <f>INDEX('[1]CÓDIGOS DE PRODUCTO'!$C$3:$C$1000,MATCH(C533,'[1]CÓDIGOS DE PRODUCTO'!$A$3:$A$1000,0))</f>
        <v>Pharmacy</v>
      </c>
      <c r="G533">
        <f>+'[1]VENTAS(RESUMEN GLOBAL)'!D533-'[1]VENTAS(RESUMEN GLOBAL)'!E533</f>
        <v>0</v>
      </c>
      <c r="H533" s="9">
        <f>+'[1]VENTAS(RESUMEN GLOBAL)'!K533</f>
        <v>0</v>
      </c>
      <c r="I533" s="8">
        <f>+G533*'[1]VENTAS(RESUMEN GLOBAL)'!F533</f>
        <v>0</v>
      </c>
      <c r="J533" s="8">
        <f>'[1]VENTAS(RESUMEN GLOBAL)'!G533*(1-'[1]VENTAS(RESUMEN GLOBAL)'!H533)</f>
        <v>0</v>
      </c>
      <c r="K533" s="8">
        <f t="shared" si="8"/>
        <v>0</v>
      </c>
      <c r="L533" s="8">
        <f>+'[1]VENTAS(RESUMEN GLOBAL)'!J533</f>
        <v>0</v>
      </c>
      <c r="M533" s="8">
        <f>+Tabla1[[#This Row],[utilidad x dia]]*7</f>
        <v>0</v>
      </c>
    </row>
    <row r="534" spans="1:13" x14ac:dyDescent="0.3">
      <c r="A534" s="6">
        <f>+'[1]VENTAS(RESUMEN GLOBAL)'!L534</f>
        <v>46065</v>
      </c>
      <c r="B534" s="6" t="str">
        <f>+'[1]VENTAS(RESUMEN GLOBAL)'!M534</f>
        <v>ECCE 2 SECCIÓN</v>
      </c>
      <c r="C534">
        <f>+'[1]VENTAS(RESUMEN GLOBAL)'!B534</f>
        <v>801500</v>
      </c>
      <c r="D534" t="str">
        <f>INDEX('[1]CÓDIGOS DE PRODUCTO'!$D$3:$D$1000,MATCH(C534,'[1]CÓDIGOS DE PRODUCTO'!$A$3:$A$1000,0))</f>
        <v>50181900 </v>
      </c>
      <c r="E534" t="str">
        <f>VLOOKUP(C534,'[1]CÓDIGOS DE PRODUCTO'!$A$4:$B$156,2,FALSE)</f>
        <v>VUALÁ BIG</v>
      </c>
      <c r="F534" t="str">
        <f>INDEX('[1]CÓDIGOS DE PRODUCTO'!$C$3:$C$1000,MATCH(C534,'[1]CÓDIGOS DE PRODUCTO'!$A$3:$A$1000,0))</f>
        <v>GALLETAS Y PAN DULCE</v>
      </c>
      <c r="G534">
        <f>+'[1]VENTAS(RESUMEN GLOBAL)'!D534-'[1]VENTAS(RESUMEN GLOBAL)'!E534</f>
        <v>6</v>
      </c>
      <c r="H534" s="9">
        <f>+'[1]VENTAS(RESUMEN GLOBAL)'!K534</f>
        <v>4.2</v>
      </c>
      <c r="I534" s="8">
        <f>+G534*'[1]VENTAS(RESUMEN GLOBAL)'!F534</f>
        <v>150</v>
      </c>
      <c r="J534" s="8">
        <f>'[1]VENTAS(RESUMEN GLOBAL)'!G534*(1-'[1]VENTAS(RESUMEN GLOBAL)'!H534)</f>
        <v>75</v>
      </c>
      <c r="K534" s="8">
        <f t="shared" si="8"/>
        <v>75</v>
      </c>
      <c r="L534" s="8">
        <f>+'[1]VENTAS(RESUMEN GLOBAL)'!J534</f>
        <v>7.5</v>
      </c>
      <c r="M534" s="8">
        <f>+Tabla1[[#This Row],[utilidad x dia]]*7</f>
        <v>52.5</v>
      </c>
    </row>
    <row r="535" spans="1:13" x14ac:dyDescent="0.3">
      <c r="A535" s="6">
        <f>+'[1]VENTAS(RESUMEN GLOBAL)'!L535</f>
        <v>46065</v>
      </c>
      <c r="B535" s="6" t="str">
        <f>+'[1]VENTAS(RESUMEN GLOBAL)'!M535</f>
        <v>ECCE 2 SECCIÓN</v>
      </c>
      <c r="C535">
        <f>+'[1]VENTAS(RESUMEN GLOBAL)'!B535</f>
        <v>801300</v>
      </c>
      <c r="D535" t="str">
        <f>INDEX('[1]CÓDIGOS DE PRODUCTO'!$D$3:$D$1000,MATCH(C535,'[1]CÓDIGOS DE PRODUCTO'!$A$3:$A$1000,0))</f>
        <v>50181900 </v>
      </c>
      <c r="E535" t="str">
        <f>VLOOKUP(C535,'[1]CÓDIGOS DE PRODUCTO'!$A$4:$B$156,2,FALSE)</f>
        <v>OREO GDE</v>
      </c>
      <c r="F535" t="str">
        <f>INDEX('[1]CÓDIGOS DE PRODUCTO'!$C$3:$C$1000,MATCH(C535,'[1]CÓDIGOS DE PRODUCTO'!$A$3:$A$1000,0))</f>
        <v>GALLETAS Y PAN DULCE</v>
      </c>
      <c r="G535">
        <f>+'[1]VENTAS(RESUMEN GLOBAL)'!D535-'[1]VENTAS(RESUMEN GLOBAL)'!E535</f>
        <v>6</v>
      </c>
      <c r="H535" s="9">
        <f>+'[1]VENTAS(RESUMEN GLOBAL)'!K535</f>
        <v>4.2</v>
      </c>
      <c r="I535" s="8">
        <f>+G535*'[1]VENTAS(RESUMEN GLOBAL)'!F535</f>
        <v>150</v>
      </c>
      <c r="J535" s="8">
        <f>'[1]VENTAS(RESUMEN GLOBAL)'!G535*(1-'[1]VENTAS(RESUMEN GLOBAL)'!H535)</f>
        <v>65.999999999999986</v>
      </c>
      <c r="K535" s="8">
        <f t="shared" si="8"/>
        <v>84.000000000000014</v>
      </c>
      <c r="L535" s="8">
        <f>+'[1]VENTAS(RESUMEN GLOBAL)'!J535</f>
        <v>8.4000000000000021</v>
      </c>
      <c r="M535" s="8">
        <f>+Tabla1[[#This Row],[utilidad x dia]]*7</f>
        <v>58.800000000000011</v>
      </c>
    </row>
    <row r="536" spans="1:13" x14ac:dyDescent="0.3">
      <c r="A536" s="6">
        <f>+'[1]VENTAS(RESUMEN GLOBAL)'!L536</f>
        <v>46065</v>
      </c>
      <c r="B536" s="6" t="str">
        <f>+'[1]VENTAS(RESUMEN GLOBAL)'!M536</f>
        <v>ECCE 2 SECCIÓN</v>
      </c>
      <c r="C536">
        <f>+'[1]VENTAS(RESUMEN GLOBAL)'!B536</f>
        <v>0</v>
      </c>
      <c r="D536" t="e">
        <f>INDEX('[1]CÓDIGOS DE PRODUCTO'!$D$3:$D$1000,MATCH(C536,'[1]CÓDIGOS DE PRODUCTO'!$A$3:$A$1000,0))</f>
        <v>#N/A</v>
      </c>
      <c r="E536">
        <f>VLOOKUP(C536,'[1]CÓDIGOS DE PRODUCTO'!$A$4:$B$156,2,FALSE)</f>
        <v>0</v>
      </c>
      <c r="F536">
        <f>INDEX('[1]CÓDIGOS DE PRODUCTO'!$C$3:$C$1000,MATCH(C536,'[1]CÓDIGOS DE PRODUCTO'!$A$3:$A$1000,0))</f>
        <v>0</v>
      </c>
      <c r="G536">
        <f>+'[1]VENTAS(RESUMEN GLOBAL)'!D536-'[1]VENTAS(RESUMEN GLOBAL)'!E536</f>
        <v>0</v>
      </c>
      <c r="H536" s="9">
        <f>+'[1]VENTAS(RESUMEN GLOBAL)'!K536</f>
        <v>0</v>
      </c>
      <c r="I536" s="8">
        <f>+G536*'[1]VENTAS(RESUMEN GLOBAL)'!F536</f>
        <v>0</v>
      </c>
      <c r="J536" s="8">
        <f>'[1]VENTAS(RESUMEN GLOBAL)'!G536*(1-'[1]VENTAS(RESUMEN GLOBAL)'!H536)</f>
        <v>0</v>
      </c>
      <c r="K536" s="8">
        <f t="shared" si="8"/>
        <v>0</v>
      </c>
      <c r="L536" s="8">
        <f>+'[1]VENTAS(RESUMEN GLOBAL)'!J536</f>
        <v>0</v>
      </c>
      <c r="M536" s="8">
        <f>+Tabla1[[#This Row],[utilidad x dia]]*7</f>
        <v>0</v>
      </c>
    </row>
    <row r="537" spans="1:13" x14ac:dyDescent="0.3">
      <c r="A537" s="6">
        <f>+'[1]VENTAS(RESUMEN GLOBAL)'!L537</f>
        <v>46065</v>
      </c>
      <c r="B537" s="6" t="str">
        <f>+'[1]VENTAS(RESUMEN GLOBAL)'!M537</f>
        <v>ECCE 2 SECCIÓN</v>
      </c>
      <c r="C537">
        <f>+'[1]VENTAS(RESUMEN GLOBAL)'!B537</f>
        <v>900300</v>
      </c>
      <c r="D537">
        <f>INDEX('[1]CÓDIGOS DE PRODUCTO'!$D$3:$D$1000,MATCH(C537,'[1]CÓDIGOS DE PRODUCTO'!$A$3:$A$1000,0))</f>
        <v>50161815</v>
      </c>
      <c r="E537" t="str">
        <f>VLOOKUP(C537,'[1]CÓDIGOS DE PRODUCTO'!$A$4:$B$156,2,FALSE)</f>
        <v>CHICLES TRIDENT</v>
      </c>
      <c r="F537" t="str">
        <f>INDEX('[1]CÓDIGOS DE PRODUCTO'!$C$3:$C$1000,MATCH(C537,'[1]CÓDIGOS DE PRODUCTO'!$A$3:$A$1000,0))</f>
        <v>OTROS</v>
      </c>
      <c r="G537">
        <f>+'[1]VENTAS(RESUMEN GLOBAL)'!D537-'[1]VENTAS(RESUMEN GLOBAL)'!E537</f>
        <v>2</v>
      </c>
      <c r="H537" s="9">
        <f>+'[1]VENTAS(RESUMEN GLOBAL)'!K537</f>
        <v>1.4000000000000001</v>
      </c>
      <c r="I537" s="8">
        <f>+G537*'[1]VENTAS(RESUMEN GLOBAL)'!F537</f>
        <v>50</v>
      </c>
      <c r="J537" s="8">
        <f>'[1]VENTAS(RESUMEN GLOBAL)'!G537*(1-'[1]VENTAS(RESUMEN GLOBAL)'!H537)</f>
        <v>30</v>
      </c>
      <c r="K537" s="8">
        <f t="shared" si="8"/>
        <v>20</v>
      </c>
      <c r="L537" s="8">
        <f>+'[1]VENTAS(RESUMEN GLOBAL)'!J537</f>
        <v>2</v>
      </c>
      <c r="M537" s="8">
        <f>+Tabla1[[#This Row],[utilidad x dia]]*7</f>
        <v>14</v>
      </c>
    </row>
    <row r="538" spans="1:13" x14ac:dyDescent="0.3">
      <c r="A538" s="6">
        <f>+'[1]VENTAS(RESUMEN GLOBAL)'!L538</f>
        <v>46065</v>
      </c>
      <c r="B538" s="6" t="str">
        <f>+'[1]VENTAS(RESUMEN GLOBAL)'!M538</f>
        <v>ECCE 2 SECCIÓN</v>
      </c>
      <c r="C538">
        <f>+'[1]VENTAS(RESUMEN GLOBAL)'!B538</f>
        <v>400200</v>
      </c>
      <c r="D538" t="str">
        <f>INDEX('[1]CÓDIGOS DE PRODUCTO'!$D$3:$D$1000,MATCH(C538,'[1]CÓDIGOS DE PRODUCTO'!$A$3:$A$1000,0))</f>
        <v>N/A</v>
      </c>
      <c r="E538" t="str">
        <f>VLOOKUP(C538,'[1]CÓDIGOS DE PRODUCTO'!$A$4:$B$156,2,FALSE)</f>
        <v>MARLBORO ROJOS</v>
      </c>
      <c r="F538" t="str">
        <f>INDEX('[1]CÓDIGOS DE PRODUCTO'!$C$3:$C$1000,MATCH(C538,'[1]CÓDIGOS DE PRODUCTO'!$A$3:$A$1000,0))</f>
        <v>Cigarros</v>
      </c>
      <c r="G538">
        <f>+'[1]VENTAS(RESUMEN GLOBAL)'!D538-'[1]VENTAS(RESUMEN GLOBAL)'!E538</f>
        <v>1</v>
      </c>
      <c r="H538" s="9">
        <f>+'[1]VENTAS(RESUMEN GLOBAL)'!K538</f>
        <v>0.70000000000000007</v>
      </c>
      <c r="I538" s="8">
        <f>+G538*'[1]VENTAS(RESUMEN GLOBAL)'!F538</f>
        <v>160</v>
      </c>
      <c r="J538" s="8">
        <f>'[1]VENTAS(RESUMEN GLOBAL)'!G538*(1-'[1]VENTAS(RESUMEN GLOBAL)'!H538)</f>
        <v>110.39999999999999</v>
      </c>
      <c r="K538" s="8">
        <f t="shared" si="8"/>
        <v>49.600000000000009</v>
      </c>
      <c r="L538" s="8">
        <f>+'[1]VENTAS(RESUMEN GLOBAL)'!J538</f>
        <v>4.96</v>
      </c>
      <c r="M538" s="8">
        <f>+Tabla1[[#This Row],[utilidad x dia]]*7</f>
        <v>34.72</v>
      </c>
    </row>
    <row r="539" spans="1:13" x14ac:dyDescent="0.3">
      <c r="A539" s="6">
        <f>+'[1]VENTAS(RESUMEN GLOBAL)'!L539</f>
        <v>46065</v>
      </c>
      <c r="B539" s="6" t="str">
        <f>+'[1]VENTAS(RESUMEN GLOBAL)'!M539</f>
        <v>ECCE 2 SECCIÓN</v>
      </c>
      <c r="C539">
        <f>+'[1]VENTAS(RESUMEN GLOBAL)'!B539</f>
        <v>400100</v>
      </c>
      <c r="D539" t="str">
        <f>INDEX('[1]CÓDIGOS DE PRODUCTO'!$D$3:$D$1000,MATCH(C539,'[1]CÓDIGOS DE PRODUCTO'!$A$3:$A$1000,0))</f>
        <v>N/A</v>
      </c>
      <c r="E539" t="str">
        <f>VLOOKUP(C539,'[1]CÓDIGOS DE PRODUCTO'!$A$4:$B$156,2,FALSE)</f>
        <v>MARLBORO BLANCOS</v>
      </c>
      <c r="F539" t="str">
        <f>INDEX('[1]CÓDIGOS DE PRODUCTO'!$C$3:$C$1000,MATCH(C539,'[1]CÓDIGOS DE PRODUCTO'!$A$3:$A$1000,0))</f>
        <v>Cigarros</v>
      </c>
      <c r="G539">
        <f>+'[1]VENTAS(RESUMEN GLOBAL)'!D539-'[1]VENTAS(RESUMEN GLOBAL)'!E539</f>
        <v>0</v>
      </c>
      <c r="H539" s="9">
        <f>+'[1]VENTAS(RESUMEN GLOBAL)'!K539</f>
        <v>0</v>
      </c>
      <c r="I539" s="8">
        <f>+G539*'[1]VENTAS(RESUMEN GLOBAL)'!F539</f>
        <v>0</v>
      </c>
      <c r="J539" s="8">
        <f>'[1]VENTAS(RESUMEN GLOBAL)'!G539*(1-'[1]VENTAS(RESUMEN GLOBAL)'!H539)</f>
        <v>0</v>
      </c>
      <c r="K539" s="8">
        <f t="shared" si="8"/>
        <v>0</v>
      </c>
      <c r="L539" s="8">
        <f>+'[1]VENTAS(RESUMEN GLOBAL)'!J539</f>
        <v>0</v>
      </c>
      <c r="M539" s="8">
        <f>+Tabla1[[#This Row],[utilidad x dia]]*7</f>
        <v>0</v>
      </c>
    </row>
    <row r="540" spans="1:13" x14ac:dyDescent="0.3">
      <c r="A540" s="6">
        <f>+'[1]VENTAS(RESUMEN GLOBAL)'!L540</f>
        <v>46065</v>
      </c>
      <c r="B540" s="6" t="str">
        <f>+'[1]VENTAS(RESUMEN GLOBAL)'!M540</f>
        <v>ECCE 2 SECCIÓN</v>
      </c>
      <c r="C540">
        <f>+'[1]VENTAS(RESUMEN GLOBAL)'!B540</f>
        <v>300400</v>
      </c>
      <c r="D540" t="str">
        <f>INDEX('[1]CÓDIGOS DE PRODUCTO'!$D$3:$D$1000,MATCH(C540,'[1]CÓDIGOS DE PRODUCTO'!$A$3:$A$1000,0))</f>
        <v>50161800 </v>
      </c>
      <c r="E540" t="str">
        <f>VLOOKUP(C540,'[1]CÓDIGOS DE PRODUCTO'!$A$4:$B$156,2,FALSE)</f>
        <v>Welchs GOMITAS</v>
      </c>
      <c r="F540" t="str">
        <f>INDEX('[1]CÓDIGOS DE PRODUCTO'!$C$3:$C$1000,MATCH(C540,'[1]CÓDIGOS DE PRODUCTO'!$A$3:$A$1000,0))</f>
        <v>Snacks &amp; Dulces</v>
      </c>
      <c r="G540">
        <f>+'[1]VENTAS(RESUMEN GLOBAL)'!D540-'[1]VENTAS(RESUMEN GLOBAL)'!E540</f>
        <v>5</v>
      </c>
      <c r="H540" s="9">
        <f>+'[1]VENTAS(RESUMEN GLOBAL)'!K540</f>
        <v>3.5</v>
      </c>
      <c r="I540" s="8">
        <f>+G540*'[1]VENTAS(RESUMEN GLOBAL)'!F540</f>
        <v>50</v>
      </c>
      <c r="J540" s="8">
        <f>'[1]VENTAS(RESUMEN GLOBAL)'!G540*(1-'[1]VENTAS(RESUMEN GLOBAL)'!H540)</f>
        <v>10.999999999999998</v>
      </c>
      <c r="K540" s="8">
        <f t="shared" si="8"/>
        <v>39</v>
      </c>
      <c r="L540" s="8">
        <f>+'[1]VENTAS(RESUMEN GLOBAL)'!J540</f>
        <v>3.9</v>
      </c>
      <c r="M540" s="8">
        <f>+Tabla1[[#This Row],[utilidad x dia]]*7</f>
        <v>27.3</v>
      </c>
    </row>
    <row r="541" spans="1:13" x14ac:dyDescent="0.3">
      <c r="A541" s="6">
        <f>+'[1]VENTAS(RESUMEN GLOBAL)'!L541</f>
        <v>46065</v>
      </c>
      <c r="B541" s="6" t="str">
        <f>+'[1]VENTAS(RESUMEN GLOBAL)'!M541</f>
        <v>ECCE 2 SECCIÓN</v>
      </c>
      <c r="C541">
        <f>+'[1]VENTAS(RESUMEN GLOBAL)'!B541</f>
        <v>300100</v>
      </c>
      <c r="D541" t="str">
        <f>INDEX('[1]CÓDIGOS DE PRODUCTO'!$D$3:$D$1000,MATCH(C541,'[1]CÓDIGOS DE PRODUCTO'!$A$3:$A$1000,0))</f>
        <v>50161800 </v>
      </c>
      <c r="E541" t="str">
        <f>VLOOKUP(C541,'[1]CÓDIGOS DE PRODUCTO'!$A$4:$B$156,2,FALSE)</f>
        <v>Pelonetes</v>
      </c>
      <c r="F541" t="str">
        <f>INDEX('[1]CÓDIGOS DE PRODUCTO'!$C$3:$C$1000,MATCH(C541,'[1]CÓDIGOS DE PRODUCTO'!$A$3:$A$1000,0))</f>
        <v>Snacks &amp; Dulces</v>
      </c>
      <c r="G541">
        <f>+'[1]VENTAS(RESUMEN GLOBAL)'!D541-'[1]VENTAS(RESUMEN GLOBAL)'!E541</f>
        <v>1</v>
      </c>
      <c r="H541" s="9">
        <f>+'[1]VENTAS(RESUMEN GLOBAL)'!K541</f>
        <v>0.70000000000000007</v>
      </c>
      <c r="I541" s="8">
        <f>+G541*'[1]VENTAS(RESUMEN GLOBAL)'!F541</f>
        <v>15</v>
      </c>
      <c r="J541" s="8">
        <f>'[1]VENTAS(RESUMEN GLOBAL)'!G541*(1-'[1]VENTAS(RESUMEN GLOBAL)'!H541)</f>
        <v>7.5</v>
      </c>
      <c r="K541" s="8">
        <f t="shared" si="8"/>
        <v>7.5</v>
      </c>
      <c r="L541" s="8">
        <f>+'[1]VENTAS(RESUMEN GLOBAL)'!J541</f>
        <v>0.75</v>
      </c>
      <c r="M541" s="8">
        <f>+Tabla1[[#This Row],[utilidad x dia]]*7</f>
        <v>5.25</v>
      </c>
    </row>
    <row r="542" spans="1:13" x14ac:dyDescent="0.3">
      <c r="A542" s="6">
        <f>+'[1]VENTAS(RESUMEN GLOBAL)'!L542</f>
        <v>46065</v>
      </c>
      <c r="B542" s="6" t="str">
        <f>+'[1]VENTAS(RESUMEN GLOBAL)'!M542</f>
        <v>ECCE 2 SECCIÓN</v>
      </c>
      <c r="C542">
        <f>+'[1]VENTAS(RESUMEN GLOBAL)'!B542</f>
        <v>700800</v>
      </c>
      <c r="D542" t="str">
        <f>INDEX('[1]CÓDIGOS DE PRODUCTO'!$D$3:$D$1000,MATCH(C542,'[1]CÓDIGOS DE PRODUCTO'!$A$3:$A$1000,0))</f>
        <v>50161511 </v>
      </c>
      <c r="E542" t="str">
        <f>VLOOKUP(C542,'[1]CÓDIGOS DE PRODUCTO'!$A$4:$B$156,2,FALSE)</f>
        <v>Kinder delice</v>
      </c>
      <c r="F542" t="str">
        <f>INDEX('[1]CÓDIGOS DE PRODUCTO'!$C$3:$C$1000,MATCH(C542,'[1]CÓDIGOS DE PRODUCTO'!$A$3:$A$1000,0))</f>
        <v>CHOCOLATES</v>
      </c>
      <c r="G542">
        <f>+'[1]VENTAS(RESUMEN GLOBAL)'!D542-'[1]VENTAS(RESUMEN GLOBAL)'!E542</f>
        <v>4</v>
      </c>
      <c r="H542" s="9">
        <f>+'[1]VENTAS(RESUMEN GLOBAL)'!K542</f>
        <v>2.8000000000000003</v>
      </c>
      <c r="I542" s="8">
        <f>+G542*'[1]VENTAS(RESUMEN GLOBAL)'!F542</f>
        <v>100</v>
      </c>
      <c r="J542" s="8">
        <f>'[1]VENTAS(RESUMEN GLOBAL)'!G542*(1-'[1]VENTAS(RESUMEN GLOBAL)'!H542)</f>
        <v>40</v>
      </c>
      <c r="K542" s="8">
        <f t="shared" si="8"/>
        <v>60</v>
      </c>
      <c r="L542" s="8">
        <f>+'[1]VENTAS(RESUMEN GLOBAL)'!J542</f>
        <v>6</v>
      </c>
      <c r="M542" s="8">
        <f>+Tabla1[[#This Row],[utilidad x dia]]*7</f>
        <v>42</v>
      </c>
    </row>
    <row r="543" spans="1:13" x14ac:dyDescent="0.3">
      <c r="A543" s="6">
        <f>+'[1]VENTAS(RESUMEN GLOBAL)'!L543</f>
        <v>46065</v>
      </c>
      <c r="B543" s="6" t="str">
        <f>+'[1]VENTAS(RESUMEN GLOBAL)'!M543</f>
        <v>ECCE 2 SECCIÓN</v>
      </c>
      <c r="C543">
        <f>+'[1]VENTAS(RESUMEN GLOBAL)'!B543</f>
        <v>700700</v>
      </c>
      <c r="D543" t="str">
        <f>INDEX('[1]CÓDIGOS DE PRODUCTO'!$D$3:$D$1000,MATCH(C543,'[1]CÓDIGOS DE PRODUCTO'!$A$3:$A$1000,0))</f>
        <v>50161511 </v>
      </c>
      <c r="E543" t="str">
        <f>VLOOKUP(C543,'[1]CÓDIGOS DE PRODUCTO'!$A$4:$B$156,2,FALSE)</f>
        <v>Milkiway</v>
      </c>
      <c r="F543" t="str">
        <f>INDEX('[1]CÓDIGOS DE PRODUCTO'!$C$3:$C$1000,MATCH(C543,'[1]CÓDIGOS DE PRODUCTO'!$A$3:$A$1000,0))</f>
        <v>CHOCOLATES</v>
      </c>
      <c r="G543">
        <f>+'[1]VENTAS(RESUMEN GLOBAL)'!D543-'[1]VENTAS(RESUMEN GLOBAL)'!E543</f>
        <v>1</v>
      </c>
      <c r="H543" s="9">
        <f>+'[1]VENTAS(RESUMEN GLOBAL)'!K543</f>
        <v>0.70000000000000007</v>
      </c>
      <c r="I543" s="8">
        <f>+G543*'[1]VENTAS(RESUMEN GLOBAL)'!F543</f>
        <v>27</v>
      </c>
      <c r="J543" s="8">
        <f>'[1]VENTAS(RESUMEN GLOBAL)'!G543*(1-'[1]VENTAS(RESUMEN GLOBAL)'!H543)</f>
        <v>13.5</v>
      </c>
      <c r="K543" s="8">
        <f t="shared" si="8"/>
        <v>13.5</v>
      </c>
      <c r="L543" s="8">
        <f>+'[1]VENTAS(RESUMEN GLOBAL)'!J543</f>
        <v>1.35</v>
      </c>
      <c r="M543" s="8">
        <f>+Tabla1[[#This Row],[utilidad x dia]]*7</f>
        <v>9.4500000000000011</v>
      </c>
    </row>
    <row r="544" spans="1:13" x14ac:dyDescent="0.3">
      <c r="A544" s="6">
        <f>+'[1]VENTAS(RESUMEN GLOBAL)'!L544</f>
        <v>46065</v>
      </c>
      <c r="B544" s="6" t="str">
        <f>+'[1]VENTAS(RESUMEN GLOBAL)'!M544</f>
        <v>ECCE 2 SECCIÓN</v>
      </c>
      <c r="C544">
        <f>+'[1]VENTAS(RESUMEN GLOBAL)'!B544</f>
        <v>700200</v>
      </c>
      <c r="D544" t="str">
        <f>INDEX('[1]CÓDIGOS DE PRODUCTO'!$D$3:$D$1000,MATCH(C544,'[1]CÓDIGOS DE PRODUCTO'!$A$3:$A$1000,0))</f>
        <v>50161511 </v>
      </c>
      <c r="E544" t="str">
        <f>VLOOKUP(C544,'[1]CÓDIGOS DE PRODUCTO'!$A$4:$B$156,2,FALSE)</f>
        <v>Snickers</v>
      </c>
      <c r="F544" t="str">
        <f>INDEX('[1]CÓDIGOS DE PRODUCTO'!$C$3:$C$1000,MATCH(C544,'[1]CÓDIGOS DE PRODUCTO'!$A$3:$A$1000,0))</f>
        <v>CHOCOLATES</v>
      </c>
      <c r="G544">
        <f>+'[1]VENTAS(RESUMEN GLOBAL)'!D544-'[1]VENTAS(RESUMEN GLOBAL)'!E544</f>
        <v>1</v>
      </c>
      <c r="H544" s="9">
        <f>+'[1]VENTAS(RESUMEN GLOBAL)'!K544</f>
        <v>0.70000000000000007</v>
      </c>
      <c r="I544" s="8">
        <f>+G544*'[1]VENTAS(RESUMEN GLOBAL)'!F544</f>
        <v>27</v>
      </c>
      <c r="J544" s="8">
        <f>'[1]VENTAS(RESUMEN GLOBAL)'!G544*(1-'[1]VENTAS(RESUMEN GLOBAL)'!H544)</f>
        <v>15.120000000000001</v>
      </c>
      <c r="K544" s="8">
        <f t="shared" si="8"/>
        <v>11.879999999999999</v>
      </c>
      <c r="L544" s="8">
        <f>+'[1]VENTAS(RESUMEN GLOBAL)'!J544</f>
        <v>1.1880000000000002</v>
      </c>
      <c r="M544" s="8">
        <f>+Tabla1[[#This Row],[utilidad x dia]]*7</f>
        <v>8.3160000000000007</v>
      </c>
    </row>
    <row r="545" spans="1:13" x14ac:dyDescent="0.3">
      <c r="A545" s="6">
        <f>+'[1]VENTAS(RESUMEN GLOBAL)'!L545</f>
        <v>46065</v>
      </c>
      <c r="B545" s="6" t="str">
        <f>+'[1]VENTAS(RESUMEN GLOBAL)'!M545</f>
        <v>ECCE 2 SECCIÓN</v>
      </c>
      <c r="C545">
        <f>+'[1]VENTAS(RESUMEN GLOBAL)'!B545</f>
        <v>701000</v>
      </c>
      <c r="D545" t="str">
        <f>INDEX('[1]CÓDIGOS DE PRODUCTO'!$D$3:$D$1000,MATCH(C545,'[1]CÓDIGOS DE PRODUCTO'!$A$3:$A$1000,0))</f>
        <v>50161511 </v>
      </c>
      <c r="E545" t="str">
        <f>VLOOKUP(C545,'[1]CÓDIGOS DE PRODUCTO'!$A$4:$B$156,2,FALSE)</f>
        <v>BUBULUBU</v>
      </c>
      <c r="F545" t="str">
        <f>INDEX('[1]CÓDIGOS DE PRODUCTO'!$C$3:$C$1000,MATCH(C545,'[1]CÓDIGOS DE PRODUCTO'!$A$3:$A$1000,0))</f>
        <v>CHOCOLATES</v>
      </c>
      <c r="G545">
        <f>+'[1]VENTAS(RESUMEN GLOBAL)'!D545-'[1]VENTAS(RESUMEN GLOBAL)'!E545</f>
        <v>1</v>
      </c>
      <c r="H545" s="9">
        <f>+'[1]VENTAS(RESUMEN GLOBAL)'!K545</f>
        <v>0.70000000000000007</v>
      </c>
      <c r="I545" s="8">
        <f>+G545*'[1]VENTAS(RESUMEN GLOBAL)'!F545</f>
        <v>30</v>
      </c>
      <c r="J545" s="8">
        <f>'[1]VENTAS(RESUMEN GLOBAL)'!G545*(1-'[1]VENTAS(RESUMEN GLOBAL)'!H545)</f>
        <v>13.2</v>
      </c>
      <c r="K545" s="8">
        <f t="shared" si="8"/>
        <v>16.8</v>
      </c>
      <c r="L545" s="8">
        <f>+'[1]VENTAS(RESUMEN GLOBAL)'!J545</f>
        <v>1.6800000000000002</v>
      </c>
      <c r="M545" s="8">
        <f>+Tabla1[[#This Row],[utilidad x dia]]*7</f>
        <v>11.760000000000002</v>
      </c>
    </row>
    <row r="546" spans="1:13" x14ac:dyDescent="0.3">
      <c r="A546" s="6">
        <f>+'[1]VENTAS(RESUMEN GLOBAL)'!L546</f>
        <v>46065</v>
      </c>
      <c r="B546" s="6" t="str">
        <f>+'[1]VENTAS(RESUMEN GLOBAL)'!M546</f>
        <v>ECCE 2 SECCIÓN</v>
      </c>
      <c r="C546">
        <f>+'[1]VENTAS(RESUMEN GLOBAL)'!B546</f>
        <v>700400</v>
      </c>
      <c r="D546" t="str">
        <f>INDEX('[1]CÓDIGOS DE PRODUCTO'!$D$3:$D$1000,MATCH(C546,'[1]CÓDIGOS DE PRODUCTO'!$A$3:$A$1000,0))</f>
        <v>50161511 </v>
      </c>
      <c r="E546" t="str">
        <f>VLOOKUP(C546,'[1]CÓDIGOS DE PRODUCTO'!$A$4:$B$156,2,FALSE)</f>
        <v>KIT KAT</v>
      </c>
      <c r="F546" t="str">
        <f>INDEX('[1]CÓDIGOS DE PRODUCTO'!$C$3:$C$1000,MATCH(C546,'[1]CÓDIGOS DE PRODUCTO'!$A$3:$A$1000,0))</f>
        <v>CHOCOLATES</v>
      </c>
      <c r="G546">
        <f>+'[1]VENTAS(RESUMEN GLOBAL)'!D546-'[1]VENTAS(RESUMEN GLOBAL)'!E546</f>
        <v>1</v>
      </c>
      <c r="H546" s="9">
        <f>+'[1]VENTAS(RESUMEN GLOBAL)'!K546</f>
        <v>0.70000000000000007</v>
      </c>
      <c r="I546" s="8">
        <f>+G546*'[1]VENTAS(RESUMEN GLOBAL)'!F546</f>
        <v>25</v>
      </c>
      <c r="J546" s="8">
        <f>'[1]VENTAS(RESUMEN GLOBAL)'!G546*(1-'[1]VENTAS(RESUMEN GLOBAL)'!H546)</f>
        <v>12.031249999999998</v>
      </c>
      <c r="K546" s="8">
        <f t="shared" si="8"/>
        <v>12.968750000000002</v>
      </c>
      <c r="L546" s="8">
        <f>+'[1]VENTAS(RESUMEN GLOBAL)'!J546</f>
        <v>1.2968750000000002</v>
      </c>
      <c r="M546" s="8">
        <f>+Tabla1[[#This Row],[utilidad x dia]]*7</f>
        <v>9.0781250000000018</v>
      </c>
    </row>
    <row r="547" spans="1:13" x14ac:dyDescent="0.3">
      <c r="A547" s="6">
        <f>+'[1]VENTAS(RESUMEN GLOBAL)'!L547</f>
        <v>46065</v>
      </c>
      <c r="B547" s="6" t="str">
        <f>+'[1]VENTAS(RESUMEN GLOBAL)'!M547</f>
        <v>ECCE 2 SECCIÓN</v>
      </c>
      <c r="C547">
        <f>+'[1]VENTAS(RESUMEN GLOBAL)'!B547</f>
        <v>700600</v>
      </c>
      <c r="D547" t="str">
        <f>INDEX('[1]CÓDIGOS DE PRODUCTO'!$D$3:$D$1000,MATCH(C547,'[1]CÓDIGOS DE PRODUCTO'!$A$3:$A$1000,0))</f>
        <v>50161511 </v>
      </c>
      <c r="E547" t="str">
        <f>VLOOKUP(C547,'[1]CÓDIGOS DE PRODUCTO'!$A$4:$B$156,2,FALSE)</f>
        <v>CHOCO MUIBÓN</v>
      </c>
      <c r="F547" t="str">
        <f>INDEX('[1]CÓDIGOS DE PRODUCTO'!$C$3:$C$1000,MATCH(C547,'[1]CÓDIGOS DE PRODUCTO'!$A$3:$A$1000,0))</f>
        <v>CHOCOLATES</v>
      </c>
      <c r="G547">
        <f>+'[1]VENTAS(RESUMEN GLOBAL)'!D547-'[1]VENTAS(RESUMEN GLOBAL)'!E547</f>
        <v>3</v>
      </c>
      <c r="H547" s="9">
        <f>+'[1]VENTAS(RESUMEN GLOBAL)'!K547</f>
        <v>2.1</v>
      </c>
      <c r="I547" s="8">
        <f>+G547*'[1]VENTAS(RESUMEN GLOBAL)'!F547</f>
        <v>30</v>
      </c>
      <c r="J547" s="8">
        <f>'[1]VENTAS(RESUMEN GLOBAL)'!G547*(1-'[1]VENTAS(RESUMEN GLOBAL)'!H547)</f>
        <v>11.4</v>
      </c>
      <c r="K547" s="8">
        <f t="shared" si="8"/>
        <v>18.600000000000001</v>
      </c>
      <c r="L547" s="8">
        <f>+'[1]VENTAS(RESUMEN GLOBAL)'!J547</f>
        <v>1.86</v>
      </c>
      <c r="M547" s="8">
        <f>+Tabla1[[#This Row],[utilidad x dia]]*7</f>
        <v>13.020000000000001</v>
      </c>
    </row>
    <row r="548" spans="1:13" x14ac:dyDescent="0.3">
      <c r="A548" s="6">
        <f>+'[1]VENTAS(RESUMEN GLOBAL)'!L548</f>
        <v>46065</v>
      </c>
      <c r="B548" s="6" t="str">
        <f>+'[1]VENTAS(RESUMEN GLOBAL)'!M548</f>
        <v>ECCE 2 SECCIÓN</v>
      </c>
      <c r="C548">
        <f>+'[1]VENTAS(RESUMEN GLOBAL)'!B548</f>
        <v>700500</v>
      </c>
      <c r="D548" t="str">
        <f>INDEX('[1]CÓDIGOS DE PRODUCTO'!$D$3:$D$1000,MATCH(C548,'[1]CÓDIGOS DE PRODUCTO'!$A$3:$A$1000,0))</f>
        <v>50161511 </v>
      </c>
      <c r="E548" t="str">
        <f>VLOOKUP(C548,'[1]CÓDIGOS DE PRODUCTO'!$A$4:$B$156,2,FALSE)</f>
        <v>HERSHEYS BLANCO</v>
      </c>
      <c r="F548" t="str">
        <f>INDEX('[1]CÓDIGOS DE PRODUCTO'!$C$3:$C$1000,MATCH(C548,'[1]CÓDIGOS DE PRODUCTO'!$A$3:$A$1000,0))</f>
        <v>CHOCOLATES</v>
      </c>
      <c r="G548">
        <f>+'[1]VENTAS(RESUMEN GLOBAL)'!D548-'[1]VENTAS(RESUMEN GLOBAL)'!E548</f>
        <v>1</v>
      </c>
      <c r="H548" s="9">
        <f>+'[1]VENTAS(RESUMEN GLOBAL)'!K548</f>
        <v>0.70000000000000007</v>
      </c>
      <c r="I548" s="8">
        <f>+G548*'[1]VENTAS(RESUMEN GLOBAL)'!F548</f>
        <v>250</v>
      </c>
      <c r="J548" s="8">
        <f>'[1]VENTAS(RESUMEN GLOBAL)'!G548*(1-'[1]VENTAS(RESUMEN GLOBAL)'!H548)</f>
        <v>117</v>
      </c>
      <c r="K548" s="8">
        <f t="shared" si="8"/>
        <v>133</v>
      </c>
      <c r="L548" s="8">
        <f>+'[1]VENTAS(RESUMEN GLOBAL)'!J548</f>
        <v>13.3</v>
      </c>
      <c r="M548" s="8">
        <f>+Tabla1[[#This Row],[utilidad x dia]]*7</f>
        <v>93.100000000000009</v>
      </c>
    </row>
    <row r="549" spans="1:13" x14ac:dyDescent="0.3">
      <c r="A549" s="6">
        <f>+'[1]VENTAS(RESUMEN GLOBAL)'!L549</f>
        <v>46065</v>
      </c>
      <c r="B549" s="6" t="str">
        <f>+'[1]VENTAS(RESUMEN GLOBAL)'!M549</f>
        <v>ECCE 2 SECCIÓN</v>
      </c>
      <c r="C549">
        <f>+'[1]VENTAS(RESUMEN GLOBAL)'!B549</f>
        <v>800200</v>
      </c>
      <c r="D549" t="str">
        <f>INDEX('[1]CÓDIGOS DE PRODUCTO'!$D$3:$D$1000,MATCH(C549,'[1]CÓDIGOS DE PRODUCTO'!$A$3:$A$1000,0))</f>
        <v>50181900 </v>
      </c>
      <c r="E549" t="str">
        <f>VLOOKUP(C549,'[1]CÓDIGOS DE PRODUCTO'!$A$4:$B$156,2,FALSE)</f>
        <v>Príncipe (6 PZ-63 GR)</v>
      </c>
      <c r="F549" t="str">
        <f>INDEX('[1]CÓDIGOS DE PRODUCTO'!$C$3:$C$1000,MATCH(C549,'[1]CÓDIGOS DE PRODUCTO'!$A$3:$A$1000,0))</f>
        <v>GALLETAS Y PAN DULCE</v>
      </c>
      <c r="G549">
        <f>+'[1]VENTAS(RESUMEN GLOBAL)'!D549-'[1]VENTAS(RESUMEN GLOBAL)'!E549</f>
        <v>3</v>
      </c>
      <c r="H549" s="9">
        <f>+'[1]VENTAS(RESUMEN GLOBAL)'!K549</f>
        <v>2.1</v>
      </c>
      <c r="I549" s="8">
        <f>+G549*'[1]VENTAS(RESUMEN GLOBAL)'!F549</f>
        <v>60</v>
      </c>
      <c r="J549" s="8">
        <f>'[1]VENTAS(RESUMEN GLOBAL)'!G549*(1-'[1]VENTAS(RESUMEN GLOBAL)'!H549)</f>
        <v>32.400000000000006</v>
      </c>
      <c r="K549" s="8">
        <f t="shared" si="8"/>
        <v>27.599999999999994</v>
      </c>
      <c r="L549" s="8">
        <f>+'[1]VENTAS(RESUMEN GLOBAL)'!J549</f>
        <v>2.7600000000000002</v>
      </c>
      <c r="M549" s="8">
        <f>+Tabla1[[#This Row],[utilidad x dia]]*7</f>
        <v>19.32</v>
      </c>
    </row>
    <row r="550" spans="1:13" x14ac:dyDescent="0.3">
      <c r="A550" s="6">
        <f>+'[1]VENTAS(RESUMEN GLOBAL)'!L550</f>
        <v>46065</v>
      </c>
      <c r="B550" s="6" t="str">
        <f>+'[1]VENTAS(RESUMEN GLOBAL)'!M550</f>
        <v>ECCE 2 SECCIÓN</v>
      </c>
      <c r="C550">
        <f>+'[1]VENTAS(RESUMEN GLOBAL)'!B550</f>
        <v>801400</v>
      </c>
      <c r="D550" t="str">
        <f>INDEX('[1]CÓDIGOS DE PRODUCTO'!$D$3:$D$1000,MATCH(C550,'[1]CÓDIGOS DE PRODUCTO'!$A$3:$A$1000,0))</f>
        <v>50181900 </v>
      </c>
      <c r="E550" t="str">
        <f>VLOOKUP(C550,'[1]CÓDIGOS DE PRODUCTO'!$A$4:$B$156,2,FALSE)</f>
        <v>CHIPS AJOY</v>
      </c>
      <c r="F550" t="str">
        <f>INDEX('[1]CÓDIGOS DE PRODUCTO'!$C$3:$C$1000,MATCH(C550,'[1]CÓDIGOS DE PRODUCTO'!$A$3:$A$1000,0))</f>
        <v>GALLETAS Y PAN DULCE</v>
      </c>
      <c r="G550">
        <f>+'[1]VENTAS(RESUMEN GLOBAL)'!D550-'[1]VENTAS(RESUMEN GLOBAL)'!E550</f>
        <v>2</v>
      </c>
      <c r="H550" s="9">
        <f>+'[1]VENTAS(RESUMEN GLOBAL)'!K550</f>
        <v>1.4000000000000001</v>
      </c>
      <c r="I550" s="8">
        <f>+G550*'[1]VENTAS(RESUMEN GLOBAL)'!F550</f>
        <v>40</v>
      </c>
      <c r="J550" s="8">
        <f>'[1]VENTAS(RESUMEN GLOBAL)'!G550*(1-'[1]VENTAS(RESUMEN GLOBAL)'!H550)</f>
        <v>21.6</v>
      </c>
      <c r="K550" s="8">
        <f t="shared" si="8"/>
        <v>18.399999999999999</v>
      </c>
      <c r="L550" s="8">
        <f>+'[1]VENTAS(RESUMEN GLOBAL)'!J550</f>
        <v>1.8400000000000003</v>
      </c>
      <c r="M550" s="8">
        <f>+Tabla1[[#This Row],[utilidad x dia]]*7</f>
        <v>12.880000000000003</v>
      </c>
    </row>
    <row r="551" spans="1:13" x14ac:dyDescent="0.3">
      <c r="A551" s="6">
        <f>+'[1]VENTAS(RESUMEN GLOBAL)'!L551</f>
        <v>46065</v>
      </c>
      <c r="B551" s="6" t="str">
        <f>+'[1]VENTAS(RESUMEN GLOBAL)'!M551</f>
        <v>ECCE 2 SECCIÓN</v>
      </c>
      <c r="C551">
        <f>+'[1]VENTAS(RESUMEN GLOBAL)'!B551</f>
        <v>800400</v>
      </c>
      <c r="D551" t="str">
        <f>INDEX('[1]CÓDIGOS DE PRODUCTO'!$D$3:$D$1000,MATCH(C551,'[1]CÓDIGOS DE PRODUCTO'!$A$3:$A$1000,0))</f>
        <v>50181900 </v>
      </c>
      <c r="E551" t="str">
        <f>VLOOKUP(C551,'[1]CÓDIGOS DE PRODUCTO'!$A$4:$B$156,2,FALSE)</f>
        <v>Barritas FRESA</v>
      </c>
      <c r="F551" t="str">
        <f>INDEX('[1]CÓDIGOS DE PRODUCTO'!$C$3:$C$1000,MATCH(C551,'[1]CÓDIGOS DE PRODUCTO'!$A$3:$A$1000,0))</f>
        <v>GALLETAS Y PAN DULCE</v>
      </c>
      <c r="G551">
        <f>+'[1]VENTAS(RESUMEN GLOBAL)'!D551-'[1]VENTAS(RESUMEN GLOBAL)'!E551</f>
        <v>7</v>
      </c>
      <c r="H551" s="9">
        <f>+'[1]VENTAS(RESUMEN GLOBAL)'!K551</f>
        <v>4.8999999999999995</v>
      </c>
      <c r="I551" s="8">
        <f>+G551*'[1]VENTAS(RESUMEN GLOBAL)'!F551</f>
        <v>140</v>
      </c>
      <c r="J551" s="8">
        <f>'[1]VENTAS(RESUMEN GLOBAL)'!G551*(1-'[1]VENTAS(RESUMEN GLOBAL)'!H551)</f>
        <v>42.000000000000007</v>
      </c>
      <c r="K551" s="8">
        <f t="shared" si="8"/>
        <v>98</v>
      </c>
      <c r="L551" s="8">
        <f>+'[1]VENTAS(RESUMEN GLOBAL)'!J551</f>
        <v>9.8000000000000007</v>
      </c>
      <c r="M551" s="8">
        <f>+Tabla1[[#This Row],[utilidad x dia]]*7</f>
        <v>68.600000000000009</v>
      </c>
    </row>
    <row r="552" spans="1:13" x14ac:dyDescent="0.3">
      <c r="A552" s="6">
        <f>+'[1]VENTAS(RESUMEN GLOBAL)'!L552</f>
        <v>46065</v>
      </c>
      <c r="B552" s="6" t="str">
        <f>+'[1]VENTAS(RESUMEN GLOBAL)'!M552</f>
        <v>ECCE 2 SECCIÓN</v>
      </c>
      <c r="C552">
        <f>+'[1]VENTAS(RESUMEN GLOBAL)'!B552</f>
        <v>800700</v>
      </c>
      <c r="D552" t="str">
        <f>INDEX('[1]CÓDIGOS DE PRODUCTO'!$D$3:$D$1000,MATCH(C552,'[1]CÓDIGOS DE PRODUCTO'!$A$3:$A$1000,0))</f>
        <v>50181900 </v>
      </c>
      <c r="E552" t="str">
        <f>VLOOKUP(C552,'[1]CÓDIGOS DE PRODUCTO'!$A$4:$B$156,2,FALSE)</f>
        <v>BARRITAS PIÑA</v>
      </c>
      <c r="F552" t="str">
        <f>INDEX('[1]CÓDIGOS DE PRODUCTO'!$C$3:$C$1000,MATCH(C552,'[1]CÓDIGOS DE PRODUCTO'!$A$3:$A$1000,0))</f>
        <v>GALLETAS Y PAN DULCE</v>
      </c>
      <c r="G552">
        <f>+'[1]VENTAS(RESUMEN GLOBAL)'!D552-'[1]VENTAS(RESUMEN GLOBAL)'!E552</f>
        <v>1</v>
      </c>
      <c r="H552" s="9">
        <f>+'[1]VENTAS(RESUMEN GLOBAL)'!K552</f>
        <v>0.70000000000000007</v>
      </c>
      <c r="I552" s="8">
        <f>+G552*'[1]VENTAS(RESUMEN GLOBAL)'!F552</f>
        <v>20</v>
      </c>
      <c r="J552" s="8">
        <f>'[1]VENTAS(RESUMEN GLOBAL)'!G552*(1-'[1]VENTAS(RESUMEN GLOBAL)'!H552)</f>
        <v>7</v>
      </c>
      <c r="K552" s="8">
        <f t="shared" si="8"/>
        <v>13</v>
      </c>
      <c r="L552" s="8">
        <f>+'[1]VENTAS(RESUMEN GLOBAL)'!J552</f>
        <v>0.8</v>
      </c>
      <c r="M552" s="8">
        <f>+Tabla1[[#This Row],[utilidad x dia]]*7</f>
        <v>5.6000000000000005</v>
      </c>
    </row>
    <row r="553" spans="1:13" x14ac:dyDescent="0.3">
      <c r="A553" s="6">
        <f>+'[1]VENTAS(RESUMEN GLOBAL)'!L553</f>
        <v>46065</v>
      </c>
      <c r="B553" s="6" t="str">
        <f>+'[1]VENTAS(RESUMEN GLOBAL)'!M553</f>
        <v>ECCE 2 SECCIÓN</v>
      </c>
      <c r="C553">
        <f>+'[1]VENTAS(RESUMEN GLOBAL)'!B553</f>
        <v>800800</v>
      </c>
      <c r="D553" t="str">
        <f>INDEX('[1]CÓDIGOS DE PRODUCTO'!$D$3:$D$1000,MATCH(C553,'[1]CÓDIGOS DE PRODUCTO'!$A$3:$A$1000,0))</f>
        <v>50181900 </v>
      </c>
      <c r="E553" t="str">
        <f>VLOOKUP(C553,'[1]CÓDIGOS DE PRODUCTO'!$A$4:$B$156,2,FALSE)</f>
        <v>DORADITAS</v>
      </c>
      <c r="F553" t="str">
        <f>INDEX('[1]CÓDIGOS DE PRODUCTO'!$C$3:$C$1000,MATCH(C553,'[1]CÓDIGOS DE PRODUCTO'!$A$3:$A$1000,0))</f>
        <v>GALLETAS Y PAN DULCE</v>
      </c>
      <c r="G553">
        <f>+'[1]VENTAS(RESUMEN GLOBAL)'!D553-'[1]VENTAS(RESUMEN GLOBAL)'!E553</f>
        <v>0</v>
      </c>
      <c r="H553" s="9">
        <f>+'[1]VENTAS(RESUMEN GLOBAL)'!K553</f>
        <v>0</v>
      </c>
      <c r="I553" s="8">
        <f>+G553*'[1]VENTAS(RESUMEN GLOBAL)'!F553</f>
        <v>0</v>
      </c>
      <c r="J553" s="8">
        <f>'[1]VENTAS(RESUMEN GLOBAL)'!G553*(1-'[1]VENTAS(RESUMEN GLOBAL)'!H553)</f>
        <v>0</v>
      </c>
      <c r="K553" s="8">
        <f t="shared" si="8"/>
        <v>0</v>
      </c>
      <c r="L553" s="8">
        <f>+'[1]VENTAS(RESUMEN GLOBAL)'!J553</f>
        <v>0</v>
      </c>
      <c r="M553" s="8">
        <f>+Tabla1[[#This Row],[utilidad x dia]]*7</f>
        <v>0</v>
      </c>
    </row>
    <row r="554" spans="1:13" x14ac:dyDescent="0.3">
      <c r="A554" s="6">
        <f>+'[1]VENTAS(RESUMEN GLOBAL)'!L554</f>
        <v>46065</v>
      </c>
      <c r="B554" s="6" t="str">
        <f>+'[1]VENTAS(RESUMEN GLOBAL)'!M554</f>
        <v>ECCE 2 SECCIÓN</v>
      </c>
      <c r="C554">
        <f>+'[1]VENTAS(RESUMEN GLOBAL)'!B554</f>
        <v>300200</v>
      </c>
      <c r="D554" t="str">
        <f>INDEX('[1]CÓDIGOS DE PRODUCTO'!$D$3:$D$1000,MATCH(C554,'[1]CÓDIGOS DE PRODUCTO'!$A$3:$A$1000,0))</f>
        <v>50161800 </v>
      </c>
      <c r="E554" t="str">
        <f>VLOOKUP(C554,'[1]CÓDIGOS DE PRODUCTO'!$A$4:$B$156,2,FALSE)</f>
        <v>SKWINKLES</v>
      </c>
      <c r="F554" t="str">
        <f>INDEX('[1]CÓDIGOS DE PRODUCTO'!$C$3:$C$1000,MATCH(C554,'[1]CÓDIGOS DE PRODUCTO'!$A$3:$A$1000,0))</f>
        <v>Snacks &amp; Dulces</v>
      </c>
      <c r="G554">
        <f>+'[1]VENTAS(RESUMEN GLOBAL)'!D554-'[1]VENTAS(RESUMEN GLOBAL)'!E554</f>
        <v>5</v>
      </c>
      <c r="H554" s="9">
        <f>+'[1]VENTAS(RESUMEN GLOBAL)'!K554</f>
        <v>3.5</v>
      </c>
      <c r="I554" s="8">
        <f>+G554*'[1]VENTAS(RESUMEN GLOBAL)'!F554</f>
        <v>50</v>
      </c>
      <c r="J554" s="8">
        <f>'[1]VENTAS(RESUMEN GLOBAL)'!G554*(1-'[1]VENTAS(RESUMEN GLOBAL)'!H554)</f>
        <v>17</v>
      </c>
      <c r="K554" s="8">
        <f t="shared" si="8"/>
        <v>33</v>
      </c>
      <c r="L554" s="8">
        <f>+'[1]VENTAS(RESUMEN GLOBAL)'!J554</f>
        <v>3.3</v>
      </c>
      <c r="M554" s="8">
        <f>+Tabla1[[#This Row],[utilidad x dia]]*7</f>
        <v>23.099999999999998</v>
      </c>
    </row>
    <row r="555" spans="1:13" x14ac:dyDescent="0.3">
      <c r="A555" s="6">
        <f>+'[1]VENTAS(RESUMEN GLOBAL)'!L555</f>
        <v>46065</v>
      </c>
      <c r="B555" s="6" t="str">
        <f>+'[1]VENTAS(RESUMEN GLOBAL)'!M555</f>
        <v>ECCE 2 SECCIÓN</v>
      </c>
      <c r="C555">
        <f>+'[1]VENTAS(RESUMEN GLOBAL)'!B555</f>
        <v>300300</v>
      </c>
      <c r="D555" t="str">
        <f>INDEX('[1]CÓDIGOS DE PRODUCTO'!$D$3:$D$1000,MATCH(C555,'[1]CÓDIGOS DE PRODUCTO'!$A$3:$A$1000,0))</f>
        <v>50161800 </v>
      </c>
      <c r="E555" t="str">
        <f>VLOOKUP(C555,'[1]CÓDIGOS DE PRODUCTO'!$A$4:$B$156,2,FALSE)</f>
        <v>FRUIT FOOT</v>
      </c>
      <c r="F555" t="str">
        <f>INDEX('[1]CÓDIGOS DE PRODUCTO'!$C$3:$C$1000,MATCH(C555,'[1]CÓDIGOS DE PRODUCTO'!$A$3:$A$1000,0))</f>
        <v>Snacks &amp; Dulces</v>
      </c>
      <c r="G555">
        <f>+'[1]VENTAS(RESUMEN GLOBAL)'!D555-'[1]VENTAS(RESUMEN GLOBAL)'!E555</f>
        <v>1</v>
      </c>
      <c r="H555" s="9">
        <f>+'[1]VENTAS(RESUMEN GLOBAL)'!K555</f>
        <v>0.70000000000000007</v>
      </c>
      <c r="I555" s="8">
        <f>+G555*'[1]VENTAS(RESUMEN GLOBAL)'!F555</f>
        <v>15</v>
      </c>
      <c r="J555" s="8">
        <f>'[1]VENTAS(RESUMEN GLOBAL)'!G555*(1-'[1]VENTAS(RESUMEN GLOBAL)'!H555)</f>
        <v>6.7499999999999991</v>
      </c>
      <c r="K555" s="8">
        <f t="shared" si="8"/>
        <v>8.25</v>
      </c>
      <c r="L555" s="8">
        <f>+'[1]VENTAS(RESUMEN GLOBAL)'!J555</f>
        <v>0.82499999999999996</v>
      </c>
      <c r="M555" s="8">
        <f>+Tabla1[[#This Row],[utilidad x dia]]*7</f>
        <v>5.7749999999999995</v>
      </c>
    </row>
    <row r="556" spans="1:13" x14ac:dyDescent="0.3">
      <c r="A556" s="6">
        <f>+'[1]VENTAS(RESUMEN GLOBAL)'!L556</f>
        <v>46065</v>
      </c>
      <c r="B556" s="6" t="str">
        <f>+'[1]VENTAS(RESUMEN GLOBAL)'!M556</f>
        <v>ECCE 2 SECCIÓN</v>
      </c>
      <c r="C556">
        <f>+'[1]VENTAS(RESUMEN GLOBAL)'!B556</f>
        <v>600100</v>
      </c>
      <c r="D556" t="str">
        <f>INDEX('[1]CÓDIGOS DE PRODUCTO'!$D$3:$D$1000,MATCH(C556,'[1]CÓDIGOS DE PRODUCTO'!$A$3:$A$1000,0))</f>
        <v>50192109 </v>
      </c>
      <c r="E556" t="str">
        <f>VLOOKUP(C556,'[1]CÓDIGOS DE PRODUCTO'!$A$4:$B$156,2,FALSE)</f>
        <v>PAPAS FRITAS BARCEL (G)</v>
      </c>
      <c r="F556" t="str">
        <f>INDEX('[1]CÓDIGOS DE PRODUCTO'!$C$3:$C$1000,MATCH(C556,'[1]CÓDIGOS DE PRODUCTO'!$A$3:$A$1000,0))</f>
        <v>Papas fritas</v>
      </c>
      <c r="G556">
        <f>+'[1]VENTAS(RESUMEN GLOBAL)'!D556-'[1]VENTAS(RESUMEN GLOBAL)'!E556</f>
        <v>3</v>
      </c>
      <c r="H556" s="9">
        <f>+'[1]VENTAS(RESUMEN GLOBAL)'!K556</f>
        <v>2.1</v>
      </c>
      <c r="I556" s="8">
        <f>+G556*'[1]VENTAS(RESUMEN GLOBAL)'!F556</f>
        <v>75</v>
      </c>
      <c r="J556" s="8">
        <f>'[1]VENTAS(RESUMEN GLOBAL)'!G556*(1-'[1]VENTAS(RESUMEN GLOBAL)'!H556)</f>
        <v>42.000000000000007</v>
      </c>
      <c r="K556" s="8">
        <f t="shared" si="8"/>
        <v>32.999999999999993</v>
      </c>
      <c r="L556" s="8">
        <f>+'[1]VENTAS(RESUMEN GLOBAL)'!J556</f>
        <v>3.3</v>
      </c>
      <c r="M556" s="8">
        <f>+Tabla1[[#This Row],[utilidad x dia]]*7</f>
        <v>23.099999999999998</v>
      </c>
    </row>
    <row r="557" spans="1:13" x14ac:dyDescent="0.3">
      <c r="A557" s="6">
        <f>+'[1]VENTAS(RESUMEN GLOBAL)'!L557</f>
        <v>46065</v>
      </c>
      <c r="B557" s="6" t="str">
        <f>+'[1]VENTAS(RESUMEN GLOBAL)'!M557</f>
        <v>ECCE 2 SECCIÓN</v>
      </c>
      <c r="C557">
        <f>+'[1]VENTAS(RESUMEN GLOBAL)'!B557</f>
        <v>600500</v>
      </c>
      <c r="D557" t="str">
        <f>INDEX('[1]CÓDIGOS DE PRODUCTO'!$D$3:$D$1000,MATCH(C557,'[1]CÓDIGOS DE PRODUCTO'!$A$3:$A$1000,0))</f>
        <v>50192109 </v>
      </c>
      <c r="E557" t="str">
        <f>VLOOKUP(C557,'[1]CÓDIGOS DE PRODUCTO'!$A$4:$B$156,2,FALSE)</f>
        <v>SABRIMAYOREO</v>
      </c>
      <c r="F557" t="str">
        <f>INDEX('[1]CÓDIGOS DE PRODUCTO'!$C$3:$C$1000,MATCH(C557,'[1]CÓDIGOS DE PRODUCTO'!$A$3:$A$1000,0))</f>
        <v>Papas fritas</v>
      </c>
      <c r="G557">
        <f>+'[1]VENTAS(RESUMEN GLOBAL)'!D557-'[1]VENTAS(RESUMEN GLOBAL)'!E557</f>
        <v>10</v>
      </c>
      <c r="H557" s="9">
        <f>+'[1]VENTAS(RESUMEN GLOBAL)'!K557</f>
        <v>7</v>
      </c>
      <c r="I557" s="8">
        <f>+G557*'[1]VENTAS(RESUMEN GLOBAL)'!F557</f>
        <v>250</v>
      </c>
      <c r="J557" s="8">
        <f>'[1]VENTAS(RESUMEN GLOBAL)'!G557*(1-'[1]VENTAS(RESUMEN GLOBAL)'!H557)</f>
        <v>125</v>
      </c>
      <c r="K557" s="8">
        <f t="shared" si="8"/>
        <v>125</v>
      </c>
      <c r="L557" s="8">
        <f>+'[1]VENTAS(RESUMEN GLOBAL)'!J557</f>
        <v>12.5</v>
      </c>
      <c r="M557" s="8">
        <f>+Tabla1[[#This Row],[utilidad x dia]]*7</f>
        <v>87.5</v>
      </c>
    </row>
    <row r="558" spans="1:13" x14ac:dyDescent="0.3">
      <c r="A558" s="6">
        <f>+'[1]VENTAS(RESUMEN GLOBAL)'!L558</f>
        <v>46065</v>
      </c>
      <c r="B558" s="6" t="str">
        <f>+'[1]VENTAS(RESUMEN GLOBAL)'!M558</f>
        <v>ECCE 2 SECCIÓN</v>
      </c>
      <c r="C558">
        <f>+'[1]VENTAS(RESUMEN GLOBAL)'!B558</f>
        <v>0</v>
      </c>
      <c r="D558" t="e">
        <f>INDEX('[1]CÓDIGOS DE PRODUCTO'!$D$3:$D$1000,MATCH(C558,'[1]CÓDIGOS DE PRODUCTO'!$A$3:$A$1000,0))</f>
        <v>#N/A</v>
      </c>
      <c r="E558">
        <f>VLOOKUP(C558,'[1]CÓDIGOS DE PRODUCTO'!$A$4:$B$156,2,FALSE)</f>
        <v>0</v>
      </c>
      <c r="F558">
        <f>INDEX('[1]CÓDIGOS DE PRODUCTO'!$C$3:$C$1000,MATCH(C558,'[1]CÓDIGOS DE PRODUCTO'!$A$3:$A$1000,0))</f>
        <v>0</v>
      </c>
      <c r="G558">
        <f>+'[1]VENTAS(RESUMEN GLOBAL)'!D558-'[1]VENTAS(RESUMEN GLOBAL)'!E558</f>
        <v>0</v>
      </c>
      <c r="H558" s="9">
        <f>+'[1]VENTAS(RESUMEN GLOBAL)'!K558</f>
        <v>0</v>
      </c>
      <c r="I558" s="8">
        <f>+G558*'[1]VENTAS(RESUMEN GLOBAL)'!F558</f>
        <v>0</v>
      </c>
      <c r="J558" s="8">
        <f>'[1]VENTAS(RESUMEN GLOBAL)'!G558*(1-'[1]VENTAS(RESUMEN GLOBAL)'!H558)</f>
        <v>0</v>
      </c>
      <c r="K558" s="8">
        <f t="shared" si="8"/>
        <v>0</v>
      </c>
      <c r="L558" s="8">
        <f>+'[1]VENTAS(RESUMEN GLOBAL)'!J558</f>
        <v>0</v>
      </c>
      <c r="M558" s="8">
        <f>+Tabla1[[#This Row],[utilidad x dia]]*7</f>
        <v>0</v>
      </c>
    </row>
    <row r="559" spans="1:13" x14ac:dyDescent="0.3">
      <c r="A559" s="6">
        <f>+'[1]VENTAS(RESUMEN GLOBAL)'!L559</f>
        <v>46065</v>
      </c>
      <c r="B559" s="6" t="str">
        <f>+'[1]VENTAS(RESUMEN GLOBAL)'!M559</f>
        <v>ECCE 2 SECCIÓN</v>
      </c>
      <c r="C559">
        <f>+'[1]VENTAS(RESUMEN GLOBAL)'!B559</f>
        <v>800900</v>
      </c>
      <c r="D559" t="str">
        <f>INDEX('[1]CÓDIGOS DE PRODUCTO'!$D$3:$D$1000,MATCH(C559,'[1]CÓDIGOS DE PRODUCTO'!$A$3:$A$1000,0))</f>
        <v>50181900 </v>
      </c>
      <c r="E559" t="str">
        <f>VLOOKUP(C559,'[1]CÓDIGOS DE PRODUCTO'!$A$4:$B$156,2,FALSE)</f>
        <v>MANTECADAS</v>
      </c>
      <c r="F559" t="str">
        <f>INDEX('[1]CÓDIGOS DE PRODUCTO'!$C$3:$C$1000,MATCH(C559,'[1]CÓDIGOS DE PRODUCTO'!$A$3:$A$1000,0))</f>
        <v>GALLETAS Y PAN DULCE</v>
      </c>
      <c r="G559">
        <f>+'[1]VENTAS(RESUMEN GLOBAL)'!D559-'[1]VENTAS(RESUMEN GLOBAL)'!E559</f>
        <v>4</v>
      </c>
      <c r="H559" s="9">
        <f>+'[1]VENTAS(RESUMEN GLOBAL)'!K559</f>
        <v>2.8000000000000003</v>
      </c>
      <c r="I559" s="8">
        <f>+G559*'[1]VENTAS(RESUMEN GLOBAL)'!F559</f>
        <v>80</v>
      </c>
      <c r="J559" s="8">
        <f>'[1]VENTAS(RESUMEN GLOBAL)'!G559*(1-'[1]VENTAS(RESUMEN GLOBAL)'!H559)</f>
        <v>34.400000000000006</v>
      </c>
      <c r="K559" s="8">
        <f t="shared" si="8"/>
        <v>45.599999999999994</v>
      </c>
      <c r="L559" s="8">
        <f>+'[1]VENTAS(RESUMEN GLOBAL)'!J559</f>
        <v>4.5599999999999996</v>
      </c>
      <c r="M559" s="8">
        <f>+Tabla1[[#This Row],[utilidad x dia]]*7</f>
        <v>31.919999999999998</v>
      </c>
    </row>
    <row r="560" spans="1:13" x14ac:dyDescent="0.3">
      <c r="A560" s="6">
        <f>+'[1]VENTAS(RESUMEN GLOBAL)'!L560</f>
        <v>46065</v>
      </c>
      <c r="B560" s="6" t="str">
        <f>+'[1]VENTAS(RESUMEN GLOBAL)'!M560</f>
        <v>ECCE 2 SECCIÓN</v>
      </c>
      <c r="C560">
        <f>+'[1]VENTAS(RESUMEN GLOBAL)'!B560</f>
        <v>100400</v>
      </c>
      <c r="D560" t="str">
        <f>INDEX('[1]CÓDIGOS DE PRODUCTO'!$D$3:$D$1000,MATCH(C560,'[1]CÓDIGOS DE PRODUCTO'!$A$3:$A$1000,0))</f>
        <v>50202300 </v>
      </c>
      <c r="E560" t="str">
        <f>VLOOKUP(C560,'[1]CÓDIGOS DE PRODUCTO'!$A$4:$B$156,2,FALSE)</f>
        <v>Jumex</v>
      </c>
      <c r="F560" t="str">
        <f>INDEX('[1]CÓDIGOS DE PRODUCTO'!$C$3:$C$1000,MATCH(C560,'[1]CÓDIGOS DE PRODUCTO'!$A$3:$A$1000,0))</f>
        <v>Bebidas</v>
      </c>
      <c r="G560">
        <f>+'[1]VENTAS(RESUMEN GLOBAL)'!D560-'[1]VENTAS(RESUMEN GLOBAL)'!E560</f>
        <v>3</v>
      </c>
      <c r="H560" s="9">
        <f>+'[1]VENTAS(RESUMEN GLOBAL)'!K560</f>
        <v>2.1</v>
      </c>
      <c r="I560" s="8">
        <f>+G560*'[1]VENTAS(RESUMEN GLOBAL)'!F560</f>
        <v>45</v>
      </c>
      <c r="J560" s="8">
        <f>'[1]VENTAS(RESUMEN GLOBAL)'!G560*(1-'[1]VENTAS(RESUMEN GLOBAL)'!H560)</f>
        <v>15.299999999999999</v>
      </c>
      <c r="K560" s="8">
        <f t="shared" si="8"/>
        <v>29.700000000000003</v>
      </c>
      <c r="L560" s="8">
        <f>+'[1]VENTAS(RESUMEN GLOBAL)'!J560</f>
        <v>2.97</v>
      </c>
      <c r="M560" s="8">
        <f>+Tabla1[[#This Row],[utilidad x dia]]*7</f>
        <v>20.790000000000003</v>
      </c>
    </row>
    <row r="561" spans="1:13" x14ac:dyDescent="0.3">
      <c r="A561" s="6">
        <f>+'[1]VENTAS(RESUMEN GLOBAL)'!L561</f>
        <v>46065</v>
      </c>
      <c r="B561" s="6" t="str">
        <f>+'[1]VENTAS(RESUMEN GLOBAL)'!M561</f>
        <v>ECCE 2 SECCIÓN</v>
      </c>
      <c r="C561">
        <f>+'[1]VENTAS(RESUMEN GLOBAL)'!B561</f>
        <v>100400</v>
      </c>
      <c r="D561" t="str">
        <f>INDEX('[1]CÓDIGOS DE PRODUCTO'!$D$3:$D$1000,MATCH(C561,'[1]CÓDIGOS DE PRODUCTO'!$A$3:$A$1000,0))</f>
        <v>50202300 </v>
      </c>
      <c r="E561" t="str">
        <f>VLOOKUP(C561,'[1]CÓDIGOS DE PRODUCTO'!$A$4:$B$156,2,FALSE)</f>
        <v>Jumex</v>
      </c>
      <c r="F561" t="str">
        <f>INDEX('[1]CÓDIGOS DE PRODUCTO'!$C$3:$C$1000,MATCH(C561,'[1]CÓDIGOS DE PRODUCTO'!$A$3:$A$1000,0))</f>
        <v>Bebidas</v>
      </c>
      <c r="G561">
        <f>+'[1]VENTAS(RESUMEN GLOBAL)'!D561-'[1]VENTAS(RESUMEN GLOBAL)'!E561</f>
        <v>2</v>
      </c>
      <c r="H561" s="9">
        <f>+'[1]VENTAS(RESUMEN GLOBAL)'!K561</f>
        <v>1.4000000000000001</v>
      </c>
      <c r="I561" s="8">
        <f>+G561*'[1]VENTAS(RESUMEN GLOBAL)'!F561</f>
        <v>30</v>
      </c>
      <c r="J561" s="8">
        <f>'[1]VENTAS(RESUMEN GLOBAL)'!G561*(1-'[1]VENTAS(RESUMEN GLOBAL)'!H561)</f>
        <v>10.199999999999999</v>
      </c>
      <c r="K561" s="8">
        <f t="shared" si="8"/>
        <v>19.8</v>
      </c>
      <c r="L561" s="8">
        <f>+'[1]VENTAS(RESUMEN GLOBAL)'!J561</f>
        <v>1.98</v>
      </c>
      <c r="M561" s="8">
        <f>+Tabla1[[#This Row],[utilidad x dia]]*7</f>
        <v>13.86</v>
      </c>
    </row>
    <row r="562" spans="1:13" x14ac:dyDescent="0.3">
      <c r="A562" s="6">
        <f>+'[1]VENTAS(RESUMEN GLOBAL)'!L562</f>
        <v>46065</v>
      </c>
      <c r="B562" s="6" t="str">
        <f>+'[1]VENTAS(RESUMEN GLOBAL)'!M562</f>
        <v>ECCE 2 SECCIÓN</v>
      </c>
      <c r="C562">
        <f>+'[1]VENTAS(RESUMEN GLOBAL)'!B562</f>
        <v>100600</v>
      </c>
      <c r="D562" t="str">
        <f>INDEX('[1]CÓDIGOS DE PRODUCTO'!$D$3:$D$1000,MATCH(C562,'[1]CÓDIGOS DE PRODUCTO'!$A$3:$A$1000,0))</f>
        <v>50202300 </v>
      </c>
      <c r="E562" t="str">
        <f>VLOOKUP(C562,'[1]CÓDIGOS DE PRODUCTO'!$A$4:$B$156,2,FALSE)</f>
        <v>Leche santa clara</v>
      </c>
      <c r="F562" t="str">
        <f>INDEX('[1]CÓDIGOS DE PRODUCTO'!$C$3:$C$1000,MATCH(C562,'[1]CÓDIGOS DE PRODUCTO'!$A$3:$A$1000,0))</f>
        <v>Bebidas</v>
      </c>
      <c r="G562">
        <f>+'[1]VENTAS(RESUMEN GLOBAL)'!D562-'[1]VENTAS(RESUMEN GLOBAL)'!E562</f>
        <v>0</v>
      </c>
      <c r="H562" s="9">
        <f>+'[1]VENTAS(RESUMEN GLOBAL)'!K562</f>
        <v>0</v>
      </c>
      <c r="I562" s="8">
        <f>+G562*'[1]VENTAS(RESUMEN GLOBAL)'!F562</f>
        <v>0</v>
      </c>
      <c r="J562" s="8">
        <f>'[1]VENTAS(RESUMEN GLOBAL)'!G562*(1-'[1]VENTAS(RESUMEN GLOBAL)'!H562)</f>
        <v>0</v>
      </c>
      <c r="K562" s="8">
        <f t="shared" si="8"/>
        <v>0</v>
      </c>
      <c r="L562" s="8">
        <f>+'[1]VENTAS(RESUMEN GLOBAL)'!J562</f>
        <v>0</v>
      </c>
      <c r="M562" s="8">
        <f>+Tabla1[[#This Row],[utilidad x dia]]*7</f>
        <v>0</v>
      </c>
    </row>
    <row r="563" spans="1:13" x14ac:dyDescent="0.3">
      <c r="A563" s="6">
        <f>+'[1]VENTAS(RESUMEN GLOBAL)'!L563</f>
        <v>46065</v>
      </c>
      <c r="B563" s="6" t="str">
        <f>+'[1]VENTAS(RESUMEN GLOBAL)'!M563</f>
        <v>ECCE 2 SECCIÓN</v>
      </c>
      <c r="C563">
        <f>+'[1]VENTAS(RESUMEN GLOBAL)'!B563</f>
        <v>100600</v>
      </c>
      <c r="D563" t="str">
        <f>INDEX('[1]CÓDIGOS DE PRODUCTO'!$D$3:$D$1000,MATCH(C563,'[1]CÓDIGOS DE PRODUCTO'!$A$3:$A$1000,0))</f>
        <v>50202300 </v>
      </c>
      <c r="E563" t="str">
        <f>VLOOKUP(C563,'[1]CÓDIGOS DE PRODUCTO'!$A$4:$B$156,2,FALSE)</f>
        <v>Leche santa clara</v>
      </c>
      <c r="F563" t="str">
        <f>INDEX('[1]CÓDIGOS DE PRODUCTO'!$C$3:$C$1000,MATCH(C563,'[1]CÓDIGOS DE PRODUCTO'!$A$3:$A$1000,0))</f>
        <v>Bebidas</v>
      </c>
      <c r="G563">
        <f>+'[1]VENTAS(RESUMEN GLOBAL)'!D563-'[1]VENTAS(RESUMEN GLOBAL)'!E563</f>
        <v>4</v>
      </c>
      <c r="H563" s="9">
        <f>+'[1]VENTAS(RESUMEN GLOBAL)'!K563</f>
        <v>2.8000000000000003</v>
      </c>
      <c r="I563" s="8">
        <f>+G563*'[1]VENTAS(RESUMEN GLOBAL)'!F563</f>
        <v>80</v>
      </c>
      <c r="J563" s="8">
        <f>'[1]VENTAS(RESUMEN GLOBAL)'!G563*(1-'[1]VENTAS(RESUMEN GLOBAL)'!H563)</f>
        <v>36</v>
      </c>
      <c r="K563" s="8">
        <f t="shared" si="8"/>
        <v>44</v>
      </c>
      <c r="L563" s="8">
        <f>+'[1]VENTAS(RESUMEN GLOBAL)'!J563</f>
        <v>4.4000000000000004</v>
      </c>
      <c r="M563" s="8">
        <f>+Tabla1[[#This Row],[utilidad x dia]]*7</f>
        <v>30.800000000000004</v>
      </c>
    </row>
    <row r="564" spans="1:13" x14ac:dyDescent="0.3">
      <c r="A564" s="6">
        <f>+'[1]VENTAS(RESUMEN GLOBAL)'!L564</f>
        <v>46065</v>
      </c>
      <c r="B564" s="6" t="str">
        <f>+'[1]VENTAS(RESUMEN GLOBAL)'!M564</f>
        <v>ECCE 2 SECCIÓN</v>
      </c>
      <c r="C564">
        <f>+'[1]VENTAS(RESUMEN GLOBAL)'!B564</f>
        <v>0</v>
      </c>
      <c r="D564" t="e">
        <f>INDEX('[1]CÓDIGOS DE PRODUCTO'!$D$3:$D$1000,MATCH(C564,'[1]CÓDIGOS DE PRODUCTO'!$A$3:$A$1000,0))</f>
        <v>#N/A</v>
      </c>
      <c r="E564">
        <f>VLOOKUP(C564,'[1]CÓDIGOS DE PRODUCTO'!$A$4:$B$156,2,FALSE)</f>
        <v>0</v>
      </c>
      <c r="F564">
        <f>INDEX('[1]CÓDIGOS DE PRODUCTO'!$C$3:$C$1000,MATCH(C564,'[1]CÓDIGOS DE PRODUCTO'!$A$3:$A$1000,0))</f>
        <v>0</v>
      </c>
      <c r="G564">
        <f>+'[1]VENTAS(RESUMEN GLOBAL)'!D564-'[1]VENTAS(RESUMEN GLOBAL)'!E564</f>
        <v>0</v>
      </c>
      <c r="H564" s="9">
        <f>+'[1]VENTAS(RESUMEN GLOBAL)'!K564</f>
        <v>0</v>
      </c>
      <c r="I564" s="8">
        <f>+G564*'[1]VENTAS(RESUMEN GLOBAL)'!F564</f>
        <v>0</v>
      </c>
      <c r="J564" s="8">
        <f>'[1]VENTAS(RESUMEN GLOBAL)'!G564*(1-'[1]VENTAS(RESUMEN GLOBAL)'!H564)</f>
        <v>0</v>
      </c>
      <c r="K564" s="8">
        <f t="shared" si="8"/>
        <v>0</v>
      </c>
      <c r="L564" s="8">
        <f>+'[1]VENTAS(RESUMEN GLOBAL)'!J564</f>
        <v>0</v>
      </c>
      <c r="M564" s="8">
        <f>+Tabla1[[#This Row],[utilidad x dia]]*7</f>
        <v>0</v>
      </c>
    </row>
    <row r="565" spans="1:13" x14ac:dyDescent="0.3">
      <c r="A565" s="6">
        <f>+'[1]VENTAS(RESUMEN GLOBAL)'!L565</f>
        <v>46065</v>
      </c>
      <c r="B565" s="6" t="str">
        <f>+'[1]VENTAS(RESUMEN GLOBAL)'!M565</f>
        <v>ECCE 2 SECCIÓN</v>
      </c>
      <c r="C565">
        <f>+'[1]VENTAS(RESUMEN GLOBAL)'!B565</f>
        <v>0</v>
      </c>
      <c r="D565" t="e">
        <f>INDEX('[1]CÓDIGOS DE PRODUCTO'!$D$3:$D$1000,MATCH(C565,'[1]CÓDIGOS DE PRODUCTO'!$A$3:$A$1000,0))</f>
        <v>#N/A</v>
      </c>
      <c r="E565">
        <f>VLOOKUP(C565,'[1]CÓDIGOS DE PRODUCTO'!$A$4:$B$156,2,FALSE)</f>
        <v>0</v>
      </c>
      <c r="F565">
        <f>INDEX('[1]CÓDIGOS DE PRODUCTO'!$C$3:$C$1000,MATCH(C565,'[1]CÓDIGOS DE PRODUCTO'!$A$3:$A$1000,0))</f>
        <v>0</v>
      </c>
      <c r="G565">
        <f>+'[1]VENTAS(RESUMEN GLOBAL)'!D565-'[1]VENTAS(RESUMEN GLOBAL)'!E565</f>
        <v>0</v>
      </c>
      <c r="H565" s="9">
        <f>+'[1]VENTAS(RESUMEN GLOBAL)'!K565</f>
        <v>0</v>
      </c>
      <c r="I565" s="8">
        <f>+G565*'[1]VENTAS(RESUMEN GLOBAL)'!F565</f>
        <v>0</v>
      </c>
      <c r="J565" s="8">
        <f>'[1]VENTAS(RESUMEN GLOBAL)'!G565*(1-'[1]VENTAS(RESUMEN GLOBAL)'!H565)</f>
        <v>0</v>
      </c>
      <c r="K565" s="8">
        <f t="shared" si="8"/>
        <v>0</v>
      </c>
      <c r="L565" s="8">
        <f>+'[1]VENTAS(RESUMEN GLOBAL)'!J565</f>
        <v>0</v>
      </c>
      <c r="M565" s="8">
        <f>+Tabla1[[#This Row],[utilidad x dia]]*7</f>
        <v>0</v>
      </c>
    </row>
    <row r="566" spans="1:13" x14ac:dyDescent="0.3">
      <c r="A566" s="6">
        <f>+'[1]VENTAS(RESUMEN GLOBAL)'!L566</f>
        <v>0</v>
      </c>
      <c r="B566" s="6" t="e">
        <f>+'[1]VENTAS(RESUMEN GLOBAL)'!#REF!</f>
        <v>#REF!</v>
      </c>
      <c r="C566">
        <f>+'[1]VENTAS(RESUMEN GLOBAL)'!B566</f>
        <v>0</v>
      </c>
      <c r="D566" t="e">
        <f>INDEX('[1]CÓDIGOS DE PRODUCTO'!$D$3:$D$1000,MATCH(C566,'[1]CÓDIGOS DE PRODUCTO'!$A$3:$A$1000,0))</f>
        <v>#N/A</v>
      </c>
      <c r="E566">
        <f>VLOOKUP(C566,'[1]CÓDIGOS DE PRODUCTO'!$A$4:$B$156,2,FALSE)</f>
        <v>0</v>
      </c>
      <c r="F566">
        <f>INDEX('[1]CÓDIGOS DE PRODUCTO'!$C$3:$C$1000,MATCH(C566,'[1]CÓDIGOS DE PRODUCTO'!$A$3:$A$1000,0))</f>
        <v>0</v>
      </c>
      <c r="G566">
        <f>+'[1]VENTAS(RESUMEN GLOBAL)'!D566-'[1]VENTAS(RESUMEN GLOBAL)'!E566</f>
        <v>0</v>
      </c>
      <c r="H566" s="9" t="e">
        <f>+'[1]VENTAS(RESUMEN GLOBAL)'!#REF!</f>
        <v>#REF!</v>
      </c>
      <c r="I566" s="8">
        <f>+G566*'[1]VENTAS(RESUMEN GLOBAL)'!F566</f>
        <v>0</v>
      </c>
      <c r="J566" s="8" t="e">
        <f>'[1]VENTAS(RESUMEN GLOBAL)'!G566*(1-'[1]VENTAS(RESUMEN GLOBAL)'!#REF!)</f>
        <v>#REF!</v>
      </c>
      <c r="K566" s="8" t="e">
        <f t="shared" si="8"/>
        <v>#REF!</v>
      </c>
      <c r="L566" s="8" t="e">
        <f>+'[1]VENTAS(RESUMEN GLOBAL)'!#REF!</f>
        <v>#REF!</v>
      </c>
      <c r="M566" s="8" t="e">
        <f>+Tabla1[[#This Row],[utilidad x dia]]*7</f>
        <v>#REF!</v>
      </c>
    </row>
    <row r="567" spans="1:13" x14ac:dyDescent="0.3">
      <c r="A567" s="6">
        <f>+'[1]VENTAS(RESUMEN GLOBAL)'!L567</f>
        <v>46065</v>
      </c>
      <c r="B567" s="6" t="str">
        <f>+'[1]VENTAS(RESUMEN GLOBAL)'!M567</f>
        <v>ECCE RECEPCIÓN</v>
      </c>
      <c r="C567">
        <f>+'[1]VENTAS(RESUMEN GLOBAL)'!B567</f>
        <v>6005103</v>
      </c>
      <c r="D567" t="str">
        <f>INDEX('[1]CÓDIGOS DE PRODUCTO'!$D$3:$D$1000,MATCH(C567,'[1]CÓDIGOS DE PRODUCTO'!$A$3:$A$1000,0))</f>
        <v>50192109 </v>
      </c>
      <c r="E567" t="str">
        <f>VLOOKUP(C567,'[1]CÓDIGOS DE PRODUCTO'!$A$4:$B$156,2,FALSE)</f>
        <v>DORITOS ROJOS</v>
      </c>
      <c r="F567" t="str">
        <f>INDEX('[1]CÓDIGOS DE PRODUCTO'!$C$3:$C$1000,MATCH(C567,'[1]CÓDIGOS DE PRODUCTO'!$A$3:$A$1000,0))</f>
        <v>Papas fritas</v>
      </c>
      <c r="G567">
        <f>+'[1]VENTAS(RESUMEN GLOBAL)'!D567-'[1]VENTAS(RESUMEN GLOBAL)'!E567</f>
        <v>6</v>
      </c>
      <c r="H567" s="9">
        <f>+'[1]VENTAS(RESUMEN GLOBAL)'!K567</f>
        <v>4.2</v>
      </c>
      <c r="I567" s="8">
        <f>+G567*'[1]VENTAS(RESUMEN GLOBAL)'!F567</f>
        <v>150</v>
      </c>
      <c r="J567" s="8">
        <f>'[1]VENTAS(RESUMEN GLOBAL)'!G567*(1-'[1]VENTAS(RESUMEN GLOBAL)'!H567)</f>
        <v>46.500000000000007</v>
      </c>
      <c r="K567" s="8">
        <f t="shared" si="8"/>
        <v>103.5</v>
      </c>
      <c r="L567" s="8">
        <f>+'[1]VENTAS(RESUMEN GLOBAL)'!J567</f>
        <v>10.349999999999998</v>
      </c>
      <c r="M567" s="8">
        <f>+Tabla1[[#This Row],[utilidad x dia]]*7</f>
        <v>72.449999999999989</v>
      </c>
    </row>
    <row r="568" spans="1:13" x14ac:dyDescent="0.3">
      <c r="A568" s="6">
        <f>+'[1]VENTAS(RESUMEN GLOBAL)'!L568</f>
        <v>46065</v>
      </c>
      <c r="B568" s="6" t="str">
        <f>+'[1]VENTAS(RESUMEN GLOBAL)'!M568</f>
        <v>ECCE RECEPCIÓN</v>
      </c>
      <c r="C568">
        <f>+'[1]VENTAS(RESUMEN GLOBAL)'!B568</f>
        <v>600300</v>
      </c>
      <c r="D568" t="str">
        <f>INDEX('[1]CÓDIGOS DE PRODUCTO'!$D$3:$D$1000,MATCH(C568,'[1]CÓDIGOS DE PRODUCTO'!$A$3:$A$1000,0))</f>
        <v>50192109 </v>
      </c>
      <c r="E568" t="str">
        <f>VLOOKUP(C568,'[1]CÓDIGOS DE PRODUCTO'!$A$4:$B$156,2,FALSE)</f>
        <v>TAKIS FUEGO</v>
      </c>
      <c r="F568" t="str">
        <f>INDEX('[1]CÓDIGOS DE PRODUCTO'!$C$3:$C$1000,MATCH(C568,'[1]CÓDIGOS DE PRODUCTO'!$A$3:$A$1000,0))</f>
        <v>Papas fritas</v>
      </c>
      <c r="G568">
        <f>+'[1]VENTAS(RESUMEN GLOBAL)'!D568-'[1]VENTAS(RESUMEN GLOBAL)'!E568</f>
        <v>0</v>
      </c>
      <c r="H568" s="9">
        <f>+'[1]VENTAS(RESUMEN GLOBAL)'!K568</f>
        <v>0</v>
      </c>
      <c r="I568" s="8">
        <f>+G568*'[1]VENTAS(RESUMEN GLOBAL)'!F568</f>
        <v>0</v>
      </c>
      <c r="J568" s="8">
        <f>'[1]VENTAS(RESUMEN GLOBAL)'!G568*(1-'[1]VENTAS(RESUMEN GLOBAL)'!H568)</f>
        <v>0</v>
      </c>
      <c r="K568" s="8">
        <f t="shared" si="8"/>
        <v>0</v>
      </c>
      <c r="L568" s="8">
        <f>+'[1]VENTAS(RESUMEN GLOBAL)'!J568</f>
        <v>0</v>
      </c>
      <c r="M568" s="8">
        <f>+Tabla1[[#This Row],[utilidad x dia]]*7</f>
        <v>0</v>
      </c>
    </row>
    <row r="569" spans="1:13" x14ac:dyDescent="0.3">
      <c r="A569" s="6">
        <f>+'[1]VENTAS(RESUMEN GLOBAL)'!L569</f>
        <v>46065</v>
      </c>
      <c r="B569" s="6" t="str">
        <f>+'[1]VENTAS(RESUMEN GLOBAL)'!M569</f>
        <v>ECCE RECEPCIÓN</v>
      </c>
      <c r="C569">
        <f>+'[1]VENTAS(RESUMEN GLOBAL)'!B569</f>
        <v>600500</v>
      </c>
      <c r="D569" t="str">
        <f>INDEX('[1]CÓDIGOS DE PRODUCTO'!$D$3:$D$1000,MATCH(C569,'[1]CÓDIGOS DE PRODUCTO'!$A$3:$A$1000,0))</f>
        <v>50192109 </v>
      </c>
      <c r="E569" t="str">
        <f>VLOOKUP(C569,'[1]CÓDIGOS DE PRODUCTO'!$A$4:$B$156,2,FALSE)</f>
        <v>SABRIMAYOREO</v>
      </c>
      <c r="F569" t="str">
        <f>INDEX('[1]CÓDIGOS DE PRODUCTO'!$C$3:$C$1000,MATCH(C569,'[1]CÓDIGOS DE PRODUCTO'!$A$3:$A$1000,0))</f>
        <v>Papas fritas</v>
      </c>
      <c r="G569">
        <f>+'[1]VENTAS(RESUMEN GLOBAL)'!D569-'[1]VENTAS(RESUMEN GLOBAL)'!E569</f>
        <v>0</v>
      </c>
      <c r="H569" s="9">
        <f>+'[1]VENTAS(RESUMEN GLOBAL)'!K569</f>
        <v>0</v>
      </c>
      <c r="I569" s="8">
        <f>+G569*'[1]VENTAS(RESUMEN GLOBAL)'!F569</f>
        <v>0</v>
      </c>
      <c r="J569" s="8">
        <f>'[1]VENTAS(RESUMEN GLOBAL)'!G569*(1-'[1]VENTAS(RESUMEN GLOBAL)'!H569)</f>
        <v>0</v>
      </c>
      <c r="K569" s="8">
        <f t="shared" si="8"/>
        <v>0</v>
      </c>
      <c r="L569" s="8">
        <f>+'[1]VENTAS(RESUMEN GLOBAL)'!J569</f>
        <v>0</v>
      </c>
      <c r="M569" s="8">
        <f>+Tabla1[[#This Row],[utilidad x dia]]*7</f>
        <v>0</v>
      </c>
    </row>
    <row r="570" spans="1:13" x14ac:dyDescent="0.3">
      <c r="A570" s="6">
        <f>+'[1]VENTAS(RESUMEN GLOBAL)'!L570</f>
        <v>46065</v>
      </c>
      <c r="B570" s="6" t="str">
        <f>+'[1]VENTAS(RESUMEN GLOBAL)'!M570</f>
        <v>ECCE RECEPCIÓN</v>
      </c>
      <c r="C570">
        <f>+'[1]VENTAS(RESUMEN GLOBAL)'!B570</f>
        <v>600500</v>
      </c>
      <c r="D570" t="str">
        <f>INDEX('[1]CÓDIGOS DE PRODUCTO'!$D$3:$D$1000,MATCH(C570,'[1]CÓDIGOS DE PRODUCTO'!$A$3:$A$1000,0))</f>
        <v>50192109 </v>
      </c>
      <c r="E570" t="str">
        <f>VLOOKUP(C570,'[1]CÓDIGOS DE PRODUCTO'!$A$4:$B$156,2,FALSE)</f>
        <v>SABRIMAYOREO</v>
      </c>
      <c r="F570" t="str">
        <f>INDEX('[1]CÓDIGOS DE PRODUCTO'!$C$3:$C$1000,MATCH(C570,'[1]CÓDIGOS DE PRODUCTO'!$A$3:$A$1000,0))</f>
        <v>Papas fritas</v>
      </c>
      <c r="G570">
        <f>+'[1]VENTAS(RESUMEN GLOBAL)'!D570-'[1]VENTAS(RESUMEN GLOBAL)'!E570</f>
        <v>2</v>
      </c>
      <c r="H570" s="9">
        <f>+'[1]VENTAS(RESUMEN GLOBAL)'!K570</f>
        <v>1.4000000000000001</v>
      </c>
      <c r="I570" s="8">
        <f>+G570*'[1]VENTAS(RESUMEN GLOBAL)'!F570</f>
        <v>50</v>
      </c>
      <c r="J570" s="8">
        <f>'[1]VENTAS(RESUMEN GLOBAL)'!G570*(1-'[1]VENTAS(RESUMEN GLOBAL)'!H570)</f>
        <v>15.500000000000004</v>
      </c>
      <c r="K570" s="8">
        <f t="shared" si="8"/>
        <v>34.5</v>
      </c>
      <c r="L570" s="8">
        <f>+'[1]VENTAS(RESUMEN GLOBAL)'!J570</f>
        <v>3.45</v>
      </c>
      <c r="M570" s="8">
        <f>+Tabla1[[#This Row],[utilidad x dia]]*7</f>
        <v>24.150000000000002</v>
      </c>
    </row>
    <row r="571" spans="1:13" x14ac:dyDescent="0.3">
      <c r="A571" s="6">
        <f>+'[1]VENTAS(RESUMEN GLOBAL)'!L571</f>
        <v>46065</v>
      </c>
      <c r="B571" s="6" t="str">
        <f>+'[1]VENTAS(RESUMEN GLOBAL)'!M571</f>
        <v>ECCE RECEPCIÓN</v>
      </c>
      <c r="C571">
        <f>+'[1]VENTAS(RESUMEN GLOBAL)'!B571</f>
        <v>600500</v>
      </c>
      <c r="D571" t="str">
        <f>INDEX('[1]CÓDIGOS DE PRODUCTO'!$D$3:$D$1000,MATCH(C571,'[1]CÓDIGOS DE PRODUCTO'!$A$3:$A$1000,0))</f>
        <v>50192109 </v>
      </c>
      <c r="E571" t="str">
        <f>VLOOKUP(C571,'[1]CÓDIGOS DE PRODUCTO'!$A$4:$B$156,2,FALSE)</f>
        <v>SABRIMAYOREO</v>
      </c>
      <c r="F571" t="str">
        <f>INDEX('[1]CÓDIGOS DE PRODUCTO'!$C$3:$C$1000,MATCH(C571,'[1]CÓDIGOS DE PRODUCTO'!$A$3:$A$1000,0))</f>
        <v>Papas fritas</v>
      </c>
      <c r="G571">
        <f>+'[1]VENTAS(RESUMEN GLOBAL)'!D571-'[1]VENTAS(RESUMEN GLOBAL)'!E571</f>
        <v>6</v>
      </c>
      <c r="H571" s="9">
        <f>+'[1]VENTAS(RESUMEN GLOBAL)'!K571</f>
        <v>4.2</v>
      </c>
      <c r="I571" s="8">
        <f>+G571*'[1]VENTAS(RESUMEN GLOBAL)'!F571</f>
        <v>150</v>
      </c>
      <c r="J571" s="8">
        <f>'[1]VENTAS(RESUMEN GLOBAL)'!G571*(1-'[1]VENTAS(RESUMEN GLOBAL)'!H571)</f>
        <v>46.500000000000007</v>
      </c>
      <c r="K571" s="8">
        <f t="shared" si="8"/>
        <v>103.5</v>
      </c>
      <c r="L571" s="8">
        <f>+'[1]VENTAS(RESUMEN GLOBAL)'!J571</f>
        <v>10.349999999999998</v>
      </c>
      <c r="M571" s="8">
        <f>+Tabla1[[#This Row],[utilidad x dia]]*7</f>
        <v>72.449999999999989</v>
      </c>
    </row>
    <row r="572" spans="1:13" x14ac:dyDescent="0.3">
      <c r="A572" s="6">
        <f>+'[1]VENTAS(RESUMEN GLOBAL)'!L572</f>
        <v>46065</v>
      </c>
      <c r="B572" s="6" t="str">
        <f>+'[1]VENTAS(RESUMEN GLOBAL)'!M572</f>
        <v>ECCE RECEPCIÓN</v>
      </c>
      <c r="C572">
        <f>+'[1]VENTAS(RESUMEN GLOBAL)'!B572</f>
        <v>600500</v>
      </c>
      <c r="D572" t="str">
        <f>INDEX('[1]CÓDIGOS DE PRODUCTO'!$D$3:$D$1000,MATCH(C572,'[1]CÓDIGOS DE PRODUCTO'!$A$3:$A$1000,0))</f>
        <v>50192109 </v>
      </c>
      <c r="E572" t="str">
        <f>VLOOKUP(C572,'[1]CÓDIGOS DE PRODUCTO'!$A$4:$B$156,2,FALSE)</f>
        <v>SABRIMAYOREO</v>
      </c>
      <c r="F572" t="str">
        <f>INDEX('[1]CÓDIGOS DE PRODUCTO'!$C$3:$C$1000,MATCH(C572,'[1]CÓDIGOS DE PRODUCTO'!$A$3:$A$1000,0))</f>
        <v>Papas fritas</v>
      </c>
      <c r="G572">
        <f>+'[1]VENTAS(RESUMEN GLOBAL)'!D572-'[1]VENTAS(RESUMEN GLOBAL)'!E572</f>
        <v>3</v>
      </c>
      <c r="H572" s="9">
        <f>+'[1]VENTAS(RESUMEN GLOBAL)'!K572</f>
        <v>2.1</v>
      </c>
      <c r="I572" s="8">
        <f>+G572*'[1]VENTAS(RESUMEN GLOBAL)'!F572</f>
        <v>60</v>
      </c>
      <c r="J572" s="8">
        <f>'[1]VENTAS(RESUMEN GLOBAL)'!G572*(1-'[1]VENTAS(RESUMEN GLOBAL)'!H572)</f>
        <v>18.600000000000001</v>
      </c>
      <c r="K572" s="8">
        <f t="shared" si="8"/>
        <v>41.4</v>
      </c>
      <c r="L572" s="8">
        <f>+'[1]VENTAS(RESUMEN GLOBAL)'!J572</f>
        <v>4.1399999999999997</v>
      </c>
      <c r="M572" s="8">
        <f>+Tabla1[[#This Row],[utilidad x dia]]*7</f>
        <v>28.979999999999997</v>
      </c>
    </row>
    <row r="573" spans="1:13" x14ac:dyDescent="0.3">
      <c r="A573" s="6">
        <f>+'[1]VENTAS(RESUMEN GLOBAL)'!L573</f>
        <v>46065</v>
      </c>
      <c r="B573" s="6" t="str">
        <f>+'[1]VENTAS(RESUMEN GLOBAL)'!M573</f>
        <v>ECCE RECEPCIÓN</v>
      </c>
      <c r="C573">
        <f>+'[1]VENTAS(RESUMEN GLOBAL)'!B573</f>
        <v>600500</v>
      </c>
      <c r="D573" t="str">
        <f>INDEX('[1]CÓDIGOS DE PRODUCTO'!$D$3:$D$1000,MATCH(C573,'[1]CÓDIGOS DE PRODUCTO'!$A$3:$A$1000,0))</f>
        <v>50192109 </v>
      </c>
      <c r="E573" t="str">
        <f>VLOOKUP(C573,'[1]CÓDIGOS DE PRODUCTO'!$A$4:$B$156,2,FALSE)</f>
        <v>SABRIMAYOREO</v>
      </c>
      <c r="F573" t="str">
        <f>INDEX('[1]CÓDIGOS DE PRODUCTO'!$C$3:$C$1000,MATCH(C573,'[1]CÓDIGOS DE PRODUCTO'!$A$3:$A$1000,0))</f>
        <v>Papas fritas</v>
      </c>
      <c r="G573">
        <f>+'[1]VENTAS(RESUMEN GLOBAL)'!D573-'[1]VENTAS(RESUMEN GLOBAL)'!E573</f>
        <v>1</v>
      </c>
      <c r="H573" s="9">
        <f>+'[1]VENTAS(RESUMEN GLOBAL)'!K573</f>
        <v>0.70000000000000007</v>
      </c>
      <c r="I573" s="8">
        <f>+G573*'[1]VENTAS(RESUMEN GLOBAL)'!F573</f>
        <v>25</v>
      </c>
      <c r="J573" s="8">
        <f>'[1]VENTAS(RESUMEN GLOBAL)'!G573*(1-'[1]VENTAS(RESUMEN GLOBAL)'!H573)</f>
        <v>7.7500000000000018</v>
      </c>
      <c r="K573" s="8">
        <f t="shared" si="8"/>
        <v>17.25</v>
      </c>
      <c r="L573" s="8">
        <f>+'[1]VENTAS(RESUMEN GLOBAL)'!J573</f>
        <v>1.7250000000000001</v>
      </c>
      <c r="M573" s="8">
        <f>+Tabla1[[#This Row],[utilidad x dia]]*7</f>
        <v>12.075000000000001</v>
      </c>
    </row>
    <row r="574" spans="1:13" x14ac:dyDescent="0.3">
      <c r="A574" s="6">
        <f>+'[1]VENTAS(RESUMEN GLOBAL)'!L574</f>
        <v>46065</v>
      </c>
      <c r="B574" s="6" t="str">
        <f>+'[1]VENTAS(RESUMEN GLOBAL)'!M574</f>
        <v>ECCE RECEPCIÓN</v>
      </c>
      <c r="C574">
        <f>+'[1]VENTAS(RESUMEN GLOBAL)'!B574</f>
        <v>600400</v>
      </c>
      <c r="D574" t="str">
        <f>INDEX('[1]CÓDIGOS DE PRODUCTO'!$D$3:$D$1000,MATCH(C574,'[1]CÓDIGOS DE PRODUCTO'!$A$3:$A$1000,0))</f>
        <v>50192109 </v>
      </c>
      <c r="E574" t="str">
        <f>VLOOKUP(C574,'[1]CÓDIGOS DE PRODUCTO'!$A$4:$B$156,2,FALSE)</f>
        <v>FRITOS (CHORIZO U OTROS)</v>
      </c>
      <c r="F574" t="str">
        <f>INDEX('[1]CÓDIGOS DE PRODUCTO'!$C$3:$C$1000,MATCH(C574,'[1]CÓDIGOS DE PRODUCTO'!$A$3:$A$1000,0))</f>
        <v>Papas fritas</v>
      </c>
      <c r="G574">
        <f>+'[1]VENTAS(RESUMEN GLOBAL)'!D574-'[1]VENTAS(RESUMEN GLOBAL)'!E574</f>
        <v>2</v>
      </c>
      <c r="H574" s="9">
        <f>+'[1]VENTAS(RESUMEN GLOBAL)'!K574</f>
        <v>1.4000000000000001</v>
      </c>
      <c r="I574" s="8">
        <f>+G574*'[1]VENTAS(RESUMEN GLOBAL)'!F574</f>
        <v>40</v>
      </c>
      <c r="J574" s="8">
        <f>'[1]VENTAS(RESUMEN GLOBAL)'!G574*(1-'[1]VENTAS(RESUMEN GLOBAL)'!H574)</f>
        <v>16.36</v>
      </c>
      <c r="K574" s="8">
        <f t="shared" si="8"/>
        <v>23.64</v>
      </c>
      <c r="L574" s="8">
        <f>+'[1]VENTAS(RESUMEN GLOBAL)'!J574</f>
        <v>2.3639999999999999</v>
      </c>
      <c r="M574" s="8">
        <f>+Tabla1[[#This Row],[utilidad x dia]]*7</f>
        <v>16.547999999999998</v>
      </c>
    </row>
    <row r="575" spans="1:13" x14ac:dyDescent="0.3">
      <c r="A575" s="6">
        <f>+'[1]VENTAS(RESUMEN GLOBAL)'!L575</f>
        <v>46065</v>
      </c>
      <c r="B575" s="6" t="str">
        <f>+'[1]VENTAS(RESUMEN GLOBAL)'!M575</f>
        <v>ECCE RECEPCIÓN</v>
      </c>
      <c r="C575">
        <f>+'[1]VENTAS(RESUMEN GLOBAL)'!B575</f>
        <v>600500</v>
      </c>
      <c r="D575" t="str">
        <f>INDEX('[1]CÓDIGOS DE PRODUCTO'!$D$3:$D$1000,MATCH(C575,'[1]CÓDIGOS DE PRODUCTO'!$A$3:$A$1000,0))</f>
        <v>50192109 </v>
      </c>
      <c r="E575" t="str">
        <f>VLOOKUP(C575,'[1]CÓDIGOS DE PRODUCTO'!$A$4:$B$156,2,FALSE)</f>
        <v>SABRIMAYOREO</v>
      </c>
      <c r="F575" t="str">
        <f>INDEX('[1]CÓDIGOS DE PRODUCTO'!$C$3:$C$1000,MATCH(C575,'[1]CÓDIGOS DE PRODUCTO'!$A$3:$A$1000,0))</f>
        <v>Papas fritas</v>
      </c>
      <c r="G575">
        <f>+'[1]VENTAS(RESUMEN GLOBAL)'!D575-'[1]VENTAS(RESUMEN GLOBAL)'!E575</f>
        <v>10</v>
      </c>
      <c r="H575" s="9">
        <f>+'[1]VENTAS(RESUMEN GLOBAL)'!K575</f>
        <v>7</v>
      </c>
      <c r="I575" s="8">
        <f>+G575*'[1]VENTAS(RESUMEN GLOBAL)'!F575</f>
        <v>200</v>
      </c>
      <c r="J575" s="8">
        <f>'[1]VENTAS(RESUMEN GLOBAL)'!G575*(1-'[1]VENTAS(RESUMEN GLOBAL)'!H575)</f>
        <v>62.000000000000014</v>
      </c>
      <c r="K575" s="8">
        <f t="shared" si="8"/>
        <v>138</v>
      </c>
      <c r="L575" s="8">
        <f>+'[1]VENTAS(RESUMEN GLOBAL)'!J575</f>
        <v>13.8</v>
      </c>
      <c r="M575" s="8">
        <f>+Tabla1[[#This Row],[utilidad x dia]]*7</f>
        <v>96.600000000000009</v>
      </c>
    </row>
    <row r="576" spans="1:13" x14ac:dyDescent="0.3">
      <c r="A576" s="6">
        <f>+'[1]VENTAS(RESUMEN GLOBAL)'!L576</f>
        <v>46065</v>
      </c>
      <c r="B576" s="6" t="str">
        <f>+'[1]VENTAS(RESUMEN GLOBAL)'!M576</f>
        <v>ECCE RECEPCIÓN</v>
      </c>
      <c r="C576">
        <f>+'[1]VENTAS(RESUMEN GLOBAL)'!B576</f>
        <v>800900</v>
      </c>
      <c r="D576" t="str">
        <f>INDEX('[1]CÓDIGOS DE PRODUCTO'!$D$3:$D$1000,MATCH(C576,'[1]CÓDIGOS DE PRODUCTO'!$A$3:$A$1000,0))</f>
        <v>50181900 </v>
      </c>
      <c r="E576" t="str">
        <f>VLOOKUP(C576,'[1]CÓDIGOS DE PRODUCTO'!$A$4:$B$156,2,FALSE)</f>
        <v>MANTECADAS</v>
      </c>
      <c r="F576" t="str">
        <f>INDEX('[1]CÓDIGOS DE PRODUCTO'!$C$3:$C$1000,MATCH(C576,'[1]CÓDIGOS DE PRODUCTO'!$A$3:$A$1000,0))</f>
        <v>GALLETAS Y PAN DULCE</v>
      </c>
      <c r="G576">
        <f>+'[1]VENTAS(RESUMEN GLOBAL)'!D576-'[1]VENTAS(RESUMEN GLOBAL)'!E576</f>
        <v>2</v>
      </c>
      <c r="H576" s="9">
        <f>+'[1]VENTAS(RESUMEN GLOBAL)'!K576</f>
        <v>1.4000000000000001</v>
      </c>
      <c r="I576" s="8">
        <f>+G576*'[1]VENTAS(RESUMEN GLOBAL)'!F576</f>
        <v>40</v>
      </c>
      <c r="J576" s="8">
        <f>'[1]VENTAS(RESUMEN GLOBAL)'!G576*(1-'[1]VENTAS(RESUMEN GLOBAL)'!H576)</f>
        <v>19.436666666666667</v>
      </c>
      <c r="K576" s="8">
        <f t="shared" si="8"/>
        <v>20.563333333333333</v>
      </c>
      <c r="L576" s="8">
        <f>+'[1]VENTAS(RESUMEN GLOBAL)'!J576</f>
        <v>2.0563333333333333</v>
      </c>
      <c r="M576" s="8">
        <f>+Tabla1[[#This Row],[utilidad x dia]]*7</f>
        <v>14.394333333333334</v>
      </c>
    </row>
    <row r="577" spans="1:13" x14ac:dyDescent="0.3">
      <c r="A577" s="6">
        <f>+'[1]VENTAS(RESUMEN GLOBAL)'!L577</f>
        <v>46065</v>
      </c>
      <c r="B577" s="6" t="str">
        <f>+'[1]VENTAS(RESUMEN GLOBAL)'!M577</f>
        <v>ECCE RECEPCIÓN</v>
      </c>
      <c r="C577">
        <f>+'[1]VENTAS(RESUMEN GLOBAL)'!B577</f>
        <v>300200</v>
      </c>
      <c r="D577" t="str">
        <f>INDEX('[1]CÓDIGOS DE PRODUCTO'!$D$3:$D$1000,MATCH(C577,'[1]CÓDIGOS DE PRODUCTO'!$A$3:$A$1000,0))</f>
        <v>50161800 </v>
      </c>
      <c r="E577" t="str">
        <f>VLOOKUP(C577,'[1]CÓDIGOS DE PRODUCTO'!$A$4:$B$156,2,FALSE)</f>
        <v>SKWINKLES</v>
      </c>
      <c r="F577" t="str">
        <f>INDEX('[1]CÓDIGOS DE PRODUCTO'!$C$3:$C$1000,MATCH(C577,'[1]CÓDIGOS DE PRODUCTO'!$A$3:$A$1000,0))</f>
        <v>Snacks &amp; Dulces</v>
      </c>
      <c r="G577">
        <f>+'[1]VENTAS(RESUMEN GLOBAL)'!D577-'[1]VENTAS(RESUMEN GLOBAL)'!E577</f>
        <v>0</v>
      </c>
      <c r="H577" s="9">
        <f>+'[1]VENTAS(RESUMEN GLOBAL)'!K577</f>
        <v>0</v>
      </c>
      <c r="I577" s="8">
        <f>+G577*'[1]VENTAS(RESUMEN GLOBAL)'!F577</f>
        <v>0</v>
      </c>
      <c r="J577" s="8">
        <f>'[1]VENTAS(RESUMEN GLOBAL)'!G577*(1-'[1]VENTAS(RESUMEN GLOBAL)'!H577)</f>
        <v>0</v>
      </c>
      <c r="K577" s="8">
        <f t="shared" si="8"/>
        <v>0</v>
      </c>
      <c r="L577" s="8">
        <f>+'[1]VENTAS(RESUMEN GLOBAL)'!J577</f>
        <v>0</v>
      </c>
      <c r="M577" s="8">
        <f>+Tabla1[[#This Row],[utilidad x dia]]*7</f>
        <v>0</v>
      </c>
    </row>
    <row r="578" spans="1:13" x14ac:dyDescent="0.3">
      <c r="A578" s="6">
        <f>+'[1]VENTAS(RESUMEN GLOBAL)'!L578</f>
        <v>46065</v>
      </c>
      <c r="B578" s="6" t="str">
        <f>+'[1]VENTAS(RESUMEN GLOBAL)'!M578</f>
        <v>ECCE RECEPCIÓN</v>
      </c>
      <c r="C578">
        <f>+'[1]VENTAS(RESUMEN GLOBAL)'!B578</f>
        <v>900200</v>
      </c>
      <c r="D578" t="str">
        <f>INDEX('[1]CÓDIGOS DE PRODUCTO'!$D$3:$D$1000,MATCH(C578,'[1]CÓDIGOS DE PRODUCTO'!$A$3:$A$1000,0))</f>
        <v>IDENTIFICAR MANUAL</v>
      </c>
      <c r="E578" t="str">
        <f>VLOOKUP(C578,'[1]CÓDIGOS DE PRODUCTO'!$A$4:$B$156,2,FALSE)</f>
        <v>KLEENEX</v>
      </c>
      <c r="F578" t="str">
        <f>INDEX('[1]CÓDIGOS DE PRODUCTO'!$C$3:$C$1000,MATCH(C578,'[1]CÓDIGOS DE PRODUCTO'!$A$3:$A$1000,0))</f>
        <v>OTROS</v>
      </c>
      <c r="G578">
        <f>+'[1]VENTAS(RESUMEN GLOBAL)'!D578-'[1]VENTAS(RESUMEN GLOBAL)'!E578</f>
        <v>0</v>
      </c>
      <c r="H578" s="9">
        <f>+'[1]VENTAS(RESUMEN GLOBAL)'!K578</f>
        <v>0</v>
      </c>
      <c r="I578" s="8">
        <f>+G578*'[1]VENTAS(RESUMEN GLOBAL)'!F578</f>
        <v>0</v>
      </c>
      <c r="J578" s="8">
        <f>'[1]VENTAS(RESUMEN GLOBAL)'!G578*(1-'[1]VENTAS(RESUMEN GLOBAL)'!H578)</f>
        <v>0</v>
      </c>
      <c r="K578" s="8">
        <f t="shared" si="8"/>
        <v>0</v>
      </c>
      <c r="L578" s="8">
        <f>+'[1]VENTAS(RESUMEN GLOBAL)'!J578</f>
        <v>0</v>
      </c>
      <c r="M578" s="8">
        <f>+Tabla1[[#This Row],[utilidad x dia]]*7</f>
        <v>0</v>
      </c>
    </row>
    <row r="579" spans="1:13" x14ac:dyDescent="0.3">
      <c r="A579" s="6">
        <f>+'[1]VENTAS(RESUMEN GLOBAL)'!L579</f>
        <v>46065</v>
      </c>
      <c r="B579" s="6" t="str">
        <f>+'[1]VENTAS(RESUMEN GLOBAL)'!M579</f>
        <v>ECCE RECEPCIÓN</v>
      </c>
      <c r="C579">
        <f>+'[1]VENTAS(RESUMEN GLOBAL)'!B579</f>
        <v>300100</v>
      </c>
      <c r="D579" t="str">
        <f>INDEX('[1]CÓDIGOS DE PRODUCTO'!$D$3:$D$1000,MATCH(C579,'[1]CÓDIGOS DE PRODUCTO'!$A$3:$A$1000,0))</f>
        <v>50161800 </v>
      </c>
      <c r="E579" t="str">
        <f>VLOOKUP(C579,'[1]CÓDIGOS DE PRODUCTO'!$A$4:$B$156,2,FALSE)</f>
        <v>Pelonetes</v>
      </c>
      <c r="F579" t="str">
        <f>INDEX('[1]CÓDIGOS DE PRODUCTO'!$C$3:$C$1000,MATCH(C579,'[1]CÓDIGOS DE PRODUCTO'!$A$3:$A$1000,0))</f>
        <v>Snacks &amp; Dulces</v>
      </c>
      <c r="G579">
        <f>+'[1]VENTAS(RESUMEN GLOBAL)'!D579-'[1]VENTAS(RESUMEN GLOBAL)'!E579</f>
        <v>5</v>
      </c>
      <c r="H579" s="9">
        <f>+'[1]VENTAS(RESUMEN GLOBAL)'!K579</f>
        <v>3.5</v>
      </c>
      <c r="I579" s="8">
        <f>+G579*'[1]VENTAS(RESUMEN GLOBAL)'!F579</f>
        <v>75</v>
      </c>
      <c r="J579" s="8">
        <f>'[1]VENTAS(RESUMEN GLOBAL)'!G579*(1-'[1]VENTAS(RESUMEN GLOBAL)'!H579)</f>
        <v>32.677777777777777</v>
      </c>
      <c r="K579" s="8">
        <f t="shared" ref="K579:K642" si="9">+I579-J579</f>
        <v>42.322222222222223</v>
      </c>
      <c r="L579" s="8">
        <f>+'[1]VENTAS(RESUMEN GLOBAL)'!J579</f>
        <v>4.2322222222222221</v>
      </c>
      <c r="M579" s="8">
        <f>+Tabla1[[#This Row],[utilidad x dia]]*7</f>
        <v>29.625555555555554</v>
      </c>
    </row>
    <row r="580" spans="1:13" x14ac:dyDescent="0.3">
      <c r="A580" s="6">
        <f>+'[1]VENTAS(RESUMEN GLOBAL)'!L580</f>
        <v>46065</v>
      </c>
      <c r="B580" s="6" t="str">
        <f>+'[1]VENTAS(RESUMEN GLOBAL)'!M580</f>
        <v>ECCE RECEPCIÓN</v>
      </c>
      <c r="C580">
        <f>+'[1]VENTAS(RESUMEN GLOBAL)'!B580</f>
        <v>500100</v>
      </c>
      <c r="D580" t="str">
        <f>INDEX('[1]CÓDIGOS DE PRODUCTO'!$D$3:$D$1000,MATCH(C580,'[1]CÓDIGOS DE PRODUCTO'!$A$3:$A$1000,0))</f>
        <v>53102800 </v>
      </c>
      <c r="E580" t="str">
        <f>VLOOKUP(C580,'[1]CÓDIGOS DE PRODUCTO'!$A$4:$B$156,2,FALSE)</f>
        <v>Trajes de baño</v>
      </c>
      <c r="F580" t="str">
        <f>INDEX('[1]CÓDIGOS DE PRODUCTO'!$C$3:$C$1000,MATCH(C580,'[1]CÓDIGOS DE PRODUCTO'!$A$3:$A$1000,0))</f>
        <v>SWIMWEAR</v>
      </c>
      <c r="G580">
        <f>+'[1]VENTAS(RESUMEN GLOBAL)'!D580-'[1]VENTAS(RESUMEN GLOBAL)'!E580</f>
        <v>0</v>
      </c>
      <c r="H580" s="9">
        <f>+'[1]VENTAS(RESUMEN GLOBAL)'!K580</f>
        <v>0</v>
      </c>
      <c r="I580" s="8">
        <f>+G580*'[1]VENTAS(RESUMEN GLOBAL)'!F580</f>
        <v>0</v>
      </c>
      <c r="J580" s="8">
        <f>'[1]VENTAS(RESUMEN GLOBAL)'!G580*(1-'[1]VENTAS(RESUMEN GLOBAL)'!H580)</f>
        <v>0</v>
      </c>
      <c r="K580" s="8">
        <f t="shared" si="9"/>
        <v>0</v>
      </c>
      <c r="L580" s="8">
        <f>+'[1]VENTAS(RESUMEN GLOBAL)'!J580</f>
        <v>0</v>
      </c>
      <c r="M580" s="8">
        <f>+Tabla1[[#This Row],[utilidad x dia]]*7</f>
        <v>0</v>
      </c>
    </row>
    <row r="581" spans="1:13" x14ac:dyDescent="0.3">
      <c r="A581" s="6">
        <f>+'[1]VENTAS(RESUMEN GLOBAL)'!L581</f>
        <v>46065</v>
      </c>
      <c r="B581" s="6" t="str">
        <f>+'[1]VENTAS(RESUMEN GLOBAL)'!M581</f>
        <v>ECCE RECEPCIÓN</v>
      </c>
      <c r="C581">
        <f>+'[1]VENTAS(RESUMEN GLOBAL)'!B581</f>
        <v>900300</v>
      </c>
      <c r="D581">
        <f>INDEX('[1]CÓDIGOS DE PRODUCTO'!$D$3:$D$1000,MATCH(C581,'[1]CÓDIGOS DE PRODUCTO'!$A$3:$A$1000,0))</f>
        <v>50161815</v>
      </c>
      <c r="E581" t="str">
        <f>VLOOKUP(C581,'[1]CÓDIGOS DE PRODUCTO'!$A$4:$B$156,2,FALSE)</f>
        <v>CHICLES TRIDENT</v>
      </c>
      <c r="F581" t="str">
        <f>INDEX('[1]CÓDIGOS DE PRODUCTO'!$C$3:$C$1000,MATCH(C581,'[1]CÓDIGOS DE PRODUCTO'!$A$3:$A$1000,0))</f>
        <v>OTROS</v>
      </c>
      <c r="G581">
        <f>+'[1]VENTAS(RESUMEN GLOBAL)'!D581-'[1]VENTAS(RESUMEN GLOBAL)'!E581</f>
        <v>9</v>
      </c>
      <c r="H581" s="9">
        <f>+'[1]VENTAS(RESUMEN GLOBAL)'!K581</f>
        <v>6.3</v>
      </c>
      <c r="I581" s="8">
        <f>+G581*'[1]VENTAS(RESUMEN GLOBAL)'!F581</f>
        <v>225</v>
      </c>
      <c r="J581" s="8">
        <f>'[1]VENTAS(RESUMEN GLOBAL)'!G581*(1-'[1]VENTAS(RESUMEN GLOBAL)'!H581)</f>
        <v>118.91999999999999</v>
      </c>
      <c r="K581" s="8">
        <f t="shared" si="9"/>
        <v>106.08000000000001</v>
      </c>
      <c r="L581" s="8">
        <f>+'[1]VENTAS(RESUMEN GLOBAL)'!J581</f>
        <v>10.608000000000001</v>
      </c>
      <c r="M581" s="8">
        <f>+Tabla1[[#This Row],[utilidad x dia]]*7</f>
        <v>74.256</v>
      </c>
    </row>
    <row r="582" spans="1:13" x14ac:dyDescent="0.3">
      <c r="A582" s="6">
        <f>+'[1]VENTAS(RESUMEN GLOBAL)'!L582</f>
        <v>46065</v>
      </c>
      <c r="B582" s="6" t="str">
        <f>+'[1]VENTAS(RESUMEN GLOBAL)'!M582</f>
        <v>ECCE RECEPCIÓN</v>
      </c>
      <c r="C582">
        <f>+'[1]VENTAS(RESUMEN GLOBAL)'!B582</f>
        <v>400200</v>
      </c>
      <c r="D582" t="str">
        <f>INDEX('[1]CÓDIGOS DE PRODUCTO'!$D$3:$D$1000,MATCH(C582,'[1]CÓDIGOS DE PRODUCTO'!$A$3:$A$1000,0))</f>
        <v>N/A</v>
      </c>
      <c r="E582" t="str">
        <f>VLOOKUP(C582,'[1]CÓDIGOS DE PRODUCTO'!$A$4:$B$156,2,FALSE)</f>
        <v>MARLBORO ROJOS</v>
      </c>
      <c r="F582" t="str">
        <f>INDEX('[1]CÓDIGOS DE PRODUCTO'!$C$3:$C$1000,MATCH(C582,'[1]CÓDIGOS DE PRODUCTO'!$A$3:$A$1000,0))</f>
        <v>Cigarros</v>
      </c>
      <c r="G582">
        <f>+'[1]VENTAS(RESUMEN GLOBAL)'!D582-'[1]VENTAS(RESUMEN GLOBAL)'!E582</f>
        <v>4</v>
      </c>
      <c r="H582" s="9">
        <f>+'[1]VENTAS(RESUMEN GLOBAL)'!K582</f>
        <v>2.8000000000000003</v>
      </c>
      <c r="I582" s="8">
        <f>+G582*'[1]VENTAS(RESUMEN GLOBAL)'!F582</f>
        <v>640</v>
      </c>
      <c r="J582" s="8">
        <f>'[1]VENTAS(RESUMEN GLOBAL)'!G582*(1-'[1]VENTAS(RESUMEN GLOBAL)'!H582)</f>
        <v>441.59999999999997</v>
      </c>
      <c r="K582" s="8">
        <f t="shared" si="9"/>
        <v>198.40000000000003</v>
      </c>
      <c r="L582" s="8">
        <f>+'[1]VENTAS(RESUMEN GLOBAL)'!J582</f>
        <v>19.84</v>
      </c>
      <c r="M582" s="8">
        <f>+Tabla1[[#This Row],[utilidad x dia]]*7</f>
        <v>138.88</v>
      </c>
    </row>
    <row r="583" spans="1:13" x14ac:dyDescent="0.3">
      <c r="A583" s="6">
        <f>+'[1]VENTAS(RESUMEN GLOBAL)'!L583</f>
        <v>46065</v>
      </c>
      <c r="B583" s="6" t="str">
        <f>+'[1]VENTAS(RESUMEN GLOBAL)'!M583</f>
        <v>ECCE RECEPCIÓN</v>
      </c>
      <c r="C583">
        <f>+'[1]VENTAS(RESUMEN GLOBAL)'!B583</f>
        <v>400100</v>
      </c>
      <c r="D583" t="str">
        <f>INDEX('[1]CÓDIGOS DE PRODUCTO'!$D$3:$D$1000,MATCH(C583,'[1]CÓDIGOS DE PRODUCTO'!$A$3:$A$1000,0))</f>
        <v>N/A</v>
      </c>
      <c r="E583" t="str">
        <f>VLOOKUP(C583,'[1]CÓDIGOS DE PRODUCTO'!$A$4:$B$156,2,FALSE)</f>
        <v>MARLBORO BLANCOS</v>
      </c>
      <c r="F583" t="str">
        <f>INDEX('[1]CÓDIGOS DE PRODUCTO'!$C$3:$C$1000,MATCH(C583,'[1]CÓDIGOS DE PRODUCTO'!$A$3:$A$1000,0))</f>
        <v>Cigarros</v>
      </c>
      <c r="G583">
        <f>+'[1]VENTAS(RESUMEN GLOBAL)'!D583-'[1]VENTAS(RESUMEN GLOBAL)'!E583</f>
        <v>1</v>
      </c>
      <c r="H583" s="9">
        <f>+'[1]VENTAS(RESUMEN GLOBAL)'!K583</f>
        <v>0.70000000000000007</v>
      </c>
      <c r="I583" s="8">
        <f>+G583*'[1]VENTAS(RESUMEN GLOBAL)'!F583</f>
        <v>160</v>
      </c>
      <c r="J583" s="8">
        <f>'[1]VENTAS(RESUMEN GLOBAL)'!G583*(1-'[1]VENTAS(RESUMEN GLOBAL)'!H583)</f>
        <v>110.39999999999999</v>
      </c>
      <c r="K583" s="8">
        <f t="shared" si="9"/>
        <v>49.600000000000009</v>
      </c>
      <c r="L583" s="8">
        <f>+'[1]VENTAS(RESUMEN GLOBAL)'!J583</f>
        <v>4.96</v>
      </c>
      <c r="M583" s="8">
        <f>+Tabla1[[#This Row],[utilidad x dia]]*7</f>
        <v>34.72</v>
      </c>
    </row>
    <row r="584" spans="1:13" x14ac:dyDescent="0.3">
      <c r="A584" s="6">
        <f>+'[1]VENTAS(RESUMEN GLOBAL)'!L584</f>
        <v>46065</v>
      </c>
      <c r="B584" s="6" t="str">
        <f>+'[1]VENTAS(RESUMEN GLOBAL)'!M584</f>
        <v>ECCE RECEPCIÓN</v>
      </c>
      <c r="C584">
        <f>+'[1]VENTAS(RESUMEN GLOBAL)'!B584</f>
        <v>300700</v>
      </c>
      <c r="D584" t="str">
        <f>INDEX('[1]CÓDIGOS DE PRODUCTO'!$D$3:$D$1000,MATCH(C584,'[1]CÓDIGOS DE PRODUCTO'!$A$3:$A$1000,0))</f>
        <v>50161800 </v>
      </c>
      <c r="E584" t="str">
        <f>VLOOKUP(C584,'[1]CÓDIGOS DE PRODUCTO'!$A$4:$B$156,2,FALSE)</f>
        <v>ZUMBA GOMA</v>
      </c>
      <c r="F584" t="str">
        <f>INDEX('[1]CÓDIGOS DE PRODUCTO'!$C$3:$C$1000,MATCH(C584,'[1]CÓDIGOS DE PRODUCTO'!$A$3:$A$1000,0))</f>
        <v>Snacks &amp; Dulces</v>
      </c>
      <c r="G584">
        <f>+'[1]VENTAS(RESUMEN GLOBAL)'!D584-'[1]VENTAS(RESUMEN GLOBAL)'!E584</f>
        <v>7</v>
      </c>
      <c r="H584" s="9">
        <f>+'[1]VENTAS(RESUMEN GLOBAL)'!K584</f>
        <v>4.8999999999999995</v>
      </c>
      <c r="I584" s="8">
        <f>+G584*'[1]VENTAS(RESUMEN GLOBAL)'!F584</f>
        <v>70</v>
      </c>
      <c r="J584" s="8">
        <f>'[1]VENTAS(RESUMEN GLOBAL)'!G584*(1-'[1]VENTAS(RESUMEN GLOBAL)'!H584)</f>
        <v>20.588749999999997</v>
      </c>
      <c r="K584" s="8">
        <f t="shared" si="9"/>
        <v>49.411250000000003</v>
      </c>
      <c r="L584" s="8">
        <f>+'[1]VENTAS(RESUMEN GLOBAL)'!J584</f>
        <v>4.9411250000000004</v>
      </c>
      <c r="M584" s="8">
        <f>+Tabla1[[#This Row],[utilidad x dia]]*7</f>
        <v>34.587875000000004</v>
      </c>
    </row>
    <row r="585" spans="1:13" x14ac:dyDescent="0.3">
      <c r="A585" s="6">
        <f>+'[1]VENTAS(RESUMEN GLOBAL)'!L585</f>
        <v>46065</v>
      </c>
      <c r="B585" s="6" t="str">
        <f>+'[1]VENTAS(RESUMEN GLOBAL)'!M585</f>
        <v>ECCE RECEPCIÓN</v>
      </c>
      <c r="C585">
        <f>+'[1]VENTAS(RESUMEN GLOBAL)'!B585</f>
        <v>300300</v>
      </c>
      <c r="D585" t="str">
        <f>INDEX('[1]CÓDIGOS DE PRODUCTO'!$D$3:$D$1000,MATCH(C585,'[1]CÓDIGOS DE PRODUCTO'!$A$3:$A$1000,0))</f>
        <v>50161800 </v>
      </c>
      <c r="E585" t="str">
        <f>VLOOKUP(C585,'[1]CÓDIGOS DE PRODUCTO'!$A$4:$B$156,2,FALSE)</f>
        <v>FRUIT FOOT</v>
      </c>
      <c r="F585" t="str">
        <f>INDEX('[1]CÓDIGOS DE PRODUCTO'!$C$3:$C$1000,MATCH(C585,'[1]CÓDIGOS DE PRODUCTO'!$A$3:$A$1000,0))</f>
        <v>Snacks &amp; Dulces</v>
      </c>
      <c r="G585">
        <f>+'[1]VENTAS(RESUMEN GLOBAL)'!D585-'[1]VENTAS(RESUMEN GLOBAL)'!E585</f>
        <v>3</v>
      </c>
      <c r="H585" s="9">
        <f>+'[1]VENTAS(RESUMEN GLOBAL)'!K585</f>
        <v>2.1</v>
      </c>
      <c r="I585" s="8">
        <f>+G585*'[1]VENTAS(RESUMEN GLOBAL)'!F585</f>
        <v>45</v>
      </c>
      <c r="J585" s="8">
        <f>'[1]VENTAS(RESUMEN GLOBAL)'!G585*(1-'[1]VENTAS(RESUMEN GLOBAL)'!H585)</f>
        <v>24.3</v>
      </c>
      <c r="K585" s="8">
        <f t="shared" si="9"/>
        <v>20.7</v>
      </c>
      <c r="L585" s="8">
        <f>+'[1]VENTAS(RESUMEN GLOBAL)'!J585</f>
        <v>2.0699999999999998</v>
      </c>
      <c r="M585" s="8">
        <f>+Tabla1[[#This Row],[utilidad x dia]]*7</f>
        <v>14.489999999999998</v>
      </c>
    </row>
    <row r="586" spans="1:13" x14ac:dyDescent="0.3">
      <c r="A586" s="6">
        <f>+'[1]VENTAS(RESUMEN GLOBAL)'!L586</f>
        <v>46065</v>
      </c>
      <c r="B586" s="6" t="str">
        <f>+'[1]VENTAS(RESUMEN GLOBAL)'!M586</f>
        <v>ECCE RECEPCIÓN</v>
      </c>
      <c r="C586">
        <f>+'[1]VENTAS(RESUMEN GLOBAL)'!B586</f>
        <v>300500</v>
      </c>
      <c r="D586" t="str">
        <f>INDEX('[1]CÓDIGOS DE PRODUCTO'!$D$3:$D$1000,MATCH(C586,'[1]CÓDIGOS DE PRODUCTO'!$A$3:$A$1000,0))</f>
        <v>50161800 </v>
      </c>
      <c r="E586" t="str">
        <f>VLOOKUP(C586,'[1]CÓDIGOS DE PRODUCTO'!$A$4:$B$156,2,FALSE)</f>
        <v>Halls</v>
      </c>
      <c r="F586" t="str">
        <f>INDEX('[1]CÓDIGOS DE PRODUCTO'!$C$3:$C$1000,MATCH(C586,'[1]CÓDIGOS DE PRODUCTO'!$A$3:$A$1000,0))</f>
        <v>Snacks &amp; Dulces</v>
      </c>
      <c r="G586">
        <f>+'[1]VENTAS(RESUMEN GLOBAL)'!D586-'[1]VENTAS(RESUMEN GLOBAL)'!E586</f>
        <v>1</v>
      </c>
      <c r="H586" s="9">
        <f>+'[1]VENTAS(RESUMEN GLOBAL)'!K586</f>
        <v>0.70000000000000007</v>
      </c>
      <c r="I586" s="8">
        <f>+G586*'[1]VENTAS(RESUMEN GLOBAL)'!F586</f>
        <v>15</v>
      </c>
      <c r="J586" s="8">
        <f>'[1]VENTAS(RESUMEN GLOBAL)'!G586*(1-'[1]VENTAS(RESUMEN GLOBAL)'!H586)</f>
        <v>5.9672222222222224</v>
      </c>
      <c r="K586" s="8">
        <f t="shared" si="9"/>
        <v>9.0327777777777776</v>
      </c>
      <c r="L586" s="8">
        <f>+'[1]VENTAS(RESUMEN GLOBAL)'!J586</f>
        <v>0.90327777777777774</v>
      </c>
      <c r="M586" s="8">
        <f>+Tabla1[[#This Row],[utilidad x dia]]*7</f>
        <v>6.3229444444444445</v>
      </c>
    </row>
    <row r="587" spans="1:13" x14ac:dyDescent="0.3">
      <c r="A587" s="6">
        <f>+'[1]VENTAS(RESUMEN GLOBAL)'!L587</f>
        <v>46065</v>
      </c>
      <c r="B587" s="6" t="str">
        <f>+'[1]VENTAS(RESUMEN GLOBAL)'!M587</f>
        <v>ECCE RECEPCIÓN</v>
      </c>
      <c r="C587">
        <f>+'[1]VENTAS(RESUMEN GLOBAL)'!B587</f>
        <v>300400</v>
      </c>
      <c r="D587" t="str">
        <f>INDEX('[1]CÓDIGOS DE PRODUCTO'!$D$3:$D$1000,MATCH(C587,'[1]CÓDIGOS DE PRODUCTO'!$A$3:$A$1000,0))</f>
        <v>50161800 </v>
      </c>
      <c r="E587" t="str">
        <f>VLOOKUP(C587,'[1]CÓDIGOS DE PRODUCTO'!$A$4:$B$156,2,FALSE)</f>
        <v>Welchs GOMITAS</v>
      </c>
      <c r="F587" t="str">
        <f>INDEX('[1]CÓDIGOS DE PRODUCTO'!$C$3:$C$1000,MATCH(C587,'[1]CÓDIGOS DE PRODUCTO'!$A$3:$A$1000,0))</f>
        <v>Snacks &amp; Dulces</v>
      </c>
      <c r="G587">
        <f>+'[1]VENTAS(RESUMEN GLOBAL)'!D587-'[1]VENTAS(RESUMEN GLOBAL)'!E587</f>
        <v>5</v>
      </c>
      <c r="H587" s="9">
        <f>+'[1]VENTAS(RESUMEN GLOBAL)'!K587</f>
        <v>3.5</v>
      </c>
      <c r="I587" s="8">
        <f>+G587*'[1]VENTAS(RESUMEN GLOBAL)'!F587</f>
        <v>50</v>
      </c>
      <c r="J587" s="8">
        <f>'[1]VENTAS(RESUMEN GLOBAL)'!G587*(1-'[1]VENTAS(RESUMEN GLOBAL)'!H587)</f>
        <v>21.622727272727278</v>
      </c>
      <c r="K587" s="8">
        <f t="shared" si="9"/>
        <v>28.377272727272722</v>
      </c>
      <c r="L587" s="8">
        <f>+'[1]VENTAS(RESUMEN GLOBAL)'!J587</f>
        <v>2.837727272727272</v>
      </c>
      <c r="M587" s="8">
        <f>+Tabla1[[#This Row],[utilidad x dia]]*7</f>
        <v>19.864090909090905</v>
      </c>
    </row>
    <row r="588" spans="1:13" x14ac:dyDescent="0.3">
      <c r="A588" s="6">
        <f>+'[1]VENTAS(RESUMEN GLOBAL)'!L588</f>
        <v>46065</v>
      </c>
      <c r="B588" s="6" t="str">
        <f>+'[1]VENTAS(RESUMEN GLOBAL)'!M588</f>
        <v>ECCE RECEPCIÓN</v>
      </c>
      <c r="C588">
        <f>+'[1]VENTAS(RESUMEN GLOBAL)'!B588</f>
        <v>800300</v>
      </c>
      <c r="D588" t="str">
        <f>INDEX('[1]CÓDIGOS DE PRODUCTO'!$D$3:$D$1000,MATCH(C588,'[1]CÓDIGOS DE PRODUCTO'!$A$3:$A$1000,0))</f>
        <v>50181900 </v>
      </c>
      <c r="E588" t="str">
        <f>VLOOKUP(C588,'[1]CÓDIGOS DE PRODUCTO'!$A$4:$B$156,2,FALSE)</f>
        <v>Cereal barra</v>
      </c>
      <c r="F588" t="str">
        <f>INDEX('[1]CÓDIGOS DE PRODUCTO'!$C$3:$C$1000,MATCH(C588,'[1]CÓDIGOS DE PRODUCTO'!$A$3:$A$1000,0))</f>
        <v>GALLETAS Y PAN DULCE</v>
      </c>
      <c r="G588">
        <f>+'[1]VENTAS(RESUMEN GLOBAL)'!D588-'[1]VENTAS(RESUMEN GLOBAL)'!E588</f>
        <v>1</v>
      </c>
      <c r="H588" s="9">
        <f>+'[1]VENTAS(RESUMEN GLOBAL)'!K588</f>
        <v>0.70000000000000007</v>
      </c>
      <c r="I588" s="8">
        <f>+G588*'[1]VENTAS(RESUMEN GLOBAL)'!F588</f>
        <v>15</v>
      </c>
      <c r="J588" s="8">
        <f>'[1]VENTAS(RESUMEN GLOBAL)'!G588*(1-'[1]VENTAS(RESUMEN GLOBAL)'!H588)</f>
        <v>6.4868181818181831</v>
      </c>
      <c r="K588" s="8">
        <f t="shared" si="9"/>
        <v>8.5131818181818169</v>
      </c>
      <c r="L588" s="8">
        <f>+'[1]VENTAS(RESUMEN GLOBAL)'!J588</f>
        <v>0.85131818181818164</v>
      </c>
      <c r="M588" s="8">
        <f>+Tabla1[[#This Row],[utilidad x dia]]*7</f>
        <v>5.9592272727272713</v>
      </c>
    </row>
    <row r="589" spans="1:13" x14ac:dyDescent="0.3">
      <c r="A589" s="6">
        <f>+'[1]VENTAS(RESUMEN GLOBAL)'!L589</f>
        <v>46065</v>
      </c>
      <c r="B589" s="6" t="str">
        <f>+'[1]VENTAS(RESUMEN GLOBAL)'!M589</f>
        <v>ECCE RECEPCIÓN</v>
      </c>
      <c r="C589">
        <f>+'[1]VENTAS(RESUMEN GLOBAL)'!B589</f>
        <v>700700</v>
      </c>
      <c r="D589" t="str">
        <f>INDEX('[1]CÓDIGOS DE PRODUCTO'!$D$3:$D$1000,MATCH(C589,'[1]CÓDIGOS DE PRODUCTO'!$A$3:$A$1000,0))</f>
        <v>50161511 </v>
      </c>
      <c r="E589" t="str">
        <f>VLOOKUP(C589,'[1]CÓDIGOS DE PRODUCTO'!$A$4:$B$156,2,FALSE)</f>
        <v>Milkiway</v>
      </c>
      <c r="F589" t="str">
        <f>INDEX('[1]CÓDIGOS DE PRODUCTO'!$C$3:$C$1000,MATCH(C589,'[1]CÓDIGOS DE PRODUCTO'!$A$3:$A$1000,0))</f>
        <v>CHOCOLATES</v>
      </c>
      <c r="G589">
        <f>+'[1]VENTAS(RESUMEN GLOBAL)'!D589-'[1]VENTAS(RESUMEN GLOBAL)'!E589</f>
        <v>1</v>
      </c>
      <c r="H589" s="9">
        <f>+'[1]VENTAS(RESUMEN GLOBAL)'!K589</f>
        <v>0.70000000000000007</v>
      </c>
      <c r="I589" s="8">
        <f>+G589*'[1]VENTAS(RESUMEN GLOBAL)'!F589</f>
        <v>27</v>
      </c>
      <c r="J589" s="8">
        <f>'[1]VENTAS(RESUMEN GLOBAL)'!G589*(1-'[1]VENTAS(RESUMEN GLOBAL)'!H589)</f>
        <v>14.040000000000001</v>
      </c>
      <c r="K589" s="8">
        <f t="shared" si="9"/>
        <v>12.959999999999999</v>
      </c>
      <c r="L589" s="8">
        <f>+'[1]VENTAS(RESUMEN GLOBAL)'!J589</f>
        <v>1.2959999999999998</v>
      </c>
      <c r="M589" s="8">
        <f>+Tabla1[[#This Row],[utilidad x dia]]*7</f>
        <v>9.0719999999999992</v>
      </c>
    </row>
    <row r="590" spans="1:13" x14ac:dyDescent="0.3">
      <c r="A590" s="6">
        <f>+'[1]VENTAS(RESUMEN GLOBAL)'!L590</f>
        <v>46065</v>
      </c>
      <c r="B590" s="6" t="str">
        <f>+'[1]VENTAS(RESUMEN GLOBAL)'!M590</f>
        <v>ECCE RECEPCIÓN</v>
      </c>
      <c r="C590">
        <f>+'[1]VENTAS(RESUMEN GLOBAL)'!B590</f>
        <v>700200</v>
      </c>
      <c r="D590" t="str">
        <f>INDEX('[1]CÓDIGOS DE PRODUCTO'!$D$3:$D$1000,MATCH(C590,'[1]CÓDIGOS DE PRODUCTO'!$A$3:$A$1000,0))</f>
        <v>50161511 </v>
      </c>
      <c r="E590" t="str">
        <f>VLOOKUP(C590,'[1]CÓDIGOS DE PRODUCTO'!$A$4:$B$156,2,FALSE)</f>
        <v>Snickers</v>
      </c>
      <c r="F590" t="str">
        <f>INDEX('[1]CÓDIGOS DE PRODUCTO'!$C$3:$C$1000,MATCH(C590,'[1]CÓDIGOS DE PRODUCTO'!$A$3:$A$1000,0))</f>
        <v>CHOCOLATES</v>
      </c>
      <c r="G590">
        <f>+'[1]VENTAS(RESUMEN GLOBAL)'!D590-'[1]VENTAS(RESUMEN GLOBAL)'!E590</f>
        <v>0</v>
      </c>
      <c r="H590" s="9">
        <f>+'[1]VENTAS(RESUMEN GLOBAL)'!K590</f>
        <v>0</v>
      </c>
      <c r="I590" s="8">
        <f>+G590*'[1]VENTAS(RESUMEN GLOBAL)'!F590</f>
        <v>0</v>
      </c>
      <c r="J590" s="8">
        <f>'[1]VENTAS(RESUMEN GLOBAL)'!G590*(1-'[1]VENTAS(RESUMEN GLOBAL)'!H590)</f>
        <v>0</v>
      </c>
      <c r="K590" s="8">
        <f t="shared" si="9"/>
        <v>0</v>
      </c>
      <c r="L590" s="8">
        <f>+'[1]VENTAS(RESUMEN GLOBAL)'!J590</f>
        <v>0</v>
      </c>
      <c r="M590" s="8">
        <f>+Tabla1[[#This Row],[utilidad x dia]]*7</f>
        <v>0</v>
      </c>
    </row>
    <row r="591" spans="1:13" x14ac:dyDescent="0.3">
      <c r="A591" s="6">
        <f>+'[1]VENTAS(RESUMEN GLOBAL)'!L591</f>
        <v>46065</v>
      </c>
      <c r="B591" s="6" t="str">
        <f>+'[1]VENTAS(RESUMEN GLOBAL)'!M591</f>
        <v>ECCE RECEPCIÓN</v>
      </c>
      <c r="C591">
        <f>+'[1]VENTAS(RESUMEN GLOBAL)'!B591</f>
        <v>700900</v>
      </c>
      <c r="D591" t="str">
        <f>INDEX('[1]CÓDIGOS DE PRODUCTO'!$D$3:$D$1000,MATCH(C591,'[1]CÓDIGOS DE PRODUCTO'!$A$3:$A$1000,0))</f>
        <v>50161511 </v>
      </c>
      <c r="E591" t="str">
        <f>VLOOKUP(C591,'[1]CÓDIGOS DE PRODUCTO'!$A$4:$B$156,2,FALSE)</f>
        <v>M&amp;M AMARILLOS</v>
      </c>
      <c r="F591" t="str">
        <f>INDEX('[1]CÓDIGOS DE PRODUCTO'!$C$3:$C$1000,MATCH(C591,'[1]CÓDIGOS DE PRODUCTO'!$A$3:$A$1000,0))</f>
        <v>CHOCOLATES</v>
      </c>
      <c r="G591">
        <f>+'[1]VENTAS(RESUMEN GLOBAL)'!D591-'[1]VENTAS(RESUMEN GLOBAL)'!E591</f>
        <v>0</v>
      </c>
      <c r="H591" s="9">
        <f>+'[1]VENTAS(RESUMEN GLOBAL)'!K591</f>
        <v>0</v>
      </c>
      <c r="I591" s="8">
        <f>+G591*'[1]VENTAS(RESUMEN GLOBAL)'!F591</f>
        <v>0</v>
      </c>
      <c r="J591" s="8">
        <f>'[1]VENTAS(RESUMEN GLOBAL)'!G591*(1-'[1]VENTAS(RESUMEN GLOBAL)'!H591)</f>
        <v>0</v>
      </c>
      <c r="K591" s="8">
        <f t="shared" si="9"/>
        <v>0</v>
      </c>
      <c r="L591" s="8">
        <f>+'[1]VENTAS(RESUMEN GLOBAL)'!J591</f>
        <v>0</v>
      </c>
      <c r="M591" s="8">
        <f>+Tabla1[[#This Row],[utilidad x dia]]*7</f>
        <v>0</v>
      </c>
    </row>
    <row r="592" spans="1:13" x14ac:dyDescent="0.3">
      <c r="A592" s="6">
        <f>+'[1]VENTAS(RESUMEN GLOBAL)'!L592</f>
        <v>46065</v>
      </c>
      <c r="B592" s="6" t="str">
        <f>+'[1]VENTAS(RESUMEN GLOBAL)'!M592</f>
        <v>ECCE RECEPCIÓN</v>
      </c>
      <c r="C592">
        <f>+'[1]VENTAS(RESUMEN GLOBAL)'!B592</f>
        <v>700800</v>
      </c>
      <c r="D592" t="str">
        <f>INDEX('[1]CÓDIGOS DE PRODUCTO'!$D$3:$D$1000,MATCH(C592,'[1]CÓDIGOS DE PRODUCTO'!$A$3:$A$1000,0))</f>
        <v>50161511 </v>
      </c>
      <c r="E592" t="str">
        <f>VLOOKUP(C592,'[1]CÓDIGOS DE PRODUCTO'!$A$4:$B$156,2,FALSE)</f>
        <v>Kinder delice</v>
      </c>
      <c r="F592" t="str">
        <f>INDEX('[1]CÓDIGOS DE PRODUCTO'!$C$3:$C$1000,MATCH(C592,'[1]CÓDIGOS DE PRODUCTO'!$A$3:$A$1000,0))</f>
        <v>CHOCOLATES</v>
      </c>
      <c r="G592">
        <f>+'[1]VENTAS(RESUMEN GLOBAL)'!D592-'[1]VENTAS(RESUMEN GLOBAL)'!E592</f>
        <v>0</v>
      </c>
      <c r="H592" s="9">
        <f>+'[1]VENTAS(RESUMEN GLOBAL)'!K592</f>
        <v>0</v>
      </c>
      <c r="I592" s="8">
        <f>+G592*'[1]VENTAS(RESUMEN GLOBAL)'!F592</f>
        <v>0</v>
      </c>
      <c r="J592" s="8">
        <f>'[1]VENTAS(RESUMEN GLOBAL)'!G592*(1-'[1]VENTAS(RESUMEN GLOBAL)'!H592)</f>
        <v>0</v>
      </c>
      <c r="K592" s="8">
        <f t="shared" si="9"/>
        <v>0</v>
      </c>
      <c r="L592" s="8">
        <f>+'[1]VENTAS(RESUMEN GLOBAL)'!J592</f>
        <v>0</v>
      </c>
      <c r="M592" s="8">
        <f>+Tabla1[[#This Row],[utilidad x dia]]*7</f>
        <v>0</v>
      </c>
    </row>
    <row r="593" spans="1:13" x14ac:dyDescent="0.3">
      <c r="A593" s="6">
        <f>+'[1]VENTAS(RESUMEN GLOBAL)'!L593</f>
        <v>46065</v>
      </c>
      <c r="B593" s="6" t="str">
        <f>+'[1]VENTAS(RESUMEN GLOBAL)'!M593</f>
        <v>ECCE RECEPCIÓN</v>
      </c>
      <c r="C593">
        <f>+'[1]VENTAS(RESUMEN GLOBAL)'!B593</f>
        <v>700400</v>
      </c>
      <c r="D593" t="str">
        <f>INDEX('[1]CÓDIGOS DE PRODUCTO'!$D$3:$D$1000,MATCH(C593,'[1]CÓDIGOS DE PRODUCTO'!$A$3:$A$1000,0))</f>
        <v>50161511 </v>
      </c>
      <c r="E593" t="str">
        <f>VLOOKUP(C593,'[1]CÓDIGOS DE PRODUCTO'!$A$4:$B$156,2,FALSE)</f>
        <v>KIT KAT</v>
      </c>
      <c r="F593" t="str">
        <f>INDEX('[1]CÓDIGOS DE PRODUCTO'!$C$3:$C$1000,MATCH(C593,'[1]CÓDIGOS DE PRODUCTO'!$A$3:$A$1000,0))</f>
        <v>CHOCOLATES</v>
      </c>
      <c r="G593">
        <f>+'[1]VENTAS(RESUMEN GLOBAL)'!D593-'[1]VENTAS(RESUMEN GLOBAL)'!E593</f>
        <v>4</v>
      </c>
      <c r="H593" s="9">
        <f>+'[1]VENTAS(RESUMEN GLOBAL)'!K593</f>
        <v>2.8000000000000003</v>
      </c>
      <c r="I593" s="8">
        <f>+G593*'[1]VENTAS(RESUMEN GLOBAL)'!F593</f>
        <v>100</v>
      </c>
      <c r="J593" s="8">
        <f>'[1]VENTAS(RESUMEN GLOBAL)'!G593*(1-'[1]VENTAS(RESUMEN GLOBAL)'!H593)</f>
        <v>50.126666666666665</v>
      </c>
      <c r="K593" s="8">
        <f t="shared" si="9"/>
        <v>49.873333333333335</v>
      </c>
      <c r="L593" s="8">
        <f>+'[1]VENTAS(RESUMEN GLOBAL)'!J593</f>
        <v>4.9873333333333338</v>
      </c>
      <c r="M593" s="8">
        <f>+Tabla1[[#This Row],[utilidad x dia]]*7</f>
        <v>34.911333333333339</v>
      </c>
    </row>
    <row r="594" spans="1:13" x14ac:dyDescent="0.3">
      <c r="A594" s="6">
        <f>+'[1]VENTAS(RESUMEN GLOBAL)'!L594</f>
        <v>46065</v>
      </c>
      <c r="B594" s="6" t="str">
        <f>+'[1]VENTAS(RESUMEN GLOBAL)'!M594</f>
        <v>ECCE RECEPCIÓN</v>
      </c>
      <c r="C594">
        <f>+'[1]VENTAS(RESUMEN GLOBAL)'!B594</f>
        <v>701000</v>
      </c>
      <c r="D594" t="str">
        <f>INDEX('[1]CÓDIGOS DE PRODUCTO'!$D$3:$D$1000,MATCH(C594,'[1]CÓDIGOS DE PRODUCTO'!$A$3:$A$1000,0))</f>
        <v>50161511 </v>
      </c>
      <c r="E594" t="str">
        <f>VLOOKUP(C594,'[1]CÓDIGOS DE PRODUCTO'!$A$4:$B$156,2,FALSE)</f>
        <v>BUBULUBU</v>
      </c>
      <c r="F594" t="str">
        <f>INDEX('[1]CÓDIGOS DE PRODUCTO'!$C$3:$C$1000,MATCH(C594,'[1]CÓDIGOS DE PRODUCTO'!$A$3:$A$1000,0))</f>
        <v>CHOCOLATES</v>
      </c>
      <c r="G594">
        <f>+'[1]VENTAS(RESUMEN GLOBAL)'!D594-'[1]VENTAS(RESUMEN GLOBAL)'!E594</f>
        <v>6</v>
      </c>
      <c r="H594" s="9">
        <f>+'[1]VENTAS(RESUMEN GLOBAL)'!K594</f>
        <v>4.2</v>
      </c>
      <c r="I594" s="8">
        <f>+G594*'[1]VENTAS(RESUMEN GLOBAL)'!F594</f>
        <v>78</v>
      </c>
      <c r="J594" s="8">
        <f>'[1]VENTAS(RESUMEN GLOBAL)'!G594*(1-'[1]VENTAS(RESUMEN GLOBAL)'!H594)</f>
        <v>27.299999999999997</v>
      </c>
      <c r="K594" s="8">
        <f t="shared" si="9"/>
        <v>50.7</v>
      </c>
      <c r="L594" s="8">
        <f>+'[1]VENTAS(RESUMEN GLOBAL)'!J594</f>
        <v>5.07</v>
      </c>
      <c r="M594" s="8">
        <f>+Tabla1[[#This Row],[utilidad x dia]]*7</f>
        <v>35.49</v>
      </c>
    </row>
    <row r="595" spans="1:13" x14ac:dyDescent="0.3">
      <c r="A595" s="6">
        <f>+'[1]VENTAS(RESUMEN GLOBAL)'!L595</f>
        <v>46065</v>
      </c>
      <c r="B595" s="6" t="str">
        <f>+'[1]VENTAS(RESUMEN GLOBAL)'!M595</f>
        <v>ECCE RECEPCIÓN</v>
      </c>
      <c r="C595">
        <f>+'[1]VENTAS(RESUMEN GLOBAL)'!B595</f>
        <v>800500</v>
      </c>
      <c r="D595" t="str">
        <f>INDEX('[1]CÓDIGOS DE PRODUCTO'!$D$3:$D$1000,MATCH(C595,'[1]CÓDIGOS DE PRODUCTO'!$A$3:$A$1000,0))</f>
        <v>50181900 </v>
      </c>
      <c r="E595" t="str">
        <f>VLOOKUP(C595,'[1]CÓDIGOS DE PRODUCTO'!$A$4:$B$156,2,FALSE)</f>
        <v>RICE KRISPIES</v>
      </c>
      <c r="F595" t="str">
        <f>INDEX('[1]CÓDIGOS DE PRODUCTO'!$C$3:$C$1000,MATCH(C595,'[1]CÓDIGOS DE PRODUCTO'!$A$3:$A$1000,0))</f>
        <v>GALLETAS Y PAN DULCE</v>
      </c>
      <c r="G595">
        <f>+'[1]VENTAS(RESUMEN GLOBAL)'!D595-'[1]VENTAS(RESUMEN GLOBAL)'!E595</f>
        <v>4</v>
      </c>
      <c r="H595" s="9">
        <f>+'[1]VENTAS(RESUMEN GLOBAL)'!K595</f>
        <v>2.8000000000000003</v>
      </c>
      <c r="I595" s="8">
        <f>+G595*'[1]VENTAS(RESUMEN GLOBAL)'!F595</f>
        <v>40</v>
      </c>
      <c r="J595" s="8">
        <f>'[1]VENTAS(RESUMEN GLOBAL)'!G595*(1-'[1]VENTAS(RESUMEN GLOBAL)'!H595)</f>
        <v>18.927</v>
      </c>
      <c r="K595" s="8">
        <f t="shared" si="9"/>
        <v>21.073</v>
      </c>
      <c r="L595" s="8">
        <f>+'[1]VENTAS(RESUMEN GLOBAL)'!J595</f>
        <v>2.1073</v>
      </c>
      <c r="M595" s="8">
        <f>+Tabla1[[#This Row],[utilidad x dia]]*7</f>
        <v>14.751099999999999</v>
      </c>
    </row>
    <row r="596" spans="1:13" x14ac:dyDescent="0.3">
      <c r="A596" s="6">
        <f>+'[1]VENTAS(RESUMEN GLOBAL)'!L596</f>
        <v>46065</v>
      </c>
      <c r="B596" s="6" t="str">
        <f>+'[1]VENTAS(RESUMEN GLOBAL)'!M596</f>
        <v>ECCE RECEPCIÓN</v>
      </c>
      <c r="C596">
        <f>+'[1]VENTAS(RESUMEN GLOBAL)'!B596</f>
        <v>700600</v>
      </c>
      <c r="D596" t="str">
        <f>INDEX('[1]CÓDIGOS DE PRODUCTO'!$D$3:$D$1000,MATCH(C596,'[1]CÓDIGOS DE PRODUCTO'!$A$3:$A$1000,0))</f>
        <v>50161511 </v>
      </c>
      <c r="E596" t="str">
        <f>VLOOKUP(C596,'[1]CÓDIGOS DE PRODUCTO'!$A$4:$B$156,2,FALSE)</f>
        <v>CHOCO MUIBÓN</v>
      </c>
      <c r="F596" t="str">
        <f>INDEX('[1]CÓDIGOS DE PRODUCTO'!$C$3:$C$1000,MATCH(C596,'[1]CÓDIGOS DE PRODUCTO'!$A$3:$A$1000,0))</f>
        <v>CHOCOLATES</v>
      </c>
      <c r="G596">
        <f>+'[1]VENTAS(RESUMEN GLOBAL)'!D596-'[1]VENTAS(RESUMEN GLOBAL)'!E596</f>
        <v>4</v>
      </c>
      <c r="H596" s="9">
        <f>+'[1]VENTAS(RESUMEN GLOBAL)'!K596</f>
        <v>2.8000000000000003</v>
      </c>
      <c r="I596" s="8">
        <f>+G596*'[1]VENTAS(RESUMEN GLOBAL)'!F596</f>
        <v>40</v>
      </c>
      <c r="J596" s="8">
        <f>'[1]VENTAS(RESUMEN GLOBAL)'!G596*(1-'[1]VENTAS(RESUMEN GLOBAL)'!H596)</f>
        <v>14</v>
      </c>
      <c r="K596" s="8">
        <f t="shared" si="9"/>
        <v>26</v>
      </c>
      <c r="L596" s="8">
        <f>+'[1]VENTAS(RESUMEN GLOBAL)'!J596</f>
        <v>2.6</v>
      </c>
      <c r="M596" s="8">
        <f>+Tabla1[[#This Row],[utilidad x dia]]*7</f>
        <v>18.2</v>
      </c>
    </row>
    <row r="597" spans="1:13" x14ac:dyDescent="0.3">
      <c r="A597" s="6">
        <f>+'[1]VENTAS(RESUMEN GLOBAL)'!L597</f>
        <v>46065</v>
      </c>
      <c r="B597" s="6" t="str">
        <f>+'[1]VENTAS(RESUMEN GLOBAL)'!M597</f>
        <v>ECCE RECEPCIÓN</v>
      </c>
      <c r="C597">
        <f>+'[1]VENTAS(RESUMEN GLOBAL)'!B597</f>
        <v>700500</v>
      </c>
      <c r="D597" t="str">
        <f>INDEX('[1]CÓDIGOS DE PRODUCTO'!$D$3:$D$1000,MATCH(C597,'[1]CÓDIGOS DE PRODUCTO'!$A$3:$A$1000,0))</f>
        <v>50161511 </v>
      </c>
      <c r="E597" t="str">
        <f>VLOOKUP(C597,'[1]CÓDIGOS DE PRODUCTO'!$A$4:$B$156,2,FALSE)</f>
        <v>HERSHEYS BLANCO</v>
      </c>
      <c r="F597" t="str">
        <f>INDEX('[1]CÓDIGOS DE PRODUCTO'!$C$3:$C$1000,MATCH(C597,'[1]CÓDIGOS DE PRODUCTO'!$A$3:$A$1000,0))</f>
        <v>CHOCOLATES</v>
      </c>
      <c r="G597">
        <f>+'[1]VENTAS(RESUMEN GLOBAL)'!D597-'[1]VENTAS(RESUMEN GLOBAL)'!E597</f>
        <v>1</v>
      </c>
      <c r="H597" s="9">
        <f>+'[1]VENTAS(RESUMEN GLOBAL)'!K597</f>
        <v>0.70000000000000007</v>
      </c>
      <c r="I597" s="8">
        <f>+G597*'[1]VENTAS(RESUMEN GLOBAL)'!F597</f>
        <v>15</v>
      </c>
      <c r="J597" s="8">
        <f>'[1]VENTAS(RESUMEN GLOBAL)'!G597*(1-'[1]VENTAS(RESUMEN GLOBAL)'!H597)</f>
        <v>7.05</v>
      </c>
      <c r="K597" s="8">
        <f t="shared" si="9"/>
        <v>7.95</v>
      </c>
      <c r="L597" s="8">
        <f>+'[1]VENTAS(RESUMEN GLOBAL)'!J597</f>
        <v>0.79500000000000004</v>
      </c>
      <c r="M597" s="8">
        <f>+Tabla1[[#This Row],[utilidad x dia]]*7</f>
        <v>5.5650000000000004</v>
      </c>
    </row>
    <row r="598" spans="1:13" x14ac:dyDescent="0.3">
      <c r="A598" s="6">
        <f>+'[1]VENTAS(RESUMEN GLOBAL)'!L598</f>
        <v>46065</v>
      </c>
      <c r="B598" s="6" t="str">
        <f>+'[1]VENTAS(RESUMEN GLOBAL)'!M598</f>
        <v>ECCE RECEPCIÓN</v>
      </c>
      <c r="C598">
        <f>+'[1]VENTAS(RESUMEN GLOBAL)'!B598</f>
        <v>0</v>
      </c>
      <c r="D598" t="e">
        <f>INDEX('[1]CÓDIGOS DE PRODUCTO'!$D$3:$D$1000,MATCH(C598,'[1]CÓDIGOS DE PRODUCTO'!$A$3:$A$1000,0))</f>
        <v>#N/A</v>
      </c>
      <c r="E598">
        <f>VLOOKUP(C598,'[1]CÓDIGOS DE PRODUCTO'!$A$4:$B$156,2,FALSE)</f>
        <v>0</v>
      </c>
      <c r="F598">
        <f>INDEX('[1]CÓDIGOS DE PRODUCTO'!$C$3:$C$1000,MATCH(C598,'[1]CÓDIGOS DE PRODUCTO'!$A$3:$A$1000,0))</f>
        <v>0</v>
      </c>
      <c r="G598">
        <f>+'[1]VENTAS(RESUMEN GLOBAL)'!D598-'[1]VENTAS(RESUMEN GLOBAL)'!E598</f>
        <v>0</v>
      </c>
      <c r="H598" s="9">
        <f>+'[1]VENTAS(RESUMEN GLOBAL)'!K598</f>
        <v>0</v>
      </c>
      <c r="I598" s="8">
        <f>+G598*'[1]VENTAS(RESUMEN GLOBAL)'!F598</f>
        <v>0</v>
      </c>
      <c r="J598" s="8">
        <f>'[1]VENTAS(RESUMEN GLOBAL)'!G598*(1-'[1]VENTAS(RESUMEN GLOBAL)'!H598)</f>
        <v>0</v>
      </c>
      <c r="K598" s="8">
        <f t="shared" si="9"/>
        <v>0</v>
      </c>
      <c r="L598" s="8">
        <f>+'[1]VENTAS(RESUMEN GLOBAL)'!J598</f>
        <v>0</v>
      </c>
      <c r="M598" s="8">
        <f>+Tabla1[[#This Row],[utilidad x dia]]*7</f>
        <v>0</v>
      </c>
    </row>
    <row r="599" spans="1:13" x14ac:dyDescent="0.3">
      <c r="A599" s="6">
        <f>+'[1]VENTAS(RESUMEN GLOBAL)'!L599</f>
        <v>46065</v>
      </c>
      <c r="B599" s="6" t="str">
        <f>+'[1]VENTAS(RESUMEN GLOBAL)'!M599</f>
        <v>ECCE RECEPCIÓN</v>
      </c>
      <c r="C599">
        <f>+'[1]VENTAS(RESUMEN GLOBAL)'!B599</f>
        <v>0</v>
      </c>
      <c r="D599" t="e">
        <f>INDEX('[1]CÓDIGOS DE PRODUCTO'!$D$3:$D$1000,MATCH(C599,'[1]CÓDIGOS DE PRODUCTO'!$A$3:$A$1000,0))</f>
        <v>#N/A</v>
      </c>
      <c r="E599">
        <f>VLOOKUP(C599,'[1]CÓDIGOS DE PRODUCTO'!$A$4:$B$156,2,FALSE)</f>
        <v>0</v>
      </c>
      <c r="F599">
        <f>INDEX('[1]CÓDIGOS DE PRODUCTO'!$C$3:$C$1000,MATCH(C599,'[1]CÓDIGOS DE PRODUCTO'!$A$3:$A$1000,0))</f>
        <v>0</v>
      </c>
      <c r="G599">
        <f>+'[1]VENTAS(RESUMEN GLOBAL)'!D599-'[1]VENTAS(RESUMEN GLOBAL)'!E599</f>
        <v>0</v>
      </c>
      <c r="H599" s="9">
        <f>+'[1]VENTAS(RESUMEN GLOBAL)'!K599</f>
        <v>0</v>
      </c>
      <c r="I599" s="8">
        <f>+G599*'[1]VENTAS(RESUMEN GLOBAL)'!F599</f>
        <v>0</v>
      </c>
      <c r="J599" s="8">
        <f>'[1]VENTAS(RESUMEN GLOBAL)'!G599*(1-'[1]VENTAS(RESUMEN GLOBAL)'!H599)</f>
        <v>0</v>
      </c>
      <c r="K599" s="8">
        <f t="shared" si="9"/>
        <v>0</v>
      </c>
      <c r="L599" s="8">
        <f>+'[1]VENTAS(RESUMEN GLOBAL)'!J599</f>
        <v>0</v>
      </c>
      <c r="M599" s="8">
        <f>+Tabla1[[#This Row],[utilidad x dia]]*7</f>
        <v>0</v>
      </c>
    </row>
    <row r="600" spans="1:13" x14ac:dyDescent="0.3">
      <c r="A600" s="6">
        <f>+'[1]VENTAS(RESUMEN GLOBAL)'!L600</f>
        <v>46065</v>
      </c>
      <c r="B600" s="6" t="str">
        <f>+'[1]VENTAS(RESUMEN GLOBAL)'!M600</f>
        <v>ECCE RECEPCIÓN</v>
      </c>
      <c r="C600">
        <f>+'[1]VENTAS(RESUMEN GLOBAL)'!B600</f>
        <v>0</v>
      </c>
      <c r="D600" t="e">
        <f>INDEX('[1]CÓDIGOS DE PRODUCTO'!$D$3:$D$1000,MATCH(C600,'[1]CÓDIGOS DE PRODUCTO'!$A$3:$A$1000,0))</f>
        <v>#N/A</v>
      </c>
      <c r="E600">
        <f>VLOOKUP(C600,'[1]CÓDIGOS DE PRODUCTO'!$A$4:$B$156,2,FALSE)</f>
        <v>0</v>
      </c>
      <c r="F600">
        <f>INDEX('[1]CÓDIGOS DE PRODUCTO'!$C$3:$C$1000,MATCH(C600,'[1]CÓDIGOS DE PRODUCTO'!$A$3:$A$1000,0))</f>
        <v>0</v>
      </c>
      <c r="G600">
        <f>+'[1]VENTAS(RESUMEN GLOBAL)'!D600-'[1]VENTAS(RESUMEN GLOBAL)'!E600</f>
        <v>0</v>
      </c>
      <c r="H600" s="9">
        <f>+'[1]VENTAS(RESUMEN GLOBAL)'!K600</f>
        <v>0</v>
      </c>
      <c r="I600" s="8">
        <f>+G600*'[1]VENTAS(RESUMEN GLOBAL)'!F600</f>
        <v>0</v>
      </c>
      <c r="J600" s="8">
        <f>'[1]VENTAS(RESUMEN GLOBAL)'!G600*(1-'[1]VENTAS(RESUMEN GLOBAL)'!H600)</f>
        <v>0</v>
      </c>
      <c r="K600" s="8">
        <f t="shared" si="9"/>
        <v>0</v>
      </c>
      <c r="L600" s="8">
        <f>+'[1]VENTAS(RESUMEN GLOBAL)'!J600</f>
        <v>0</v>
      </c>
      <c r="M600" s="8">
        <f>+Tabla1[[#This Row],[utilidad x dia]]*7</f>
        <v>0</v>
      </c>
    </row>
    <row r="601" spans="1:13" x14ac:dyDescent="0.3">
      <c r="A601" s="6">
        <f>+'[1]VENTAS(RESUMEN GLOBAL)'!L601</f>
        <v>46065</v>
      </c>
      <c r="B601" s="6" t="str">
        <f>+'[1]VENTAS(RESUMEN GLOBAL)'!M601</f>
        <v>ECCE RECEPCIÓN</v>
      </c>
      <c r="C601">
        <f>+'[1]VENTAS(RESUMEN GLOBAL)'!B601</f>
        <v>0</v>
      </c>
      <c r="D601" t="e">
        <f>INDEX('[1]CÓDIGOS DE PRODUCTO'!$D$3:$D$1000,MATCH(C601,'[1]CÓDIGOS DE PRODUCTO'!$A$3:$A$1000,0))</f>
        <v>#N/A</v>
      </c>
      <c r="E601">
        <f>VLOOKUP(C601,'[1]CÓDIGOS DE PRODUCTO'!$A$4:$B$156,2,FALSE)</f>
        <v>0</v>
      </c>
      <c r="F601">
        <f>INDEX('[1]CÓDIGOS DE PRODUCTO'!$C$3:$C$1000,MATCH(C601,'[1]CÓDIGOS DE PRODUCTO'!$A$3:$A$1000,0))</f>
        <v>0</v>
      </c>
      <c r="G601">
        <f>+'[1]VENTAS(RESUMEN GLOBAL)'!D601-'[1]VENTAS(RESUMEN GLOBAL)'!E601</f>
        <v>0</v>
      </c>
      <c r="H601" s="9">
        <f>+'[1]VENTAS(RESUMEN GLOBAL)'!K601</f>
        <v>0</v>
      </c>
      <c r="I601" s="8">
        <f>+G601*'[1]VENTAS(RESUMEN GLOBAL)'!F601</f>
        <v>0</v>
      </c>
      <c r="J601" s="8">
        <f>'[1]VENTAS(RESUMEN GLOBAL)'!G601*(1-'[1]VENTAS(RESUMEN GLOBAL)'!H601)</f>
        <v>0</v>
      </c>
      <c r="K601" s="8">
        <f t="shared" si="9"/>
        <v>0</v>
      </c>
      <c r="L601" s="8">
        <f>+'[1]VENTAS(RESUMEN GLOBAL)'!J601</f>
        <v>0</v>
      </c>
      <c r="M601" s="8">
        <f>+Tabla1[[#This Row],[utilidad x dia]]*7</f>
        <v>0</v>
      </c>
    </row>
    <row r="602" spans="1:13" x14ac:dyDescent="0.3">
      <c r="A602" s="6">
        <f>+'[1]VENTAS(RESUMEN GLOBAL)'!L602</f>
        <v>46065</v>
      </c>
      <c r="B602" s="6" t="str">
        <f>+'[1]VENTAS(RESUMEN GLOBAL)'!M602</f>
        <v>ECCE RECEPCIÓN</v>
      </c>
      <c r="C602">
        <f>+'[1]VENTAS(RESUMEN GLOBAL)'!B602</f>
        <v>800800</v>
      </c>
      <c r="D602" t="str">
        <f>INDEX('[1]CÓDIGOS DE PRODUCTO'!$D$3:$D$1000,MATCH(C602,'[1]CÓDIGOS DE PRODUCTO'!$A$3:$A$1000,0))</f>
        <v>50181900 </v>
      </c>
      <c r="E602" t="str">
        <f>VLOOKUP(C602,'[1]CÓDIGOS DE PRODUCTO'!$A$4:$B$156,2,FALSE)</f>
        <v>DORADITAS</v>
      </c>
      <c r="F602" t="str">
        <f>INDEX('[1]CÓDIGOS DE PRODUCTO'!$C$3:$C$1000,MATCH(C602,'[1]CÓDIGOS DE PRODUCTO'!$A$3:$A$1000,0))</f>
        <v>GALLETAS Y PAN DULCE</v>
      </c>
      <c r="G602">
        <f>+'[1]VENTAS(RESUMEN GLOBAL)'!D602-'[1]VENTAS(RESUMEN GLOBAL)'!E602</f>
        <v>2</v>
      </c>
      <c r="H602" s="9">
        <f>+'[1]VENTAS(RESUMEN GLOBAL)'!K602</f>
        <v>1.4000000000000001</v>
      </c>
      <c r="I602" s="8">
        <f>+G602*'[1]VENTAS(RESUMEN GLOBAL)'!F602</f>
        <v>40</v>
      </c>
      <c r="J602" s="8">
        <f>'[1]VENTAS(RESUMEN GLOBAL)'!G602*(1-'[1]VENTAS(RESUMEN GLOBAL)'!H602)</f>
        <v>20</v>
      </c>
      <c r="K602" s="8">
        <f t="shared" si="9"/>
        <v>20</v>
      </c>
      <c r="L602" s="8">
        <f>+'[1]VENTAS(RESUMEN GLOBAL)'!J602</f>
        <v>2</v>
      </c>
      <c r="M602" s="8">
        <f>+Tabla1[[#This Row],[utilidad x dia]]*7</f>
        <v>14</v>
      </c>
    </row>
    <row r="603" spans="1:13" x14ac:dyDescent="0.3">
      <c r="A603" s="6">
        <f>+'[1]VENTAS(RESUMEN GLOBAL)'!L603</f>
        <v>46065</v>
      </c>
      <c r="B603" s="6" t="str">
        <f>+'[1]VENTAS(RESUMEN GLOBAL)'!M603</f>
        <v>ECCE RECEPCIÓN</v>
      </c>
      <c r="C603">
        <f>+'[1]VENTAS(RESUMEN GLOBAL)'!B603</f>
        <v>800600</v>
      </c>
      <c r="D603" t="str">
        <f>INDEX('[1]CÓDIGOS DE PRODUCTO'!$D$3:$D$1000,MATCH(C603,'[1]CÓDIGOS DE PRODUCTO'!$A$3:$A$1000,0))</f>
        <v>50181900 </v>
      </c>
      <c r="E603" t="str">
        <f>VLOOKUP(C603,'[1]CÓDIGOS DE PRODUCTO'!$A$4:$B$156,2,FALSE)</f>
        <v>CREMAX</v>
      </c>
      <c r="F603" t="str">
        <f>INDEX('[1]CÓDIGOS DE PRODUCTO'!$C$3:$C$1000,MATCH(C603,'[1]CÓDIGOS DE PRODUCTO'!$A$3:$A$1000,0))</f>
        <v>GALLETAS Y PAN DULCE</v>
      </c>
      <c r="G603">
        <f>+'[1]VENTAS(RESUMEN GLOBAL)'!D603-'[1]VENTAS(RESUMEN GLOBAL)'!E603</f>
        <v>0</v>
      </c>
      <c r="H603" s="9">
        <f>+'[1]VENTAS(RESUMEN GLOBAL)'!K603</f>
        <v>0</v>
      </c>
      <c r="I603" s="8">
        <f>+G603*'[1]VENTAS(RESUMEN GLOBAL)'!F603</f>
        <v>0</v>
      </c>
      <c r="J603" s="8">
        <f>'[1]VENTAS(RESUMEN GLOBAL)'!G603*(1-'[1]VENTAS(RESUMEN GLOBAL)'!H603)</f>
        <v>0</v>
      </c>
      <c r="K603" s="8">
        <f t="shared" si="9"/>
        <v>0</v>
      </c>
      <c r="L603" s="8">
        <f>+'[1]VENTAS(RESUMEN GLOBAL)'!J603</f>
        <v>0</v>
      </c>
      <c r="M603" s="8">
        <f>+Tabla1[[#This Row],[utilidad x dia]]*7</f>
        <v>0</v>
      </c>
    </row>
    <row r="604" spans="1:13" x14ac:dyDescent="0.3">
      <c r="A604" s="6">
        <f>+'[1]VENTAS(RESUMEN GLOBAL)'!L604</f>
        <v>46065</v>
      </c>
      <c r="B604" s="6" t="str">
        <f>+'[1]VENTAS(RESUMEN GLOBAL)'!M604</f>
        <v>ECCE RECEPCIÓN</v>
      </c>
      <c r="C604">
        <f>+'[1]VENTAS(RESUMEN GLOBAL)'!B604</f>
        <v>801400</v>
      </c>
      <c r="D604" t="str">
        <f>INDEX('[1]CÓDIGOS DE PRODUCTO'!$D$3:$D$1000,MATCH(C604,'[1]CÓDIGOS DE PRODUCTO'!$A$3:$A$1000,0))</f>
        <v>50181900 </v>
      </c>
      <c r="E604" t="str">
        <f>VLOOKUP(C604,'[1]CÓDIGOS DE PRODUCTO'!$A$4:$B$156,2,FALSE)</f>
        <v>CHIPS AJOY</v>
      </c>
      <c r="F604" t="str">
        <f>INDEX('[1]CÓDIGOS DE PRODUCTO'!$C$3:$C$1000,MATCH(C604,'[1]CÓDIGOS DE PRODUCTO'!$A$3:$A$1000,0))</f>
        <v>GALLETAS Y PAN DULCE</v>
      </c>
      <c r="G604">
        <f>+'[1]VENTAS(RESUMEN GLOBAL)'!D604-'[1]VENTAS(RESUMEN GLOBAL)'!E604</f>
        <v>4</v>
      </c>
      <c r="H604" s="9">
        <f>+'[1]VENTAS(RESUMEN GLOBAL)'!K604</f>
        <v>2.8000000000000003</v>
      </c>
      <c r="I604" s="8">
        <f>+G604*'[1]VENTAS(RESUMEN GLOBAL)'!F604</f>
        <v>80</v>
      </c>
      <c r="J604" s="8">
        <f>'[1]VENTAS(RESUMEN GLOBAL)'!G604*(1-'[1]VENTAS(RESUMEN GLOBAL)'!H604)</f>
        <v>31.599999999999994</v>
      </c>
      <c r="K604" s="8">
        <f t="shared" si="9"/>
        <v>48.400000000000006</v>
      </c>
      <c r="L604" s="8">
        <f>+'[1]VENTAS(RESUMEN GLOBAL)'!J604</f>
        <v>4.8400000000000007</v>
      </c>
      <c r="M604" s="8">
        <f>+Tabla1[[#This Row],[utilidad x dia]]*7</f>
        <v>33.880000000000003</v>
      </c>
    </row>
    <row r="605" spans="1:13" x14ac:dyDescent="0.3">
      <c r="A605" s="6">
        <f>+'[1]VENTAS(RESUMEN GLOBAL)'!L605</f>
        <v>46065</v>
      </c>
      <c r="B605" s="6" t="str">
        <f>+'[1]VENTAS(RESUMEN GLOBAL)'!M605</f>
        <v>ECCE RECEPCIÓN</v>
      </c>
      <c r="C605">
        <f>+'[1]VENTAS(RESUMEN GLOBAL)'!B605</f>
        <v>800400</v>
      </c>
      <c r="D605" t="str">
        <f>INDEX('[1]CÓDIGOS DE PRODUCTO'!$D$3:$D$1000,MATCH(C605,'[1]CÓDIGOS DE PRODUCTO'!$A$3:$A$1000,0))</f>
        <v>50181900 </v>
      </c>
      <c r="E605" t="str">
        <f>VLOOKUP(C605,'[1]CÓDIGOS DE PRODUCTO'!$A$4:$B$156,2,FALSE)</f>
        <v>Barritas FRESA</v>
      </c>
      <c r="F605" t="str">
        <f>INDEX('[1]CÓDIGOS DE PRODUCTO'!$C$3:$C$1000,MATCH(C605,'[1]CÓDIGOS DE PRODUCTO'!$A$3:$A$1000,0))</f>
        <v>GALLETAS Y PAN DULCE</v>
      </c>
      <c r="G605">
        <f>+'[1]VENTAS(RESUMEN GLOBAL)'!D605-'[1]VENTAS(RESUMEN GLOBAL)'!E605</f>
        <v>4</v>
      </c>
      <c r="H605" s="9">
        <f>+'[1]VENTAS(RESUMEN GLOBAL)'!K605</f>
        <v>2.8000000000000003</v>
      </c>
      <c r="I605" s="8">
        <f>+G605*'[1]VENTAS(RESUMEN GLOBAL)'!F605</f>
        <v>80</v>
      </c>
      <c r="J605" s="8">
        <f>'[1]VENTAS(RESUMEN GLOBAL)'!G605*(1-'[1]VENTAS(RESUMEN GLOBAL)'!H605)</f>
        <v>26.341666666666672</v>
      </c>
      <c r="K605" s="8">
        <f t="shared" si="9"/>
        <v>53.658333333333331</v>
      </c>
      <c r="L605" s="8">
        <f>+'[1]VENTAS(RESUMEN GLOBAL)'!J605</f>
        <v>5.3658333333333328</v>
      </c>
      <c r="M605" s="8">
        <f>+Tabla1[[#This Row],[utilidad x dia]]*7</f>
        <v>37.560833333333328</v>
      </c>
    </row>
    <row r="606" spans="1:13" x14ac:dyDescent="0.3">
      <c r="A606" s="6">
        <f>+'[1]VENTAS(RESUMEN GLOBAL)'!L606</f>
        <v>46065</v>
      </c>
      <c r="B606" s="6" t="str">
        <f>+'[1]VENTAS(RESUMEN GLOBAL)'!M606</f>
        <v>ECCE RECEPCIÓN</v>
      </c>
      <c r="C606">
        <f>+'[1]VENTAS(RESUMEN GLOBAL)'!B606</f>
        <v>800700</v>
      </c>
      <c r="D606" t="str">
        <f>INDEX('[1]CÓDIGOS DE PRODUCTO'!$D$3:$D$1000,MATCH(C606,'[1]CÓDIGOS DE PRODUCTO'!$A$3:$A$1000,0))</f>
        <v>50181900 </v>
      </c>
      <c r="E606" t="str">
        <f>VLOOKUP(C606,'[1]CÓDIGOS DE PRODUCTO'!$A$4:$B$156,2,FALSE)</f>
        <v>BARRITAS PIÑA</v>
      </c>
      <c r="F606" t="str">
        <f>INDEX('[1]CÓDIGOS DE PRODUCTO'!$C$3:$C$1000,MATCH(C606,'[1]CÓDIGOS DE PRODUCTO'!$A$3:$A$1000,0))</f>
        <v>GALLETAS Y PAN DULCE</v>
      </c>
      <c r="G606">
        <f>+'[1]VENTAS(RESUMEN GLOBAL)'!D606-'[1]VENTAS(RESUMEN GLOBAL)'!E606</f>
        <v>3</v>
      </c>
      <c r="H606" s="9">
        <f>+'[1]VENTAS(RESUMEN GLOBAL)'!K606</f>
        <v>2.1</v>
      </c>
      <c r="I606" s="8">
        <f>+G606*'[1]VENTAS(RESUMEN GLOBAL)'!F606</f>
        <v>60</v>
      </c>
      <c r="J606" s="8">
        <f>'[1]VENTAS(RESUMEN GLOBAL)'!G606*(1-'[1]VENTAS(RESUMEN GLOBAL)'!H606)</f>
        <v>19.756250000000005</v>
      </c>
      <c r="K606" s="8">
        <f t="shared" si="9"/>
        <v>40.243749999999991</v>
      </c>
      <c r="L606" s="8">
        <f>+'[1]VENTAS(RESUMEN GLOBAL)'!J606</f>
        <v>4.024375</v>
      </c>
      <c r="M606" s="8">
        <f>+Tabla1[[#This Row],[utilidad x dia]]*7</f>
        <v>28.170625000000001</v>
      </c>
    </row>
    <row r="607" spans="1:13" x14ac:dyDescent="0.3">
      <c r="A607" s="6">
        <f>+'[1]VENTAS(RESUMEN GLOBAL)'!L607</f>
        <v>46065</v>
      </c>
      <c r="B607" s="6" t="str">
        <f>+'[1]VENTAS(RESUMEN GLOBAL)'!M607</f>
        <v>ECCE RECEPCIÓN</v>
      </c>
      <c r="C607">
        <f>+'[1]VENTAS(RESUMEN GLOBAL)'!B607</f>
        <v>800200</v>
      </c>
      <c r="D607" t="str">
        <f>INDEX('[1]CÓDIGOS DE PRODUCTO'!$D$3:$D$1000,MATCH(C607,'[1]CÓDIGOS DE PRODUCTO'!$A$3:$A$1000,0))</f>
        <v>50181900 </v>
      </c>
      <c r="E607" t="str">
        <f>VLOOKUP(C607,'[1]CÓDIGOS DE PRODUCTO'!$A$4:$B$156,2,FALSE)</f>
        <v>Príncipe (6 PZ-63 GR)</v>
      </c>
      <c r="F607" t="str">
        <f>INDEX('[1]CÓDIGOS DE PRODUCTO'!$C$3:$C$1000,MATCH(C607,'[1]CÓDIGOS DE PRODUCTO'!$A$3:$A$1000,0))</f>
        <v>GALLETAS Y PAN DULCE</v>
      </c>
      <c r="G607">
        <f>+'[1]VENTAS(RESUMEN GLOBAL)'!D607-'[1]VENTAS(RESUMEN GLOBAL)'!E607</f>
        <v>5</v>
      </c>
      <c r="H607" s="9">
        <f>+'[1]VENTAS(RESUMEN GLOBAL)'!K607</f>
        <v>3.5</v>
      </c>
      <c r="I607" s="8">
        <f>+G607*'[1]VENTAS(RESUMEN GLOBAL)'!F607</f>
        <v>100</v>
      </c>
      <c r="J607" s="8">
        <f>'[1]VENTAS(RESUMEN GLOBAL)'!G607*(1-'[1]VENTAS(RESUMEN GLOBAL)'!H607)</f>
        <v>35.805555555555557</v>
      </c>
      <c r="K607" s="8">
        <f t="shared" si="9"/>
        <v>64.194444444444443</v>
      </c>
      <c r="L607" s="8">
        <f>+'[1]VENTAS(RESUMEN GLOBAL)'!J607</f>
        <v>6.4194444444444443</v>
      </c>
      <c r="M607" s="8">
        <f>+Tabla1[[#This Row],[utilidad x dia]]*7</f>
        <v>44.93611111111111</v>
      </c>
    </row>
    <row r="608" spans="1:13" x14ac:dyDescent="0.3">
      <c r="A608" s="6">
        <f>+'[1]VENTAS(RESUMEN GLOBAL)'!L608</f>
        <v>46065</v>
      </c>
      <c r="B608" s="6" t="str">
        <f>+'[1]VENTAS(RESUMEN GLOBAL)'!M608</f>
        <v>ECCE RECEPCIÓN</v>
      </c>
      <c r="C608">
        <f>+'[1]VENTAS(RESUMEN GLOBAL)'!B608</f>
        <v>100200</v>
      </c>
      <c r="D608" t="str">
        <f>INDEX('[1]CÓDIGOS DE PRODUCTO'!$D$3:$D$1000,MATCH(C608,'[1]CÓDIGOS DE PRODUCTO'!$A$3:$A$1000,0))</f>
        <v>50202300 </v>
      </c>
      <c r="E608" t="str">
        <f>VLOOKUP(C608,'[1]CÓDIGOS DE PRODUCTO'!$A$4:$B$156,2,FALSE)</f>
        <v>Agua SAMS</v>
      </c>
      <c r="F608" t="str">
        <f>INDEX('[1]CÓDIGOS DE PRODUCTO'!$C$3:$C$1000,MATCH(C608,'[1]CÓDIGOS DE PRODUCTO'!$A$3:$A$1000,0))</f>
        <v>Bebidas</v>
      </c>
      <c r="G608">
        <f>+'[1]VENTAS(RESUMEN GLOBAL)'!D608-'[1]VENTAS(RESUMEN GLOBAL)'!E608</f>
        <v>1</v>
      </c>
      <c r="H608" s="9">
        <f>+'[1]VENTAS(RESUMEN GLOBAL)'!K608</f>
        <v>0.70000000000000007</v>
      </c>
      <c r="I608" s="8">
        <f>+G608*'[1]VENTAS(RESUMEN GLOBAL)'!F608</f>
        <v>20</v>
      </c>
      <c r="J608" s="8">
        <f>'[1]VENTAS(RESUMEN GLOBAL)'!G608*(1-'[1]VENTAS(RESUMEN GLOBAL)'!H608)</f>
        <v>3.2432592592592591</v>
      </c>
      <c r="K608" s="8">
        <f t="shared" si="9"/>
        <v>16.756740740740742</v>
      </c>
      <c r="L608" s="8">
        <f>+'[1]VENTAS(RESUMEN GLOBAL)'!J608</f>
        <v>1.6756740740740743</v>
      </c>
      <c r="M608" s="8">
        <f>+Tabla1[[#This Row],[utilidad x dia]]*7</f>
        <v>11.729718518518521</v>
      </c>
    </row>
    <row r="609" spans="1:13" x14ac:dyDescent="0.3">
      <c r="A609" s="6">
        <f>+'[1]VENTAS(RESUMEN GLOBAL)'!L609</f>
        <v>46065</v>
      </c>
      <c r="B609" s="6" t="str">
        <f>+'[1]VENTAS(RESUMEN GLOBAL)'!M609</f>
        <v>ECCE RECEPCIÓN</v>
      </c>
      <c r="C609">
        <f>+'[1]VENTAS(RESUMEN GLOBAL)'!B609</f>
        <v>100200</v>
      </c>
      <c r="D609" t="str">
        <f>INDEX('[1]CÓDIGOS DE PRODUCTO'!$D$3:$D$1000,MATCH(C609,'[1]CÓDIGOS DE PRODUCTO'!$A$3:$A$1000,0))</f>
        <v>50202300 </v>
      </c>
      <c r="E609" t="str">
        <f>VLOOKUP(C609,'[1]CÓDIGOS DE PRODUCTO'!$A$4:$B$156,2,FALSE)</f>
        <v>Agua SAMS</v>
      </c>
      <c r="F609" t="str">
        <f>INDEX('[1]CÓDIGOS DE PRODUCTO'!$C$3:$C$1000,MATCH(C609,'[1]CÓDIGOS DE PRODUCTO'!$A$3:$A$1000,0))</f>
        <v>Bebidas</v>
      </c>
      <c r="G609">
        <f>+'[1]VENTAS(RESUMEN GLOBAL)'!D609-'[1]VENTAS(RESUMEN GLOBAL)'!E609</f>
        <v>4</v>
      </c>
      <c r="H609" s="9">
        <f>+'[1]VENTAS(RESUMEN GLOBAL)'!K609</f>
        <v>2.8000000000000003</v>
      </c>
      <c r="I609" s="8">
        <f>+G609*'[1]VENTAS(RESUMEN GLOBAL)'!F609</f>
        <v>80</v>
      </c>
      <c r="J609" s="8">
        <f>'[1]VENTAS(RESUMEN GLOBAL)'!G609*(1-'[1]VENTAS(RESUMEN GLOBAL)'!H609)</f>
        <v>12.973037037037036</v>
      </c>
      <c r="K609" s="8">
        <f t="shared" si="9"/>
        <v>67.026962962962969</v>
      </c>
      <c r="L609" s="8">
        <f>+'[1]VENTAS(RESUMEN GLOBAL)'!J609</f>
        <v>6.7026962962962973</v>
      </c>
      <c r="M609" s="8">
        <f>+Tabla1[[#This Row],[utilidad x dia]]*7</f>
        <v>46.918874074074083</v>
      </c>
    </row>
    <row r="610" spans="1:13" x14ac:dyDescent="0.3">
      <c r="A610" s="6">
        <f>+'[1]VENTAS(RESUMEN GLOBAL)'!L610</f>
        <v>46065</v>
      </c>
      <c r="B610" s="6" t="str">
        <f>+'[1]VENTAS(RESUMEN GLOBAL)'!M610</f>
        <v>ECCE RECEPCIÓN</v>
      </c>
      <c r="C610">
        <f>+'[1]VENTAS(RESUMEN GLOBAL)'!B610</f>
        <v>101000</v>
      </c>
      <c r="D610" t="str">
        <f>INDEX('[1]CÓDIGOS DE PRODUCTO'!$D$3:$D$1000,MATCH(C610,'[1]CÓDIGOS DE PRODUCTO'!$A$3:$A$1000,0))</f>
        <v>50202300 </v>
      </c>
      <c r="E610" t="str">
        <f>VLOOKUP(C610,'[1]CÓDIGOS DE PRODUCTO'!$A$4:$B$156,2,FALSE)</f>
        <v>ARIZONA</v>
      </c>
      <c r="F610" t="str">
        <f>INDEX('[1]CÓDIGOS DE PRODUCTO'!$C$3:$C$1000,MATCH(C610,'[1]CÓDIGOS DE PRODUCTO'!$A$3:$A$1000,0))</f>
        <v>Bebidas</v>
      </c>
      <c r="G610">
        <f>+'[1]VENTAS(RESUMEN GLOBAL)'!D610-'[1]VENTAS(RESUMEN GLOBAL)'!E610</f>
        <v>6</v>
      </c>
      <c r="H610" s="9">
        <f>+'[1]VENTAS(RESUMEN GLOBAL)'!K610</f>
        <v>4.2</v>
      </c>
      <c r="I610" s="8">
        <f>+G610*'[1]VENTAS(RESUMEN GLOBAL)'!F610</f>
        <v>180</v>
      </c>
      <c r="J610" s="8">
        <f>'[1]VENTAS(RESUMEN GLOBAL)'!G610*(1-'[1]VENTAS(RESUMEN GLOBAL)'!H610)</f>
        <v>91.62</v>
      </c>
      <c r="K610" s="8">
        <f t="shared" si="9"/>
        <v>88.38</v>
      </c>
      <c r="L610" s="8">
        <f>+'[1]VENTAS(RESUMEN GLOBAL)'!J610</f>
        <v>8.8379999999999992</v>
      </c>
      <c r="M610" s="8">
        <f>+Tabla1[[#This Row],[utilidad x dia]]*7</f>
        <v>61.865999999999993</v>
      </c>
    </row>
    <row r="611" spans="1:13" x14ac:dyDescent="0.3">
      <c r="A611" s="6">
        <f>+'[1]VENTAS(RESUMEN GLOBAL)'!L611</f>
        <v>46065</v>
      </c>
      <c r="B611" s="6" t="str">
        <f>+'[1]VENTAS(RESUMEN GLOBAL)'!M611</f>
        <v>ECCE RECEPCIÓN</v>
      </c>
      <c r="C611">
        <f>+'[1]VENTAS(RESUMEN GLOBAL)'!B611</f>
        <v>100800</v>
      </c>
      <c r="D611" t="str">
        <f>INDEX('[1]CÓDIGOS DE PRODUCTO'!$D$3:$D$1000,MATCH(C611,'[1]CÓDIGOS DE PRODUCTO'!$A$3:$A$1000,0))</f>
        <v>50202300 </v>
      </c>
      <c r="E611" t="str">
        <f>VLOOKUP(C611,'[1]CÓDIGOS DE PRODUCTO'!$A$4:$B$156,2,FALSE)</f>
        <v>TÉ VERDE KIRKLAND</v>
      </c>
      <c r="F611" t="str">
        <f>INDEX('[1]CÓDIGOS DE PRODUCTO'!$C$3:$C$1000,MATCH(C611,'[1]CÓDIGOS DE PRODUCTO'!$A$3:$A$1000,0))</f>
        <v>Bebidas</v>
      </c>
      <c r="G611">
        <f>+'[1]VENTAS(RESUMEN GLOBAL)'!D611-'[1]VENTAS(RESUMEN GLOBAL)'!E611</f>
        <v>3</v>
      </c>
      <c r="H611" s="9">
        <f>+'[1]VENTAS(RESUMEN GLOBAL)'!K611</f>
        <v>2.1</v>
      </c>
      <c r="I611" s="8">
        <f>+G611*'[1]VENTAS(RESUMEN GLOBAL)'!F611</f>
        <v>66</v>
      </c>
      <c r="J611" s="8">
        <f>'[1]VENTAS(RESUMEN GLOBAL)'!G611*(1-'[1]VENTAS(RESUMEN GLOBAL)'!H611)</f>
        <v>29.699999999999996</v>
      </c>
      <c r="K611" s="8">
        <f t="shared" si="9"/>
        <v>36.300000000000004</v>
      </c>
      <c r="L611" s="8">
        <f>+'[1]VENTAS(RESUMEN GLOBAL)'!J611</f>
        <v>3.6300000000000003</v>
      </c>
      <c r="M611" s="8">
        <f>+Tabla1[[#This Row],[utilidad x dia]]*7</f>
        <v>25.410000000000004</v>
      </c>
    </row>
    <row r="612" spans="1:13" x14ac:dyDescent="0.3">
      <c r="A612" s="6">
        <f>+'[1]VENTAS(RESUMEN GLOBAL)'!L612</f>
        <v>46065</v>
      </c>
      <c r="B612" s="6" t="str">
        <f>+'[1]VENTAS(RESUMEN GLOBAL)'!M612</f>
        <v>ECCE RECEPCIÓN</v>
      </c>
      <c r="C612">
        <f>+'[1]VENTAS(RESUMEN GLOBAL)'!B612</f>
        <v>801300</v>
      </c>
      <c r="D612" t="str">
        <f>INDEX('[1]CÓDIGOS DE PRODUCTO'!$D$3:$D$1000,MATCH(C612,'[1]CÓDIGOS DE PRODUCTO'!$A$3:$A$1000,0))</f>
        <v>50181900 </v>
      </c>
      <c r="E612" t="str">
        <f>VLOOKUP(C612,'[1]CÓDIGOS DE PRODUCTO'!$A$4:$B$156,2,FALSE)</f>
        <v>OREO GDE</v>
      </c>
      <c r="F612" t="str">
        <f>INDEX('[1]CÓDIGOS DE PRODUCTO'!$C$3:$C$1000,MATCH(C612,'[1]CÓDIGOS DE PRODUCTO'!$A$3:$A$1000,0))</f>
        <v>GALLETAS Y PAN DULCE</v>
      </c>
      <c r="G612">
        <f>+'[1]VENTAS(RESUMEN GLOBAL)'!D612-'[1]VENTAS(RESUMEN GLOBAL)'!E612</f>
        <v>0</v>
      </c>
      <c r="H612" s="9">
        <f>+'[1]VENTAS(RESUMEN GLOBAL)'!K612</f>
        <v>0</v>
      </c>
      <c r="I612" s="8">
        <f>+G612*'[1]VENTAS(RESUMEN GLOBAL)'!F612</f>
        <v>0</v>
      </c>
      <c r="J612" s="8">
        <f>'[1]VENTAS(RESUMEN GLOBAL)'!G612*(1-'[1]VENTAS(RESUMEN GLOBAL)'!H612)</f>
        <v>0</v>
      </c>
      <c r="K612" s="8">
        <f t="shared" si="9"/>
        <v>0</v>
      </c>
      <c r="L612" s="8">
        <f>+'[1]VENTAS(RESUMEN GLOBAL)'!J612</f>
        <v>0</v>
      </c>
      <c r="M612" s="8">
        <f>+Tabla1[[#This Row],[utilidad x dia]]*7</f>
        <v>0</v>
      </c>
    </row>
    <row r="613" spans="1:13" x14ac:dyDescent="0.3">
      <c r="A613" s="6">
        <f>+'[1]VENTAS(RESUMEN GLOBAL)'!L613</f>
        <v>46065</v>
      </c>
      <c r="B613" s="6" t="str">
        <f>+'[1]VENTAS(RESUMEN GLOBAL)'!M613</f>
        <v>ECCE RECEPCIÓN</v>
      </c>
      <c r="C613">
        <f>+'[1]VENTAS(RESUMEN GLOBAL)'!B613</f>
        <v>200200</v>
      </c>
      <c r="D613" t="str">
        <f>INDEX('[1]CÓDIGOS DE PRODUCTO'!$D$3:$D$1000,MATCH(C613,'[1]CÓDIGOS DE PRODUCTO'!$A$3:$A$1000,0))</f>
        <v>IDENTIFICAR MANUAL</v>
      </c>
      <c r="E613" t="str">
        <f>VLOOKUP(C613,'[1]CÓDIGOS DE PRODUCTO'!$A$4:$B$156,2,FALSE)</f>
        <v>KIT DENTAL</v>
      </c>
      <c r="F613" t="str">
        <f>INDEX('[1]CÓDIGOS DE PRODUCTO'!$C$3:$C$1000,MATCH(C613,'[1]CÓDIGOS DE PRODUCTO'!$A$3:$A$1000,0))</f>
        <v>Pharmacy</v>
      </c>
      <c r="G613">
        <f>+'[1]VENTAS(RESUMEN GLOBAL)'!D613-'[1]VENTAS(RESUMEN GLOBAL)'!E613</f>
        <v>0</v>
      </c>
      <c r="H613" s="9">
        <f>+'[1]VENTAS(RESUMEN GLOBAL)'!K613</f>
        <v>0</v>
      </c>
      <c r="I613" s="8">
        <f>+G613*'[1]VENTAS(RESUMEN GLOBAL)'!F613</f>
        <v>0</v>
      </c>
      <c r="J613" s="8">
        <f>'[1]VENTAS(RESUMEN GLOBAL)'!G613*(1-'[1]VENTAS(RESUMEN GLOBAL)'!H613)</f>
        <v>0</v>
      </c>
      <c r="K613" s="8">
        <f t="shared" si="9"/>
        <v>0</v>
      </c>
      <c r="L613" s="8">
        <f>+'[1]VENTAS(RESUMEN GLOBAL)'!J613</f>
        <v>0</v>
      </c>
      <c r="M613" s="8">
        <f>+Tabla1[[#This Row],[utilidad x dia]]*7</f>
        <v>0</v>
      </c>
    </row>
    <row r="614" spans="1:13" x14ac:dyDescent="0.3">
      <c r="A614" s="6">
        <f>+'[1]VENTAS(RESUMEN GLOBAL)'!L614</f>
        <v>46065</v>
      </c>
      <c r="B614" s="6" t="str">
        <f>+'[1]VENTAS(RESUMEN GLOBAL)'!M614</f>
        <v>ECCE RECEPCIÓN</v>
      </c>
      <c r="C614">
        <f>+'[1]VENTAS(RESUMEN GLOBAL)'!B614</f>
        <v>100900</v>
      </c>
      <c r="D614" t="str">
        <f>INDEX('[1]CÓDIGOS DE PRODUCTO'!$D$3:$D$1000,MATCH(C614,'[1]CÓDIGOS DE PRODUCTO'!$A$3:$A$1000,0))</f>
        <v>50202300 </v>
      </c>
      <c r="E614" t="str">
        <f>VLOOKUP(C614,'[1]CÓDIGOS DE PRODUCTO'!$A$4:$B$156,2,FALSE)</f>
        <v>VOLT</v>
      </c>
      <c r="F614" t="str">
        <f>INDEX('[1]CÓDIGOS DE PRODUCTO'!$C$3:$C$1000,MATCH(C614,'[1]CÓDIGOS DE PRODUCTO'!$A$3:$A$1000,0))</f>
        <v>Bebidas</v>
      </c>
      <c r="G614">
        <f>+'[1]VENTAS(RESUMEN GLOBAL)'!D614-'[1]VENTAS(RESUMEN GLOBAL)'!E614</f>
        <v>1</v>
      </c>
      <c r="H614" s="9">
        <f>+'[1]VENTAS(RESUMEN GLOBAL)'!K614</f>
        <v>0.70000000000000007</v>
      </c>
      <c r="I614" s="8">
        <f>+G614*'[1]VENTAS(RESUMEN GLOBAL)'!F614</f>
        <v>30</v>
      </c>
      <c r="J614" s="8">
        <f>'[1]VENTAS(RESUMEN GLOBAL)'!G614*(1-'[1]VENTAS(RESUMEN GLOBAL)'!H614)</f>
        <v>15</v>
      </c>
      <c r="K614" s="8">
        <f t="shared" si="9"/>
        <v>15</v>
      </c>
      <c r="L614" s="8">
        <f>+'[1]VENTAS(RESUMEN GLOBAL)'!J614</f>
        <v>1.5</v>
      </c>
      <c r="M614" s="8">
        <f>+Tabla1[[#This Row],[utilidad x dia]]*7</f>
        <v>10.5</v>
      </c>
    </row>
    <row r="615" spans="1:13" x14ac:dyDescent="0.3">
      <c r="A615" s="6">
        <f>+'[1]VENTAS(RESUMEN GLOBAL)'!L615</f>
        <v>0</v>
      </c>
      <c r="B615" s="6">
        <f>+'[1]VENTAS(RESUMEN GLOBAL)'!M615</f>
        <v>0</v>
      </c>
      <c r="C615">
        <f>+'[1]VENTAS(RESUMEN GLOBAL)'!B615</f>
        <v>0</v>
      </c>
      <c r="D615" t="e">
        <f>INDEX('[1]CÓDIGOS DE PRODUCTO'!$D$3:$D$1000,MATCH(C615,'[1]CÓDIGOS DE PRODUCTO'!$A$3:$A$1000,0))</f>
        <v>#N/A</v>
      </c>
      <c r="E615">
        <f>VLOOKUP(C615,'[1]CÓDIGOS DE PRODUCTO'!$A$4:$B$156,2,FALSE)</f>
        <v>0</v>
      </c>
      <c r="F615">
        <f>INDEX('[1]CÓDIGOS DE PRODUCTO'!$C$3:$C$1000,MATCH(C615,'[1]CÓDIGOS DE PRODUCTO'!$A$3:$A$1000,0))</f>
        <v>0</v>
      </c>
      <c r="G615">
        <f>+'[1]VENTAS(RESUMEN GLOBAL)'!D615-'[1]VENTAS(RESUMEN GLOBAL)'!E615</f>
        <v>0</v>
      </c>
      <c r="H615" s="9">
        <f>+'[1]VENTAS(RESUMEN GLOBAL)'!K615</f>
        <v>0</v>
      </c>
      <c r="I615" s="8">
        <f>+G615*'[1]VENTAS(RESUMEN GLOBAL)'!F615</f>
        <v>0</v>
      </c>
      <c r="J615" s="8">
        <f>'[1]VENTAS(RESUMEN GLOBAL)'!G615*(1-'[1]VENTAS(RESUMEN GLOBAL)'!H615)</f>
        <v>0</v>
      </c>
      <c r="K615" s="8">
        <f t="shared" si="9"/>
        <v>0</v>
      </c>
      <c r="L615" s="8">
        <f>+'[1]VENTAS(RESUMEN GLOBAL)'!J615</f>
        <v>0</v>
      </c>
      <c r="M615" s="8">
        <f>+Tabla1[[#This Row],[utilidad x dia]]*7</f>
        <v>0</v>
      </c>
    </row>
    <row r="616" spans="1:13" x14ac:dyDescent="0.3">
      <c r="A616" s="6">
        <f>+'[1]VENTAS(RESUMEN GLOBAL)'!L616</f>
        <v>46065</v>
      </c>
      <c r="B616" s="6" t="str">
        <f>+'[1]VENTAS(RESUMEN GLOBAL)'!M616</f>
        <v>RIVULIS</v>
      </c>
      <c r="C616">
        <f>+'[1]VENTAS(RESUMEN GLOBAL)'!B616</f>
        <v>600300</v>
      </c>
      <c r="D616" t="str">
        <f>INDEX('[1]CÓDIGOS DE PRODUCTO'!$D$3:$D$1000,MATCH(C616,'[1]CÓDIGOS DE PRODUCTO'!$A$3:$A$1000,0))</f>
        <v>50192109 </v>
      </c>
      <c r="E616" t="str">
        <f>VLOOKUP(C616,'[1]CÓDIGOS DE PRODUCTO'!$A$4:$B$156,2,FALSE)</f>
        <v>TAKIS FUEGO</v>
      </c>
      <c r="F616" t="str">
        <f>INDEX('[1]CÓDIGOS DE PRODUCTO'!$C$3:$C$1000,MATCH(C616,'[1]CÓDIGOS DE PRODUCTO'!$A$3:$A$1000,0))</f>
        <v>Papas fritas</v>
      </c>
      <c r="G616">
        <f>+'[1]VENTAS(RESUMEN GLOBAL)'!D616-'[1]VENTAS(RESUMEN GLOBAL)'!E616</f>
        <v>6</v>
      </c>
      <c r="H616" s="9">
        <f>+'[1]VENTAS(RESUMEN GLOBAL)'!K616</f>
        <v>4.6666666666666661</v>
      </c>
      <c r="I616" s="8">
        <f>+G616*'[1]VENTAS(RESUMEN GLOBAL)'!F616</f>
        <v>150</v>
      </c>
      <c r="J616" s="8">
        <f>'[1]VENTAS(RESUMEN GLOBAL)'!G616*(1-'[1]VENTAS(RESUMEN GLOBAL)'!H616)</f>
        <v>61.500000000000007</v>
      </c>
      <c r="K616" s="8">
        <f t="shared" si="9"/>
        <v>88.5</v>
      </c>
      <c r="L616" s="8">
        <f>+'[1]VENTAS(RESUMEN GLOBAL)'!J616</f>
        <v>9.8333333333333339</v>
      </c>
      <c r="M616" s="8">
        <f>+Tabla1[[#This Row],[utilidad x dia]]*7</f>
        <v>68.833333333333343</v>
      </c>
    </row>
    <row r="617" spans="1:13" x14ac:dyDescent="0.3">
      <c r="A617" s="6">
        <f>+'[1]VENTAS(RESUMEN GLOBAL)'!L617</f>
        <v>46065</v>
      </c>
      <c r="B617" s="6" t="str">
        <f>+'[1]VENTAS(RESUMEN GLOBAL)'!M617</f>
        <v>RIVULIS</v>
      </c>
      <c r="C617">
        <f>+'[1]VENTAS(RESUMEN GLOBAL)'!B617</f>
        <v>6005101</v>
      </c>
      <c r="D617" t="str">
        <f>INDEX('[1]CÓDIGOS DE PRODUCTO'!$D$3:$D$1000,MATCH(C617,'[1]CÓDIGOS DE PRODUCTO'!$A$3:$A$1000,0))</f>
        <v>50192109 </v>
      </c>
      <c r="E617" t="str">
        <f>VLOOKUP(C617,'[1]CÓDIGOS DE PRODUCTO'!$A$4:$B$156,2,FALSE)</f>
        <v>SABRITAS AMARILLAS</v>
      </c>
      <c r="F617" t="str">
        <f>INDEX('[1]CÓDIGOS DE PRODUCTO'!$C$3:$C$1000,MATCH(C617,'[1]CÓDIGOS DE PRODUCTO'!$A$3:$A$1000,0))</f>
        <v>Papas fritas</v>
      </c>
      <c r="G617">
        <f>+'[1]VENTAS(RESUMEN GLOBAL)'!D617-'[1]VENTAS(RESUMEN GLOBAL)'!E617</f>
        <v>11</v>
      </c>
      <c r="H617" s="9">
        <f>+'[1]VENTAS(RESUMEN GLOBAL)'!K617</f>
        <v>8.5555555555555571</v>
      </c>
      <c r="I617" s="8">
        <f>+G617*'[1]VENTAS(RESUMEN GLOBAL)'!F617</f>
        <v>275</v>
      </c>
      <c r="J617" s="8">
        <f>'[1]VENTAS(RESUMEN GLOBAL)'!G617*(1-'[1]VENTAS(RESUMEN GLOBAL)'!H617)</f>
        <v>93.499999999999986</v>
      </c>
      <c r="K617" s="8">
        <f t="shared" si="9"/>
        <v>181.5</v>
      </c>
      <c r="L617" s="8">
        <f>+'[1]VENTAS(RESUMEN GLOBAL)'!J617</f>
        <v>20.166666666666668</v>
      </c>
      <c r="M617" s="8">
        <f>+Tabla1[[#This Row],[utilidad x dia]]*7</f>
        <v>141.16666666666669</v>
      </c>
    </row>
    <row r="618" spans="1:13" x14ac:dyDescent="0.3">
      <c r="A618" s="6">
        <f>+'[1]VENTAS(RESUMEN GLOBAL)'!L618</f>
        <v>46065</v>
      </c>
      <c r="B618" s="6" t="str">
        <f>+'[1]VENTAS(RESUMEN GLOBAL)'!M618</f>
        <v>RIVULIS</v>
      </c>
      <c r="C618">
        <f>+'[1]VENTAS(RESUMEN GLOBAL)'!B618</f>
        <v>6005102</v>
      </c>
      <c r="D618" t="str">
        <f>INDEX('[1]CÓDIGOS DE PRODUCTO'!$D$3:$D$1000,MATCH(C618,'[1]CÓDIGOS DE PRODUCTO'!$A$3:$A$1000,0))</f>
        <v>50192109 </v>
      </c>
      <c r="E618" t="str">
        <f>VLOOKUP(C618,'[1]CÓDIGOS DE PRODUCTO'!$A$4:$B$156,2,FALSE)</f>
        <v>RUFFLES</v>
      </c>
      <c r="F618" t="str">
        <f>INDEX('[1]CÓDIGOS DE PRODUCTO'!$C$3:$C$1000,MATCH(C618,'[1]CÓDIGOS DE PRODUCTO'!$A$3:$A$1000,0))</f>
        <v>Papas fritas</v>
      </c>
      <c r="G618">
        <f>+'[1]VENTAS(RESUMEN GLOBAL)'!D618-'[1]VENTAS(RESUMEN GLOBAL)'!E618</f>
        <v>11</v>
      </c>
      <c r="H618" s="9">
        <f>+'[1]VENTAS(RESUMEN GLOBAL)'!K618</f>
        <v>8.5555555555555571</v>
      </c>
      <c r="I618" s="8">
        <f>+G618*'[1]VENTAS(RESUMEN GLOBAL)'!F618</f>
        <v>275</v>
      </c>
      <c r="J618" s="8">
        <f>'[1]VENTAS(RESUMEN GLOBAL)'!G618*(1-'[1]VENTAS(RESUMEN GLOBAL)'!H618)</f>
        <v>93.499999999999986</v>
      </c>
      <c r="K618" s="8">
        <f t="shared" si="9"/>
        <v>181.5</v>
      </c>
      <c r="L618" s="8">
        <f>+'[1]VENTAS(RESUMEN GLOBAL)'!J618</f>
        <v>20.166666666666668</v>
      </c>
      <c r="M618" s="8">
        <f>+Tabla1[[#This Row],[utilidad x dia]]*7</f>
        <v>141.16666666666669</v>
      </c>
    </row>
    <row r="619" spans="1:13" x14ac:dyDescent="0.3">
      <c r="A619" s="6">
        <f>+'[1]VENTAS(RESUMEN GLOBAL)'!L619</f>
        <v>46065</v>
      </c>
      <c r="B619" s="6" t="str">
        <f>+'[1]VENTAS(RESUMEN GLOBAL)'!M619</f>
        <v>RIVULIS</v>
      </c>
      <c r="C619">
        <f>+'[1]VENTAS(RESUMEN GLOBAL)'!B619</f>
        <v>6005103</v>
      </c>
      <c r="D619" t="str">
        <f>INDEX('[1]CÓDIGOS DE PRODUCTO'!$D$3:$D$1000,MATCH(C619,'[1]CÓDIGOS DE PRODUCTO'!$A$3:$A$1000,0))</f>
        <v>50192109 </v>
      </c>
      <c r="E619" t="str">
        <f>VLOOKUP(C619,'[1]CÓDIGOS DE PRODUCTO'!$A$4:$B$156,2,FALSE)</f>
        <v>DORITOS ROJOS</v>
      </c>
      <c r="F619" t="str">
        <f>INDEX('[1]CÓDIGOS DE PRODUCTO'!$C$3:$C$1000,MATCH(C619,'[1]CÓDIGOS DE PRODUCTO'!$A$3:$A$1000,0))</f>
        <v>Papas fritas</v>
      </c>
      <c r="G619">
        <f>+'[1]VENTAS(RESUMEN GLOBAL)'!D619-'[1]VENTAS(RESUMEN GLOBAL)'!E619</f>
        <v>4</v>
      </c>
      <c r="H619" s="9">
        <f>+'[1]VENTAS(RESUMEN GLOBAL)'!K619</f>
        <v>3.1111111111111107</v>
      </c>
      <c r="I619" s="8">
        <f>+G619*'[1]VENTAS(RESUMEN GLOBAL)'!F619</f>
        <v>100</v>
      </c>
      <c r="J619" s="8">
        <f>'[1]VENTAS(RESUMEN GLOBAL)'!G619*(1-'[1]VENTAS(RESUMEN GLOBAL)'!H619)</f>
        <v>34</v>
      </c>
      <c r="K619" s="8">
        <f t="shared" si="9"/>
        <v>66</v>
      </c>
      <c r="L619" s="8">
        <f>+'[1]VENTAS(RESUMEN GLOBAL)'!J619</f>
        <v>7.333333333333333</v>
      </c>
      <c r="M619" s="8">
        <f>+Tabla1[[#This Row],[utilidad x dia]]*7</f>
        <v>51.333333333333329</v>
      </c>
    </row>
    <row r="620" spans="1:13" x14ac:dyDescent="0.3">
      <c r="A620" s="6">
        <f>+'[1]VENTAS(RESUMEN GLOBAL)'!L620</f>
        <v>46065</v>
      </c>
      <c r="B620" s="6" t="str">
        <f>+'[1]VENTAS(RESUMEN GLOBAL)'!M620</f>
        <v>RIVULIS</v>
      </c>
      <c r="C620">
        <f>+'[1]VENTAS(RESUMEN GLOBAL)'!B620</f>
        <v>600101</v>
      </c>
      <c r="D620" t="str">
        <f>INDEX('[1]CÓDIGOS DE PRODUCTO'!$D$3:$D$1000,MATCH(C620,'[1]CÓDIGOS DE PRODUCTO'!$A$3:$A$1000,0))</f>
        <v>50192109 </v>
      </c>
      <c r="E620" t="str">
        <f>VLOOKUP(C620,'[1]CÓDIGOS DE PRODUCTO'!$A$4:$B$156,2,FALSE)</f>
        <v>CHIPS VERDES</v>
      </c>
      <c r="F620" t="str">
        <f>INDEX('[1]CÓDIGOS DE PRODUCTO'!$C$3:$C$1000,MATCH(C620,'[1]CÓDIGOS DE PRODUCTO'!$A$3:$A$1000,0))</f>
        <v>Papas fritas</v>
      </c>
      <c r="G620">
        <f>+'[1]VENTAS(RESUMEN GLOBAL)'!D620-'[1]VENTAS(RESUMEN GLOBAL)'!E620</f>
        <v>7</v>
      </c>
      <c r="H620" s="9">
        <f>+'[1]VENTAS(RESUMEN GLOBAL)'!K620</f>
        <v>5.4444444444444446</v>
      </c>
      <c r="I620" s="8">
        <f>+G620*'[1]VENTAS(RESUMEN GLOBAL)'!F620</f>
        <v>175</v>
      </c>
      <c r="J620" s="8">
        <f>'[1]VENTAS(RESUMEN GLOBAL)'!G620*(1-'[1]VENTAS(RESUMEN GLOBAL)'!H620)</f>
        <v>63</v>
      </c>
      <c r="K620" s="8">
        <f t="shared" si="9"/>
        <v>112</v>
      </c>
      <c r="L620" s="8">
        <f>+'[1]VENTAS(RESUMEN GLOBAL)'!J620</f>
        <v>12.444444444444445</v>
      </c>
      <c r="M620" s="8">
        <f>+Tabla1[[#This Row],[utilidad x dia]]*7</f>
        <v>87.111111111111114</v>
      </c>
    </row>
    <row r="621" spans="1:13" x14ac:dyDescent="0.3">
      <c r="A621" s="6">
        <f>+'[1]VENTAS(RESUMEN GLOBAL)'!L621</f>
        <v>46065</v>
      </c>
      <c r="B621" s="6" t="str">
        <f>+'[1]VENTAS(RESUMEN GLOBAL)'!M621</f>
        <v>RIVULIS</v>
      </c>
      <c r="C621">
        <f>+'[1]VENTAS(RESUMEN GLOBAL)'!B621</f>
        <v>600102</v>
      </c>
      <c r="D621" t="str">
        <f>INDEX('[1]CÓDIGOS DE PRODUCTO'!$D$3:$D$1000,MATCH(C621,'[1]CÓDIGOS DE PRODUCTO'!$A$3:$A$1000,0))</f>
        <v>50192109 </v>
      </c>
      <c r="E621" t="str">
        <f>VLOOKUP(C621,'[1]CÓDIGOS DE PRODUCTO'!$A$4:$B$156,2,FALSE)</f>
        <v>RUNNERS</v>
      </c>
      <c r="F621" t="str">
        <f>INDEX('[1]CÓDIGOS DE PRODUCTO'!$C$3:$C$1000,MATCH(C621,'[1]CÓDIGOS DE PRODUCTO'!$A$3:$A$1000,0))</f>
        <v>Papas fritas</v>
      </c>
      <c r="G621">
        <f>+'[1]VENTAS(RESUMEN GLOBAL)'!D621-'[1]VENTAS(RESUMEN GLOBAL)'!E621</f>
        <v>3</v>
      </c>
      <c r="H621" s="9">
        <f>+'[1]VENTAS(RESUMEN GLOBAL)'!K621</f>
        <v>2.333333333333333</v>
      </c>
      <c r="I621" s="8">
        <f>+G621*'[1]VENTAS(RESUMEN GLOBAL)'!F621</f>
        <v>75</v>
      </c>
      <c r="J621" s="8">
        <f>'[1]VENTAS(RESUMEN GLOBAL)'!G621*(1-'[1]VENTAS(RESUMEN GLOBAL)'!H621)</f>
        <v>27</v>
      </c>
      <c r="K621" s="8">
        <f t="shared" si="9"/>
        <v>48</v>
      </c>
      <c r="L621" s="8">
        <f>+'[1]VENTAS(RESUMEN GLOBAL)'!J621</f>
        <v>5.333333333333333</v>
      </c>
      <c r="M621" s="8">
        <f>+Tabla1[[#This Row],[utilidad x dia]]*7</f>
        <v>37.333333333333329</v>
      </c>
    </row>
    <row r="622" spans="1:13" x14ac:dyDescent="0.3">
      <c r="A622" s="6">
        <f>+'[1]VENTAS(RESUMEN GLOBAL)'!L622</f>
        <v>46065</v>
      </c>
      <c r="B622" s="6" t="str">
        <f>+'[1]VENTAS(RESUMEN GLOBAL)'!M622</f>
        <v>RIVULIS</v>
      </c>
      <c r="C622">
        <f>+'[1]VENTAS(RESUMEN GLOBAL)'!B622</f>
        <v>6005104</v>
      </c>
      <c r="D622" t="str">
        <f>INDEX('[1]CÓDIGOS DE PRODUCTO'!$D$3:$D$1000,MATCH(C622,'[1]CÓDIGOS DE PRODUCTO'!$A$3:$A$1000,0))</f>
        <v>50192109 </v>
      </c>
      <c r="E622" t="str">
        <f>VLOOKUP(C622,'[1]CÓDIGOS DE PRODUCTO'!$A$4:$B$156,2,FALSE)</f>
        <v>RANCHERITOS</v>
      </c>
      <c r="F622" t="str">
        <f>INDEX('[1]CÓDIGOS DE PRODUCTO'!$C$3:$C$1000,MATCH(C622,'[1]CÓDIGOS DE PRODUCTO'!$A$3:$A$1000,0))</f>
        <v>Papas fritas</v>
      </c>
      <c r="G622">
        <f>+'[1]VENTAS(RESUMEN GLOBAL)'!D622-'[1]VENTAS(RESUMEN GLOBAL)'!E622</f>
        <v>3</v>
      </c>
      <c r="H622" s="9">
        <f>+'[1]VENTAS(RESUMEN GLOBAL)'!K622</f>
        <v>2.333333333333333</v>
      </c>
      <c r="I622" s="8">
        <f>+G622*'[1]VENTAS(RESUMEN GLOBAL)'!F622</f>
        <v>75</v>
      </c>
      <c r="J622" s="8">
        <f>'[1]VENTAS(RESUMEN GLOBAL)'!G622*(1-'[1]VENTAS(RESUMEN GLOBAL)'!H622)</f>
        <v>25.499999999999996</v>
      </c>
      <c r="K622" s="8">
        <f t="shared" si="9"/>
        <v>49.5</v>
      </c>
      <c r="L622" s="8">
        <f>+'[1]VENTAS(RESUMEN GLOBAL)'!J622</f>
        <v>5.5</v>
      </c>
      <c r="M622" s="8">
        <f>+Tabla1[[#This Row],[utilidad x dia]]*7</f>
        <v>38.5</v>
      </c>
    </row>
    <row r="623" spans="1:13" x14ac:dyDescent="0.3">
      <c r="A623" s="6">
        <f>+'[1]VENTAS(RESUMEN GLOBAL)'!L623</f>
        <v>46065</v>
      </c>
      <c r="B623" s="6" t="str">
        <f>+'[1]VENTAS(RESUMEN GLOBAL)'!M623</f>
        <v>RIVULIS</v>
      </c>
      <c r="C623">
        <f>+'[1]VENTAS(RESUMEN GLOBAL)'!B623</f>
        <v>600600</v>
      </c>
      <c r="D623" t="str">
        <f>INDEX('[1]CÓDIGOS DE PRODUCTO'!$D$3:$D$1000,MATCH(C623,'[1]CÓDIGOS DE PRODUCTO'!$A$3:$A$1000,0))</f>
        <v>50192109 </v>
      </c>
      <c r="E623" t="str">
        <f>VLOOKUP(C623,'[1]CÓDIGOS DE PRODUCTO'!$A$4:$B$156,2,FALSE)</f>
        <v>CHICHARRON SURTIDO</v>
      </c>
      <c r="F623" t="str">
        <f>INDEX('[1]CÓDIGOS DE PRODUCTO'!$C$3:$C$1000,MATCH(C623,'[1]CÓDIGOS DE PRODUCTO'!$A$3:$A$1000,0))</f>
        <v>Papas fritas</v>
      </c>
      <c r="G623">
        <f>+'[1]VENTAS(RESUMEN GLOBAL)'!D623-'[1]VENTAS(RESUMEN GLOBAL)'!E623</f>
        <v>4</v>
      </c>
      <c r="H623" s="9">
        <f>+'[1]VENTAS(RESUMEN GLOBAL)'!K623</f>
        <v>3.1111111111111107</v>
      </c>
      <c r="I623" s="8">
        <f>+G623*'[1]VENTAS(RESUMEN GLOBAL)'!F623</f>
        <v>100</v>
      </c>
      <c r="J623" s="8">
        <f>'[1]VENTAS(RESUMEN GLOBAL)'!G623*(1-'[1]VENTAS(RESUMEN GLOBAL)'!H623)</f>
        <v>47</v>
      </c>
      <c r="K623" s="8">
        <f t="shared" si="9"/>
        <v>53</v>
      </c>
      <c r="L623" s="8">
        <f>+'[1]VENTAS(RESUMEN GLOBAL)'!J623</f>
        <v>5.8888888888888893</v>
      </c>
      <c r="M623" s="8">
        <f>+Tabla1[[#This Row],[utilidad x dia]]*7</f>
        <v>41.222222222222229</v>
      </c>
    </row>
    <row r="624" spans="1:13" x14ac:dyDescent="0.3">
      <c r="A624" s="6">
        <f>+'[1]VENTAS(RESUMEN GLOBAL)'!L624</f>
        <v>46065</v>
      </c>
      <c r="B624" s="6" t="str">
        <f>+'[1]VENTAS(RESUMEN GLOBAL)'!M624</f>
        <v>RIVULIS</v>
      </c>
      <c r="C624">
        <f>+'[1]VENTAS(RESUMEN GLOBAL)'!B624</f>
        <v>600500</v>
      </c>
      <c r="D624" t="str">
        <f>INDEX('[1]CÓDIGOS DE PRODUCTO'!$D$3:$D$1000,MATCH(C624,'[1]CÓDIGOS DE PRODUCTO'!$A$3:$A$1000,0))</f>
        <v>50192109 </v>
      </c>
      <c r="E624" t="str">
        <f>VLOOKUP(C624,'[1]CÓDIGOS DE PRODUCTO'!$A$4:$B$156,2,FALSE)</f>
        <v>SABRIMAYOREO</v>
      </c>
      <c r="F624" t="str">
        <f>INDEX('[1]CÓDIGOS DE PRODUCTO'!$C$3:$C$1000,MATCH(C624,'[1]CÓDIGOS DE PRODUCTO'!$A$3:$A$1000,0))</f>
        <v>Papas fritas</v>
      </c>
      <c r="G624">
        <f>+'[1]VENTAS(RESUMEN GLOBAL)'!D624-'[1]VENTAS(RESUMEN GLOBAL)'!E624</f>
        <v>4</v>
      </c>
      <c r="H624" s="9">
        <f>+'[1]VENTAS(RESUMEN GLOBAL)'!K624</f>
        <v>3.1111111111111107</v>
      </c>
      <c r="I624" s="8">
        <f>+G624*'[1]VENTAS(RESUMEN GLOBAL)'!F624</f>
        <v>100</v>
      </c>
      <c r="J624" s="8">
        <f>'[1]VENTAS(RESUMEN GLOBAL)'!G624*(1-'[1]VENTAS(RESUMEN GLOBAL)'!H624)</f>
        <v>34</v>
      </c>
      <c r="K624" s="8">
        <f t="shared" si="9"/>
        <v>66</v>
      </c>
      <c r="L624" s="8">
        <f>+'[1]VENTAS(RESUMEN GLOBAL)'!J624</f>
        <v>7.333333333333333</v>
      </c>
      <c r="M624" s="8">
        <f>+Tabla1[[#This Row],[utilidad x dia]]*7</f>
        <v>51.333333333333329</v>
      </c>
    </row>
    <row r="625" spans="1:13" x14ac:dyDescent="0.3">
      <c r="A625" s="6">
        <f>+'[1]VENTAS(RESUMEN GLOBAL)'!L625</f>
        <v>46065</v>
      </c>
      <c r="B625" s="6" t="str">
        <f>+'[1]VENTAS(RESUMEN GLOBAL)'!M625</f>
        <v>RIVULIS</v>
      </c>
      <c r="C625">
        <f>+'[1]VENTAS(RESUMEN GLOBAL)'!B625</f>
        <v>600400</v>
      </c>
      <c r="D625" t="str">
        <f>INDEX('[1]CÓDIGOS DE PRODUCTO'!$D$3:$D$1000,MATCH(C625,'[1]CÓDIGOS DE PRODUCTO'!$A$3:$A$1000,0))</f>
        <v>50192109 </v>
      </c>
      <c r="E625" t="str">
        <f>VLOOKUP(C625,'[1]CÓDIGOS DE PRODUCTO'!$A$4:$B$156,2,FALSE)</f>
        <v>FRITOS (CHORIZO U OTROS)</v>
      </c>
      <c r="F625" t="str">
        <f>INDEX('[1]CÓDIGOS DE PRODUCTO'!$C$3:$C$1000,MATCH(C625,'[1]CÓDIGOS DE PRODUCTO'!$A$3:$A$1000,0))</f>
        <v>Papas fritas</v>
      </c>
      <c r="G625">
        <f>+'[1]VENTAS(RESUMEN GLOBAL)'!D625-'[1]VENTAS(RESUMEN GLOBAL)'!E625</f>
        <v>9</v>
      </c>
      <c r="H625" s="9">
        <f>+'[1]VENTAS(RESUMEN GLOBAL)'!K625</f>
        <v>7</v>
      </c>
      <c r="I625" s="8">
        <f>+G625*'[1]VENTAS(RESUMEN GLOBAL)'!F625</f>
        <v>180</v>
      </c>
      <c r="J625" s="8">
        <f>'[1]VENTAS(RESUMEN GLOBAL)'!G625*(1-'[1]VENTAS(RESUMEN GLOBAL)'!H625)</f>
        <v>73.800000000000011</v>
      </c>
      <c r="K625" s="8">
        <f t="shared" si="9"/>
        <v>106.19999999999999</v>
      </c>
      <c r="L625" s="8">
        <f>+'[1]VENTAS(RESUMEN GLOBAL)'!J625</f>
        <v>11.799999999999999</v>
      </c>
      <c r="M625" s="8">
        <f>+Tabla1[[#This Row],[utilidad x dia]]*7</f>
        <v>82.6</v>
      </c>
    </row>
    <row r="626" spans="1:13" x14ac:dyDescent="0.3">
      <c r="A626" s="6">
        <f>+'[1]VENTAS(RESUMEN GLOBAL)'!L626</f>
        <v>46065</v>
      </c>
      <c r="B626" s="6" t="str">
        <f>+'[1]VENTAS(RESUMEN GLOBAL)'!M626</f>
        <v>RIVULIS</v>
      </c>
      <c r="C626">
        <f>+'[1]VENTAS(RESUMEN GLOBAL)'!B626</f>
        <v>100400</v>
      </c>
      <c r="D626" t="str">
        <f>INDEX('[1]CÓDIGOS DE PRODUCTO'!$D$3:$D$1000,MATCH(C626,'[1]CÓDIGOS DE PRODUCTO'!$A$3:$A$1000,0))</f>
        <v>50202300 </v>
      </c>
      <c r="E626" t="str">
        <f>VLOOKUP(C626,'[1]CÓDIGOS DE PRODUCTO'!$A$4:$B$156,2,FALSE)</f>
        <v>Jumex</v>
      </c>
      <c r="F626" t="str">
        <f>INDEX('[1]CÓDIGOS DE PRODUCTO'!$C$3:$C$1000,MATCH(C626,'[1]CÓDIGOS DE PRODUCTO'!$A$3:$A$1000,0))</f>
        <v>Bebidas</v>
      </c>
      <c r="G626">
        <f>+'[1]VENTAS(RESUMEN GLOBAL)'!D626-'[1]VENTAS(RESUMEN GLOBAL)'!E626</f>
        <v>4</v>
      </c>
      <c r="H626" s="9">
        <f>+'[1]VENTAS(RESUMEN GLOBAL)'!K626</f>
        <v>3.1111111111111107</v>
      </c>
      <c r="I626" s="8">
        <f>+G626*'[1]VENTAS(RESUMEN GLOBAL)'!F626</f>
        <v>60</v>
      </c>
      <c r="J626" s="8">
        <f>'[1]VENTAS(RESUMEN GLOBAL)'!G626*(1-'[1]VENTAS(RESUMEN GLOBAL)'!H626)</f>
        <v>30</v>
      </c>
      <c r="K626" s="8">
        <f t="shared" si="9"/>
        <v>30</v>
      </c>
      <c r="L626" s="8">
        <f>+'[1]VENTAS(RESUMEN GLOBAL)'!J626</f>
        <v>3.3333333333333335</v>
      </c>
      <c r="M626" s="8">
        <f>+Tabla1[[#This Row],[utilidad x dia]]*7</f>
        <v>23.333333333333336</v>
      </c>
    </row>
    <row r="627" spans="1:13" x14ac:dyDescent="0.3">
      <c r="A627" s="6">
        <f>+'[1]VENTAS(RESUMEN GLOBAL)'!L627</f>
        <v>46065</v>
      </c>
      <c r="B627" s="6" t="str">
        <f>+'[1]VENTAS(RESUMEN GLOBAL)'!M627</f>
        <v>RIVULIS</v>
      </c>
      <c r="C627">
        <f>+'[1]VENTAS(RESUMEN GLOBAL)'!B627</f>
        <v>100400</v>
      </c>
      <c r="D627" t="str">
        <f>INDEX('[1]CÓDIGOS DE PRODUCTO'!$D$3:$D$1000,MATCH(C627,'[1]CÓDIGOS DE PRODUCTO'!$A$3:$A$1000,0))</f>
        <v>50202300 </v>
      </c>
      <c r="E627" t="str">
        <f>VLOOKUP(C627,'[1]CÓDIGOS DE PRODUCTO'!$A$4:$B$156,2,FALSE)</f>
        <v>Jumex</v>
      </c>
      <c r="F627" t="str">
        <f>INDEX('[1]CÓDIGOS DE PRODUCTO'!$C$3:$C$1000,MATCH(C627,'[1]CÓDIGOS DE PRODUCTO'!$A$3:$A$1000,0))</f>
        <v>Bebidas</v>
      </c>
      <c r="G627">
        <f>+'[1]VENTAS(RESUMEN GLOBAL)'!D627-'[1]VENTAS(RESUMEN GLOBAL)'!E627</f>
        <v>5</v>
      </c>
      <c r="H627" s="9">
        <f>+'[1]VENTAS(RESUMEN GLOBAL)'!K627</f>
        <v>3.8888888888888893</v>
      </c>
      <c r="I627" s="8">
        <f>+G627*'[1]VENTAS(RESUMEN GLOBAL)'!F627</f>
        <v>75</v>
      </c>
      <c r="J627" s="8">
        <f>'[1]VENTAS(RESUMEN GLOBAL)'!G627*(1-'[1]VENTAS(RESUMEN GLOBAL)'!H627)</f>
        <v>37.5</v>
      </c>
      <c r="K627" s="8">
        <f t="shared" si="9"/>
        <v>37.5</v>
      </c>
      <c r="L627" s="8">
        <f>+'[1]VENTAS(RESUMEN GLOBAL)'!J627</f>
        <v>4.166666666666667</v>
      </c>
      <c r="M627" s="8">
        <f>+Tabla1[[#This Row],[utilidad x dia]]*7</f>
        <v>29.166666666666668</v>
      </c>
    </row>
    <row r="628" spans="1:13" x14ac:dyDescent="0.3">
      <c r="A628" s="6">
        <f>+'[1]VENTAS(RESUMEN GLOBAL)'!L628</f>
        <v>46065</v>
      </c>
      <c r="B628" s="6" t="str">
        <f>+'[1]VENTAS(RESUMEN GLOBAL)'!M628</f>
        <v>RIVULIS</v>
      </c>
      <c r="C628">
        <f>+'[1]VENTAS(RESUMEN GLOBAL)'!B628</f>
        <v>100600</v>
      </c>
      <c r="D628" t="str">
        <f>INDEX('[1]CÓDIGOS DE PRODUCTO'!$D$3:$D$1000,MATCH(C628,'[1]CÓDIGOS DE PRODUCTO'!$A$3:$A$1000,0))</f>
        <v>50202300 </v>
      </c>
      <c r="E628" t="str">
        <f>VLOOKUP(C628,'[1]CÓDIGOS DE PRODUCTO'!$A$4:$B$156,2,FALSE)</f>
        <v>Leche santa clara</v>
      </c>
      <c r="F628" t="str">
        <f>INDEX('[1]CÓDIGOS DE PRODUCTO'!$C$3:$C$1000,MATCH(C628,'[1]CÓDIGOS DE PRODUCTO'!$A$3:$A$1000,0))</f>
        <v>Bebidas</v>
      </c>
      <c r="G628">
        <f>+'[1]VENTAS(RESUMEN GLOBAL)'!D628-'[1]VENTAS(RESUMEN GLOBAL)'!E628</f>
        <v>6</v>
      </c>
      <c r="H628" s="9">
        <f>+'[1]VENTAS(RESUMEN GLOBAL)'!K628</f>
        <v>4.6666666666666661</v>
      </c>
      <c r="I628" s="8">
        <f>+G628*'[1]VENTAS(RESUMEN GLOBAL)'!F628</f>
        <v>108</v>
      </c>
      <c r="J628" s="8">
        <f>'[1]VENTAS(RESUMEN GLOBAL)'!G628*(1-'[1]VENTAS(RESUMEN GLOBAL)'!H628)</f>
        <v>61.560000000000009</v>
      </c>
      <c r="K628" s="8">
        <f t="shared" si="9"/>
        <v>46.439999999999991</v>
      </c>
      <c r="L628" s="8">
        <f>+'[1]VENTAS(RESUMEN GLOBAL)'!J628</f>
        <v>5.16</v>
      </c>
      <c r="M628" s="8">
        <f>+Tabla1[[#This Row],[utilidad x dia]]*7</f>
        <v>36.120000000000005</v>
      </c>
    </row>
    <row r="629" spans="1:13" x14ac:dyDescent="0.3">
      <c r="A629" s="6">
        <f>+'[1]VENTAS(RESUMEN GLOBAL)'!L629</f>
        <v>46065</v>
      </c>
      <c r="B629" s="6" t="str">
        <f>+'[1]VENTAS(RESUMEN GLOBAL)'!M629</f>
        <v>RIVULIS</v>
      </c>
      <c r="C629">
        <f>+'[1]VENTAS(RESUMEN GLOBAL)'!B629</f>
        <v>100600</v>
      </c>
      <c r="D629" t="str">
        <f>INDEX('[1]CÓDIGOS DE PRODUCTO'!$D$3:$D$1000,MATCH(C629,'[1]CÓDIGOS DE PRODUCTO'!$A$3:$A$1000,0))</f>
        <v>50202300 </v>
      </c>
      <c r="E629" t="str">
        <f>VLOOKUP(C629,'[1]CÓDIGOS DE PRODUCTO'!$A$4:$B$156,2,FALSE)</f>
        <v>Leche santa clara</v>
      </c>
      <c r="F629" t="str">
        <f>INDEX('[1]CÓDIGOS DE PRODUCTO'!$C$3:$C$1000,MATCH(C629,'[1]CÓDIGOS DE PRODUCTO'!$A$3:$A$1000,0))</f>
        <v>Bebidas</v>
      </c>
      <c r="G629">
        <f>+'[1]VENTAS(RESUMEN GLOBAL)'!D629-'[1]VENTAS(RESUMEN GLOBAL)'!E629</f>
        <v>2</v>
      </c>
      <c r="H629" s="9">
        <f>+'[1]VENTAS(RESUMEN GLOBAL)'!K629</f>
        <v>1.5555555555555554</v>
      </c>
      <c r="I629" s="8">
        <f>+G629*'[1]VENTAS(RESUMEN GLOBAL)'!F629</f>
        <v>36</v>
      </c>
      <c r="J629" s="8">
        <f>'[1]VENTAS(RESUMEN GLOBAL)'!G629*(1-'[1]VENTAS(RESUMEN GLOBAL)'!H629)</f>
        <v>20.520000000000003</v>
      </c>
      <c r="K629" s="8">
        <f t="shared" si="9"/>
        <v>15.479999999999997</v>
      </c>
      <c r="L629" s="8">
        <f>+'[1]VENTAS(RESUMEN GLOBAL)'!J629</f>
        <v>1.72</v>
      </c>
      <c r="M629" s="8">
        <f>+Tabla1[[#This Row],[utilidad x dia]]*7</f>
        <v>12.04</v>
      </c>
    </row>
    <row r="630" spans="1:13" x14ac:dyDescent="0.3">
      <c r="A630" s="6">
        <f>+'[1]VENTAS(RESUMEN GLOBAL)'!L630</f>
        <v>46065</v>
      </c>
      <c r="B630" s="6" t="str">
        <f>+'[1]VENTAS(RESUMEN GLOBAL)'!M630</f>
        <v>RIVULIS</v>
      </c>
      <c r="C630">
        <f>+'[1]VENTAS(RESUMEN GLOBAL)'!B630</f>
        <v>800900</v>
      </c>
      <c r="D630" t="str">
        <f>INDEX('[1]CÓDIGOS DE PRODUCTO'!$D$3:$D$1000,MATCH(C630,'[1]CÓDIGOS DE PRODUCTO'!$A$3:$A$1000,0))</f>
        <v>50181900 </v>
      </c>
      <c r="E630" t="str">
        <f>VLOOKUP(C630,'[1]CÓDIGOS DE PRODUCTO'!$A$4:$B$156,2,FALSE)</f>
        <v>MANTECADAS</v>
      </c>
      <c r="F630" t="str">
        <f>INDEX('[1]CÓDIGOS DE PRODUCTO'!$C$3:$C$1000,MATCH(C630,'[1]CÓDIGOS DE PRODUCTO'!$A$3:$A$1000,0))</f>
        <v>GALLETAS Y PAN DULCE</v>
      </c>
      <c r="G630">
        <f>+'[1]VENTAS(RESUMEN GLOBAL)'!D630-'[1]VENTAS(RESUMEN GLOBAL)'!E630</f>
        <v>17</v>
      </c>
      <c r="H630" s="9">
        <f>+'[1]VENTAS(RESUMEN GLOBAL)'!K630</f>
        <v>13.222222222222221</v>
      </c>
      <c r="I630" s="8">
        <f>+G630*'[1]VENTAS(RESUMEN GLOBAL)'!F630</f>
        <v>340</v>
      </c>
      <c r="J630" s="8">
        <f>'[1]VENTAS(RESUMEN GLOBAL)'!G630*(1-'[1]VENTAS(RESUMEN GLOBAL)'!H630)</f>
        <v>166.6</v>
      </c>
      <c r="K630" s="8">
        <f t="shared" si="9"/>
        <v>173.4</v>
      </c>
      <c r="L630" s="8">
        <f>+'[1]VENTAS(RESUMEN GLOBAL)'!J630</f>
        <v>19.266666666666666</v>
      </c>
      <c r="M630" s="8">
        <f>+Tabla1[[#This Row],[utilidad x dia]]*7</f>
        <v>134.86666666666667</v>
      </c>
    </row>
    <row r="631" spans="1:13" x14ac:dyDescent="0.3">
      <c r="A631" s="6">
        <f>+'[1]VENTAS(RESUMEN GLOBAL)'!L631</f>
        <v>46065</v>
      </c>
      <c r="B631" s="6" t="str">
        <f>+'[1]VENTAS(RESUMEN GLOBAL)'!M631</f>
        <v>RIVULIS</v>
      </c>
      <c r="C631">
        <f>+'[1]VENTAS(RESUMEN GLOBAL)'!B631</f>
        <v>300700</v>
      </c>
      <c r="D631" t="str">
        <f>INDEX('[1]CÓDIGOS DE PRODUCTO'!$D$3:$D$1000,MATCH(C631,'[1]CÓDIGOS DE PRODUCTO'!$A$3:$A$1000,0))</f>
        <v>50161800 </v>
      </c>
      <c r="E631" t="str">
        <f>VLOOKUP(C631,'[1]CÓDIGOS DE PRODUCTO'!$A$4:$B$156,2,FALSE)</f>
        <v>ZUMBA GOMA</v>
      </c>
      <c r="F631" t="str">
        <f>INDEX('[1]CÓDIGOS DE PRODUCTO'!$C$3:$C$1000,MATCH(C631,'[1]CÓDIGOS DE PRODUCTO'!$A$3:$A$1000,0))</f>
        <v>Snacks &amp; Dulces</v>
      </c>
      <c r="G631">
        <f>+'[1]VENTAS(RESUMEN GLOBAL)'!D631-'[1]VENTAS(RESUMEN GLOBAL)'!E631</f>
        <v>5</v>
      </c>
      <c r="H631" s="9">
        <f>+'[1]VENTAS(RESUMEN GLOBAL)'!K631</f>
        <v>3.8888888888888893</v>
      </c>
      <c r="I631" s="8">
        <f>+G631*'[1]VENTAS(RESUMEN GLOBAL)'!F631</f>
        <v>50</v>
      </c>
      <c r="J631" s="8">
        <f>'[1]VENTAS(RESUMEN GLOBAL)'!G631*(1-'[1]VENTAS(RESUMEN GLOBAL)'!H631)</f>
        <v>14.500000000000002</v>
      </c>
      <c r="K631" s="8">
        <f t="shared" si="9"/>
        <v>35.5</v>
      </c>
      <c r="L631" s="8">
        <f>+'[1]VENTAS(RESUMEN GLOBAL)'!J631</f>
        <v>3.9444444444444446</v>
      </c>
      <c r="M631" s="8">
        <f>+Tabla1[[#This Row],[utilidad x dia]]*7</f>
        <v>27.611111111111114</v>
      </c>
    </row>
    <row r="632" spans="1:13" x14ac:dyDescent="0.3">
      <c r="A632" s="6">
        <f>+'[1]VENTAS(RESUMEN GLOBAL)'!L632</f>
        <v>46065</v>
      </c>
      <c r="B632" s="6" t="str">
        <f>+'[1]VENTAS(RESUMEN GLOBAL)'!M632</f>
        <v>RIVULIS</v>
      </c>
      <c r="C632">
        <f>+'[1]VENTAS(RESUMEN GLOBAL)'!B632</f>
        <v>300200</v>
      </c>
      <c r="D632" t="str">
        <f>INDEX('[1]CÓDIGOS DE PRODUCTO'!$D$3:$D$1000,MATCH(C632,'[1]CÓDIGOS DE PRODUCTO'!$A$3:$A$1000,0))</f>
        <v>50161800 </v>
      </c>
      <c r="E632" t="str">
        <f>VLOOKUP(C632,'[1]CÓDIGOS DE PRODUCTO'!$A$4:$B$156,2,FALSE)</f>
        <v>SKWINKLES</v>
      </c>
      <c r="F632" t="str">
        <f>INDEX('[1]CÓDIGOS DE PRODUCTO'!$C$3:$C$1000,MATCH(C632,'[1]CÓDIGOS DE PRODUCTO'!$A$3:$A$1000,0))</f>
        <v>Snacks &amp; Dulces</v>
      </c>
      <c r="G632">
        <f>+'[1]VENTAS(RESUMEN GLOBAL)'!D632-'[1]VENTAS(RESUMEN GLOBAL)'!E632</f>
        <v>1</v>
      </c>
      <c r="H632" s="9">
        <f>+'[1]VENTAS(RESUMEN GLOBAL)'!K632</f>
        <v>0.77777777777777768</v>
      </c>
      <c r="I632" s="8">
        <f>+G632*'[1]VENTAS(RESUMEN GLOBAL)'!F632</f>
        <v>20</v>
      </c>
      <c r="J632" s="8">
        <f>'[1]VENTAS(RESUMEN GLOBAL)'!G632*(1-'[1]VENTAS(RESUMEN GLOBAL)'!H632)</f>
        <v>7.6</v>
      </c>
      <c r="K632" s="8">
        <f t="shared" si="9"/>
        <v>12.4</v>
      </c>
      <c r="L632" s="8">
        <f>+'[1]VENTAS(RESUMEN GLOBAL)'!J632</f>
        <v>1.3777777777777778</v>
      </c>
      <c r="M632" s="8">
        <f>+Tabla1[[#This Row],[utilidad x dia]]*7</f>
        <v>9.6444444444444439</v>
      </c>
    </row>
    <row r="633" spans="1:13" x14ac:dyDescent="0.3">
      <c r="A633" s="6">
        <f>+'[1]VENTAS(RESUMEN GLOBAL)'!L633</f>
        <v>46065</v>
      </c>
      <c r="B633" s="6" t="str">
        <f>+'[1]VENTAS(RESUMEN GLOBAL)'!M633</f>
        <v>RIVULIS</v>
      </c>
      <c r="C633">
        <f>+'[1]VENTAS(RESUMEN GLOBAL)'!B633</f>
        <v>300100</v>
      </c>
      <c r="D633" t="str">
        <f>INDEX('[1]CÓDIGOS DE PRODUCTO'!$D$3:$D$1000,MATCH(C633,'[1]CÓDIGOS DE PRODUCTO'!$A$3:$A$1000,0))</f>
        <v>50161800 </v>
      </c>
      <c r="E633" t="str">
        <f>VLOOKUP(C633,'[1]CÓDIGOS DE PRODUCTO'!$A$4:$B$156,2,FALSE)</f>
        <v>Pelonetes</v>
      </c>
      <c r="F633" t="str">
        <f>INDEX('[1]CÓDIGOS DE PRODUCTO'!$C$3:$C$1000,MATCH(C633,'[1]CÓDIGOS DE PRODUCTO'!$A$3:$A$1000,0))</f>
        <v>Snacks &amp; Dulces</v>
      </c>
      <c r="G633">
        <f>+'[1]VENTAS(RESUMEN GLOBAL)'!D633-'[1]VENTAS(RESUMEN GLOBAL)'!E633</f>
        <v>6</v>
      </c>
      <c r="H633" s="9">
        <f>+'[1]VENTAS(RESUMEN GLOBAL)'!K633</f>
        <v>4.6666666666666661</v>
      </c>
      <c r="I633" s="8">
        <f>+G633*'[1]VENTAS(RESUMEN GLOBAL)'!F633</f>
        <v>90</v>
      </c>
      <c r="J633" s="8">
        <f>'[1]VENTAS(RESUMEN GLOBAL)'!G633*(1-'[1]VENTAS(RESUMEN GLOBAL)'!H633)</f>
        <v>38.700000000000003</v>
      </c>
      <c r="K633" s="8">
        <f t="shared" si="9"/>
        <v>51.3</v>
      </c>
      <c r="L633" s="8">
        <f>+'[1]VENTAS(RESUMEN GLOBAL)'!J633</f>
        <v>5.6999999999999993</v>
      </c>
      <c r="M633" s="8">
        <f>+Tabla1[[#This Row],[utilidad x dia]]*7</f>
        <v>39.899999999999991</v>
      </c>
    </row>
    <row r="634" spans="1:13" x14ac:dyDescent="0.3">
      <c r="A634" s="6">
        <f>+'[1]VENTAS(RESUMEN GLOBAL)'!L634</f>
        <v>46065</v>
      </c>
      <c r="B634" s="6" t="str">
        <f>+'[1]VENTAS(RESUMEN GLOBAL)'!M634</f>
        <v>RIVULIS</v>
      </c>
      <c r="C634">
        <f>+'[1]VENTAS(RESUMEN GLOBAL)'!B634</f>
        <v>900300</v>
      </c>
      <c r="D634">
        <f>INDEX('[1]CÓDIGOS DE PRODUCTO'!$D$3:$D$1000,MATCH(C634,'[1]CÓDIGOS DE PRODUCTO'!$A$3:$A$1000,0))</f>
        <v>50161815</v>
      </c>
      <c r="E634" t="str">
        <f>VLOOKUP(C634,'[1]CÓDIGOS DE PRODUCTO'!$A$4:$B$156,2,FALSE)</f>
        <v>CHICLES TRIDENT</v>
      </c>
      <c r="F634" t="str">
        <f>INDEX('[1]CÓDIGOS DE PRODUCTO'!$C$3:$C$1000,MATCH(C634,'[1]CÓDIGOS DE PRODUCTO'!$A$3:$A$1000,0))</f>
        <v>OTROS</v>
      </c>
      <c r="G634">
        <f>+'[1]VENTAS(RESUMEN GLOBAL)'!D634-'[1]VENTAS(RESUMEN GLOBAL)'!E634</f>
        <v>7</v>
      </c>
      <c r="H634" s="9">
        <f>+'[1]VENTAS(RESUMEN GLOBAL)'!K634</f>
        <v>5.4444444444444446</v>
      </c>
      <c r="I634" s="8">
        <f>+G634*'[1]VENTAS(RESUMEN GLOBAL)'!F634</f>
        <v>175</v>
      </c>
      <c r="J634" s="8">
        <f>'[1]VENTAS(RESUMEN GLOBAL)'!G634*(1-'[1]VENTAS(RESUMEN GLOBAL)'!H634)</f>
        <v>105</v>
      </c>
      <c r="K634" s="8">
        <f t="shared" si="9"/>
        <v>70</v>
      </c>
      <c r="L634" s="8">
        <f>+'[1]VENTAS(RESUMEN GLOBAL)'!J634</f>
        <v>7.7777777777777777</v>
      </c>
      <c r="M634" s="8">
        <f>+Tabla1[[#This Row],[utilidad x dia]]*7</f>
        <v>54.444444444444443</v>
      </c>
    </row>
    <row r="635" spans="1:13" x14ac:dyDescent="0.3">
      <c r="A635" s="6">
        <f>+'[1]VENTAS(RESUMEN GLOBAL)'!L635</f>
        <v>46065</v>
      </c>
      <c r="B635" s="6" t="str">
        <f>+'[1]VENTAS(RESUMEN GLOBAL)'!M635</f>
        <v>RIVULIS</v>
      </c>
      <c r="C635">
        <f>+'[1]VENTAS(RESUMEN GLOBAL)'!B635</f>
        <v>300400</v>
      </c>
      <c r="D635" t="str">
        <f>INDEX('[1]CÓDIGOS DE PRODUCTO'!$D$3:$D$1000,MATCH(C635,'[1]CÓDIGOS DE PRODUCTO'!$A$3:$A$1000,0))</f>
        <v>50161800 </v>
      </c>
      <c r="E635" t="str">
        <f>VLOOKUP(C635,'[1]CÓDIGOS DE PRODUCTO'!$A$4:$B$156,2,FALSE)</f>
        <v>Welchs GOMITAS</v>
      </c>
      <c r="F635" t="str">
        <f>INDEX('[1]CÓDIGOS DE PRODUCTO'!$C$3:$C$1000,MATCH(C635,'[1]CÓDIGOS DE PRODUCTO'!$A$3:$A$1000,0))</f>
        <v>Snacks &amp; Dulces</v>
      </c>
      <c r="G635">
        <f>+'[1]VENTAS(RESUMEN GLOBAL)'!D635-'[1]VENTAS(RESUMEN GLOBAL)'!E635</f>
        <v>8</v>
      </c>
      <c r="H635" s="9">
        <f>+'[1]VENTAS(RESUMEN GLOBAL)'!K635</f>
        <v>6.2222222222222214</v>
      </c>
      <c r="I635" s="8">
        <f>+G635*'[1]VENTAS(RESUMEN GLOBAL)'!F635</f>
        <v>80</v>
      </c>
      <c r="J635" s="8">
        <f>'[1]VENTAS(RESUMEN GLOBAL)'!G635*(1-'[1]VENTAS(RESUMEN GLOBAL)'!H635)</f>
        <v>48</v>
      </c>
      <c r="K635" s="8">
        <f t="shared" si="9"/>
        <v>32</v>
      </c>
      <c r="L635" s="8">
        <f>+'[1]VENTAS(RESUMEN GLOBAL)'!J635</f>
        <v>3.5555555555555554</v>
      </c>
      <c r="M635" s="8">
        <f>+Tabla1[[#This Row],[utilidad x dia]]*7</f>
        <v>24.888888888888886</v>
      </c>
    </row>
    <row r="636" spans="1:13" x14ac:dyDescent="0.3">
      <c r="A636" s="6">
        <f>+'[1]VENTAS(RESUMEN GLOBAL)'!L636</f>
        <v>46065</v>
      </c>
      <c r="B636" s="6" t="str">
        <f>+'[1]VENTAS(RESUMEN GLOBAL)'!M636</f>
        <v>RIVULIS</v>
      </c>
      <c r="C636">
        <f>+'[1]VENTAS(RESUMEN GLOBAL)'!B636</f>
        <v>700500</v>
      </c>
      <c r="D636" t="str">
        <f>INDEX('[1]CÓDIGOS DE PRODUCTO'!$D$3:$D$1000,MATCH(C636,'[1]CÓDIGOS DE PRODUCTO'!$A$3:$A$1000,0))</f>
        <v>50161511 </v>
      </c>
      <c r="E636" t="str">
        <f>VLOOKUP(C636,'[1]CÓDIGOS DE PRODUCTO'!$A$4:$B$156,2,FALSE)</f>
        <v>HERSHEYS BLANCO</v>
      </c>
      <c r="F636" t="str">
        <f>INDEX('[1]CÓDIGOS DE PRODUCTO'!$C$3:$C$1000,MATCH(C636,'[1]CÓDIGOS DE PRODUCTO'!$A$3:$A$1000,0))</f>
        <v>CHOCOLATES</v>
      </c>
      <c r="G636">
        <f>+'[1]VENTAS(RESUMEN GLOBAL)'!D636-'[1]VENTAS(RESUMEN GLOBAL)'!E636</f>
        <v>0</v>
      </c>
      <c r="H636" s="9">
        <f>+'[1]VENTAS(RESUMEN GLOBAL)'!K636</f>
        <v>0</v>
      </c>
      <c r="I636" s="8">
        <f>+G636*'[1]VENTAS(RESUMEN GLOBAL)'!F636</f>
        <v>0</v>
      </c>
      <c r="J636" s="8">
        <f>'[1]VENTAS(RESUMEN GLOBAL)'!G636*(1-'[1]VENTAS(RESUMEN GLOBAL)'!H636)</f>
        <v>0</v>
      </c>
      <c r="K636" s="8">
        <f t="shared" si="9"/>
        <v>0</v>
      </c>
      <c r="L636" s="8">
        <f>+'[1]VENTAS(RESUMEN GLOBAL)'!J636</f>
        <v>0</v>
      </c>
      <c r="M636" s="8">
        <f>+Tabla1[[#This Row],[utilidad x dia]]*7</f>
        <v>0</v>
      </c>
    </row>
    <row r="637" spans="1:13" x14ac:dyDescent="0.3">
      <c r="A637" s="6">
        <f>+'[1]VENTAS(RESUMEN GLOBAL)'!L637</f>
        <v>46065</v>
      </c>
      <c r="B637" s="6" t="str">
        <f>+'[1]VENTAS(RESUMEN GLOBAL)'!M637</f>
        <v>RIVULIS</v>
      </c>
      <c r="C637">
        <f>+'[1]VENTAS(RESUMEN GLOBAL)'!B637</f>
        <v>700400</v>
      </c>
      <c r="D637" t="str">
        <f>INDEX('[1]CÓDIGOS DE PRODUCTO'!$D$3:$D$1000,MATCH(C637,'[1]CÓDIGOS DE PRODUCTO'!$A$3:$A$1000,0))</f>
        <v>50161511 </v>
      </c>
      <c r="E637" t="str">
        <f>VLOOKUP(C637,'[1]CÓDIGOS DE PRODUCTO'!$A$4:$B$156,2,FALSE)</f>
        <v>KIT KAT</v>
      </c>
      <c r="F637" t="str">
        <f>INDEX('[1]CÓDIGOS DE PRODUCTO'!$C$3:$C$1000,MATCH(C637,'[1]CÓDIGOS DE PRODUCTO'!$A$3:$A$1000,0))</f>
        <v>CHOCOLATES</v>
      </c>
      <c r="G637">
        <f>+'[1]VENTAS(RESUMEN GLOBAL)'!D637-'[1]VENTAS(RESUMEN GLOBAL)'!E637</f>
        <v>1</v>
      </c>
      <c r="H637" s="9">
        <f>+'[1]VENTAS(RESUMEN GLOBAL)'!K637</f>
        <v>0.77777777777777768</v>
      </c>
      <c r="I637" s="8">
        <f>+G637*'[1]VENTAS(RESUMEN GLOBAL)'!F637</f>
        <v>25</v>
      </c>
      <c r="J637" s="8">
        <f>'[1]VENTAS(RESUMEN GLOBAL)'!G637*(1-'[1]VENTAS(RESUMEN GLOBAL)'!H637)</f>
        <v>13</v>
      </c>
      <c r="K637" s="8">
        <f t="shared" si="9"/>
        <v>12</v>
      </c>
      <c r="L637" s="8">
        <f>+'[1]VENTAS(RESUMEN GLOBAL)'!J637</f>
        <v>1.3333333333333333</v>
      </c>
      <c r="M637" s="8">
        <f>+Tabla1[[#This Row],[utilidad x dia]]*7</f>
        <v>9.3333333333333321</v>
      </c>
    </row>
    <row r="638" spans="1:13" x14ac:dyDescent="0.3">
      <c r="A638" s="6">
        <f>+'[1]VENTAS(RESUMEN GLOBAL)'!L638</f>
        <v>46065</v>
      </c>
      <c r="B638" s="6" t="str">
        <f>+'[1]VENTAS(RESUMEN GLOBAL)'!M638</f>
        <v>RIVULIS</v>
      </c>
      <c r="C638">
        <f>+'[1]VENTAS(RESUMEN GLOBAL)'!B638</f>
        <v>700800</v>
      </c>
      <c r="D638" t="str">
        <f>INDEX('[1]CÓDIGOS DE PRODUCTO'!$D$3:$D$1000,MATCH(C638,'[1]CÓDIGOS DE PRODUCTO'!$A$3:$A$1000,0))</f>
        <v>50161511 </v>
      </c>
      <c r="E638" t="str">
        <f>VLOOKUP(C638,'[1]CÓDIGOS DE PRODUCTO'!$A$4:$B$156,2,FALSE)</f>
        <v>Kinder delice</v>
      </c>
      <c r="F638" t="str">
        <f>INDEX('[1]CÓDIGOS DE PRODUCTO'!$C$3:$C$1000,MATCH(C638,'[1]CÓDIGOS DE PRODUCTO'!$A$3:$A$1000,0))</f>
        <v>CHOCOLATES</v>
      </c>
      <c r="G638">
        <f>+'[1]VENTAS(RESUMEN GLOBAL)'!D638-'[1]VENTAS(RESUMEN GLOBAL)'!E638</f>
        <v>2</v>
      </c>
      <c r="H638" s="9">
        <f>+'[1]VENTAS(RESUMEN GLOBAL)'!K638</f>
        <v>1.5555555555555554</v>
      </c>
      <c r="I638" s="8">
        <f>+G638*'[1]VENTAS(RESUMEN GLOBAL)'!F638</f>
        <v>40</v>
      </c>
      <c r="J638" s="8">
        <f>'[1]VENTAS(RESUMEN GLOBAL)'!G638*(1-'[1]VENTAS(RESUMEN GLOBAL)'!H638)</f>
        <v>24.8</v>
      </c>
      <c r="K638" s="8">
        <f t="shared" si="9"/>
        <v>15.2</v>
      </c>
      <c r="L638" s="8">
        <f>+'[1]VENTAS(RESUMEN GLOBAL)'!J638</f>
        <v>1.6888888888888889</v>
      </c>
      <c r="M638" s="8">
        <f>+Tabla1[[#This Row],[utilidad x dia]]*7</f>
        <v>11.822222222222223</v>
      </c>
    </row>
    <row r="639" spans="1:13" x14ac:dyDescent="0.3">
      <c r="A639" s="6">
        <f>+'[1]VENTAS(RESUMEN GLOBAL)'!L639</f>
        <v>46065</v>
      </c>
      <c r="B639" s="6" t="str">
        <f>+'[1]VENTAS(RESUMEN GLOBAL)'!M639</f>
        <v>RIVULIS</v>
      </c>
      <c r="C639">
        <f>+'[1]VENTAS(RESUMEN GLOBAL)'!B639</f>
        <v>700700</v>
      </c>
      <c r="D639" t="str">
        <f>INDEX('[1]CÓDIGOS DE PRODUCTO'!$D$3:$D$1000,MATCH(C639,'[1]CÓDIGOS DE PRODUCTO'!$A$3:$A$1000,0))</f>
        <v>50161511 </v>
      </c>
      <c r="E639" t="str">
        <f>VLOOKUP(C639,'[1]CÓDIGOS DE PRODUCTO'!$A$4:$B$156,2,FALSE)</f>
        <v>Milkiway</v>
      </c>
      <c r="F639" t="str">
        <f>INDEX('[1]CÓDIGOS DE PRODUCTO'!$C$3:$C$1000,MATCH(C639,'[1]CÓDIGOS DE PRODUCTO'!$A$3:$A$1000,0))</f>
        <v>CHOCOLATES</v>
      </c>
      <c r="G639">
        <f>+'[1]VENTAS(RESUMEN GLOBAL)'!D639-'[1]VENTAS(RESUMEN GLOBAL)'!E639</f>
        <v>1</v>
      </c>
      <c r="H639" s="9">
        <f>+'[1]VENTAS(RESUMEN GLOBAL)'!K639</f>
        <v>0.77777777777777768</v>
      </c>
      <c r="I639" s="8">
        <f>+G639*'[1]VENTAS(RESUMEN GLOBAL)'!F639</f>
        <v>25</v>
      </c>
      <c r="J639" s="8">
        <f>'[1]VENTAS(RESUMEN GLOBAL)'!G639*(1-'[1]VENTAS(RESUMEN GLOBAL)'!H639)</f>
        <v>14.000000000000002</v>
      </c>
      <c r="K639" s="8">
        <f t="shared" si="9"/>
        <v>10.999999999999998</v>
      </c>
      <c r="L639" s="8">
        <f>+'[1]VENTAS(RESUMEN GLOBAL)'!J639</f>
        <v>1.2222222222222223</v>
      </c>
      <c r="M639" s="8">
        <f>+Tabla1[[#This Row],[utilidad x dia]]*7</f>
        <v>8.5555555555555571</v>
      </c>
    </row>
    <row r="640" spans="1:13" x14ac:dyDescent="0.3">
      <c r="A640" s="6">
        <f>+'[1]VENTAS(RESUMEN GLOBAL)'!L640</f>
        <v>46065</v>
      </c>
      <c r="B640" s="6" t="str">
        <f>+'[1]VENTAS(RESUMEN GLOBAL)'!M640</f>
        <v>RIVULIS</v>
      </c>
      <c r="C640">
        <f>+'[1]VENTAS(RESUMEN GLOBAL)'!B640</f>
        <v>700200</v>
      </c>
      <c r="D640" t="str">
        <f>INDEX('[1]CÓDIGOS DE PRODUCTO'!$D$3:$D$1000,MATCH(C640,'[1]CÓDIGOS DE PRODUCTO'!$A$3:$A$1000,0))</f>
        <v>50161511 </v>
      </c>
      <c r="E640" t="str">
        <f>VLOOKUP(C640,'[1]CÓDIGOS DE PRODUCTO'!$A$4:$B$156,2,FALSE)</f>
        <v>Snickers</v>
      </c>
      <c r="F640" t="str">
        <f>INDEX('[1]CÓDIGOS DE PRODUCTO'!$C$3:$C$1000,MATCH(C640,'[1]CÓDIGOS DE PRODUCTO'!$A$3:$A$1000,0))</f>
        <v>CHOCOLATES</v>
      </c>
      <c r="G640">
        <f>+'[1]VENTAS(RESUMEN GLOBAL)'!D640-'[1]VENTAS(RESUMEN GLOBAL)'!E640</f>
        <v>2</v>
      </c>
      <c r="H640" s="9">
        <f>+'[1]VENTAS(RESUMEN GLOBAL)'!K640</f>
        <v>1.5555555555555554</v>
      </c>
      <c r="I640" s="8">
        <f>+G640*'[1]VENTAS(RESUMEN GLOBAL)'!F640</f>
        <v>50</v>
      </c>
      <c r="J640" s="8">
        <f>'[1]VENTAS(RESUMEN GLOBAL)'!G640*(1-'[1]VENTAS(RESUMEN GLOBAL)'!H640)</f>
        <v>28.000000000000004</v>
      </c>
      <c r="K640" s="8">
        <f t="shared" si="9"/>
        <v>21.999999999999996</v>
      </c>
      <c r="L640" s="8">
        <f>+'[1]VENTAS(RESUMEN GLOBAL)'!J640</f>
        <v>2.4444444444444446</v>
      </c>
      <c r="M640" s="8">
        <f>+Tabla1[[#This Row],[utilidad x dia]]*7</f>
        <v>17.111111111111114</v>
      </c>
    </row>
    <row r="641" spans="1:13" x14ac:dyDescent="0.3">
      <c r="A641" s="6">
        <f>+'[1]VENTAS(RESUMEN GLOBAL)'!L641</f>
        <v>46065</v>
      </c>
      <c r="B641" s="6" t="str">
        <f>+'[1]VENTAS(RESUMEN GLOBAL)'!M641</f>
        <v>RIVULIS</v>
      </c>
      <c r="C641">
        <f>+'[1]VENTAS(RESUMEN GLOBAL)'!B641</f>
        <v>800500</v>
      </c>
      <c r="D641" t="str">
        <f>INDEX('[1]CÓDIGOS DE PRODUCTO'!$D$3:$D$1000,MATCH(C641,'[1]CÓDIGOS DE PRODUCTO'!$A$3:$A$1000,0))</f>
        <v>50181900 </v>
      </c>
      <c r="E641" t="str">
        <f>VLOOKUP(C641,'[1]CÓDIGOS DE PRODUCTO'!$A$4:$B$156,2,FALSE)</f>
        <v>RICE KRISPIES</v>
      </c>
      <c r="F641" t="str">
        <f>INDEX('[1]CÓDIGOS DE PRODUCTO'!$C$3:$C$1000,MATCH(C641,'[1]CÓDIGOS DE PRODUCTO'!$A$3:$A$1000,0))</f>
        <v>GALLETAS Y PAN DULCE</v>
      </c>
      <c r="G641">
        <f>+'[1]VENTAS(RESUMEN GLOBAL)'!D641-'[1]VENTAS(RESUMEN GLOBAL)'!E641</f>
        <v>7</v>
      </c>
      <c r="H641" s="9">
        <f>+'[1]VENTAS(RESUMEN GLOBAL)'!K641</f>
        <v>5.4444444444444446</v>
      </c>
      <c r="I641" s="8">
        <f>+G641*'[1]VENTAS(RESUMEN GLOBAL)'!F641</f>
        <v>70</v>
      </c>
      <c r="J641" s="8">
        <f>'[1]VENTAS(RESUMEN GLOBAL)'!G641*(1-'[1]VENTAS(RESUMEN GLOBAL)'!H641)</f>
        <v>21.000000000000004</v>
      </c>
      <c r="K641" s="8">
        <f t="shared" si="9"/>
        <v>49</v>
      </c>
      <c r="L641" s="8">
        <f>+'[1]VENTAS(RESUMEN GLOBAL)'!J641</f>
        <v>5.4444444444444446</v>
      </c>
      <c r="M641" s="8">
        <f>+Tabla1[[#This Row],[utilidad x dia]]*7</f>
        <v>38.111111111111114</v>
      </c>
    </row>
    <row r="642" spans="1:13" x14ac:dyDescent="0.3">
      <c r="A642" s="6">
        <f>+'[1]VENTAS(RESUMEN GLOBAL)'!L642</f>
        <v>46065</v>
      </c>
      <c r="B642" s="6" t="str">
        <f>+'[1]VENTAS(RESUMEN GLOBAL)'!M642</f>
        <v>RIVULIS</v>
      </c>
      <c r="C642">
        <f>+'[1]VENTAS(RESUMEN GLOBAL)'!B642</f>
        <v>800700</v>
      </c>
      <c r="D642" t="str">
        <f>INDEX('[1]CÓDIGOS DE PRODUCTO'!$D$3:$D$1000,MATCH(C642,'[1]CÓDIGOS DE PRODUCTO'!$A$3:$A$1000,0))</f>
        <v>50181900 </v>
      </c>
      <c r="E642" t="str">
        <f>VLOOKUP(C642,'[1]CÓDIGOS DE PRODUCTO'!$A$4:$B$156,2,FALSE)</f>
        <v>BARRITAS PIÑA</v>
      </c>
      <c r="F642" t="str">
        <f>INDEX('[1]CÓDIGOS DE PRODUCTO'!$C$3:$C$1000,MATCH(C642,'[1]CÓDIGOS DE PRODUCTO'!$A$3:$A$1000,0))</f>
        <v>GALLETAS Y PAN DULCE</v>
      </c>
      <c r="G642">
        <f>+'[1]VENTAS(RESUMEN GLOBAL)'!D642-'[1]VENTAS(RESUMEN GLOBAL)'!E642</f>
        <v>2</v>
      </c>
      <c r="H642" s="9">
        <f>+'[1]VENTAS(RESUMEN GLOBAL)'!K642</f>
        <v>1.5555555555555554</v>
      </c>
      <c r="I642" s="8">
        <f>+G642*'[1]VENTAS(RESUMEN GLOBAL)'!F642</f>
        <v>40</v>
      </c>
      <c r="J642" s="8">
        <f>'[1]VENTAS(RESUMEN GLOBAL)'!G642*(1-'[1]VENTAS(RESUMEN GLOBAL)'!H642)</f>
        <v>18</v>
      </c>
      <c r="K642" s="8">
        <f t="shared" si="9"/>
        <v>22</v>
      </c>
      <c r="L642" s="8">
        <f>+'[1]VENTAS(RESUMEN GLOBAL)'!J642</f>
        <v>2.4444444444444446</v>
      </c>
      <c r="M642" s="8">
        <f>+Tabla1[[#This Row],[utilidad x dia]]*7</f>
        <v>17.111111111111114</v>
      </c>
    </row>
    <row r="643" spans="1:13" x14ac:dyDescent="0.3">
      <c r="A643" s="6">
        <f>+'[1]VENTAS(RESUMEN GLOBAL)'!L643</f>
        <v>46065</v>
      </c>
      <c r="B643" s="6" t="str">
        <f>+'[1]VENTAS(RESUMEN GLOBAL)'!M643</f>
        <v>RIVULIS</v>
      </c>
      <c r="C643">
        <f>+'[1]VENTAS(RESUMEN GLOBAL)'!B643</f>
        <v>800400</v>
      </c>
      <c r="D643" t="str">
        <f>INDEX('[1]CÓDIGOS DE PRODUCTO'!$D$3:$D$1000,MATCH(C643,'[1]CÓDIGOS DE PRODUCTO'!$A$3:$A$1000,0))</f>
        <v>50181900 </v>
      </c>
      <c r="E643" t="str">
        <f>VLOOKUP(C643,'[1]CÓDIGOS DE PRODUCTO'!$A$4:$B$156,2,FALSE)</f>
        <v>Barritas FRESA</v>
      </c>
      <c r="F643" t="str">
        <f>INDEX('[1]CÓDIGOS DE PRODUCTO'!$C$3:$C$1000,MATCH(C643,'[1]CÓDIGOS DE PRODUCTO'!$A$3:$A$1000,0))</f>
        <v>GALLETAS Y PAN DULCE</v>
      </c>
      <c r="G643">
        <f>+'[1]VENTAS(RESUMEN GLOBAL)'!D643-'[1]VENTAS(RESUMEN GLOBAL)'!E643</f>
        <v>4</v>
      </c>
      <c r="H643" s="9">
        <f>+'[1]VENTAS(RESUMEN GLOBAL)'!K643</f>
        <v>3.1111111111111107</v>
      </c>
      <c r="I643" s="8">
        <f>+G643*'[1]VENTAS(RESUMEN GLOBAL)'!F643</f>
        <v>80</v>
      </c>
      <c r="J643" s="8">
        <f>'[1]VENTAS(RESUMEN GLOBAL)'!G643*(1-'[1]VENTAS(RESUMEN GLOBAL)'!H643)</f>
        <v>36</v>
      </c>
      <c r="K643" s="8">
        <f t="shared" ref="K643:K706" si="10">+I643-J643</f>
        <v>44</v>
      </c>
      <c r="L643" s="8">
        <f>+'[1]VENTAS(RESUMEN GLOBAL)'!J643</f>
        <v>4.8888888888888893</v>
      </c>
      <c r="M643" s="8">
        <f>+Tabla1[[#This Row],[utilidad x dia]]*7</f>
        <v>34.222222222222229</v>
      </c>
    </row>
    <row r="644" spans="1:13" x14ac:dyDescent="0.3">
      <c r="A644" s="6">
        <f>+'[1]VENTAS(RESUMEN GLOBAL)'!L644</f>
        <v>46065</v>
      </c>
      <c r="B644" s="6" t="str">
        <f>+'[1]VENTAS(RESUMEN GLOBAL)'!M644</f>
        <v>RIVULIS</v>
      </c>
      <c r="C644">
        <f>+'[1]VENTAS(RESUMEN GLOBAL)'!B644</f>
        <v>800601</v>
      </c>
      <c r="D644" t="str">
        <f>INDEX('[1]CÓDIGOS DE PRODUCTO'!$D$3:$D$1000,MATCH(C644,'[1]CÓDIGOS DE PRODUCTO'!$A$3:$A$1000,0))</f>
        <v>50181900 </v>
      </c>
      <c r="E644" t="str">
        <f>VLOOKUP(C644,'[1]CÓDIGOS DE PRODUCTO'!$A$4:$B$156,2,FALSE)</f>
        <v>CREMAX AZULES</v>
      </c>
      <c r="F644" t="str">
        <f>INDEX('[1]CÓDIGOS DE PRODUCTO'!$C$3:$C$1000,MATCH(C644,'[1]CÓDIGOS DE PRODUCTO'!$A$3:$A$1000,0))</f>
        <v>GALLETAS Y PAN DULCE</v>
      </c>
      <c r="G644">
        <f>+'[1]VENTAS(RESUMEN GLOBAL)'!D644-'[1]VENTAS(RESUMEN GLOBAL)'!E644</f>
        <v>4</v>
      </c>
      <c r="H644" s="9">
        <f>+'[1]VENTAS(RESUMEN GLOBAL)'!K644</f>
        <v>3.1111111111111107</v>
      </c>
      <c r="I644" s="8">
        <f>+G644*'[1]VENTAS(RESUMEN GLOBAL)'!F644</f>
        <v>60</v>
      </c>
      <c r="J644" s="8">
        <f>'[1]VENTAS(RESUMEN GLOBAL)'!G644*(1-'[1]VENTAS(RESUMEN GLOBAL)'!H644)</f>
        <v>26.999999999999996</v>
      </c>
      <c r="K644" s="8">
        <f t="shared" si="10"/>
        <v>33</v>
      </c>
      <c r="L644" s="8">
        <f>+'[1]VENTAS(RESUMEN GLOBAL)'!J644</f>
        <v>3.6666666666666665</v>
      </c>
      <c r="M644" s="8">
        <f>+Tabla1[[#This Row],[utilidad x dia]]*7</f>
        <v>25.666666666666664</v>
      </c>
    </row>
    <row r="645" spans="1:13" x14ac:dyDescent="0.3">
      <c r="A645" s="6">
        <f>+'[1]VENTAS(RESUMEN GLOBAL)'!L645</f>
        <v>46065</v>
      </c>
      <c r="B645" s="6" t="str">
        <f>+'[1]VENTAS(RESUMEN GLOBAL)'!M645</f>
        <v>RIVULIS</v>
      </c>
      <c r="C645">
        <f>+'[1]VENTAS(RESUMEN GLOBAL)'!B645</f>
        <v>800600</v>
      </c>
      <c r="D645" t="str">
        <f>INDEX('[1]CÓDIGOS DE PRODUCTO'!$D$3:$D$1000,MATCH(C645,'[1]CÓDIGOS DE PRODUCTO'!$A$3:$A$1000,0))</f>
        <v>50181900 </v>
      </c>
      <c r="E645" t="str">
        <f>VLOOKUP(C645,'[1]CÓDIGOS DE PRODUCTO'!$A$4:$B$156,2,FALSE)</f>
        <v>CREMAX</v>
      </c>
      <c r="F645" t="str">
        <f>INDEX('[1]CÓDIGOS DE PRODUCTO'!$C$3:$C$1000,MATCH(C645,'[1]CÓDIGOS DE PRODUCTO'!$A$3:$A$1000,0))</f>
        <v>GALLETAS Y PAN DULCE</v>
      </c>
      <c r="G645">
        <f>+'[1]VENTAS(RESUMEN GLOBAL)'!D645-'[1]VENTAS(RESUMEN GLOBAL)'!E645</f>
        <v>8</v>
      </c>
      <c r="H645" s="9">
        <f>+'[1]VENTAS(RESUMEN GLOBAL)'!K645</f>
        <v>6.2222222222222214</v>
      </c>
      <c r="I645" s="8">
        <f>+G645*'[1]VENTAS(RESUMEN GLOBAL)'!F645</f>
        <v>120</v>
      </c>
      <c r="J645" s="8">
        <f>'[1]VENTAS(RESUMEN GLOBAL)'!G645*(1-'[1]VENTAS(RESUMEN GLOBAL)'!H645)</f>
        <v>53.999999999999993</v>
      </c>
      <c r="K645" s="8">
        <f t="shared" si="10"/>
        <v>66</v>
      </c>
      <c r="L645" s="8">
        <f>+'[1]VENTAS(RESUMEN GLOBAL)'!J645</f>
        <v>7.333333333333333</v>
      </c>
      <c r="M645" s="8">
        <f>+Tabla1[[#This Row],[utilidad x dia]]*7</f>
        <v>51.333333333333329</v>
      </c>
    </row>
    <row r="646" spans="1:13" x14ac:dyDescent="0.3">
      <c r="A646" s="6">
        <f>+'[1]VENTAS(RESUMEN GLOBAL)'!L646</f>
        <v>46065</v>
      </c>
      <c r="B646" s="6" t="str">
        <f>+'[1]VENTAS(RESUMEN GLOBAL)'!M646</f>
        <v>RIVULIS</v>
      </c>
      <c r="C646">
        <f>+'[1]VENTAS(RESUMEN GLOBAL)'!B646</f>
        <v>800800</v>
      </c>
      <c r="D646" t="str">
        <f>INDEX('[1]CÓDIGOS DE PRODUCTO'!$D$3:$D$1000,MATCH(C646,'[1]CÓDIGOS DE PRODUCTO'!$A$3:$A$1000,0))</f>
        <v>50181900 </v>
      </c>
      <c r="E646" t="str">
        <f>VLOOKUP(C646,'[1]CÓDIGOS DE PRODUCTO'!$A$4:$B$156,2,FALSE)</f>
        <v>DORADITAS</v>
      </c>
      <c r="F646" t="str">
        <f>INDEX('[1]CÓDIGOS DE PRODUCTO'!$C$3:$C$1000,MATCH(C646,'[1]CÓDIGOS DE PRODUCTO'!$A$3:$A$1000,0))</f>
        <v>GALLETAS Y PAN DULCE</v>
      </c>
      <c r="G646">
        <f>+'[1]VENTAS(RESUMEN GLOBAL)'!D646-'[1]VENTAS(RESUMEN GLOBAL)'!E646</f>
        <v>10</v>
      </c>
      <c r="H646" s="9">
        <f>+'[1]VENTAS(RESUMEN GLOBAL)'!K646</f>
        <v>7.7777777777777786</v>
      </c>
      <c r="I646" s="8">
        <f>+G646*'[1]VENTAS(RESUMEN GLOBAL)'!F646</f>
        <v>150</v>
      </c>
      <c r="J646" s="8">
        <f>'[1]VENTAS(RESUMEN GLOBAL)'!G646*(1-'[1]VENTAS(RESUMEN GLOBAL)'!H646)</f>
        <v>97.5</v>
      </c>
      <c r="K646" s="8">
        <f t="shared" si="10"/>
        <v>52.5</v>
      </c>
      <c r="L646" s="8">
        <f>+'[1]VENTAS(RESUMEN GLOBAL)'!J646</f>
        <v>5.833333333333333</v>
      </c>
      <c r="M646" s="8">
        <f>+Tabla1[[#This Row],[utilidad x dia]]*7</f>
        <v>40.833333333333329</v>
      </c>
    </row>
    <row r="647" spans="1:13" x14ac:dyDescent="0.3">
      <c r="A647" s="6">
        <f>+'[1]VENTAS(RESUMEN GLOBAL)'!L647</f>
        <v>46065</v>
      </c>
      <c r="B647" s="6" t="str">
        <f>+'[1]VENTAS(RESUMEN GLOBAL)'!M647</f>
        <v>RIVULIS</v>
      </c>
      <c r="C647">
        <f>+'[1]VENTAS(RESUMEN GLOBAL)'!B647</f>
        <v>801000</v>
      </c>
      <c r="D647" t="str">
        <f>INDEX('[1]CÓDIGOS DE PRODUCTO'!$D$3:$D$1000,MATCH(C647,'[1]CÓDIGOS DE PRODUCTO'!$A$3:$A$1000,0))</f>
        <v>50181900 </v>
      </c>
      <c r="E647" t="str">
        <f>VLOOKUP(C647,'[1]CÓDIGOS DE PRODUCTO'!$A$4:$B$156,2,FALSE)</f>
        <v>BRAN FRUIT</v>
      </c>
      <c r="F647" t="str">
        <f>INDEX('[1]CÓDIGOS DE PRODUCTO'!$C$3:$C$1000,MATCH(C647,'[1]CÓDIGOS DE PRODUCTO'!$A$3:$A$1000,0))</f>
        <v>GALLETAS Y PAN DULCE</v>
      </c>
      <c r="G647">
        <f>+'[1]VENTAS(RESUMEN GLOBAL)'!D647-'[1]VENTAS(RESUMEN GLOBAL)'!E647</f>
        <v>3</v>
      </c>
      <c r="H647" s="9">
        <f>+'[1]VENTAS(RESUMEN GLOBAL)'!K647</f>
        <v>2.333333333333333</v>
      </c>
      <c r="I647" s="8">
        <f>+G647*'[1]VENTAS(RESUMEN GLOBAL)'!F647</f>
        <v>45</v>
      </c>
      <c r="J647" s="8">
        <f>'[1]VENTAS(RESUMEN GLOBAL)'!G647*(1-'[1]VENTAS(RESUMEN GLOBAL)'!H647)</f>
        <v>27</v>
      </c>
      <c r="K647" s="8">
        <f t="shared" si="10"/>
        <v>18</v>
      </c>
      <c r="L647" s="8">
        <f>+'[1]VENTAS(RESUMEN GLOBAL)'!J647</f>
        <v>2</v>
      </c>
      <c r="M647" s="8">
        <f>+Tabla1[[#This Row],[utilidad x dia]]*7</f>
        <v>14</v>
      </c>
    </row>
    <row r="648" spans="1:13" x14ac:dyDescent="0.3">
      <c r="A648" s="6">
        <f>+'[1]VENTAS(RESUMEN GLOBAL)'!L648</f>
        <v>46065</v>
      </c>
      <c r="B648" s="6" t="str">
        <f>+'[1]VENTAS(RESUMEN GLOBAL)'!M648</f>
        <v>RIVULIS</v>
      </c>
      <c r="C648">
        <f>+'[1]VENTAS(RESUMEN GLOBAL)'!B648</f>
        <v>800200</v>
      </c>
      <c r="D648" t="str">
        <f>INDEX('[1]CÓDIGOS DE PRODUCTO'!$D$3:$D$1000,MATCH(C648,'[1]CÓDIGOS DE PRODUCTO'!$A$3:$A$1000,0))</f>
        <v>50181900 </v>
      </c>
      <c r="E648" t="str">
        <f>VLOOKUP(C648,'[1]CÓDIGOS DE PRODUCTO'!$A$4:$B$156,2,FALSE)</f>
        <v>Príncipe (6 PZ-63 GR)</v>
      </c>
      <c r="F648" t="str">
        <f>INDEX('[1]CÓDIGOS DE PRODUCTO'!$C$3:$C$1000,MATCH(C648,'[1]CÓDIGOS DE PRODUCTO'!$A$3:$A$1000,0))</f>
        <v>GALLETAS Y PAN DULCE</v>
      </c>
      <c r="G648">
        <f>+'[1]VENTAS(RESUMEN GLOBAL)'!D648-'[1]VENTAS(RESUMEN GLOBAL)'!E648</f>
        <v>10</v>
      </c>
      <c r="H648" s="9">
        <f>+'[1]VENTAS(RESUMEN GLOBAL)'!K648</f>
        <v>7.7777777777777786</v>
      </c>
      <c r="I648" s="8">
        <f>+G648*'[1]VENTAS(RESUMEN GLOBAL)'!F648</f>
        <v>200</v>
      </c>
      <c r="J648" s="8">
        <f>'[1]VENTAS(RESUMEN GLOBAL)'!G648*(1-'[1]VENTAS(RESUMEN GLOBAL)'!H648)</f>
        <v>100</v>
      </c>
      <c r="K648" s="8">
        <f t="shared" si="10"/>
        <v>100</v>
      </c>
      <c r="L648" s="8">
        <f>+'[1]VENTAS(RESUMEN GLOBAL)'!J648</f>
        <v>11.111111111111111</v>
      </c>
      <c r="M648" s="8">
        <f>+Tabla1[[#This Row],[utilidad x dia]]*7</f>
        <v>77.777777777777771</v>
      </c>
    </row>
    <row r="649" spans="1:13" x14ac:dyDescent="0.3">
      <c r="A649" s="6">
        <f>+'[1]VENTAS(RESUMEN GLOBAL)'!L649</f>
        <v>46065</v>
      </c>
      <c r="B649" s="6" t="str">
        <f>+'[1]VENTAS(RESUMEN GLOBAL)'!M649</f>
        <v>RIVULIS</v>
      </c>
      <c r="C649">
        <f>+'[1]VENTAS(RESUMEN GLOBAL)'!B649</f>
        <v>801200</v>
      </c>
      <c r="D649" t="str">
        <f>INDEX('[1]CÓDIGOS DE PRODUCTO'!$D$3:$D$1000,MATCH(C649,'[1]CÓDIGOS DE PRODUCTO'!$A$3:$A$1000,0))</f>
        <v>50181900 </v>
      </c>
      <c r="E649" t="str">
        <f>VLOOKUP(C649,'[1]CÓDIGOS DE PRODUCTO'!$A$4:$B$156,2,FALSE)</f>
        <v>CANELITAS</v>
      </c>
      <c r="F649" t="str">
        <f>INDEX('[1]CÓDIGOS DE PRODUCTO'!$C$3:$C$1000,MATCH(C649,'[1]CÓDIGOS DE PRODUCTO'!$A$3:$A$1000,0))</f>
        <v>GALLETAS Y PAN DULCE</v>
      </c>
      <c r="G649">
        <f>+'[1]VENTAS(RESUMEN GLOBAL)'!D649-'[1]VENTAS(RESUMEN GLOBAL)'!E649</f>
        <v>13</v>
      </c>
      <c r="H649" s="9">
        <f>+'[1]VENTAS(RESUMEN GLOBAL)'!K649</f>
        <v>10.111111111111111</v>
      </c>
      <c r="I649" s="8">
        <f>+G649*'[1]VENTAS(RESUMEN GLOBAL)'!F649</f>
        <v>260</v>
      </c>
      <c r="J649" s="8">
        <f>'[1]VENTAS(RESUMEN GLOBAL)'!G649*(1-'[1]VENTAS(RESUMEN GLOBAL)'!H649)</f>
        <v>116.99999999999999</v>
      </c>
      <c r="K649" s="8">
        <f t="shared" si="10"/>
        <v>143</v>
      </c>
      <c r="L649" s="8">
        <f>+'[1]VENTAS(RESUMEN GLOBAL)'!J649</f>
        <v>15.888888888888889</v>
      </c>
      <c r="M649" s="8">
        <f>+Tabla1[[#This Row],[utilidad x dia]]*7</f>
        <v>111.22222222222223</v>
      </c>
    </row>
    <row r="650" spans="1:13" x14ac:dyDescent="0.3">
      <c r="A650" s="6">
        <f>+'[1]VENTAS(RESUMEN GLOBAL)'!L650</f>
        <v>46065</v>
      </c>
      <c r="B650" s="6" t="str">
        <f>+'[1]VENTAS(RESUMEN GLOBAL)'!M650</f>
        <v>RIVULIS</v>
      </c>
      <c r="C650">
        <f>+'[1]VENTAS(RESUMEN GLOBAL)'!B650</f>
        <v>801400</v>
      </c>
      <c r="D650" t="str">
        <f>INDEX('[1]CÓDIGOS DE PRODUCTO'!$D$3:$D$1000,MATCH(C650,'[1]CÓDIGOS DE PRODUCTO'!$A$3:$A$1000,0))</f>
        <v>50181900 </v>
      </c>
      <c r="E650" t="str">
        <f>VLOOKUP(C650,'[1]CÓDIGOS DE PRODUCTO'!$A$4:$B$156,2,FALSE)</f>
        <v>CHIPS AJOY</v>
      </c>
      <c r="F650" t="str">
        <f>INDEX('[1]CÓDIGOS DE PRODUCTO'!$C$3:$C$1000,MATCH(C650,'[1]CÓDIGOS DE PRODUCTO'!$A$3:$A$1000,0))</f>
        <v>GALLETAS Y PAN DULCE</v>
      </c>
      <c r="G650">
        <f>+'[1]VENTAS(RESUMEN GLOBAL)'!D650-'[1]VENTAS(RESUMEN GLOBAL)'!E650</f>
        <v>8</v>
      </c>
      <c r="H650" s="9">
        <f>+'[1]VENTAS(RESUMEN GLOBAL)'!K650</f>
        <v>6.2222222222222214</v>
      </c>
      <c r="I650" s="8">
        <f>+G650*'[1]VENTAS(RESUMEN GLOBAL)'!F650</f>
        <v>160</v>
      </c>
      <c r="J650" s="8">
        <f>'[1]VENTAS(RESUMEN GLOBAL)'!G650*(1-'[1]VENTAS(RESUMEN GLOBAL)'!H650)</f>
        <v>56</v>
      </c>
      <c r="K650" s="8">
        <f t="shared" si="10"/>
        <v>104</v>
      </c>
      <c r="L650" s="8">
        <f>+'[1]VENTAS(RESUMEN GLOBAL)'!J650</f>
        <v>11.555555555555555</v>
      </c>
      <c r="M650" s="8">
        <f>+Tabla1[[#This Row],[utilidad x dia]]*7</f>
        <v>80.888888888888886</v>
      </c>
    </row>
    <row r="651" spans="1:13" x14ac:dyDescent="0.3">
      <c r="A651" s="6">
        <f>+'[1]VENTAS(RESUMEN GLOBAL)'!L651</f>
        <v>46065</v>
      </c>
      <c r="B651" s="6" t="str">
        <f>+'[1]VENTAS(RESUMEN GLOBAL)'!M651</f>
        <v>RIVULIS</v>
      </c>
      <c r="C651">
        <f>+'[1]VENTAS(RESUMEN GLOBAL)'!B651</f>
        <v>100200</v>
      </c>
      <c r="D651" t="str">
        <f>INDEX('[1]CÓDIGOS DE PRODUCTO'!$D$3:$D$1000,MATCH(C651,'[1]CÓDIGOS DE PRODUCTO'!$A$3:$A$1000,0))</f>
        <v>50202300 </v>
      </c>
      <c r="E651" t="str">
        <f>VLOOKUP(C651,'[1]CÓDIGOS DE PRODUCTO'!$A$4:$B$156,2,FALSE)</f>
        <v>Agua SAMS</v>
      </c>
      <c r="F651" t="str">
        <f>INDEX('[1]CÓDIGOS DE PRODUCTO'!$C$3:$C$1000,MATCH(C651,'[1]CÓDIGOS DE PRODUCTO'!$A$3:$A$1000,0))</f>
        <v>Bebidas</v>
      </c>
      <c r="G651">
        <f>+'[1]VENTAS(RESUMEN GLOBAL)'!D651-'[1]VENTAS(RESUMEN GLOBAL)'!E651</f>
        <v>2</v>
      </c>
      <c r="H651" s="9">
        <f>+'[1]VENTAS(RESUMEN GLOBAL)'!K651</f>
        <v>1.5555555555555554</v>
      </c>
      <c r="I651" s="8">
        <f>+G651*'[1]VENTAS(RESUMEN GLOBAL)'!F651</f>
        <v>30</v>
      </c>
      <c r="J651" s="8">
        <f>'[1]VENTAS(RESUMEN GLOBAL)'!G651*(1-'[1]VENTAS(RESUMEN GLOBAL)'!H651)</f>
        <v>5.9999999999999982</v>
      </c>
      <c r="K651" s="8">
        <f t="shared" si="10"/>
        <v>24</v>
      </c>
      <c r="L651" s="8">
        <f>+'[1]VENTAS(RESUMEN GLOBAL)'!J651</f>
        <v>2.6666666666666665</v>
      </c>
      <c r="M651" s="8">
        <f>+Tabla1[[#This Row],[utilidad x dia]]*7</f>
        <v>18.666666666666664</v>
      </c>
    </row>
    <row r="652" spans="1:13" x14ac:dyDescent="0.3">
      <c r="A652" s="6">
        <f>+'[1]VENTAS(RESUMEN GLOBAL)'!L652</f>
        <v>46065</v>
      </c>
      <c r="B652" s="6" t="str">
        <f>+'[1]VENTAS(RESUMEN GLOBAL)'!M652</f>
        <v>RIVULIS</v>
      </c>
      <c r="C652">
        <f>+'[1]VENTAS(RESUMEN GLOBAL)'!B652</f>
        <v>100200</v>
      </c>
      <c r="D652" t="str">
        <f>INDEX('[1]CÓDIGOS DE PRODUCTO'!$D$3:$D$1000,MATCH(C652,'[1]CÓDIGOS DE PRODUCTO'!$A$3:$A$1000,0))</f>
        <v>50202300 </v>
      </c>
      <c r="E652" t="str">
        <f>VLOOKUP(C652,'[1]CÓDIGOS DE PRODUCTO'!$A$4:$B$156,2,FALSE)</f>
        <v>Agua SAMS</v>
      </c>
      <c r="F652" t="str">
        <f>INDEX('[1]CÓDIGOS DE PRODUCTO'!$C$3:$C$1000,MATCH(C652,'[1]CÓDIGOS DE PRODUCTO'!$A$3:$A$1000,0))</f>
        <v>Bebidas</v>
      </c>
      <c r="G652">
        <f>+'[1]VENTAS(RESUMEN GLOBAL)'!D652-'[1]VENTAS(RESUMEN GLOBAL)'!E652</f>
        <v>1</v>
      </c>
      <c r="H652" s="9">
        <f>+'[1]VENTAS(RESUMEN GLOBAL)'!K652</f>
        <v>0.77777777777777768</v>
      </c>
      <c r="I652" s="8">
        <f>+G652*'[1]VENTAS(RESUMEN GLOBAL)'!F652</f>
        <v>15</v>
      </c>
      <c r="J652" s="8">
        <f>'[1]VENTAS(RESUMEN GLOBAL)'!G652*(1-'[1]VENTAS(RESUMEN GLOBAL)'!H652)</f>
        <v>2.9999999999999991</v>
      </c>
      <c r="K652" s="8">
        <f t="shared" si="10"/>
        <v>12</v>
      </c>
      <c r="L652" s="8">
        <f>+'[1]VENTAS(RESUMEN GLOBAL)'!J652</f>
        <v>1.3333333333333333</v>
      </c>
      <c r="M652" s="8">
        <f>+Tabla1[[#This Row],[utilidad x dia]]*7</f>
        <v>9.3333333333333321</v>
      </c>
    </row>
    <row r="653" spans="1:13" x14ac:dyDescent="0.3">
      <c r="A653" s="6">
        <f>+'[1]VENTAS(RESUMEN GLOBAL)'!L653</f>
        <v>46065</v>
      </c>
      <c r="B653" s="6" t="str">
        <f>+'[1]VENTAS(RESUMEN GLOBAL)'!M653</f>
        <v>RIVULIS</v>
      </c>
      <c r="C653">
        <f>+'[1]VENTAS(RESUMEN GLOBAL)'!B653</f>
        <v>101000</v>
      </c>
      <c r="D653" t="str">
        <f>INDEX('[1]CÓDIGOS DE PRODUCTO'!$D$3:$D$1000,MATCH(C653,'[1]CÓDIGOS DE PRODUCTO'!$A$3:$A$1000,0))</f>
        <v>50202300 </v>
      </c>
      <c r="E653" t="str">
        <f>VLOOKUP(C653,'[1]CÓDIGOS DE PRODUCTO'!$A$4:$B$156,2,FALSE)</f>
        <v>ARIZONA</v>
      </c>
      <c r="F653" t="str">
        <f>INDEX('[1]CÓDIGOS DE PRODUCTO'!$C$3:$C$1000,MATCH(C653,'[1]CÓDIGOS DE PRODUCTO'!$A$3:$A$1000,0))</f>
        <v>Bebidas</v>
      </c>
      <c r="G653">
        <f>+'[1]VENTAS(RESUMEN GLOBAL)'!D653-'[1]VENTAS(RESUMEN GLOBAL)'!E653</f>
        <v>6</v>
      </c>
      <c r="H653" s="9">
        <f>+'[1]VENTAS(RESUMEN GLOBAL)'!K653</f>
        <v>4.6666666666666661</v>
      </c>
      <c r="I653" s="8">
        <f>+G653*'[1]VENTAS(RESUMEN GLOBAL)'!F653</f>
        <v>120</v>
      </c>
      <c r="J653" s="8">
        <f>'[1]VENTAS(RESUMEN GLOBAL)'!G653*(1-'[1]VENTAS(RESUMEN GLOBAL)'!H653)</f>
        <v>84</v>
      </c>
      <c r="K653" s="8">
        <f t="shared" si="10"/>
        <v>36</v>
      </c>
      <c r="L653" s="8">
        <f>+'[1]VENTAS(RESUMEN GLOBAL)'!J653</f>
        <v>4</v>
      </c>
      <c r="M653" s="8">
        <f>+Tabla1[[#This Row],[utilidad x dia]]*7</f>
        <v>28</v>
      </c>
    </row>
    <row r="654" spans="1:13" x14ac:dyDescent="0.3">
      <c r="A654" s="6">
        <f>+'[1]VENTAS(RESUMEN GLOBAL)'!L654</f>
        <v>46065</v>
      </c>
      <c r="B654" s="6" t="str">
        <f>+'[1]VENTAS(RESUMEN GLOBAL)'!M654</f>
        <v>RIVULIS</v>
      </c>
      <c r="C654">
        <f>+'[1]VENTAS(RESUMEN GLOBAL)'!B654</f>
        <v>801500</v>
      </c>
      <c r="D654" t="str">
        <f>INDEX('[1]CÓDIGOS DE PRODUCTO'!$D$3:$D$1000,MATCH(C654,'[1]CÓDIGOS DE PRODUCTO'!$A$3:$A$1000,0))</f>
        <v>50181900 </v>
      </c>
      <c r="E654" t="str">
        <f>VLOOKUP(C654,'[1]CÓDIGOS DE PRODUCTO'!$A$4:$B$156,2,FALSE)</f>
        <v>VUALÁ BIG</v>
      </c>
      <c r="F654" t="str">
        <f>INDEX('[1]CÓDIGOS DE PRODUCTO'!$C$3:$C$1000,MATCH(C654,'[1]CÓDIGOS DE PRODUCTO'!$A$3:$A$1000,0))</f>
        <v>GALLETAS Y PAN DULCE</v>
      </c>
      <c r="G654">
        <f>+'[1]VENTAS(RESUMEN GLOBAL)'!D654-'[1]VENTAS(RESUMEN GLOBAL)'!E654</f>
        <v>12</v>
      </c>
      <c r="H654" s="9">
        <f>+'[1]VENTAS(RESUMEN GLOBAL)'!K654</f>
        <v>9.3333333333333321</v>
      </c>
      <c r="I654" s="8">
        <f>+G654*'[1]VENTAS(RESUMEN GLOBAL)'!F654</f>
        <v>300</v>
      </c>
      <c r="J654" s="8">
        <f>'[1]VENTAS(RESUMEN GLOBAL)'!G654*(1-'[1]VENTAS(RESUMEN GLOBAL)'!H654)</f>
        <v>120</v>
      </c>
      <c r="K654" s="8">
        <f t="shared" si="10"/>
        <v>180</v>
      </c>
      <c r="L654" s="8">
        <f>+'[1]VENTAS(RESUMEN GLOBAL)'!J654</f>
        <v>20</v>
      </c>
      <c r="M654" s="8">
        <f>+Tabla1[[#This Row],[utilidad x dia]]*7</f>
        <v>140</v>
      </c>
    </row>
    <row r="655" spans="1:13" x14ac:dyDescent="0.3">
      <c r="A655" s="6">
        <f>+'[1]VENTAS(RESUMEN GLOBAL)'!L655</f>
        <v>46065</v>
      </c>
      <c r="B655" s="6" t="str">
        <f>+'[1]VENTAS(RESUMEN GLOBAL)'!M655</f>
        <v>RIVULIS</v>
      </c>
      <c r="C655">
        <f>+'[1]VENTAS(RESUMEN GLOBAL)'!B655</f>
        <v>100800</v>
      </c>
      <c r="D655" t="str">
        <f>INDEX('[1]CÓDIGOS DE PRODUCTO'!$D$3:$D$1000,MATCH(C655,'[1]CÓDIGOS DE PRODUCTO'!$A$3:$A$1000,0))</f>
        <v>50202300 </v>
      </c>
      <c r="E655" t="str">
        <f>VLOOKUP(C655,'[1]CÓDIGOS DE PRODUCTO'!$A$4:$B$156,2,FALSE)</f>
        <v>TÉ VERDE KIRKLAND</v>
      </c>
      <c r="F655" t="str">
        <f>INDEX('[1]CÓDIGOS DE PRODUCTO'!$C$3:$C$1000,MATCH(C655,'[1]CÓDIGOS DE PRODUCTO'!$A$3:$A$1000,0))</f>
        <v>Bebidas</v>
      </c>
      <c r="G655">
        <f>+'[1]VENTAS(RESUMEN GLOBAL)'!D655-'[1]VENTAS(RESUMEN GLOBAL)'!E655</f>
        <v>0</v>
      </c>
      <c r="H655" s="9">
        <f>+'[1]VENTAS(RESUMEN GLOBAL)'!K655</f>
        <v>0</v>
      </c>
      <c r="I655" s="8">
        <f>+G655*'[1]VENTAS(RESUMEN GLOBAL)'!F655</f>
        <v>0</v>
      </c>
      <c r="J655" s="8">
        <f>'[1]VENTAS(RESUMEN GLOBAL)'!G655*(1-'[1]VENTAS(RESUMEN GLOBAL)'!H655)</f>
        <v>0</v>
      </c>
      <c r="K655" s="8">
        <f t="shared" si="10"/>
        <v>0</v>
      </c>
      <c r="L655" s="8">
        <f>+'[1]VENTAS(RESUMEN GLOBAL)'!J655</f>
        <v>0</v>
      </c>
      <c r="M655" s="8">
        <f>+Tabla1[[#This Row],[utilidad x dia]]*7</f>
        <v>0</v>
      </c>
    </row>
    <row r="656" spans="1:13" x14ac:dyDescent="0.3">
      <c r="A656" s="6">
        <f>+'[1]VENTAS(RESUMEN GLOBAL)'!L656</f>
        <v>46065</v>
      </c>
      <c r="B656" s="6" t="str">
        <f>+'[1]VENTAS(RESUMEN GLOBAL)'!M656</f>
        <v>RIVULIS</v>
      </c>
      <c r="C656">
        <f>+'[1]VENTAS(RESUMEN GLOBAL)'!B656</f>
        <v>800100</v>
      </c>
      <c r="D656" t="str">
        <f>INDEX('[1]CÓDIGOS DE PRODUCTO'!$D$3:$D$1000,MATCH(C656,'[1]CÓDIGOS DE PRODUCTO'!$A$3:$A$1000,0))</f>
        <v>50181900 </v>
      </c>
      <c r="E656" t="str">
        <f>VLOOKUP(C656,'[1]CÓDIGOS DE PRODUCTO'!$A$4:$B$156,2,FALSE)</f>
        <v>MARINELA MIX (8 PZ)</v>
      </c>
      <c r="F656" t="str">
        <f>INDEX('[1]CÓDIGOS DE PRODUCTO'!$C$3:$C$1000,MATCH(C656,'[1]CÓDIGOS DE PRODUCTO'!$A$3:$A$1000,0))</f>
        <v>GALLETAS Y PAN DULCE</v>
      </c>
      <c r="G656">
        <f>+'[1]VENTAS(RESUMEN GLOBAL)'!D656-'[1]VENTAS(RESUMEN GLOBAL)'!E656</f>
        <v>6</v>
      </c>
      <c r="H656" s="9">
        <f>+'[1]VENTAS(RESUMEN GLOBAL)'!K656</f>
        <v>4.6666666666666661</v>
      </c>
      <c r="I656" s="8">
        <f>+G656*'[1]VENTAS(RESUMEN GLOBAL)'!F656</f>
        <v>150</v>
      </c>
      <c r="J656" s="8">
        <f>'[1]VENTAS(RESUMEN GLOBAL)'!G656*(1-'[1]VENTAS(RESUMEN GLOBAL)'!H656)</f>
        <v>75</v>
      </c>
      <c r="K656" s="8">
        <f t="shared" si="10"/>
        <v>75</v>
      </c>
      <c r="L656" s="8">
        <f>+'[1]VENTAS(RESUMEN GLOBAL)'!J656</f>
        <v>8.3333333333333339</v>
      </c>
      <c r="M656" s="8">
        <f>+Tabla1[[#This Row],[utilidad x dia]]*7</f>
        <v>58.333333333333336</v>
      </c>
    </row>
    <row r="657" spans="1:13" x14ac:dyDescent="0.3">
      <c r="A657" s="6">
        <f>+'[1]VENTAS(RESUMEN GLOBAL)'!L657</f>
        <v>46065</v>
      </c>
      <c r="B657" s="6" t="str">
        <f>+'[1]VENTAS(RESUMEN GLOBAL)'!M657</f>
        <v>RIVULIS</v>
      </c>
      <c r="C657">
        <f>+'[1]VENTAS(RESUMEN GLOBAL)'!B657</f>
        <v>100300</v>
      </c>
      <c r="D657" t="str">
        <f>INDEX('[1]CÓDIGOS DE PRODUCTO'!$D$3:$D$1000,MATCH(C657,'[1]CÓDIGOS DE PRODUCTO'!$A$3:$A$1000,0))</f>
        <v>50202300 </v>
      </c>
      <c r="E657" t="str">
        <f>VLOOKUP(C657,'[1]CÓDIGOS DE PRODUCTO'!$A$4:$B$156,2,FALSE)</f>
        <v>Gatorade</v>
      </c>
      <c r="F657" t="str">
        <f>INDEX('[1]CÓDIGOS DE PRODUCTO'!$C$3:$C$1000,MATCH(C657,'[1]CÓDIGOS DE PRODUCTO'!$A$3:$A$1000,0))</f>
        <v>Bebidas</v>
      </c>
      <c r="G657">
        <f>+'[1]VENTAS(RESUMEN GLOBAL)'!D657-'[1]VENTAS(RESUMEN GLOBAL)'!E657</f>
        <v>4</v>
      </c>
      <c r="H657" s="9">
        <f>+'[1]VENTAS(RESUMEN GLOBAL)'!K657</f>
        <v>3.1111111111111107</v>
      </c>
      <c r="I657" s="8">
        <f>+G657*'[1]VENTAS(RESUMEN GLOBAL)'!F657</f>
        <v>80</v>
      </c>
      <c r="J657" s="8">
        <f>'[1]VENTAS(RESUMEN GLOBAL)'!G657*(1-'[1]VENTAS(RESUMEN GLOBAL)'!H657)</f>
        <v>44</v>
      </c>
      <c r="K657" s="8">
        <f t="shared" si="10"/>
        <v>36</v>
      </c>
      <c r="L657" s="8">
        <f>+'[1]VENTAS(RESUMEN GLOBAL)'!J657</f>
        <v>4</v>
      </c>
      <c r="M657" s="8">
        <f>+Tabla1[[#This Row],[utilidad x dia]]*7</f>
        <v>28</v>
      </c>
    </row>
    <row r="658" spans="1:13" x14ac:dyDescent="0.3">
      <c r="A658" s="6">
        <f>+'[1]VENTAS(RESUMEN GLOBAL)'!L658</f>
        <v>0</v>
      </c>
      <c r="B658" s="6">
        <f>+'[1]VENTAS(RESUMEN GLOBAL)'!M658</f>
        <v>0</v>
      </c>
      <c r="C658">
        <f>+'[1]VENTAS(RESUMEN GLOBAL)'!B658</f>
        <v>0</v>
      </c>
      <c r="D658" t="e">
        <f>INDEX('[1]CÓDIGOS DE PRODUCTO'!$D$3:$D$1000,MATCH(C658,'[1]CÓDIGOS DE PRODUCTO'!$A$3:$A$1000,0))</f>
        <v>#N/A</v>
      </c>
      <c r="E658">
        <f>VLOOKUP(C658,'[1]CÓDIGOS DE PRODUCTO'!$A$4:$B$156,2,FALSE)</f>
        <v>0</v>
      </c>
      <c r="F658">
        <f>INDEX('[1]CÓDIGOS DE PRODUCTO'!$C$3:$C$1000,MATCH(C658,'[1]CÓDIGOS DE PRODUCTO'!$A$3:$A$1000,0))</f>
        <v>0</v>
      </c>
      <c r="G658">
        <f>+'[1]VENTAS(RESUMEN GLOBAL)'!D658-'[1]VENTAS(RESUMEN GLOBAL)'!E658</f>
        <v>0</v>
      </c>
      <c r="H658" s="9">
        <f>+'[1]VENTAS(RESUMEN GLOBAL)'!K658</f>
        <v>0</v>
      </c>
      <c r="I658" s="8">
        <f>+G658*'[1]VENTAS(RESUMEN GLOBAL)'!F658</f>
        <v>0</v>
      </c>
      <c r="J658" s="8">
        <f>'[1]VENTAS(RESUMEN GLOBAL)'!G658*(1-'[1]VENTAS(RESUMEN GLOBAL)'!H658)</f>
        <v>0</v>
      </c>
      <c r="K658" s="8">
        <f t="shared" si="10"/>
        <v>0</v>
      </c>
      <c r="L658" s="8">
        <f>+'[1]VENTAS(RESUMEN GLOBAL)'!J658</f>
        <v>0</v>
      </c>
      <c r="M658" s="8">
        <f>+Tabla1[[#This Row],[utilidad x dia]]*7</f>
        <v>0</v>
      </c>
    </row>
    <row r="659" spans="1:13" x14ac:dyDescent="0.3">
      <c r="A659" s="6">
        <f>+'[1]VENTAS(RESUMEN GLOBAL)'!L659</f>
        <v>46066</v>
      </c>
      <c r="B659" s="6" t="str">
        <f>+'[1]VENTAS(RESUMEN GLOBAL)'!M659</f>
        <v>AUTO SPA</v>
      </c>
      <c r="C659">
        <f>+'[1]VENTAS(RESUMEN GLOBAL)'!B659</f>
        <v>600102</v>
      </c>
      <c r="D659" t="str">
        <f>INDEX('[1]CÓDIGOS DE PRODUCTO'!$D$3:$D$1000,MATCH(C659,'[1]CÓDIGOS DE PRODUCTO'!$A$3:$A$1000,0))</f>
        <v>50192109 </v>
      </c>
      <c r="E659" t="str">
        <f>VLOOKUP(C659,'[1]CÓDIGOS DE PRODUCTO'!$A$4:$B$156,2,FALSE)</f>
        <v>RUNNERS</v>
      </c>
      <c r="F659" t="str">
        <f>INDEX('[1]CÓDIGOS DE PRODUCTO'!$C$3:$C$1000,MATCH(C659,'[1]CÓDIGOS DE PRODUCTO'!$A$3:$A$1000,0))</f>
        <v>Papas fritas</v>
      </c>
      <c r="G659">
        <f>+'[1]VENTAS(RESUMEN GLOBAL)'!D659-'[1]VENTAS(RESUMEN GLOBAL)'!E659</f>
        <v>0</v>
      </c>
      <c r="H659" s="9">
        <f>+'[1]VENTAS(RESUMEN GLOBAL)'!K659</f>
        <v>0</v>
      </c>
      <c r="I659" s="8">
        <f>+G659*'[1]VENTAS(RESUMEN GLOBAL)'!F659</f>
        <v>0</v>
      </c>
      <c r="J659" s="8">
        <f>'[1]VENTAS(RESUMEN GLOBAL)'!G659*(1-'[1]VENTAS(RESUMEN GLOBAL)'!H659)</f>
        <v>0</v>
      </c>
      <c r="K659" s="8">
        <f t="shared" si="10"/>
        <v>0</v>
      </c>
      <c r="L659" s="8">
        <f>+'[1]VENTAS(RESUMEN GLOBAL)'!J659</f>
        <v>0</v>
      </c>
      <c r="M659" s="8">
        <f>+Tabla1[[#This Row],[utilidad x dia]]*7</f>
        <v>0</v>
      </c>
    </row>
    <row r="660" spans="1:13" x14ac:dyDescent="0.3">
      <c r="A660" s="6">
        <f>+'[1]VENTAS(RESUMEN GLOBAL)'!L660</f>
        <v>46066</v>
      </c>
      <c r="B660" s="6" t="str">
        <f>+'[1]VENTAS(RESUMEN GLOBAL)'!M660</f>
        <v>AUTO SPA</v>
      </c>
      <c r="C660">
        <f>+'[1]VENTAS(RESUMEN GLOBAL)'!B660</f>
        <v>6005103</v>
      </c>
      <c r="D660" t="str">
        <f>INDEX('[1]CÓDIGOS DE PRODUCTO'!$D$3:$D$1000,MATCH(C660,'[1]CÓDIGOS DE PRODUCTO'!$A$3:$A$1000,0))</f>
        <v>50192109 </v>
      </c>
      <c r="E660" t="str">
        <f>VLOOKUP(C660,'[1]CÓDIGOS DE PRODUCTO'!$A$4:$B$156,2,FALSE)</f>
        <v>DORITOS ROJOS</v>
      </c>
      <c r="F660" t="str">
        <f>INDEX('[1]CÓDIGOS DE PRODUCTO'!$C$3:$C$1000,MATCH(C660,'[1]CÓDIGOS DE PRODUCTO'!$A$3:$A$1000,0))</f>
        <v>Papas fritas</v>
      </c>
      <c r="G660">
        <f>+'[1]VENTAS(RESUMEN GLOBAL)'!D660-'[1]VENTAS(RESUMEN GLOBAL)'!E660</f>
        <v>2</v>
      </c>
      <c r="H660" s="9">
        <f>+'[1]VENTAS(RESUMEN GLOBAL)'!K660</f>
        <v>2</v>
      </c>
      <c r="I660" s="8">
        <f>+G660*'[1]VENTAS(RESUMEN GLOBAL)'!F660</f>
        <v>50</v>
      </c>
      <c r="J660" s="8">
        <f>'[1]VENTAS(RESUMEN GLOBAL)'!G660*(1-'[1]VENTAS(RESUMEN GLOBAL)'!H660)</f>
        <v>17</v>
      </c>
      <c r="K660" s="8">
        <f t="shared" si="10"/>
        <v>33</v>
      </c>
      <c r="L660" s="8">
        <f>+'[1]VENTAS(RESUMEN GLOBAL)'!J660</f>
        <v>4.7142857142857144</v>
      </c>
      <c r="M660" s="8">
        <f>+Tabla1[[#This Row],[utilidad x dia]]*7</f>
        <v>33</v>
      </c>
    </row>
    <row r="661" spans="1:13" x14ac:dyDescent="0.3">
      <c r="A661" s="6">
        <f>+'[1]VENTAS(RESUMEN GLOBAL)'!L661</f>
        <v>46066</v>
      </c>
      <c r="B661" s="6" t="str">
        <f>+'[1]VENTAS(RESUMEN GLOBAL)'!M661</f>
        <v>AUTO SPA</v>
      </c>
      <c r="C661">
        <f>+'[1]VENTAS(RESUMEN GLOBAL)'!B661</f>
        <v>6005101</v>
      </c>
      <c r="D661" t="str">
        <f>INDEX('[1]CÓDIGOS DE PRODUCTO'!$D$3:$D$1000,MATCH(C661,'[1]CÓDIGOS DE PRODUCTO'!$A$3:$A$1000,0))</f>
        <v>50192109 </v>
      </c>
      <c r="E661" t="str">
        <f>VLOOKUP(C661,'[1]CÓDIGOS DE PRODUCTO'!$A$4:$B$156,2,FALSE)</f>
        <v>SABRITAS AMARILLAS</v>
      </c>
      <c r="F661" t="str">
        <f>INDEX('[1]CÓDIGOS DE PRODUCTO'!$C$3:$C$1000,MATCH(C661,'[1]CÓDIGOS DE PRODUCTO'!$A$3:$A$1000,0))</f>
        <v>Papas fritas</v>
      </c>
      <c r="G661">
        <f>+'[1]VENTAS(RESUMEN GLOBAL)'!D661-'[1]VENTAS(RESUMEN GLOBAL)'!E661</f>
        <v>3</v>
      </c>
      <c r="H661" s="9">
        <f>+'[1]VENTAS(RESUMEN GLOBAL)'!K661</f>
        <v>3</v>
      </c>
      <c r="I661" s="8">
        <f>+G661*'[1]VENTAS(RESUMEN GLOBAL)'!F661</f>
        <v>75</v>
      </c>
      <c r="J661" s="8">
        <f>'[1]VENTAS(RESUMEN GLOBAL)'!G661*(1-'[1]VENTAS(RESUMEN GLOBAL)'!H661)</f>
        <v>25.499999999999996</v>
      </c>
      <c r="K661" s="8">
        <f t="shared" si="10"/>
        <v>49.5</v>
      </c>
      <c r="L661" s="8">
        <f>+'[1]VENTAS(RESUMEN GLOBAL)'!J661</f>
        <v>7.0714285714285712</v>
      </c>
      <c r="M661" s="8">
        <f>+Tabla1[[#This Row],[utilidad x dia]]*7</f>
        <v>49.5</v>
      </c>
    </row>
    <row r="662" spans="1:13" x14ac:dyDescent="0.3">
      <c r="A662" s="6">
        <f>+'[1]VENTAS(RESUMEN GLOBAL)'!L662</f>
        <v>46066</v>
      </c>
      <c r="B662" s="6" t="str">
        <f>+'[1]VENTAS(RESUMEN GLOBAL)'!M662</f>
        <v>AUTO SPA</v>
      </c>
      <c r="C662">
        <f>+'[1]VENTAS(RESUMEN GLOBAL)'!B662</f>
        <v>600600</v>
      </c>
      <c r="D662" t="str">
        <f>INDEX('[1]CÓDIGOS DE PRODUCTO'!$D$3:$D$1000,MATCH(C662,'[1]CÓDIGOS DE PRODUCTO'!$A$3:$A$1000,0))</f>
        <v>50192109 </v>
      </c>
      <c r="E662" t="str">
        <f>VLOOKUP(C662,'[1]CÓDIGOS DE PRODUCTO'!$A$4:$B$156,2,FALSE)</f>
        <v>CHICHARRON SURTIDO</v>
      </c>
      <c r="F662" t="str">
        <f>INDEX('[1]CÓDIGOS DE PRODUCTO'!$C$3:$C$1000,MATCH(C662,'[1]CÓDIGOS DE PRODUCTO'!$A$3:$A$1000,0))</f>
        <v>Papas fritas</v>
      </c>
      <c r="G662">
        <f>+'[1]VENTAS(RESUMEN GLOBAL)'!D662-'[1]VENTAS(RESUMEN GLOBAL)'!E662</f>
        <v>0</v>
      </c>
      <c r="H662" s="9">
        <f>+'[1]VENTAS(RESUMEN GLOBAL)'!K662</f>
        <v>0</v>
      </c>
      <c r="I662" s="8">
        <f>+G662*'[1]VENTAS(RESUMEN GLOBAL)'!F662</f>
        <v>0</v>
      </c>
      <c r="J662" s="8">
        <f>'[1]VENTAS(RESUMEN GLOBAL)'!G662*(1-'[1]VENTAS(RESUMEN GLOBAL)'!H662)</f>
        <v>0</v>
      </c>
      <c r="K662" s="8">
        <f t="shared" si="10"/>
        <v>0</v>
      </c>
      <c r="L662" s="8">
        <f>+'[1]VENTAS(RESUMEN GLOBAL)'!J662</f>
        <v>0</v>
      </c>
      <c r="M662" s="8">
        <f>+Tabla1[[#This Row],[utilidad x dia]]*7</f>
        <v>0</v>
      </c>
    </row>
    <row r="663" spans="1:13" x14ac:dyDescent="0.3">
      <c r="A663" s="6">
        <f>+'[1]VENTAS(RESUMEN GLOBAL)'!L663</f>
        <v>46066</v>
      </c>
      <c r="B663" s="6" t="str">
        <f>+'[1]VENTAS(RESUMEN GLOBAL)'!M663</f>
        <v>AUTO SPA</v>
      </c>
      <c r="C663">
        <f>+'[1]VENTAS(RESUMEN GLOBAL)'!B663</f>
        <v>600400</v>
      </c>
      <c r="D663" t="str">
        <f>INDEX('[1]CÓDIGOS DE PRODUCTO'!$D$3:$D$1000,MATCH(C663,'[1]CÓDIGOS DE PRODUCTO'!$A$3:$A$1000,0))</f>
        <v>50192109 </v>
      </c>
      <c r="E663" t="str">
        <f>VLOOKUP(C663,'[1]CÓDIGOS DE PRODUCTO'!$A$4:$B$156,2,FALSE)</f>
        <v>FRITOS (CHORIZO U OTROS)</v>
      </c>
      <c r="F663" t="str">
        <f>INDEX('[1]CÓDIGOS DE PRODUCTO'!$C$3:$C$1000,MATCH(C663,'[1]CÓDIGOS DE PRODUCTO'!$A$3:$A$1000,0))</f>
        <v>Papas fritas</v>
      </c>
      <c r="G663">
        <f>+'[1]VENTAS(RESUMEN GLOBAL)'!D663-'[1]VENTAS(RESUMEN GLOBAL)'!E663</f>
        <v>4</v>
      </c>
      <c r="H663" s="9">
        <f>+'[1]VENTAS(RESUMEN GLOBAL)'!K663</f>
        <v>4</v>
      </c>
      <c r="I663" s="8">
        <f>+G663*'[1]VENTAS(RESUMEN GLOBAL)'!F663</f>
        <v>80</v>
      </c>
      <c r="J663" s="8">
        <f>'[1]VENTAS(RESUMEN GLOBAL)'!G663*(1-'[1]VENTAS(RESUMEN GLOBAL)'!H663)</f>
        <v>32.800000000000004</v>
      </c>
      <c r="K663" s="8">
        <f t="shared" si="10"/>
        <v>47.199999999999996</v>
      </c>
      <c r="L663" s="8">
        <f>+'[1]VENTAS(RESUMEN GLOBAL)'!J663</f>
        <v>6.742857142857142</v>
      </c>
      <c r="M663" s="8">
        <f>+Tabla1[[#This Row],[utilidad x dia]]*7</f>
        <v>47.199999999999996</v>
      </c>
    </row>
    <row r="664" spans="1:13" x14ac:dyDescent="0.3">
      <c r="A664" s="6">
        <f>+'[1]VENTAS(RESUMEN GLOBAL)'!L664</f>
        <v>46066</v>
      </c>
      <c r="B664" s="6" t="str">
        <f>+'[1]VENTAS(RESUMEN GLOBAL)'!M664</f>
        <v>AUTO SPA</v>
      </c>
      <c r="C664">
        <f>+'[1]VENTAS(RESUMEN GLOBAL)'!B664</f>
        <v>600300</v>
      </c>
      <c r="D664" t="str">
        <f>INDEX('[1]CÓDIGOS DE PRODUCTO'!$D$3:$D$1000,MATCH(C664,'[1]CÓDIGOS DE PRODUCTO'!$A$3:$A$1000,0))</f>
        <v>50192109 </v>
      </c>
      <c r="E664" t="str">
        <f>VLOOKUP(C664,'[1]CÓDIGOS DE PRODUCTO'!$A$4:$B$156,2,FALSE)</f>
        <v>TAKIS FUEGO</v>
      </c>
      <c r="F664" t="str">
        <f>INDEX('[1]CÓDIGOS DE PRODUCTO'!$C$3:$C$1000,MATCH(C664,'[1]CÓDIGOS DE PRODUCTO'!$A$3:$A$1000,0))</f>
        <v>Papas fritas</v>
      </c>
      <c r="G664">
        <f>+'[1]VENTAS(RESUMEN GLOBAL)'!D664-'[1]VENTAS(RESUMEN GLOBAL)'!E664</f>
        <v>5</v>
      </c>
      <c r="H664" s="9">
        <f>+'[1]VENTAS(RESUMEN GLOBAL)'!K664</f>
        <v>5</v>
      </c>
      <c r="I664" s="8">
        <f>+G664*'[1]VENTAS(RESUMEN GLOBAL)'!F664</f>
        <v>125</v>
      </c>
      <c r="J664" s="8">
        <f>'[1]VENTAS(RESUMEN GLOBAL)'!G664*(1-'[1]VENTAS(RESUMEN GLOBAL)'!H664)</f>
        <v>51.250000000000007</v>
      </c>
      <c r="K664" s="8">
        <f t="shared" si="10"/>
        <v>73.75</v>
      </c>
      <c r="L664" s="8">
        <f>+'[1]VENTAS(RESUMEN GLOBAL)'!J664</f>
        <v>10.535714285714286</v>
      </c>
      <c r="M664" s="8">
        <f>+Tabla1[[#This Row],[utilidad x dia]]*7</f>
        <v>73.75</v>
      </c>
    </row>
    <row r="665" spans="1:13" x14ac:dyDescent="0.3">
      <c r="A665" s="6">
        <f>+'[1]VENTAS(RESUMEN GLOBAL)'!L665</f>
        <v>46066</v>
      </c>
      <c r="B665" s="6" t="str">
        <f>+'[1]VENTAS(RESUMEN GLOBAL)'!M665</f>
        <v>AUTO SPA</v>
      </c>
      <c r="C665">
        <f>+'[1]VENTAS(RESUMEN GLOBAL)'!B665</f>
        <v>600103</v>
      </c>
      <c r="D665" t="str">
        <f>INDEX('[1]CÓDIGOS DE PRODUCTO'!$D$3:$D$1000,MATCH(C665,'[1]CÓDIGOS DE PRODUCTO'!$A$3:$A$1000,0))</f>
        <v>50192109 </v>
      </c>
      <c r="E665" t="str">
        <f>VLOOKUP(C665,'[1]CÓDIGOS DE PRODUCTO'!$A$4:$B$156,2,FALSE)</f>
        <v>CHIPS FUEGO</v>
      </c>
      <c r="F665" t="str">
        <f>INDEX('[1]CÓDIGOS DE PRODUCTO'!$C$3:$C$1000,MATCH(C665,'[1]CÓDIGOS DE PRODUCTO'!$A$3:$A$1000,0))</f>
        <v>Papas fritas</v>
      </c>
      <c r="G665">
        <f>+'[1]VENTAS(RESUMEN GLOBAL)'!D665-'[1]VENTAS(RESUMEN GLOBAL)'!E665</f>
        <v>0</v>
      </c>
      <c r="H665" s="9">
        <f>+'[1]VENTAS(RESUMEN GLOBAL)'!K665</f>
        <v>0</v>
      </c>
      <c r="I665" s="8">
        <f>+G665*'[1]VENTAS(RESUMEN GLOBAL)'!F665</f>
        <v>0</v>
      </c>
      <c r="J665" s="8">
        <f>'[1]VENTAS(RESUMEN GLOBAL)'!G665*(1-'[1]VENTAS(RESUMEN GLOBAL)'!H665)</f>
        <v>0</v>
      </c>
      <c r="K665" s="8">
        <f t="shared" si="10"/>
        <v>0</v>
      </c>
      <c r="L665" s="8">
        <f>+'[1]VENTAS(RESUMEN GLOBAL)'!J665</f>
        <v>0</v>
      </c>
      <c r="M665" s="8">
        <f>+Tabla1[[#This Row],[utilidad x dia]]*7</f>
        <v>0</v>
      </c>
    </row>
    <row r="666" spans="1:13" x14ac:dyDescent="0.3">
      <c r="A666" s="6">
        <f>+'[1]VENTAS(RESUMEN GLOBAL)'!L666</f>
        <v>46066</v>
      </c>
      <c r="B666" s="6" t="str">
        <f>+'[1]VENTAS(RESUMEN GLOBAL)'!M666</f>
        <v>AUTO SPA</v>
      </c>
      <c r="C666">
        <f>+'[1]VENTAS(RESUMEN GLOBAL)'!B666</f>
        <v>600101</v>
      </c>
      <c r="D666" t="str">
        <f>INDEX('[1]CÓDIGOS DE PRODUCTO'!$D$3:$D$1000,MATCH(C666,'[1]CÓDIGOS DE PRODUCTO'!$A$3:$A$1000,0))</f>
        <v>50192109 </v>
      </c>
      <c r="E666" t="str">
        <f>VLOOKUP(C666,'[1]CÓDIGOS DE PRODUCTO'!$A$4:$B$156,2,FALSE)</f>
        <v>CHIPS VERDES</v>
      </c>
      <c r="F666" t="str">
        <f>INDEX('[1]CÓDIGOS DE PRODUCTO'!$C$3:$C$1000,MATCH(C666,'[1]CÓDIGOS DE PRODUCTO'!$A$3:$A$1000,0))</f>
        <v>Papas fritas</v>
      </c>
      <c r="G666">
        <f>+'[1]VENTAS(RESUMEN GLOBAL)'!D666-'[1]VENTAS(RESUMEN GLOBAL)'!E666</f>
        <v>4</v>
      </c>
      <c r="H666" s="9">
        <f>+'[1]VENTAS(RESUMEN GLOBAL)'!K666</f>
        <v>4</v>
      </c>
      <c r="I666" s="8">
        <f>+G666*'[1]VENTAS(RESUMEN GLOBAL)'!F666</f>
        <v>100</v>
      </c>
      <c r="J666" s="8">
        <f>'[1]VENTAS(RESUMEN GLOBAL)'!G666*(1-'[1]VENTAS(RESUMEN GLOBAL)'!H666)</f>
        <v>36</v>
      </c>
      <c r="K666" s="8">
        <f t="shared" si="10"/>
        <v>64</v>
      </c>
      <c r="L666" s="8">
        <f>+'[1]VENTAS(RESUMEN GLOBAL)'!J666</f>
        <v>9.1428571428571423</v>
      </c>
      <c r="M666" s="8">
        <f>+Tabla1[[#This Row],[utilidad x dia]]*7</f>
        <v>64</v>
      </c>
    </row>
    <row r="667" spans="1:13" x14ac:dyDescent="0.3">
      <c r="A667" s="6">
        <f>+'[1]VENTAS(RESUMEN GLOBAL)'!L667</f>
        <v>46066</v>
      </c>
      <c r="B667" s="6" t="str">
        <f>+'[1]VENTAS(RESUMEN GLOBAL)'!M667</f>
        <v>AUTO SPA</v>
      </c>
      <c r="C667">
        <f>+'[1]VENTAS(RESUMEN GLOBAL)'!B667</f>
        <v>800900</v>
      </c>
      <c r="D667" t="str">
        <f>INDEX('[1]CÓDIGOS DE PRODUCTO'!$D$3:$D$1000,MATCH(C667,'[1]CÓDIGOS DE PRODUCTO'!$A$3:$A$1000,0))</f>
        <v>50181900 </v>
      </c>
      <c r="E667" t="str">
        <f>VLOOKUP(C667,'[1]CÓDIGOS DE PRODUCTO'!$A$4:$B$156,2,FALSE)</f>
        <v>MANTECADAS</v>
      </c>
      <c r="F667" t="str">
        <f>INDEX('[1]CÓDIGOS DE PRODUCTO'!$C$3:$C$1000,MATCH(C667,'[1]CÓDIGOS DE PRODUCTO'!$A$3:$A$1000,0))</f>
        <v>GALLETAS Y PAN DULCE</v>
      </c>
      <c r="G667">
        <f>+'[1]VENTAS(RESUMEN GLOBAL)'!D667-'[1]VENTAS(RESUMEN GLOBAL)'!E667</f>
        <v>4</v>
      </c>
      <c r="H667" s="9">
        <f>+'[1]VENTAS(RESUMEN GLOBAL)'!K667</f>
        <v>4</v>
      </c>
      <c r="I667" s="8">
        <f>+G667*'[1]VENTAS(RESUMEN GLOBAL)'!F667</f>
        <v>80</v>
      </c>
      <c r="J667" s="8">
        <f>'[1]VENTAS(RESUMEN GLOBAL)'!G667*(1-'[1]VENTAS(RESUMEN GLOBAL)'!H667)</f>
        <v>39.200000000000003</v>
      </c>
      <c r="K667" s="8">
        <f t="shared" si="10"/>
        <v>40.799999999999997</v>
      </c>
      <c r="L667" s="8">
        <f>+'[1]VENTAS(RESUMEN GLOBAL)'!J667</f>
        <v>5.8285714285714283</v>
      </c>
      <c r="M667" s="8">
        <f>+Tabla1[[#This Row],[utilidad x dia]]*7</f>
        <v>40.799999999999997</v>
      </c>
    </row>
    <row r="668" spans="1:13" x14ac:dyDescent="0.3">
      <c r="A668" s="6">
        <f>+'[1]VENTAS(RESUMEN GLOBAL)'!L668</f>
        <v>46066</v>
      </c>
      <c r="B668" s="6" t="str">
        <f>+'[1]VENTAS(RESUMEN GLOBAL)'!M668</f>
        <v>AUTO SPA</v>
      </c>
      <c r="C668">
        <f>+'[1]VENTAS(RESUMEN GLOBAL)'!B668</f>
        <v>801500</v>
      </c>
      <c r="D668" t="str">
        <f>INDEX('[1]CÓDIGOS DE PRODUCTO'!$D$3:$D$1000,MATCH(C668,'[1]CÓDIGOS DE PRODUCTO'!$A$3:$A$1000,0))</f>
        <v>50181900 </v>
      </c>
      <c r="E668" t="str">
        <f>VLOOKUP(C668,'[1]CÓDIGOS DE PRODUCTO'!$A$4:$B$156,2,FALSE)</f>
        <v>VUALÁ BIG</v>
      </c>
      <c r="F668" t="str">
        <f>INDEX('[1]CÓDIGOS DE PRODUCTO'!$C$3:$C$1000,MATCH(C668,'[1]CÓDIGOS DE PRODUCTO'!$A$3:$A$1000,0))</f>
        <v>GALLETAS Y PAN DULCE</v>
      </c>
      <c r="G668">
        <f>+'[1]VENTAS(RESUMEN GLOBAL)'!D668-'[1]VENTAS(RESUMEN GLOBAL)'!E668</f>
        <v>9</v>
      </c>
      <c r="H668" s="9">
        <f>+'[1]VENTAS(RESUMEN GLOBAL)'!K668</f>
        <v>9</v>
      </c>
      <c r="I668" s="8">
        <f>+G668*'[1]VENTAS(RESUMEN GLOBAL)'!F668</f>
        <v>207</v>
      </c>
      <c r="J668" s="8">
        <f>'[1]VENTAS(RESUMEN GLOBAL)'!G668*(1-'[1]VENTAS(RESUMEN GLOBAL)'!H668)</f>
        <v>94.5</v>
      </c>
      <c r="K668" s="8">
        <f t="shared" si="10"/>
        <v>112.5</v>
      </c>
      <c r="L668" s="8">
        <f>+'[1]VENTAS(RESUMEN GLOBAL)'!J668</f>
        <v>16.071428571428573</v>
      </c>
      <c r="M668" s="8">
        <f>+Tabla1[[#This Row],[utilidad x dia]]*7</f>
        <v>112.50000000000001</v>
      </c>
    </row>
    <row r="669" spans="1:13" x14ac:dyDescent="0.3">
      <c r="A669" s="6">
        <f>+'[1]VENTAS(RESUMEN GLOBAL)'!L669</f>
        <v>46066</v>
      </c>
      <c r="B669" s="6" t="str">
        <f>+'[1]VENTAS(RESUMEN GLOBAL)'!M669</f>
        <v>AUTO SPA</v>
      </c>
      <c r="C669">
        <f>+'[1]VENTAS(RESUMEN GLOBAL)'!B669</f>
        <v>300200</v>
      </c>
      <c r="D669" t="str">
        <f>INDEX('[1]CÓDIGOS DE PRODUCTO'!$D$3:$D$1000,MATCH(C669,'[1]CÓDIGOS DE PRODUCTO'!$A$3:$A$1000,0))</f>
        <v>50161800 </v>
      </c>
      <c r="E669" t="str">
        <f>VLOOKUP(C669,'[1]CÓDIGOS DE PRODUCTO'!$A$4:$B$156,2,FALSE)</f>
        <v>SKWINKLES</v>
      </c>
      <c r="F669" t="str">
        <f>INDEX('[1]CÓDIGOS DE PRODUCTO'!$C$3:$C$1000,MATCH(C669,'[1]CÓDIGOS DE PRODUCTO'!$A$3:$A$1000,0))</f>
        <v>Snacks &amp; Dulces</v>
      </c>
      <c r="G669">
        <f>+'[1]VENTAS(RESUMEN GLOBAL)'!D669-'[1]VENTAS(RESUMEN GLOBAL)'!E669</f>
        <v>0</v>
      </c>
      <c r="H669" s="9">
        <f>+'[1]VENTAS(RESUMEN GLOBAL)'!K669</f>
        <v>0</v>
      </c>
      <c r="I669" s="8">
        <f>+G669*'[1]VENTAS(RESUMEN GLOBAL)'!F669</f>
        <v>0</v>
      </c>
      <c r="J669" s="8">
        <f>'[1]VENTAS(RESUMEN GLOBAL)'!G669*(1-'[1]VENTAS(RESUMEN GLOBAL)'!H669)</f>
        <v>0</v>
      </c>
      <c r="K669" s="8">
        <f t="shared" si="10"/>
        <v>0</v>
      </c>
      <c r="L669" s="8">
        <f>+'[1]VENTAS(RESUMEN GLOBAL)'!J669</f>
        <v>0</v>
      </c>
      <c r="M669" s="8">
        <f>+Tabla1[[#This Row],[utilidad x dia]]*7</f>
        <v>0</v>
      </c>
    </row>
    <row r="670" spans="1:13" x14ac:dyDescent="0.3">
      <c r="A670" s="6">
        <f>+'[1]VENTAS(RESUMEN GLOBAL)'!L670</f>
        <v>46066</v>
      </c>
      <c r="B670" s="6" t="str">
        <f>+'[1]VENTAS(RESUMEN GLOBAL)'!M670</f>
        <v>AUTO SPA</v>
      </c>
      <c r="C670">
        <f>+'[1]VENTAS(RESUMEN GLOBAL)'!B670</f>
        <v>900300</v>
      </c>
      <c r="D670">
        <f>INDEX('[1]CÓDIGOS DE PRODUCTO'!$D$3:$D$1000,MATCH(C670,'[1]CÓDIGOS DE PRODUCTO'!$A$3:$A$1000,0))</f>
        <v>50161815</v>
      </c>
      <c r="E670" t="str">
        <f>VLOOKUP(C670,'[1]CÓDIGOS DE PRODUCTO'!$A$4:$B$156,2,FALSE)</f>
        <v>CHICLES TRIDENT</v>
      </c>
      <c r="F670" t="str">
        <f>INDEX('[1]CÓDIGOS DE PRODUCTO'!$C$3:$C$1000,MATCH(C670,'[1]CÓDIGOS DE PRODUCTO'!$A$3:$A$1000,0))</f>
        <v>OTROS</v>
      </c>
      <c r="G670">
        <f>+'[1]VENTAS(RESUMEN GLOBAL)'!D670-'[1]VENTAS(RESUMEN GLOBAL)'!E670</f>
        <v>2</v>
      </c>
      <c r="H670" s="9">
        <f>+'[1]VENTAS(RESUMEN GLOBAL)'!K670</f>
        <v>2</v>
      </c>
      <c r="I670" s="8">
        <f>+G670*'[1]VENTAS(RESUMEN GLOBAL)'!F670</f>
        <v>50</v>
      </c>
      <c r="J670" s="8">
        <f>'[1]VENTAS(RESUMEN GLOBAL)'!G670*(1-'[1]VENTAS(RESUMEN GLOBAL)'!H670)</f>
        <v>18.414355555555552</v>
      </c>
      <c r="K670" s="8">
        <f t="shared" si="10"/>
        <v>31.585644444444448</v>
      </c>
      <c r="L670" s="8">
        <f>+'[1]VENTAS(RESUMEN GLOBAL)'!J670</f>
        <v>4.5122349206349215</v>
      </c>
      <c r="M670" s="8">
        <f>+Tabla1[[#This Row],[utilidad x dia]]*7</f>
        <v>31.585644444444451</v>
      </c>
    </row>
    <row r="671" spans="1:13" x14ac:dyDescent="0.3">
      <c r="A671" s="6">
        <f>+'[1]VENTAS(RESUMEN GLOBAL)'!L671</f>
        <v>46066</v>
      </c>
      <c r="B671" s="6" t="str">
        <f>+'[1]VENTAS(RESUMEN GLOBAL)'!M671</f>
        <v>AUTO SPA</v>
      </c>
      <c r="C671">
        <f>+'[1]VENTAS(RESUMEN GLOBAL)'!B671</f>
        <v>300400</v>
      </c>
      <c r="D671" t="str">
        <f>INDEX('[1]CÓDIGOS DE PRODUCTO'!$D$3:$D$1000,MATCH(C671,'[1]CÓDIGOS DE PRODUCTO'!$A$3:$A$1000,0))</f>
        <v>50161800 </v>
      </c>
      <c r="E671" t="str">
        <f>VLOOKUP(C671,'[1]CÓDIGOS DE PRODUCTO'!$A$4:$B$156,2,FALSE)</f>
        <v>Welchs GOMITAS</v>
      </c>
      <c r="F671" t="str">
        <f>INDEX('[1]CÓDIGOS DE PRODUCTO'!$C$3:$C$1000,MATCH(C671,'[1]CÓDIGOS DE PRODUCTO'!$A$3:$A$1000,0))</f>
        <v>Snacks &amp; Dulces</v>
      </c>
      <c r="G671">
        <f>+'[1]VENTAS(RESUMEN GLOBAL)'!D671-'[1]VENTAS(RESUMEN GLOBAL)'!E671</f>
        <v>5</v>
      </c>
      <c r="H671" s="9">
        <f>+'[1]VENTAS(RESUMEN GLOBAL)'!K671</f>
        <v>5</v>
      </c>
      <c r="I671" s="8">
        <f>+G671*'[1]VENTAS(RESUMEN GLOBAL)'!F671</f>
        <v>50</v>
      </c>
      <c r="J671" s="8">
        <f>'[1]VENTAS(RESUMEN GLOBAL)'!G671*(1-'[1]VENTAS(RESUMEN GLOBAL)'!H671)</f>
        <v>21.622727272727278</v>
      </c>
      <c r="K671" s="8">
        <f t="shared" si="10"/>
        <v>28.377272727272722</v>
      </c>
      <c r="L671" s="8">
        <f>+'[1]VENTAS(RESUMEN GLOBAL)'!J671</f>
        <v>4.0538961038961032</v>
      </c>
      <c r="M671" s="8">
        <f>+Tabla1[[#This Row],[utilidad x dia]]*7</f>
        <v>28.377272727272722</v>
      </c>
    </row>
    <row r="672" spans="1:13" x14ac:dyDescent="0.3">
      <c r="A672" s="6">
        <f>+'[1]VENTAS(RESUMEN GLOBAL)'!L672</f>
        <v>46066</v>
      </c>
      <c r="B672" s="6" t="str">
        <f>+'[1]VENTAS(RESUMEN GLOBAL)'!M672</f>
        <v>AUTO SPA</v>
      </c>
      <c r="C672">
        <f>+'[1]VENTAS(RESUMEN GLOBAL)'!B672</f>
        <v>700700</v>
      </c>
      <c r="D672" t="str">
        <f>INDEX('[1]CÓDIGOS DE PRODUCTO'!$D$3:$D$1000,MATCH(C672,'[1]CÓDIGOS DE PRODUCTO'!$A$3:$A$1000,0))</f>
        <v>50161511 </v>
      </c>
      <c r="E672" t="str">
        <f>VLOOKUP(C672,'[1]CÓDIGOS DE PRODUCTO'!$A$4:$B$156,2,FALSE)</f>
        <v>Milkiway</v>
      </c>
      <c r="F672" t="str">
        <f>INDEX('[1]CÓDIGOS DE PRODUCTO'!$C$3:$C$1000,MATCH(C672,'[1]CÓDIGOS DE PRODUCTO'!$A$3:$A$1000,0))</f>
        <v>CHOCOLATES</v>
      </c>
      <c r="G672">
        <f>+'[1]VENTAS(RESUMEN GLOBAL)'!D672-'[1]VENTAS(RESUMEN GLOBAL)'!E672</f>
        <v>2</v>
      </c>
      <c r="H672" s="9">
        <f>+'[1]VENTAS(RESUMEN GLOBAL)'!K672</f>
        <v>2</v>
      </c>
      <c r="I672" s="8">
        <f>+G672*'[1]VENTAS(RESUMEN GLOBAL)'!F672</f>
        <v>54</v>
      </c>
      <c r="J672" s="8">
        <f>'[1]VENTAS(RESUMEN GLOBAL)'!G672*(1-'[1]VENTAS(RESUMEN GLOBAL)'!H672)</f>
        <v>27.701428571428572</v>
      </c>
      <c r="K672" s="8">
        <f t="shared" si="10"/>
        <v>26.298571428571428</v>
      </c>
      <c r="L672" s="8">
        <f>+'[1]VENTAS(RESUMEN GLOBAL)'!J672</f>
        <v>3.7569387755102039</v>
      </c>
      <c r="M672" s="8">
        <f>+Tabla1[[#This Row],[utilidad x dia]]*7</f>
        <v>26.298571428571428</v>
      </c>
    </row>
    <row r="673" spans="1:13" x14ac:dyDescent="0.3">
      <c r="A673" s="6">
        <f>+'[1]VENTAS(RESUMEN GLOBAL)'!L673</f>
        <v>46066</v>
      </c>
      <c r="B673" s="6" t="str">
        <f>+'[1]VENTAS(RESUMEN GLOBAL)'!M673</f>
        <v>AUTO SPA</v>
      </c>
      <c r="C673">
        <f>+'[1]VENTAS(RESUMEN GLOBAL)'!B673</f>
        <v>700200</v>
      </c>
      <c r="D673" t="str">
        <f>INDEX('[1]CÓDIGOS DE PRODUCTO'!$D$3:$D$1000,MATCH(C673,'[1]CÓDIGOS DE PRODUCTO'!$A$3:$A$1000,0))</f>
        <v>50161511 </v>
      </c>
      <c r="E673" t="str">
        <f>VLOOKUP(C673,'[1]CÓDIGOS DE PRODUCTO'!$A$4:$B$156,2,FALSE)</f>
        <v>Snickers</v>
      </c>
      <c r="F673" t="str">
        <f>INDEX('[1]CÓDIGOS DE PRODUCTO'!$C$3:$C$1000,MATCH(C673,'[1]CÓDIGOS DE PRODUCTO'!$A$3:$A$1000,0))</f>
        <v>CHOCOLATES</v>
      </c>
      <c r="G673">
        <f>+'[1]VENTAS(RESUMEN GLOBAL)'!D673-'[1]VENTAS(RESUMEN GLOBAL)'!E673</f>
        <v>0</v>
      </c>
      <c r="H673" s="9">
        <f>+'[1]VENTAS(RESUMEN GLOBAL)'!K673</f>
        <v>0</v>
      </c>
      <c r="I673" s="8">
        <f>+G673*'[1]VENTAS(RESUMEN GLOBAL)'!F673</f>
        <v>0</v>
      </c>
      <c r="J673" s="8">
        <f>'[1]VENTAS(RESUMEN GLOBAL)'!G673*(1-'[1]VENTAS(RESUMEN GLOBAL)'!H673)</f>
        <v>0</v>
      </c>
      <c r="K673" s="8">
        <f t="shared" si="10"/>
        <v>0</v>
      </c>
      <c r="L673" s="8">
        <f>+'[1]VENTAS(RESUMEN GLOBAL)'!J673</f>
        <v>0</v>
      </c>
      <c r="M673" s="8">
        <f>+Tabla1[[#This Row],[utilidad x dia]]*7</f>
        <v>0</v>
      </c>
    </row>
    <row r="674" spans="1:13" x14ac:dyDescent="0.3">
      <c r="A674" s="6">
        <f>+'[1]VENTAS(RESUMEN GLOBAL)'!L674</f>
        <v>46066</v>
      </c>
      <c r="B674" s="6" t="str">
        <f>+'[1]VENTAS(RESUMEN GLOBAL)'!M674</f>
        <v>AUTO SPA</v>
      </c>
      <c r="C674">
        <f>+'[1]VENTAS(RESUMEN GLOBAL)'!B674</f>
        <v>700400</v>
      </c>
      <c r="D674" t="str">
        <f>INDEX('[1]CÓDIGOS DE PRODUCTO'!$D$3:$D$1000,MATCH(C674,'[1]CÓDIGOS DE PRODUCTO'!$A$3:$A$1000,0))</f>
        <v>50161511 </v>
      </c>
      <c r="E674" t="str">
        <f>VLOOKUP(C674,'[1]CÓDIGOS DE PRODUCTO'!$A$4:$B$156,2,FALSE)</f>
        <v>KIT KAT</v>
      </c>
      <c r="F674" t="str">
        <f>INDEX('[1]CÓDIGOS DE PRODUCTO'!$C$3:$C$1000,MATCH(C674,'[1]CÓDIGOS DE PRODUCTO'!$A$3:$A$1000,0))</f>
        <v>CHOCOLATES</v>
      </c>
      <c r="G674">
        <f>+'[1]VENTAS(RESUMEN GLOBAL)'!D674-'[1]VENTAS(RESUMEN GLOBAL)'!E674</f>
        <v>0</v>
      </c>
      <c r="H674" s="9">
        <f>+'[1]VENTAS(RESUMEN GLOBAL)'!K674</f>
        <v>0</v>
      </c>
      <c r="I674" s="8">
        <f>+G674*'[1]VENTAS(RESUMEN GLOBAL)'!F674</f>
        <v>0</v>
      </c>
      <c r="J674" s="8">
        <f>'[1]VENTAS(RESUMEN GLOBAL)'!G674*(1-'[1]VENTAS(RESUMEN GLOBAL)'!H674)</f>
        <v>0</v>
      </c>
      <c r="K674" s="8">
        <f t="shared" si="10"/>
        <v>0</v>
      </c>
      <c r="L674" s="8">
        <f>+'[1]VENTAS(RESUMEN GLOBAL)'!J674</f>
        <v>0</v>
      </c>
      <c r="M674" s="8">
        <f>+Tabla1[[#This Row],[utilidad x dia]]*7</f>
        <v>0</v>
      </c>
    </row>
    <row r="675" spans="1:13" x14ac:dyDescent="0.3">
      <c r="A675" s="6">
        <f>+'[1]VENTAS(RESUMEN GLOBAL)'!L675</f>
        <v>46066</v>
      </c>
      <c r="B675" s="6" t="str">
        <f>+'[1]VENTAS(RESUMEN GLOBAL)'!M675</f>
        <v>AUTO SPA</v>
      </c>
      <c r="C675">
        <f>+'[1]VENTAS(RESUMEN GLOBAL)'!B675</f>
        <v>700800</v>
      </c>
      <c r="D675" t="str">
        <f>INDEX('[1]CÓDIGOS DE PRODUCTO'!$D$3:$D$1000,MATCH(C675,'[1]CÓDIGOS DE PRODUCTO'!$A$3:$A$1000,0))</f>
        <v>50161511 </v>
      </c>
      <c r="E675" t="str">
        <f>VLOOKUP(C675,'[1]CÓDIGOS DE PRODUCTO'!$A$4:$B$156,2,FALSE)</f>
        <v>Kinder delice</v>
      </c>
      <c r="F675" t="str">
        <f>INDEX('[1]CÓDIGOS DE PRODUCTO'!$C$3:$C$1000,MATCH(C675,'[1]CÓDIGOS DE PRODUCTO'!$A$3:$A$1000,0))</f>
        <v>CHOCOLATES</v>
      </c>
      <c r="G675">
        <f>+'[1]VENTAS(RESUMEN GLOBAL)'!D675-'[1]VENTAS(RESUMEN GLOBAL)'!E675</f>
        <v>1</v>
      </c>
      <c r="H675" s="9">
        <f>+'[1]VENTAS(RESUMEN GLOBAL)'!K675</f>
        <v>1</v>
      </c>
      <c r="I675" s="8">
        <f>+G675*'[1]VENTAS(RESUMEN GLOBAL)'!F675</f>
        <v>25</v>
      </c>
      <c r="J675" s="8">
        <f>'[1]VENTAS(RESUMEN GLOBAL)'!G675*(1-'[1]VENTAS(RESUMEN GLOBAL)'!H675)</f>
        <v>12.547999999999998</v>
      </c>
      <c r="K675" s="8">
        <f t="shared" si="10"/>
        <v>12.452000000000002</v>
      </c>
      <c r="L675" s="8">
        <f>+'[1]VENTAS(RESUMEN GLOBAL)'!J675</f>
        <v>1.7788571428571429</v>
      </c>
      <c r="M675" s="8">
        <f>+Tabla1[[#This Row],[utilidad x dia]]*7</f>
        <v>12.452</v>
      </c>
    </row>
    <row r="676" spans="1:13" x14ac:dyDescent="0.3">
      <c r="A676" s="6">
        <f>+'[1]VENTAS(RESUMEN GLOBAL)'!L676</f>
        <v>46066</v>
      </c>
      <c r="B676" s="6" t="str">
        <f>+'[1]VENTAS(RESUMEN GLOBAL)'!M676</f>
        <v>AUTO SPA</v>
      </c>
      <c r="C676">
        <f>+'[1]VENTAS(RESUMEN GLOBAL)'!B676</f>
        <v>700100</v>
      </c>
      <c r="D676" t="str">
        <f>INDEX('[1]CÓDIGOS DE PRODUCTO'!$D$3:$D$1000,MATCH(C676,'[1]CÓDIGOS DE PRODUCTO'!$A$3:$A$1000,0))</f>
        <v>50161511 </v>
      </c>
      <c r="E676" t="str">
        <f>VLOOKUP(C676,'[1]CÓDIGOS DE PRODUCTO'!$A$4:$B$156,2,FALSE)</f>
        <v>M&amp;M</v>
      </c>
      <c r="F676" t="str">
        <f>INDEX('[1]CÓDIGOS DE PRODUCTO'!$C$3:$C$1000,MATCH(C676,'[1]CÓDIGOS DE PRODUCTO'!$A$3:$A$1000,0))</f>
        <v>CHOCOLATES</v>
      </c>
      <c r="G676">
        <f>+'[1]VENTAS(RESUMEN GLOBAL)'!D676-'[1]VENTAS(RESUMEN GLOBAL)'!E676</f>
        <v>2</v>
      </c>
      <c r="H676" s="9">
        <f>+'[1]VENTAS(RESUMEN GLOBAL)'!K676</f>
        <v>2</v>
      </c>
      <c r="I676" s="8">
        <f>+G676*'[1]VENTAS(RESUMEN GLOBAL)'!F676</f>
        <v>54</v>
      </c>
      <c r="J676" s="8">
        <f>'[1]VENTAS(RESUMEN GLOBAL)'!G676*(1-'[1]VENTAS(RESUMEN GLOBAL)'!H676)</f>
        <v>27.701428571428572</v>
      </c>
      <c r="K676" s="8">
        <f t="shared" si="10"/>
        <v>26.298571428571428</v>
      </c>
      <c r="L676" s="8">
        <f>+'[1]VENTAS(RESUMEN GLOBAL)'!J676</f>
        <v>3.7569387755102039</v>
      </c>
      <c r="M676" s="8">
        <f>+Tabla1[[#This Row],[utilidad x dia]]*7</f>
        <v>26.298571428571428</v>
      </c>
    </row>
    <row r="677" spans="1:13" x14ac:dyDescent="0.3">
      <c r="A677" s="6">
        <f>+'[1]VENTAS(RESUMEN GLOBAL)'!L677</f>
        <v>46066</v>
      </c>
      <c r="B677" s="6" t="str">
        <f>+'[1]VENTAS(RESUMEN GLOBAL)'!M677</f>
        <v>AUTO SPA</v>
      </c>
      <c r="C677">
        <f>+'[1]VENTAS(RESUMEN GLOBAL)'!B677</f>
        <v>801600</v>
      </c>
      <c r="D677" t="str">
        <f>INDEX('[1]CÓDIGOS DE PRODUCTO'!$D$3:$D$1000,MATCH(C677,'[1]CÓDIGOS DE PRODUCTO'!$A$3:$A$1000,0))</f>
        <v>50181900 </v>
      </c>
      <c r="E677" t="str">
        <f>VLOOKUP(C677,'[1]CÓDIGOS DE PRODUCTO'!$A$4:$B$156,2,FALSE)</f>
        <v>DONITAS BIMBO (ESPOLVOREADAS)</v>
      </c>
      <c r="F677" t="str">
        <f>INDEX('[1]CÓDIGOS DE PRODUCTO'!$C$3:$C$1000,MATCH(C677,'[1]CÓDIGOS DE PRODUCTO'!$A$3:$A$1000,0))</f>
        <v>GALLETAS Y PAN DULCE</v>
      </c>
      <c r="G677">
        <f>+'[1]VENTAS(RESUMEN GLOBAL)'!D677-'[1]VENTAS(RESUMEN GLOBAL)'!E677</f>
        <v>0</v>
      </c>
      <c r="H677" s="9">
        <f>+'[1]VENTAS(RESUMEN GLOBAL)'!K677</f>
        <v>0</v>
      </c>
      <c r="I677" s="8">
        <f>+G677*'[1]VENTAS(RESUMEN GLOBAL)'!F677</f>
        <v>0</v>
      </c>
      <c r="J677" s="8">
        <f>'[1]VENTAS(RESUMEN GLOBAL)'!G677*(1-'[1]VENTAS(RESUMEN GLOBAL)'!H677)</f>
        <v>0</v>
      </c>
      <c r="K677" s="8">
        <f t="shared" si="10"/>
        <v>0</v>
      </c>
      <c r="L677" s="8">
        <f>+'[1]VENTAS(RESUMEN GLOBAL)'!J677</f>
        <v>0</v>
      </c>
      <c r="M677" s="8">
        <f>+Tabla1[[#This Row],[utilidad x dia]]*7</f>
        <v>0</v>
      </c>
    </row>
    <row r="678" spans="1:13" x14ac:dyDescent="0.3">
      <c r="A678" s="6">
        <f>+'[1]VENTAS(RESUMEN GLOBAL)'!L678</f>
        <v>46066</v>
      </c>
      <c r="B678" s="6" t="str">
        <f>+'[1]VENTAS(RESUMEN GLOBAL)'!M678</f>
        <v>AUTO SPA</v>
      </c>
      <c r="C678">
        <f>+'[1]VENTAS(RESUMEN GLOBAL)'!B678</f>
        <v>801400</v>
      </c>
      <c r="D678" t="str">
        <f>INDEX('[1]CÓDIGOS DE PRODUCTO'!$D$3:$D$1000,MATCH(C678,'[1]CÓDIGOS DE PRODUCTO'!$A$3:$A$1000,0))</f>
        <v>50181900 </v>
      </c>
      <c r="E678" t="str">
        <f>VLOOKUP(C678,'[1]CÓDIGOS DE PRODUCTO'!$A$4:$B$156,2,FALSE)</f>
        <v>CHIPS AJOY</v>
      </c>
      <c r="F678" t="str">
        <f>INDEX('[1]CÓDIGOS DE PRODUCTO'!$C$3:$C$1000,MATCH(C678,'[1]CÓDIGOS DE PRODUCTO'!$A$3:$A$1000,0))</f>
        <v>GALLETAS Y PAN DULCE</v>
      </c>
      <c r="G678">
        <f>+'[1]VENTAS(RESUMEN GLOBAL)'!D678-'[1]VENTAS(RESUMEN GLOBAL)'!E678</f>
        <v>0</v>
      </c>
      <c r="H678" s="9">
        <f>+'[1]VENTAS(RESUMEN GLOBAL)'!K678</f>
        <v>0</v>
      </c>
      <c r="I678" s="8">
        <f>+G678*'[1]VENTAS(RESUMEN GLOBAL)'!F678</f>
        <v>0</v>
      </c>
      <c r="J678" s="8">
        <f>'[1]VENTAS(RESUMEN GLOBAL)'!G678*(1-'[1]VENTAS(RESUMEN GLOBAL)'!H678)</f>
        <v>0</v>
      </c>
      <c r="K678" s="8">
        <f t="shared" si="10"/>
        <v>0</v>
      </c>
      <c r="L678" s="8">
        <f>+'[1]VENTAS(RESUMEN GLOBAL)'!J678</f>
        <v>0</v>
      </c>
      <c r="M678" s="8">
        <f>+Tabla1[[#This Row],[utilidad x dia]]*7</f>
        <v>0</v>
      </c>
    </row>
    <row r="679" spans="1:13" x14ac:dyDescent="0.3">
      <c r="A679" s="6">
        <f>+'[1]VENTAS(RESUMEN GLOBAL)'!L679</f>
        <v>46066</v>
      </c>
      <c r="B679" s="6" t="str">
        <f>+'[1]VENTAS(RESUMEN GLOBAL)'!M679</f>
        <v>AUTO SPA</v>
      </c>
      <c r="C679">
        <f>+'[1]VENTAS(RESUMEN GLOBAL)'!B679</f>
        <v>300100</v>
      </c>
      <c r="D679" t="str">
        <f>INDEX('[1]CÓDIGOS DE PRODUCTO'!$D$3:$D$1000,MATCH(C679,'[1]CÓDIGOS DE PRODUCTO'!$A$3:$A$1000,0))</f>
        <v>50161800 </v>
      </c>
      <c r="E679" t="str">
        <f>VLOOKUP(C679,'[1]CÓDIGOS DE PRODUCTO'!$A$4:$B$156,2,FALSE)</f>
        <v>Pelonetes</v>
      </c>
      <c r="F679" t="str">
        <f>INDEX('[1]CÓDIGOS DE PRODUCTO'!$C$3:$C$1000,MATCH(C679,'[1]CÓDIGOS DE PRODUCTO'!$A$3:$A$1000,0))</f>
        <v>Snacks &amp; Dulces</v>
      </c>
      <c r="G679">
        <f>+'[1]VENTAS(RESUMEN GLOBAL)'!D679-'[1]VENTAS(RESUMEN GLOBAL)'!E679</f>
        <v>0</v>
      </c>
      <c r="H679" s="9">
        <f>+'[1]VENTAS(RESUMEN GLOBAL)'!K679</f>
        <v>0</v>
      </c>
      <c r="I679" s="8">
        <f>+G679*'[1]VENTAS(RESUMEN GLOBAL)'!F679</f>
        <v>0</v>
      </c>
      <c r="J679" s="8">
        <f>'[1]VENTAS(RESUMEN GLOBAL)'!G679*(1-'[1]VENTAS(RESUMEN GLOBAL)'!H679)</f>
        <v>0</v>
      </c>
      <c r="K679" s="8">
        <f t="shared" si="10"/>
        <v>0</v>
      </c>
      <c r="L679" s="8">
        <f>+'[1]VENTAS(RESUMEN GLOBAL)'!J679</f>
        <v>0</v>
      </c>
      <c r="M679" s="8">
        <f>+Tabla1[[#This Row],[utilidad x dia]]*7</f>
        <v>0</v>
      </c>
    </row>
    <row r="680" spans="1:13" x14ac:dyDescent="0.3">
      <c r="A680" s="6">
        <f>+'[1]VENTAS(RESUMEN GLOBAL)'!L680</f>
        <v>46066</v>
      </c>
      <c r="B680" s="6" t="str">
        <f>+'[1]VENTAS(RESUMEN GLOBAL)'!M680</f>
        <v>AUTO SPA</v>
      </c>
      <c r="C680">
        <f>+'[1]VENTAS(RESUMEN GLOBAL)'!B680</f>
        <v>800500</v>
      </c>
      <c r="D680" t="str">
        <f>INDEX('[1]CÓDIGOS DE PRODUCTO'!$D$3:$D$1000,MATCH(C680,'[1]CÓDIGOS DE PRODUCTO'!$A$3:$A$1000,0))</f>
        <v>50181900 </v>
      </c>
      <c r="E680" t="str">
        <f>VLOOKUP(C680,'[1]CÓDIGOS DE PRODUCTO'!$A$4:$B$156,2,FALSE)</f>
        <v>RICE KRISPIES</v>
      </c>
      <c r="F680" t="str">
        <f>INDEX('[1]CÓDIGOS DE PRODUCTO'!$C$3:$C$1000,MATCH(C680,'[1]CÓDIGOS DE PRODUCTO'!$A$3:$A$1000,0))</f>
        <v>GALLETAS Y PAN DULCE</v>
      </c>
      <c r="G680">
        <f>+'[1]VENTAS(RESUMEN GLOBAL)'!D680-'[1]VENTAS(RESUMEN GLOBAL)'!E680</f>
        <v>3</v>
      </c>
      <c r="H680" s="9">
        <f>+'[1]VENTAS(RESUMEN GLOBAL)'!K680</f>
        <v>3</v>
      </c>
      <c r="I680" s="8">
        <f>+G680*'[1]VENTAS(RESUMEN GLOBAL)'!F680</f>
        <v>30</v>
      </c>
      <c r="J680" s="8">
        <f>'[1]VENTAS(RESUMEN GLOBAL)'!G680*(1-'[1]VENTAS(RESUMEN GLOBAL)'!H680)</f>
        <v>14.115999999999998</v>
      </c>
      <c r="K680" s="8">
        <f t="shared" si="10"/>
        <v>15.884000000000002</v>
      </c>
      <c r="L680" s="8">
        <f>+'[1]VENTAS(RESUMEN GLOBAL)'!J680</f>
        <v>2.2691428571428576</v>
      </c>
      <c r="M680" s="8">
        <f>+Tabla1[[#This Row],[utilidad x dia]]*7</f>
        <v>15.884000000000004</v>
      </c>
    </row>
    <row r="681" spans="1:13" x14ac:dyDescent="0.3">
      <c r="A681" s="6">
        <f>+'[1]VENTAS(RESUMEN GLOBAL)'!L681</f>
        <v>46066</v>
      </c>
      <c r="B681" s="6" t="str">
        <f>+'[1]VENTAS(RESUMEN GLOBAL)'!M681</f>
        <v>AUTO SPA</v>
      </c>
      <c r="C681">
        <f>+'[1]VENTAS(RESUMEN GLOBAL)'!B681</f>
        <v>800200</v>
      </c>
      <c r="D681" t="str">
        <f>INDEX('[1]CÓDIGOS DE PRODUCTO'!$D$3:$D$1000,MATCH(C681,'[1]CÓDIGOS DE PRODUCTO'!$A$3:$A$1000,0))</f>
        <v>50181900 </v>
      </c>
      <c r="E681" t="str">
        <f>VLOOKUP(C681,'[1]CÓDIGOS DE PRODUCTO'!$A$4:$B$156,2,FALSE)</f>
        <v>Príncipe (6 PZ-63 GR)</v>
      </c>
      <c r="F681" t="str">
        <f>INDEX('[1]CÓDIGOS DE PRODUCTO'!$C$3:$C$1000,MATCH(C681,'[1]CÓDIGOS DE PRODUCTO'!$A$3:$A$1000,0))</f>
        <v>GALLETAS Y PAN DULCE</v>
      </c>
      <c r="G681">
        <f>+'[1]VENTAS(RESUMEN GLOBAL)'!D681-'[1]VENTAS(RESUMEN GLOBAL)'!E681</f>
        <v>0</v>
      </c>
      <c r="H681" s="9">
        <f>+'[1]VENTAS(RESUMEN GLOBAL)'!K681</f>
        <v>0</v>
      </c>
      <c r="I681" s="8">
        <f>+G681*'[1]VENTAS(RESUMEN GLOBAL)'!F681</f>
        <v>0</v>
      </c>
      <c r="J681" s="8">
        <f>'[1]VENTAS(RESUMEN GLOBAL)'!G681*(1-'[1]VENTAS(RESUMEN GLOBAL)'!H681)</f>
        <v>0</v>
      </c>
      <c r="K681" s="8">
        <f t="shared" si="10"/>
        <v>0</v>
      </c>
      <c r="L681" s="8">
        <f>+'[1]VENTAS(RESUMEN GLOBAL)'!J681</f>
        <v>0</v>
      </c>
      <c r="M681" s="8">
        <f>+Tabla1[[#This Row],[utilidad x dia]]*7</f>
        <v>0</v>
      </c>
    </row>
    <row r="682" spans="1:13" x14ac:dyDescent="0.3">
      <c r="A682" s="6">
        <f>+'[1]VENTAS(RESUMEN GLOBAL)'!L682</f>
        <v>46066</v>
      </c>
      <c r="B682" s="6" t="str">
        <f>+'[1]VENTAS(RESUMEN GLOBAL)'!M682</f>
        <v>AUTO SPA</v>
      </c>
      <c r="C682">
        <f>+'[1]VENTAS(RESUMEN GLOBAL)'!B682</f>
        <v>800600</v>
      </c>
      <c r="D682" t="str">
        <f>INDEX('[1]CÓDIGOS DE PRODUCTO'!$D$3:$D$1000,MATCH(C682,'[1]CÓDIGOS DE PRODUCTO'!$A$3:$A$1000,0))</f>
        <v>50181900 </v>
      </c>
      <c r="E682" t="str">
        <f>VLOOKUP(C682,'[1]CÓDIGOS DE PRODUCTO'!$A$4:$B$156,2,FALSE)</f>
        <v>CREMAX</v>
      </c>
      <c r="F682" t="str">
        <f>INDEX('[1]CÓDIGOS DE PRODUCTO'!$C$3:$C$1000,MATCH(C682,'[1]CÓDIGOS DE PRODUCTO'!$A$3:$A$1000,0))</f>
        <v>GALLETAS Y PAN DULCE</v>
      </c>
      <c r="G682">
        <f>+'[1]VENTAS(RESUMEN GLOBAL)'!D682-'[1]VENTAS(RESUMEN GLOBAL)'!E682</f>
        <v>2</v>
      </c>
      <c r="H682" s="9">
        <f>+'[1]VENTAS(RESUMEN GLOBAL)'!K682</f>
        <v>2</v>
      </c>
      <c r="I682" s="8">
        <f>+G682*'[1]VENTAS(RESUMEN GLOBAL)'!F682</f>
        <v>40</v>
      </c>
      <c r="J682" s="8">
        <f>'[1]VENTAS(RESUMEN GLOBAL)'!G682*(1-'[1]VENTAS(RESUMEN GLOBAL)'!H682)</f>
        <v>13.554166666666667</v>
      </c>
      <c r="K682" s="8">
        <f t="shared" si="10"/>
        <v>26.445833333333333</v>
      </c>
      <c r="L682" s="8">
        <f>+'[1]VENTAS(RESUMEN GLOBAL)'!J682</f>
        <v>3.7779761904761906</v>
      </c>
      <c r="M682" s="8">
        <f>+Tabla1[[#This Row],[utilidad x dia]]*7</f>
        <v>26.445833333333333</v>
      </c>
    </row>
    <row r="683" spans="1:13" x14ac:dyDescent="0.3">
      <c r="A683" s="6">
        <f>+'[1]VENTAS(RESUMEN GLOBAL)'!L683</f>
        <v>46066</v>
      </c>
      <c r="B683" s="6" t="str">
        <f>+'[1]VENTAS(RESUMEN GLOBAL)'!M683</f>
        <v>AUTO SPA</v>
      </c>
      <c r="C683">
        <f>+'[1]VENTAS(RESUMEN GLOBAL)'!B683</f>
        <v>800400</v>
      </c>
      <c r="D683" t="str">
        <f>INDEX('[1]CÓDIGOS DE PRODUCTO'!$D$3:$D$1000,MATCH(C683,'[1]CÓDIGOS DE PRODUCTO'!$A$3:$A$1000,0))</f>
        <v>50181900 </v>
      </c>
      <c r="E683" t="str">
        <f>VLOOKUP(C683,'[1]CÓDIGOS DE PRODUCTO'!$A$4:$B$156,2,FALSE)</f>
        <v>Barritas FRESA</v>
      </c>
      <c r="F683" t="str">
        <f>INDEX('[1]CÓDIGOS DE PRODUCTO'!$C$3:$C$1000,MATCH(C683,'[1]CÓDIGOS DE PRODUCTO'!$A$3:$A$1000,0))</f>
        <v>GALLETAS Y PAN DULCE</v>
      </c>
      <c r="G683">
        <f>+'[1]VENTAS(RESUMEN GLOBAL)'!D683-'[1]VENTAS(RESUMEN GLOBAL)'!E683</f>
        <v>0</v>
      </c>
      <c r="H683" s="9">
        <f>+'[1]VENTAS(RESUMEN GLOBAL)'!K683</f>
        <v>0</v>
      </c>
      <c r="I683" s="8">
        <f>+G683*'[1]VENTAS(RESUMEN GLOBAL)'!F683</f>
        <v>0</v>
      </c>
      <c r="J683" s="8">
        <f>'[1]VENTAS(RESUMEN GLOBAL)'!G683*(1-'[1]VENTAS(RESUMEN GLOBAL)'!H683)</f>
        <v>0</v>
      </c>
      <c r="K683" s="8">
        <f t="shared" si="10"/>
        <v>0</v>
      </c>
      <c r="L683" s="8">
        <f>+'[1]VENTAS(RESUMEN GLOBAL)'!J683</f>
        <v>0</v>
      </c>
      <c r="M683" s="8">
        <f>+Tabla1[[#This Row],[utilidad x dia]]*7</f>
        <v>0</v>
      </c>
    </row>
    <row r="684" spans="1:13" x14ac:dyDescent="0.3">
      <c r="A684" s="6">
        <f>+'[1]VENTAS(RESUMEN GLOBAL)'!L684</f>
        <v>46066</v>
      </c>
      <c r="B684" s="6" t="str">
        <f>+'[1]VENTAS(RESUMEN GLOBAL)'!M684</f>
        <v>AUTO SPA</v>
      </c>
      <c r="C684">
        <f>+'[1]VENTAS(RESUMEN GLOBAL)'!B684</f>
        <v>800700</v>
      </c>
      <c r="D684" t="str">
        <f>INDEX('[1]CÓDIGOS DE PRODUCTO'!$D$3:$D$1000,MATCH(C684,'[1]CÓDIGOS DE PRODUCTO'!$A$3:$A$1000,0))</f>
        <v>50181900 </v>
      </c>
      <c r="E684" t="str">
        <f>VLOOKUP(C684,'[1]CÓDIGOS DE PRODUCTO'!$A$4:$B$156,2,FALSE)</f>
        <v>BARRITAS PIÑA</v>
      </c>
      <c r="F684" t="str">
        <f>INDEX('[1]CÓDIGOS DE PRODUCTO'!$C$3:$C$1000,MATCH(C684,'[1]CÓDIGOS DE PRODUCTO'!$A$3:$A$1000,0))</f>
        <v>GALLETAS Y PAN DULCE</v>
      </c>
      <c r="G684">
        <f>+'[1]VENTAS(RESUMEN GLOBAL)'!D684-'[1]VENTAS(RESUMEN GLOBAL)'!E684</f>
        <v>0</v>
      </c>
      <c r="H684" s="9">
        <f>+'[1]VENTAS(RESUMEN GLOBAL)'!K684</f>
        <v>0</v>
      </c>
      <c r="I684" s="8">
        <f>+G684*'[1]VENTAS(RESUMEN GLOBAL)'!F684</f>
        <v>0</v>
      </c>
      <c r="J684" s="8">
        <f>'[1]VENTAS(RESUMEN GLOBAL)'!G684*(1-'[1]VENTAS(RESUMEN GLOBAL)'!H684)</f>
        <v>0</v>
      </c>
      <c r="K684" s="8">
        <f t="shared" si="10"/>
        <v>0</v>
      </c>
      <c r="L684" s="8">
        <f>+'[1]VENTAS(RESUMEN GLOBAL)'!J684</f>
        <v>0</v>
      </c>
      <c r="M684" s="8">
        <f>+Tabla1[[#This Row],[utilidad x dia]]*7</f>
        <v>0</v>
      </c>
    </row>
    <row r="685" spans="1:13" x14ac:dyDescent="0.3">
      <c r="A685" s="6">
        <f>+'[1]VENTAS(RESUMEN GLOBAL)'!L685</f>
        <v>46066</v>
      </c>
      <c r="B685" s="6" t="str">
        <f>+'[1]VENTAS(RESUMEN GLOBAL)'!M685</f>
        <v>AUTO SPA</v>
      </c>
      <c r="C685">
        <f>+'[1]VENTAS(RESUMEN GLOBAL)'!B685</f>
        <v>101900</v>
      </c>
      <c r="D685" t="str">
        <f>INDEX('[1]CÓDIGOS DE PRODUCTO'!$D$3:$D$1000,MATCH(C685,'[1]CÓDIGOS DE PRODUCTO'!$A$3:$A$1000,0))</f>
        <v>50202300 </v>
      </c>
      <c r="E685" t="str">
        <f>VLOOKUP(C685,'[1]CÓDIGOS DE PRODUCTO'!$A$4:$B$156,2,FALSE)</f>
        <v>LECHITA ALPURA</v>
      </c>
      <c r="F685" t="str">
        <f>INDEX('[1]CÓDIGOS DE PRODUCTO'!$C$3:$C$1000,MATCH(C685,'[1]CÓDIGOS DE PRODUCTO'!$A$3:$A$1000,0))</f>
        <v>Bebidas</v>
      </c>
      <c r="G685">
        <f>+'[1]VENTAS(RESUMEN GLOBAL)'!D685-'[1]VENTAS(RESUMEN GLOBAL)'!E685</f>
        <v>1</v>
      </c>
      <c r="H685" s="9">
        <f>+'[1]VENTAS(RESUMEN GLOBAL)'!K685</f>
        <v>1</v>
      </c>
      <c r="I685" s="8">
        <f>+G685*'[1]VENTAS(RESUMEN GLOBAL)'!F685</f>
        <v>20</v>
      </c>
      <c r="J685" s="8">
        <f>'[1]VENTAS(RESUMEN GLOBAL)'!G685*(1-'[1]VENTAS(RESUMEN GLOBAL)'!H685)</f>
        <v>8.3333333333333321</v>
      </c>
      <c r="K685" s="8">
        <f t="shared" si="10"/>
        <v>11.666666666666668</v>
      </c>
      <c r="L685" s="8">
        <f>+'[1]VENTAS(RESUMEN GLOBAL)'!J685</f>
        <v>1.6666666666666667</v>
      </c>
      <c r="M685" s="8">
        <f>+Tabla1[[#This Row],[utilidad x dia]]*7</f>
        <v>11.666666666666668</v>
      </c>
    </row>
    <row r="686" spans="1:13" x14ac:dyDescent="0.3">
      <c r="A686" s="6">
        <f>+'[1]VENTAS(RESUMEN GLOBAL)'!L686</f>
        <v>46066</v>
      </c>
      <c r="B686" s="6" t="str">
        <f>+'[1]VENTAS(RESUMEN GLOBAL)'!M686</f>
        <v>AUTO SPA</v>
      </c>
      <c r="C686">
        <f>+'[1]VENTAS(RESUMEN GLOBAL)'!B686</f>
        <v>101900</v>
      </c>
      <c r="D686" t="str">
        <f>INDEX('[1]CÓDIGOS DE PRODUCTO'!$D$3:$D$1000,MATCH(C686,'[1]CÓDIGOS DE PRODUCTO'!$A$3:$A$1000,0))</f>
        <v>50202300 </v>
      </c>
      <c r="E686" t="str">
        <f>VLOOKUP(C686,'[1]CÓDIGOS DE PRODUCTO'!$A$4:$B$156,2,FALSE)</f>
        <v>LECHITA ALPURA</v>
      </c>
      <c r="F686" t="str">
        <f>INDEX('[1]CÓDIGOS DE PRODUCTO'!$C$3:$C$1000,MATCH(C686,'[1]CÓDIGOS DE PRODUCTO'!$A$3:$A$1000,0))</f>
        <v>Bebidas</v>
      </c>
      <c r="G686">
        <f>+'[1]VENTAS(RESUMEN GLOBAL)'!D686-'[1]VENTAS(RESUMEN GLOBAL)'!E686</f>
        <v>0</v>
      </c>
      <c r="H686" s="9">
        <f>+'[1]VENTAS(RESUMEN GLOBAL)'!K686</f>
        <v>0</v>
      </c>
      <c r="I686" s="8">
        <f>+G686*'[1]VENTAS(RESUMEN GLOBAL)'!F686</f>
        <v>0</v>
      </c>
      <c r="J686" s="8">
        <f>'[1]VENTAS(RESUMEN GLOBAL)'!G686*(1-'[1]VENTAS(RESUMEN GLOBAL)'!H686)</f>
        <v>0</v>
      </c>
      <c r="K686" s="8">
        <f t="shared" si="10"/>
        <v>0</v>
      </c>
      <c r="L686" s="8">
        <f>+'[1]VENTAS(RESUMEN GLOBAL)'!J686</f>
        <v>0</v>
      </c>
      <c r="M686" s="8">
        <f>+Tabla1[[#This Row],[utilidad x dia]]*7</f>
        <v>0</v>
      </c>
    </row>
    <row r="687" spans="1:13" x14ac:dyDescent="0.3">
      <c r="A687" s="6">
        <f>+'[1]VENTAS(RESUMEN GLOBAL)'!L687</f>
        <v>46066</v>
      </c>
      <c r="B687" s="6" t="str">
        <f>+'[1]VENTAS(RESUMEN GLOBAL)'!M687</f>
        <v>AUTO SPA</v>
      </c>
      <c r="C687">
        <f>+'[1]VENTAS(RESUMEN GLOBAL)'!B687</f>
        <v>101300</v>
      </c>
      <c r="D687" t="str">
        <f>INDEX('[1]CÓDIGOS DE PRODUCTO'!$D$3:$D$1000,MATCH(C687,'[1]CÓDIGOS DE PRODUCTO'!$A$3:$A$1000,0))</f>
        <v>50202300 </v>
      </c>
      <c r="E687" t="str">
        <f>VLOOKUP(C687,'[1]CÓDIGOS DE PRODUCTO'!$A$4:$B$156,2,FALSE)</f>
        <v xml:space="preserve">COCA COLA </v>
      </c>
      <c r="F687" t="str">
        <f>INDEX('[1]CÓDIGOS DE PRODUCTO'!$C$3:$C$1000,MATCH(C687,'[1]CÓDIGOS DE PRODUCTO'!$A$3:$A$1000,0))</f>
        <v>Bebidas</v>
      </c>
      <c r="G687">
        <f>+'[1]VENTAS(RESUMEN GLOBAL)'!D687-'[1]VENTAS(RESUMEN GLOBAL)'!E687</f>
        <v>1</v>
      </c>
      <c r="H687" s="9">
        <f>+'[1]VENTAS(RESUMEN GLOBAL)'!K687</f>
        <v>1</v>
      </c>
      <c r="I687" s="8">
        <f>+G687*'[1]VENTAS(RESUMEN GLOBAL)'!F687</f>
        <v>27</v>
      </c>
      <c r="J687" s="8">
        <f>'[1]VENTAS(RESUMEN GLOBAL)'!G687*(1-'[1]VENTAS(RESUMEN GLOBAL)'!H687)</f>
        <v>18.120833333333337</v>
      </c>
      <c r="K687" s="8">
        <f t="shared" si="10"/>
        <v>8.8791666666666629</v>
      </c>
      <c r="L687" s="8">
        <f>+'[1]VENTAS(RESUMEN GLOBAL)'!J687</f>
        <v>1.2684523809523809</v>
      </c>
      <c r="M687" s="8">
        <f>+Tabla1[[#This Row],[utilidad x dia]]*7</f>
        <v>8.8791666666666664</v>
      </c>
    </row>
    <row r="688" spans="1:13" x14ac:dyDescent="0.3">
      <c r="A688" s="6">
        <f>+'[1]VENTAS(RESUMEN GLOBAL)'!L688</f>
        <v>46066</v>
      </c>
      <c r="B688" s="6" t="str">
        <f>+'[1]VENTAS(RESUMEN GLOBAL)'!M688</f>
        <v>AUTO SPA</v>
      </c>
      <c r="C688">
        <f>+'[1]VENTAS(RESUMEN GLOBAL)'!B688</f>
        <v>101300</v>
      </c>
      <c r="D688" t="str">
        <f>INDEX('[1]CÓDIGOS DE PRODUCTO'!$D$3:$D$1000,MATCH(C688,'[1]CÓDIGOS DE PRODUCTO'!$A$3:$A$1000,0))</f>
        <v>50202300 </v>
      </c>
      <c r="E688" t="str">
        <f>VLOOKUP(C688,'[1]CÓDIGOS DE PRODUCTO'!$A$4:$B$156,2,FALSE)</f>
        <v xml:space="preserve">COCA COLA </v>
      </c>
      <c r="F688" t="str">
        <f>INDEX('[1]CÓDIGOS DE PRODUCTO'!$C$3:$C$1000,MATCH(C688,'[1]CÓDIGOS DE PRODUCTO'!$A$3:$A$1000,0))</f>
        <v>Bebidas</v>
      </c>
      <c r="G688">
        <f>+'[1]VENTAS(RESUMEN GLOBAL)'!D688-'[1]VENTAS(RESUMEN GLOBAL)'!E688</f>
        <v>4</v>
      </c>
      <c r="H688" s="9">
        <f>+'[1]VENTAS(RESUMEN GLOBAL)'!K688</f>
        <v>4</v>
      </c>
      <c r="I688" s="8">
        <f>+G688*'[1]VENTAS(RESUMEN GLOBAL)'!F688</f>
        <v>108</v>
      </c>
      <c r="J688" s="8">
        <f>'[1]VENTAS(RESUMEN GLOBAL)'!G688*(1-'[1]VENTAS(RESUMEN GLOBAL)'!H688)</f>
        <v>72.483333333333348</v>
      </c>
      <c r="K688" s="8">
        <f t="shared" si="10"/>
        <v>35.516666666666652</v>
      </c>
      <c r="L688" s="8">
        <f>+'[1]VENTAS(RESUMEN GLOBAL)'!J688</f>
        <v>5.0738095238095235</v>
      </c>
      <c r="M688" s="8">
        <f>+Tabla1[[#This Row],[utilidad x dia]]*7</f>
        <v>35.516666666666666</v>
      </c>
    </row>
    <row r="689" spans="1:13" x14ac:dyDescent="0.3">
      <c r="A689" s="6">
        <f>+'[1]VENTAS(RESUMEN GLOBAL)'!L689</f>
        <v>46066</v>
      </c>
      <c r="B689" s="6" t="str">
        <f>+'[1]VENTAS(RESUMEN GLOBAL)'!M689</f>
        <v>AUTO SPA</v>
      </c>
      <c r="C689">
        <f>+'[1]VENTAS(RESUMEN GLOBAL)'!B689</f>
        <v>101300</v>
      </c>
      <c r="D689" t="str">
        <f>INDEX('[1]CÓDIGOS DE PRODUCTO'!$D$3:$D$1000,MATCH(C689,'[1]CÓDIGOS DE PRODUCTO'!$A$3:$A$1000,0))</f>
        <v>50202300 </v>
      </c>
      <c r="E689" t="str">
        <f>VLOOKUP(C689,'[1]CÓDIGOS DE PRODUCTO'!$A$4:$B$156,2,FALSE)</f>
        <v xml:space="preserve">COCA COLA </v>
      </c>
      <c r="F689" t="str">
        <f>INDEX('[1]CÓDIGOS DE PRODUCTO'!$C$3:$C$1000,MATCH(C689,'[1]CÓDIGOS DE PRODUCTO'!$A$3:$A$1000,0))</f>
        <v>Bebidas</v>
      </c>
      <c r="G689">
        <f>+'[1]VENTAS(RESUMEN GLOBAL)'!D689-'[1]VENTAS(RESUMEN GLOBAL)'!E689</f>
        <v>4</v>
      </c>
      <c r="H689" s="9">
        <f>+'[1]VENTAS(RESUMEN GLOBAL)'!K689</f>
        <v>4</v>
      </c>
      <c r="I689" s="8">
        <f>+G689*'[1]VENTAS(RESUMEN GLOBAL)'!F689</f>
        <v>108</v>
      </c>
      <c r="J689" s="8">
        <f>'[1]VENTAS(RESUMEN GLOBAL)'!G689*(1-'[1]VENTAS(RESUMEN GLOBAL)'!H689)</f>
        <v>72.483333333333348</v>
      </c>
      <c r="K689" s="8">
        <f t="shared" si="10"/>
        <v>35.516666666666652</v>
      </c>
      <c r="L689" s="8">
        <f>+'[1]VENTAS(RESUMEN GLOBAL)'!J689</f>
        <v>5.0738095238095235</v>
      </c>
      <c r="M689" s="8">
        <f>+Tabla1[[#This Row],[utilidad x dia]]*7</f>
        <v>35.516666666666666</v>
      </c>
    </row>
    <row r="690" spans="1:13" x14ac:dyDescent="0.3">
      <c r="A690" s="6">
        <f>+'[1]VENTAS(RESUMEN GLOBAL)'!L690</f>
        <v>46066</v>
      </c>
      <c r="B690" s="6" t="str">
        <f>+'[1]VENTAS(RESUMEN GLOBAL)'!M690</f>
        <v>AUTO SPA</v>
      </c>
      <c r="C690">
        <f>+'[1]VENTAS(RESUMEN GLOBAL)'!B690</f>
        <v>101100</v>
      </c>
      <c r="D690" t="str">
        <f>INDEX('[1]CÓDIGOS DE PRODUCTO'!$D$3:$D$1000,MATCH(C690,'[1]CÓDIGOS DE PRODUCTO'!$A$3:$A$1000,0))</f>
        <v>50202300 </v>
      </c>
      <c r="E690" t="str">
        <f>VLOOKUP(C690,'[1]CÓDIGOS DE PRODUCTO'!$A$4:$B$156,2,FALSE)</f>
        <v>PEPSI BLACK</v>
      </c>
      <c r="F690" t="str">
        <f>INDEX('[1]CÓDIGOS DE PRODUCTO'!$C$3:$C$1000,MATCH(C690,'[1]CÓDIGOS DE PRODUCTO'!$A$3:$A$1000,0))</f>
        <v>Bebidas</v>
      </c>
      <c r="G690">
        <f>+'[1]VENTAS(RESUMEN GLOBAL)'!D690-'[1]VENTAS(RESUMEN GLOBAL)'!E690</f>
        <v>1</v>
      </c>
      <c r="H690" s="9">
        <f>+'[1]VENTAS(RESUMEN GLOBAL)'!K690</f>
        <v>1</v>
      </c>
      <c r="I690" s="8">
        <f>+G690*'[1]VENTAS(RESUMEN GLOBAL)'!F690</f>
        <v>16</v>
      </c>
      <c r="J690" s="8">
        <f>'[1]VENTAS(RESUMEN GLOBAL)'!G690*(1-'[1]VENTAS(RESUMEN GLOBAL)'!H690)</f>
        <v>6.375</v>
      </c>
      <c r="K690" s="8">
        <f t="shared" si="10"/>
        <v>9.625</v>
      </c>
      <c r="L690" s="8">
        <f>+'[1]VENTAS(RESUMEN GLOBAL)'!J690</f>
        <v>1.375</v>
      </c>
      <c r="M690" s="8">
        <f>+Tabla1[[#This Row],[utilidad x dia]]*7</f>
        <v>9.625</v>
      </c>
    </row>
    <row r="691" spans="1:13" x14ac:dyDescent="0.3">
      <c r="A691" s="6">
        <f>+'[1]VENTAS(RESUMEN GLOBAL)'!L691</f>
        <v>46066</v>
      </c>
      <c r="B691" s="6" t="str">
        <f>+'[1]VENTAS(RESUMEN GLOBAL)'!M691</f>
        <v>AUTO SPA</v>
      </c>
      <c r="C691">
        <f>+'[1]VENTAS(RESUMEN GLOBAL)'!B691</f>
        <v>101700</v>
      </c>
      <c r="D691" t="str">
        <f>INDEX('[1]CÓDIGOS DE PRODUCTO'!$D$3:$D$1000,MATCH(C691,'[1]CÓDIGOS DE PRODUCTO'!$A$3:$A$1000,0))</f>
        <v>50202300 </v>
      </c>
      <c r="E691" t="str">
        <f>VLOOKUP(C691,'[1]CÓDIGOS DE PRODUCTO'!$A$4:$B$156,2,FALSE)</f>
        <v>SPRITE</v>
      </c>
      <c r="F691" t="str">
        <f>INDEX('[1]CÓDIGOS DE PRODUCTO'!$C$3:$C$1000,MATCH(C691,'[1]CÓDIGOS DE PRODUCTO'!$A$3:$A$1000,0))</f>
        <v>Bebidas</v>
      </c>
      <c r="G691">
        <f>+'[1]VENTAS(RESUMEN GLOBAL)'!D691-'[1]VENTAS(RESUMEN GLOBAL)'!E691</f>
        <v>0</v>
      </c>
      <c r="H691" s="9">
        <f>+'[1]VENTAS(RESUMEN GLOBAL)'!K691</f>
        <v>0</v>
      </c>
      <c r="I691" s="8">
        <f>+G691*'[1]VENTAS(RESUMEN GLOBAL)'!F691</f>
        <v>0</v>
      </c>
      <c r="J691" s="8">
        <f>'[1]VENTAS(RESUMEN GLOBAL)'!G691*(1-'[1]VENTAS(RESUMEN GLOBAL)'!H691)</f>
        <v>0</v>
      </c>
      <c r="K691" s="8">
        <f t="shared" si="10"/>
        <v>0</v>
      </c>
      <c r="L691" s="8">
        <f>+'[1]VENTAS(RESUMEN GLOBAL)'!J691</f>
        <v>0</v>
      </c>
      <c r="M691" s="8">
        <f>+Tabla1[[#This Row],[utilidad x dia]]*7</f>
        <v>0</v>
      </c>
    </row>
    <row r="692" spans="1:13" x14ac:dyDescent="0.3">
      <c r="A692" s="6">
        <f>+'[1]VENTAS(RESUMEN GLOBAL)'!L692</f>
        <v>46066</v>
      </c>
      <c r="B692" s="6" t="str">
        <f>+'[1]VENTAS(RESUMEN GLOBAL)'!M692</f>
        <v>AUTO SPA</v>
      </c>
      <c r="C692">
        <f>+'[1]VENTAS(RESUMEN GLOBAL)'!B692</f>
        <v>101600</v>
      </c>
      <c r="D692" t="str">
        <f>INDEX('[1]CÓDIGOS DE PRODUCTO'!$D$3:$D$1000,MATCH(C692,'[1]CÓDIGOS DE PRODUCTO'!$A$3:$A$1000,0))</f>
        <v>50202300 </v>
      </c>
      <c r="E692" t="str">
        <f>VLOOKUP(C692,'[1]CÓDIGOS DE PRODUCTO'!$A$4:$B$156,2,FALSE)</f>
        <v>SIDRAL MUNDET</v>
      </c>
      <c r="F692" t="str">
        <f>INDEX('[1]CÓDIGOS DE PRODUCTO'!$C$3:$C$1000,MATCH(C692,'[1]CÓDIGOS DE PRODUCTO'!$A$3:$A$1000,0))</f>
        <v>Bebidas</v>
      </c>
      <c r="G692">
        <f>+'[1]VENTAS(RESUMEN GLOBAL)'!D692-'[1]VENTAS(RESUMEN GLOBAL)'!E692</f>
        <v>0</v>
      </c>
      <c r="H692" s="9">
        <f>+'[1]VENTAS(RESUMEN GLOBAL)'!K692</f>
        <v>0</v>
      </c>
      <c r="I692" s="8">
        <f>+G692*'[1]VENTAS(RESUMEN GLOBAL)'!F692</f>
        <v>0</v>
      </c>
      <c r="J692" s="8">
        <f>'[1]VENTAS(RESUMEN GLOBAL)'!G692*(1-'[1]VENTAS(RESUMEN GLOBAL)'!H692)</f>
        <v>0</v>
      </c>
      <c r="K692" s="8">
        <f t="shared" si="10"/>
        <v>0</v>
      </c>
      <c r="L692" s="8">
        <f>+'[1]VENTAS(RESUMEN GLOBAL)'!J692</f>
        <v>0</v>
      </c>
      <c r="M692" s="8">
        <f>+Tabla1[[#This Row],[utilidad x dia]]*7</f>
        <v>0</v>
      </c>
    </row>
    <row r="693" spans="1:13" x14ac:dyDescent="0.3">
      <c r="A693" s="6">
        <f>+'[1]VENTAS(RESUMEN GLOBAL)'!L693</f>
        <v>46066</v>
      </c>
      <c r="B693" s="6" t="str">
        <f>+'[1]VENTAS(RESUMEN GLOBAL)'!M693</f>
        <v>AUTO SPA</v>
      </c>
      <c r="C693">
        <f>+'[1]VENTAS(RESUMEN GLOBAL)'!B693</f>
        <v>101800</v>
      </c>
      <c r="D693" t="str">
        <f>INDEX('[1]CÓDIGOS DE PRODUCTO'!$D$3:$D$1000,MATCH(C693,'[1]CÓDIGOS DE PRODUCTO'!$A$3:$A$1000,0))</f>
        <v>50202300 </v>
      </c>
      <c r="E693" t="str">
        <f>VLOOKUP(C693,'[1]CÓDIGOS DE PRODUCTO'!$A$4:$B$156,2,FALSE)</f>
        <v>YOGHURT ALPURA</v>
      </c>
      <c r="F693" t="str">
        <f>INDEX('[1]CÓDIGOS DE PRODUCTO'!$C$3:$C$1000,MATCH(C693,'[1]CÓDIGOS DE PRODUCTO'!$A$3:$A$1000,0))</f>
        <v>Bebidas</v>
      </c>
      <c r="G693">
        <f>+'[1]VENTAS(RESUMEN GLOBAL)'!D693-'[1]VENTAS(RESUMEN GLOBAL)'!E693</f>
        <v>1</v>
      </c>
      <c r="H693" s="9">
        <f>+'[1]VENTAS(RESUMEN GLOBAL)'!K693</f>
        <v>1</v>
      </c>
      <c r="I693" s="8">
        <f>+G693*'[1]VENTAS(RESUMEN GLOBAL)'!F693</f>
        <v>22</v>
      </c>
      <c r="J693" s="8">
        <f>'[1]VENTAS(RESUMEN GLOBAL)'!G693*(1-'[1]VENTAS(RESUMEN GLOBAL)'!H693)</f>
        <v>12.100000000000001</v>
      </c>
      <c r="K693" s="8">
        <f t="shared" si="10"/>
        <v>9.8999999999999986</v>
      </c>
      <c r="L693" s="8">
        <f>+'[1]VENTAS(RESUMEN GLOBAL)'!J693</f>
        <v>1.4142857142857144</v>
      </c>
      <c r="M693" s="8">
        <f>+Tabla1[[#This Row],[utilidad x dia]]*7</f>
        <v>9.9</v>
      </c>
    </row>
    <row r="694" spans="1:13" x14ac:dyDescent="0.3">
      <c r="A694" s="6">
        <f>+'[1]VENTAS(RESUMEN GLOBAL)'!L694</f>
        <v>46066</v>
      </c>
      <c r="B694" s="6" t="str">
        <f>+'[1]VENTAS(RESUMEN GLOBAL)'!M694</f>
        <v>AUTO SPA</v>
      </c>
      <c r="C694">
        <f>+'[1]VENTAS(RESUMEN GLOBAL)'!B694</f>
        <v>101800</v>
      </c>
      <c r="D694" t="str">
        <f>INDEX('[1]CÓDIGOS DE PRODUCTO'!$D$3:$D$1000,MATCH(C694,'[1]CÓDIGOS DE PRODUCTO'!$A$3:$A$1000,0))</f>
        <v>50202300 </v>
      </c>
      <c r="E694" t="str">
        <f>VLOOKUP(C694,'[1]CÓDIGOS DE PRODUCTO'!$A$4:$B$156,2,FALSE)</f>
        <v>YOGHURT ALPURA</v>
      </c>
      <c r="F694" t="str">
        <f>INDEX('[1]CÓDIGOS DE PRODUCTO'!$C$3:$C$1000,MATCH(C694,'[1]CÓDIGOS DE PRODUCTO'!$A$3:$A$1000,0))</f>
        <v>Bebidas</v>
      </c>
      <c r="G694">
        <f>+'[1]VENTAS(RESUMEN GLOBAL)'!D694-'[1]VENTAS(RESUMEN GLOBAL)'!E694</f>
        <v>0</v>
      </c>
      <c r="H694" s="9">
        <f>+'[1]VENTAS(RESUMEN GLOBAL)'!K694</f>
        <v>0</v>
      </c>
      <c r="I694" s="8">
        <f>+G694*'[1]VENTAS(RESUMEN GLOBAL)'!F694</f>
        <v>0</v>
      </c>
      <c r="J694" s="8">
        <f>'[1]VENTAS(RESUMEN GLOBAL)'!G694*(1-'[1]VENTAS(RESUMEN GLOBAL)'!H694)</f>
        <v>0</v>
      </c>
      <c r="K694" s="8">
        <f t="shared" si="10"/>
        <v>0</v>
      </c>
      <c r="L694" s="8">
        <f>+'[1]VENTAS(RESUMEN GLOBAL)'!J694</f>
        <v>0</v>
      </c>
      <c r="M694" s="8">
        <f>+Tabla1[[#This Row],[utilidad x dia]]*7</f>
        <v>0</v>
      </c>
    </row>
    <row r="695" spans="1:13" x14ac:dyDescent="0.3">
      <c r="A695" s="6">
        <f>+'[1]VENTAS(RESUMEN GLOBAL)'!L695</f>
        <v>46066</v>
      </c>
      <c r="B695" s="6" t="str">
        <f>+'[1]VENTAS(RESUMEN GLOBAL)'!M695</f>
        <v>AUTO SPA</v>
      </c>
      <c r="C695">
        <f>+'[1]VENTAS(RESUMEN GLOBAL)'!B695</f>
        <v>101400</v>
      </c>
      <c r="D695" t="str">
        <f>INDEX('[1]CÓDIGOS DE PRODUCTO'!$D$3:$D$1000,MATCH(C695,'[1]CÓDIGOS DE PRODUCTO'!$A$3:$A$1000,0))</f>
        <v>50202300 </v>
      </c>
      <c r="E695" t="str">
        <f>VLOOKUP(C695,'[1]CÓDIGOS DE PRODUCTO'!$A$4:$B$156,2,FALSE)</f>
        <v>FANTA NARANJA</v>
      </c>
      <c r="F695" t="str">
        <f>INDEX('[1]CÓDIGOS DE PRODUCTO'!$C$3:$C$1000,MATCH(C695,'[1]CÓDIGOS DE PRODUCTO'!$A$3:$A$1000,0))</f>
        <v>Bebidas</v>
      </c>
      <c r="G695">
        <f>+'[1]VENTAS(RESUMEN GLOBAL)'!D695-'[1]VENTAS(RESUMEN GLOBAL)'!E695</f>
        <v>0</v>
      </c>
      <c r="H695" s="9">
        <f>+'[1]VENTAS(RESUMEN GLOBAL)'!K695</f>
        <v>0</v>
      </c>
      <c r="I695" s="8">
        <f>+G695*'[1]VENTAS(RESUMEN GLOBAL)'!F695</f>
        <v>0</v>
      </c>
      <c r="J695" s="8">
        <f>'[1]VENTAS(RESUMEN GLOBAL)'!G695*(1-'[1]VENTAS(RESUMEN GLOBAL)'!H695)</f>
        <v>0</v>
      </c>
      <c r="K695" s="8">
        <f t="shared" si="10"/>
        <v>0</v>
      </c>
      <c r="L695" s="8">
        <f>+'[1]VENTAS(RESUMEN GLOBAL)'!J695</f>
        <v>0</v>
      </c>
      <c r="M695" s="8">
        <f>+Tabla1[[#This Row],[utilidad x dia]]*7</f>
        <v>0</v>
      </c>
    </row>
    <row r="696" spans="1:13" x14ac:dyDescent="0.3">
      <c r="A696" s="6">
        <f>+'[1]VENTAS(RESUMEN GLOBAL)'!L696</f>
        <v>46066</v>
      </c>
      <c r="B696" s="6" t="str">
        <f>+'[1]VENTAS(RESUMEN GLOBAL)'!M696</f>
        <v>AUTO SPA</v>
      </c>
      <c r="C696">
        <f>+'[1]VENTAS(RESUMEN GLOBAL)'!B696</f>
        <v>101500</v>
      </c>
      <c r="D696" t="str">
        <f>INDEX('[1]CÓDIGOS DE PRODUCTO'!$D$3:$D$1000,MATCH(C696,'[1]CÓDIGOS DE PRODUCTO'!$A$3:$A$1000,0))</f>
        <v>50202300 </v>
      </c>
      <c r="E696" t="str">
        <f>VLOOKUP(C696,'[1]CÓDIGOS DE PRODUCTO'!$A$4:$B$156,2,FALSE)</f>
        <v>SANGRIA</v>
      </c>
      <c r="F696" t="str">
        <f>INDEX('[1]CÓDIGOS DE PRODUCTO'!$C$3:$C$1000,MATCH(C696,'[1]CÓDIGOS DE PRODUCTO'!$A$3:$A$1000,0))</f>
        <v>Bebidas</v>
      </c>
      <c r="G696">
        <f>+'[1]VENTAS(RESUMEN GLOBAL)'!D696-'[1]VENTAS(RESUMEN GLOBAL)'!E696</f>
        <v>1</v>
      </c>
      <c r="H696" s="9">
        <f>+'[1]VENTAS(RESUMEN GLOBAL)'!K696</f>
        <v>1</v>
      </c>
      <c r="I696" s="8">
        <f>+G696*'[1]VENTAS(RESUMEN GLOBAL)'!F696</f>
        <v>26</v>
      </c>
      <c r="J696" s="8">
        <f>'[1]VENTAS(RESUMEN GLOBAL)'!G696*(1-'[1]VENTAS(RESUMEN GLOBAL)'!H696)</f>
        <v>15.679166666666665</v>
      </c>
      <c r="K696" s="8">
        <f t="shared" si="10"/>
        <v>10.320833333333335</v>
      </c>
      <c r="L696" s="8">
        <f>+'[1]VENTAS(RESUMEN GLOBAL)'!J696</f>
        <v>1.4744047619047618</v>
      </c>
      <c r="M696" s="8">
        <f>+Tabla1[[#This Row],[utilidad x dia]]*7</f>
        <v>10.320833333333333</v>
      </c>
    </row>
    <row r="697" spans="1:13" x14ac:dyDescent="0.3">
      <c r="A697" s="6">
        <f>+'[1]VENTAS(RESUMEN GLOBAL)'!L697</f>
        <v>46066</v>
      </c>
      <c r="B697" s="6" t="str">
        <f>+'[1]VENTAS(RESUMEN GLOBAL)'!M697</f>
        <v>AUTO SPA</v>
      </c>
      <c r="C697">
        <f>+'[1]VENTAS(RESUMEN GLOBAL)'!B697</f>
        <v>100700</v>
      </c>
      <c r="D697" t="str">
        <f>INDEX('[1]CÓDIGOS DE PRODUCTO'!$D$3:$D$1000,MATCH(C697,'[1]CÓDIGOS DE PRODUCTO'!$A$3:$A$1000,0))</f>
        <v>50202300 </v>
      </c>
      <c r="E697" t="str">
        <f>VLOOKUP(C697,'[1]CÓDIGOS DE PRODUCTO'!$A$4:$B$156,2,FALSE)</f>
        <v>jugo del valle (200 ml)</v>
      </c>
      <c r="F697" t="str">
        <f>INDEX('[1]CÓDIGOS DE PRODUCTO'!$C$3:$C$1000,MATCH(C697,'[1]CÓDIGOS DE PRODUCTO'!$A$3:$A$1000,0))</f>
        <v>Bebidas</v>
      </c>
      <c r="G697">
        <f>+'[1]VENTAS(RESUMEN GLOBAL)'!D697-'[1]VENTAS(RESUMEN GLOBAL)'!E697</f>
        <v>3</v>
      </c>
      <c r="H697" s="9">
        <f>+'[1]VENTAS(RESUMEN GLOBAL)'!K697</f>
        <v>3</v>
      </c>
      <c r="I697" s="8">
        <f>+G697*'[1]VENTAS(RESUMEN GLOBAL)'!F697</f>
        <v>45</v>
      </c>
      <c r="J697" s="8">
        <f>'[1]VENTAS(RESUMEN GLOBAL)'!G697*(1-'[1]VENTAS(RESUMEN GLOBAL)'!H697)</f>
        <v>19.948500000000003</v>
      </c>
      <c r="K697" s="8">
        <f t="shared" si="10"/>
        <v>25.051499999999997</v>
      </c>
      <c r="L697" s="8">
        <f>+'[1]VENTAS(RESUMEN GLOBAL)'!J697</f>
        <v>3.578785714285714</v>
      </c>
      <c r="M697" s="8">
        <f>+Tabla1[[#This Row],[utilidad x dia]]*7</f>
        <v>25.051499999999997</v>
      </c>
    </row>
    <row r="698" spans="1:13" x14ac:dyDescent="0.3">
      <c r="A698" s="6">
        <f>+'[1]VENTAS(RESUMEN GLOBAL)'!L698</f>
        <v>46066</v>
      </c>
      <c r="B698" s="6" t="str">
        <f>+'[1]VENTAS(RESUMEN GLOBAL)'!M698</f>
        <v>AUTO SPA</v>
      </c>
      <c r="C698">
        <f>+'[1]VENTAS(RESUMEN GLOBAL)'!B698</f>
        <v>101200</v>
      </c>
      <c r="D698" t="str">
        <f>INDEX('[1]CÓDIGOS DE PRODUCTO'!$D$3:$D$1000,MATCH(C698,'[1]CÓDIGOS DE PRODUCTO'!$A$3:$A$1000,0))</f>
        <v>50202300 </v>
      </c>
      <c r="E698" t="str">
        <f>VLOOKUP(C698,'[1]CÓDIGOS DE PRODUCTO'!$A$4:$B$156,2,FALSE)</f>
        <v>AMPER ENERGY</v>
      </c>
      <c r="F698" t="str">
        <f>INDEX('[1]CÓDIGOS DE PRODUCTO'!$C$3:$C$1000,MATCH(C698,'[1]CÓDIGOS DE PRODUCTO'!$A$3:$A$1000,0))</f>
        <v>Bebidas</v>
      </c>
      <c r="G698">
        <f>+'[1]VENTAS(RESUMEN GLOBAL)'!D698-'[1]VENTAS(RESUMEN GLOBAL)'!E698</f>
        <v>1</v>
      </c>
      <c r="H698" s="9">
        <f>+'[1]VENTAS(RESUMEN GLOBAL)'!K698</f>
        <v>1</v>
      </c>
      <c r="I698" s="8">
        <f>+G698*'[1]VENTAS(RESUMEN GLOBAL)'!F698</f>
        <v>30</v>
      </c>
      <c r="J698" s="8">
        <f>'[1]VENTAS(RESUMEN GLOBAL)'!G698*(1-'[1]VENTAS(RESUMEN GLOBAL)'!H698)</f>
        <v>15.673333333333336</v>
      </c>
      <c r="K698" s="8">
        <f t="shared" si="10"/>
        <v>14.326666666666664</v>
      </c>
      <c r="L698" s="8">
        <f>+'[1]VENTAS(RESUMEN GLOBAL)'!J698</f>
        <v>2.0466666666666664</v>
      </c>
      <c r="M698" s="8">
        <f>+Tabla1[[#This Row],[utilidad x dia]]*7</f>
        <v>14.326666666666664</v>
      </c>
    </row>
    <row r="699" spans="1:13" x14ac:dyDescent="0.3">
      <c r="A699" s="6">
        <f>+'[1]VENTAS(RESUMEN GLOBAL)'!L699</f>
        <v>46066</v>
      </c>
      <c r="B699" s="6" t="str">
        <f>+'[1]VENTAS(RESUMEN GLOBAL)'!M699</f>
        <v>AUTO SPA</v>
      </c>
      <c r="C699">
        <f>+'[1]VENTAS(RESUMEN GLOBAL)'!B699</f>
        <v>101000</v>
      </c>
      <c r="D699" t="str">
        <f>INDEX('[1]CÓDIGOS DE PRODUCTO'!$D$3:$D$1000,MATCH(C699,'[1]CÓDIGOS DE PRODUCTO'!$A$3:$A$1000,0))</f>
        <v>50202300 </v>
      </c>
      <c r="E699" t="str">
        <f>VLOOKUP(C699,'[1]CÓDIGOS DE PRODUCTO'!$A$4:$B$156,2,FALSE)</f>
        <v>ARIZONA</v>
      </c>
      <c r="F699" t="str">
        <f>INDEX('[1]CÓDIGOS DE PRODUCTO'!$C$3:$C$1000,MATCH(C699,'[1]CÓDIGOS DE PRODUCTO'!$A$3:$A$1000,0))</f>
        <v>Bebidas</v>
      </c>
      <c r="G699">
        <f>+'[1]VENTAS(RESUMEN GLOBAL)'!D699-'[1]VENTAS(RESUMEN GLOBAL)'!E699</f>
        <v>3</v>
      </c>
      <c r="H699" s="9">
        <f>+'[1]VENTAS(RESUMEN GLOBAL)'!K699</f>
        <v>3</v>
      </c>
      <c r="I699" s="8">
        <f>+G699*'[1]VENTAS(RESUMEN GLOBAL)'!F699</f>
        <v>81</v>
      </c>
      <c r="J699" s="8">
        <f>'[1]VENTAS(RESUMEN GLOBAL)'!G699*(1-'[1]VENTAS(RESUMEN GLOBAL)'!H699)</f>
        <v>43.221250000000005</v>
      </c>
      <c r="K699" s="8">
        <f t="shared" si="10"/>
        <v>37.778749999999995</v>
      </c>
      <c r="L699" s="8">
        <f>+'[1]VENTAS(RESUMEN GLOBAL)'!J699</f>
        <v>5.3969642857142857</v>
      </c>
      <c r="M699" s="8">
        <f>+Tabla1[[#This Row],[utilidad x dia]]*7</f>
        <v>37.778750000000002</v>
      </c>
    </row>
    <row r="700" spans="1:13" x14ac:dyDescent="0.3">
      <c r="A700" s="6">
        <f>+'[1]VENTAS(RESUMEN GLOBAL)'!L700</f>
        <v>46066</v>
      </c>
      <c r="B700" s="6" t="str">
        <f>+'[1]VENTAS(RESUMEN GLOBAL)'!M700</f>
        <v>AUTO SPA</v>
      </c>
      <c r="C700">
        <f>+'[1]VENTAS(RESUMEN GLOBAL)'!B700</f>
        <v>100300</v>
      </c>
      <c r="D700" t="str">
        <f>INDEX('[1]CÓDIGOS DE PRODUCTO'!$D$3:$D$1000,MATCH(C700,'[1]CÓDIGOS DE PRODUCTO'!$A$3:$A$1000,0))</f>
        <v>50202300 </v>
      </c>
      <c r="E700" t="str">
        <f>VLOOKUP(C700,'[1]CÓDIGOS DE PRODUCTO'!$A$4:$B$156,2,FALSE)</f>
        <v>Gatorade</v>
      </c>
      <c r="F700" t="str">
        <f>INDEX('[1]CÓDIGOS DE PRODUCTO'!$C$3:$C$1000,MATCH(C700,'[1]CÓDIGOS DE PRODUCTO'!$A$3:$A$1000,0))</f>
        <v>Bebidas</v>
      </c>
      <c r="G700">
        <f>+'[1]VENTAS(RESUMEN GLOBAL)'!D700-'[1]VENTAS(RESUMEN GLOBAL)'!E700</f>
        <v>5</v>
      </c>
      <c r="H700" s="9">
        <f>+'[1]VENTAS(RESUMEN GLOBAL)'!K700</f>
        <v>5</v>
      </c>
      <c r="I700" s="8">
        <f>+G700*'[1]VENTAS(RESUMEN GLOBAL)'!F700</f>
        <v>125</v>
      </c>
      <c r="J700" s="8">
        <f>'[1]VENTAS(RESUMEN GLOBAL)'!G700*(1-'[1]VENTAS(RESUMEN GLOBAL)'!H700)</f>
        <v>53.462500000000013</v>
      </c>
      <c r="K700" s="8">
        <f t="shared" si="10"/>
        <v>71.537499999999994</v>
      </c>
      <c r="L700" s="8">
        <f>+'[1]VENTAS(RESUMEN GLOBAL)'!J700</f>
        <v>10.219642857142857</v>
      </c>
      <c r="M700" s="8">
        <f>+Tabla1[[#This Row],[utilidad x dia]]*7</f>
        <v>71.537499999999994</v>
      </c>
    </row>
    <row r="701" spans="1:13" x14ac:dyDescent="0.3">
      <c r="A701" s="6">
        <f>+'[1]VENTAS(RESUMEN GLOBAL)'!L701</f>
        <v>46066</v>
      </c>
      <c r="B701" s="6" t="str">
        <f>+'[1]VENTAS(RESUMEN GLOBAL)'!M701</f>
        <v>AUTO SPA</v>
      </c>
      <c r="C701">
        <f>+'[1]VENTAS(RESUMEN GLOBAL)'!B701</f>
        <v>100800</v>
      </c>
      <c r="D701" t="str">
        <f>INDEX('[1]CÓDIGOS DE PRODUCTO'!$D$3:$D$1000,MATCH(C701,'[1]CÓDIGOS DE PRODUCTO'!$A$3:$A$1000,0))</f>
        <v>50202300 </v>
      </c>
      <c r="E701" t="str">
        <f>VLOOKUP(C701,'[1]CÓDIGOS DE PRODUCTO'!$A$4:$B$156,2,FALSE)</f>
        <v>TÉ VERDE KIRKLAND</v>
      </c>
      <c r="F701" t="str">
        <f>INDEX('[1]CÓDIGOS DE PRODUCTO'!$C$3:$C$1000,MATCH(C701,'[1]CÓDIGOS DE PRODUCTO'!$A$3:$A$1000,0))</f>
        <v>Bebidas</v>
      </c>
      <c r="G701">
        <f>+'[1]VENTAS(RESUMEN GLOBAL)'!D701-'[1]VENTAS(RESUMEN GLOBAL)'!E701</f>
        <v>0</v>
      </c>
      <c r="H701" s="9">
        <f>+'[1]VENTAS(RESUMEN GLOBAL)'!K701</f>
        <v>0</v>
      </c>
      <c r="I701" s="8">
        <f>+G701*'[1]VENTAS(RESUMEN GLOBAL)'!F701</f>
        <v>0</v>
      </c>
      <c r="J701" s="8">
        <f>'[1]VENTAS(RESUMEN GLOBAL)'!G701*(1-'[1]VENTAS(RESUMEN GLOBAL)'!H701)</f>
        <v>0</v>
      </c>
      <c r="K701" s="8">
        <f t="shared" si="10"/>
        <v>0</v>
      </c>
      <c r="L701" s="8">
        <f>+'[1]VENTAS(RESUMEN GLOBAL)'!J701</f>
        <v>0</v>
      </c>
      <c r="M701" s="8">
        <f>+Tabla1[[#This Row],[utilidad x dia]]*7</f>
        <v>0</v>
      </c>
    </row>
    <row r="702" spans="1:13" x14ac:dyDescent="0.3">
      <c r="A702" s="6">
        <f>+'[1]VENTAS(RESUMEN GLOBAL)'!L702</f>
        <v>46066</v>
      </c>
      <c r="B702" s="6" t="str">
        <f>+'[1]VENTAS(RESUMEN GLOBAL)'!M702</f>
        <v>AUTO SPA</v>
      </c>
      <c r="C702">
        <f>+'[1]VENTAS(RESUMEN GLOBAL)'!B702</f>
        <v>100200</v>
      </c>
      <c r="D702" t="str">
        <f>INDEX('[1]CÓDIGOS DE PRODUCTO'!$D$3:$D$1000,MATCH(C702,'[1]CÓDIGOS DE PRODUCTO'!$A$3:$A$1000,0))</f>
        <v>50202300 </v>
      </c>
      <c r="E702" t="str">
        <f>VLOOKUP(C702,'[1]CÓDIGOS DE PRODUCTO'!$A$4:$B$156,2,FALSE)</f>
        <v>Agua SAMS</v>
      </c>
      <c r="F702" t="str">
        <f>INDEX('[1]CÓDIGOS DE PRODUCTO'!$C$3:$C$1000,MATCH(C702,'[1]CÓDIGOS DE PRODUCTO'!$A$3:$A$1000,0))</f>
        <v>Bebidas</v>
      </c>
      <c r="G702">
        <f>+'[1]VENTAS(RESUMEN GLOBAL)'!D702-'[1]VENTAS(RESUMEN GLOBAL)'!E702</f>
        <v>3</v>
      </c>
      <c r="H702" s="9">
        <f>+'[1]VENTAS(RESUMEN GLOBAL)'!K702</f>
        <v>3</v>
      </c>
      <c r="I702" s="8">
        <f>+G702*'[1]VENTAS(RESUMEN GLOBAL)'!F702</f>
        <v>54</v>
      </c>
      <c r="J702" s="8">
        <f>'[1]VENTAS(RESUMEN GLOBAL)'!G702*(1-'[1]VENTAS(RESUMEN GLOBAL)'!H702)</f>
        <v>13.5</v>
      </c>
      <c r="K702" s="8">
        <f t="shared" si="10"/>
        <v>40.5</v>
      </c>
      <c r="L702" s="8">
        <f>+'[1]VENTAS(RESUMEN GLOBAL)'!J702</f>
        <v>5.7857142857142856</v>
      </c>
      <c r="M702" s="8">
        <f>+Tabla1[[#This Row],[utilidad x dia]]*7</f>
        <v>40.5</v>
      </c>
    </row>
    <row r="703" spans="1:13" x14ac:dyDescent="0.3">
      <c r="A703" s="6">
        <f>+'[1]VENTAS(RESUMEN GLOBAL)'!L703</f>
        <v>0</v>
      </c>
      <c r="B703" s="6">
        <f>+'[1]VENTAS(RESUMEN GLOBAL)'!M703</f>
        <v>0</v>
      </c>
      <c r="C703">
        <f>+'[1]VENTAS(RESUMEN GLOBAL)'!B703</f>
        <v>0</v>
      </c>
      <c r="D703" t="e">
        <f>INDEX('[1]CÓDIGOS DE PRODUCTO'!$D$3:$D$1000,MATCH(C703,'[1]CÓDIGOS DE PRODUCTO'!$A$3:$A$1000,0))</f>
        <v>#N/A</v>
      </c>
      <c r="E703">
        <f>VLOOKUP(C703,'[1]CÓDIGOS DE PRODUCTO'!$A$4:$B$156,2,FALSE)</f>
        <v>0</v>
      </c>
      <c r="F703">
        <f>INDEX('[1]CÓDIGOS DE PRODUCTO'!$C$3:$C$1000,MATCH(C703,'[1]CÓDIGOS DE PRODUCTO'!$A$3:$A$1000,0))</f>
        <v>0</v>
      </c>
      <c r="G703">
        <f>+'[1]VENTAS(RESUMEN GLOBAL)'!D703-'[1]VENTAS(RESUMEN GLOBAL)'!E703</f>
        <v>0</v>
      </c>
      <c r="H703" s="9">
        <f>+'[1]VENTAS(RESUMEN GLOBAL)'!K703</f>
        <v>0</v>
      </c>
      <c r="I703" s="8">
        <f>+G703*'[1]VENTAS(RESUMEN GLOBAL)'!F703</f>
        <v>0</v>
      </c>
      <c r="J703" s="8">
        <f>'[1]VENTAS(RESUMEN GLOBAL)'!G703*(1-'[1]VENTAS(RESUMEN GLOBAL)'!H703)</f>
        <v>0</v>
      </c>
      <c r="K703" s="8">
        <f t="shared" si="10"/>
        <v>0</v>
      </c>
      <c r="L703" s="8">
        <f>+'[1]VENTAS(RESUMEN GLOBAL)'!J703</f>
        <v>0</v>
      </c>
      <c r="M703" s="8">
        <f>+Tabla1[[#This Row],[utilidad x dia]]*7</f>
        <v>0</v>
      </c>
    </row>
    <row r="704" spans="1:13" x14ac:dyDescent="0.3">
      <c r="A704" s="6">
        <f>+'[1]VENTAS(RESUMEN GLOBAL)'!L704</f>
        <v>0</v>
      </c>
      <c r="B704" s="6">
        <f>+'[1]VENTAS(RESUMEN GLOBAL)'!M704</f>
        <v>0</v>
      </c>
      <c r="C704">
        <f>+'[1]VENTAS(RESUMEN GLOBAL)'!B704</f>
        <v>0</v>
      </c>
      <c r="D704" t="e">
        <f>INDEX('[1]CÓDIGOS DE PRODUCTO'!$D$3:$D$1000,MATCH(C704,'[1]CÓDIGOS DE PRODUCTO'!$A$3:$A$1000,0))</f>
        <v>#N/A</v>
      </c>
      <c r="E704">
        <f>VLOOKUP(C704,'[1]CÓDIGOS DE PRODUCTO'!$A$4:$B$156,2,FALSE)</f>
        <v>0</v>
      </c>
      <c r="F704">
        <f>INDEX('[1]CÓDIGOS DE PRODUCTO'!$C$3:$C$1000,MATCH(C704,'[1]CÓDIGOS DE PRODUCTO'!$A$3:$A$1000,0))</f>
        <v>0</v>
      </c>
      <c r="G704">
        <f>+'[1]VENTAS(RESUMEN GLOBAL)'!D704-'[1]VENTAS(RESUMEN GLOBAL)'!E704</f>
        <v>0</v>
      </c>
      <c r="H704" s="9">
        <f>+'[1]VENTAS(RESUMEN GLOBAL)'!K704</f>
        <v>0</v>
      </c>
      <c r="I704" s="8">
        <f>+G704*'[1]VENTAS(RESUMEN GLOBAL)'!F704</f>
        <v>0</v>
      </c>
      <c r="J704" s="8">
        <f>'[1]VENTAS(RESUMEN GLOBAL)'!G704*(1-'[1]VENTAS(RESUMEN GLOBAL)'!H704)</f>
        <v>0</v>
      </c>
      <c r="K704" s="8">
        <f t="shared" si="10"/>
        <v>0</v>
      </c>
      <c r="L704" s="8">
        <f>+'[1]VENTAS(RESUMEN GLOBAL)'!J704</f>
        <v>0</v>
      </c>
      <c r="M704" s="8">
        <f>+Tabla1[[#This Row],[utilidad x dia]]*7</f>
        <v>0</v>
      </c>
    </row>
    <row r="705" spans="1:13" x14ac:dyDescent="0.3">
      <c r="A705" s="6">
        <f>+'[1]VENTAS(RESUMEN GLOBAL)'!L705</f>
        <v>0</v>
      </c>
      <c r="B705" s="6">
        <f>+'[1]VENTAS(RESUMEN GLOBAL)'!M705</f>
        <v>0</v>
      </c>
      <c r="C705">
        <f>+'[1]VENTAS(RESUMEN GLOBAL)'!B705</f>
        <v>0</v>
      </c>
      <c r="D705" t="e">
        <f>INDEX('[1]CÓDIGOS DE PRODUCTO'!$D$3:$D$1000,MATCH(C705,'[1]CÓDIGOS DE PRODUCTO'!$A$3:$A$1000,0))</f>
        <v>#N/A</v>
      </c>
      <c r="E705">
        <f>VLOOKUP(C705,'[1]CÓDIGOS DE PRODUCTO'!$A$4:$B$156,2,FALSE)</f>
        <v>0</v>
      </c>
      <c r="F705">
        <f>INDEX('[1]CÓDIGOS DE PRODUCTO'!$C$3:$C$1000,MATCH(C705,'[1]CÓDIGOS DE PRODUCTO'!$A$3:$A$1000,0))</f>
        <v>0</v>
      </c>
      <c r="G705">
        <f>+'[1]VENTAS(RESUMEN GLOBAL)'!D705-'[1]VENTAS(RESUMEN GLOBAL)'!E705</f>
        <v>0</v>
      </c>
      <c r="H705" s="9">
        <f>+'[1]VENTAS(RESUMEN GLOBAL)'!K705</f>
        <v>0</v>
      </c>
      <c r="I705" s="8">
        <f>+G705*'[1]VENTAS(RESUMEN GLOBAL)'!F705</f>
        <v>0</v>
      </c>
      <c r="J705" s="8">
        <f>'[1]VENTAS(RESUMEN GLOBAL)'!G705*(1-'[1]VENTAS(RESUMEN GLOBAL)'!H705)</f>
        <v>0</v>
      </c>
      <c r="K705" s="8">
        <f t="shared" si="10"/>
        <v>0</v>
      </c>
      <c r="L705" s="8">
        <f>+'[1]VENTAS(RESUMEN GLOBAL)'!J705</f>
        <v>0</v>
      </c>
      <c r="M705" s="8">
        <f>+Tabla1[[#This Row],[utilidad x dia]]*7</f>
        <v>0</v>
      </c>
    </row>
    <row r="706" spans="1:13" x14ac:dyDescent="0.3">
      <c r="A706" s="6">
        <f>+'[1]VENTAS(RESUMEN GLOBAL)'!L706</f>
        <v>0</v>
      </c>
      <c r="B706" s="6">
        <f>+'[1]VENTAS(RESUMEN GLOBAL)'!M706</f>
        <v>0</v>
      </c>
      <c r="C706">
        <f>+'[1]VENTAS(RESUMEN GLOBAL)'!B706</f>
        <v>0</v>
      </c>
      <c r="D706" t="e">
        <f>INDEX('[1]CÓDIGOS DE PRODUCTO'!$D$3:$D$1000,MATCH(C706,'[1]CÓDIGOS DE PRODUCTO'!$A$3:$A$1000,0))</f>
        <v>#N/A</v>
      </c>
      <c r="E706">
        <f>VLOOKUP(C706,'[1]CÓDIGOS DE PRODUCTO'!$A$4:$B$156,2,FALSE)</f>
        <v>0</v>
      </c>
      <c r="F706">
        <f>INDEX('[1]CÓDIGOS DE PRODUCTO'!$C$3:$C$1000,MATCH(C706,'[1]CÓDIGOS DE PRODUCTO'!$A$3:$A$1000,0))</f>
        <v>0</v>
      </c>
      <c r="G706">
        <f>+'[1]VENTAS(RESUMEN GLOBAL)'!D706-'[1]VENTAS(RESUMEN GLOBAL)'!E706</f>
        <v>0</v>
      </c>
      <c r="H706" s="9">
        <f>+'[1]VENTAS(RESUMEN GLOBAL)'!K706</f>
        <v>0</v>
      </c>
      <c r="I706" s="8">
        <f>+G706*'[1]VENTAS(RESUMEN GLOBAL)'!F706</f>
        <v>0</v>
      </c>
      <c r="J706" s="8">
        <f>'[1]VENTAS(RESUMEN GLOBAL)'!G706*(1-'[1]VENTAS(RESUMEN GLOBAL)'!H706)</f>
        <v>0</v>
      </c>
      <c r="K706" s="8">
        <f t="shared" si="10"/>
        <v>0</v>
      </c>
      <c r="L706" s="8">
        <f>+'[1]VENTAS(RESUMEN GLOBAL)'!J706</f>
        <v>0</v>
      </c>
      <c r="M706" s="8">
        <f>+Tabla1[[#This Row],[utilidad x dia]]*7</f>
        <v>0</v>
      </c>
    </row>
    <row r="707" spans="1:13" x14ac:dyDescent="0.3">
      <c r="A707" s="6">
        <f>+'[1]VENTAS(RESUMEN GLOBAL)'!L707</f>
        <v>0</v>
      </c>
      <c r="B707" s="6">
        <f>+'[1]VENTAS(RESUMEN GLOBAL)'!M707</f>
        <v>0</v>
      </c>
      <c r="C707">
        <f>+'[1]VENTAS(RESUMEN GLOBAL)'!B707</f>
        <v>0</v>
      </c>
      <c r="D707" t="e">
        <f>INDEX('[1]CÓDIGOS DE PRODUCTO'!$D$3:$D$1000,MATCH(C707,'[1]CÓDIGOS DE PRODUCTO'!$A$3:$A$1000,0))</f>
        <v>#N/A</v>
      </c>
      <c r="E707">
        <f>VLOOKUP(C707,'[1]CÓDIGOS DE PRODUCTO'!$A$4:$B$156,2,FALSE)</f>
        <v>0</v>
      </c>
      <c r="F707">
        <f>INDEX('[1]CÓDIGOS DE PRODUCTO'!$C$3:$C$1000,MATCH(C707,'[1]CÓDIGOS DE PRODUCTO'!$A$3:$A$1000,0))</f>
        <v>0</v>
      </c>
      <c r="G707">
        <f>+'[1]VENTAS(RESUMEN GLOBAL)'!D707-'[1]VENTAS(RESUMEN GLOBAL)'!E707</f>
        <v>0</v>
      </c>
      <c r="H707" s="9">
        <f>+'[1]VENTAS(RESUMEN GLOBAL)'!K707</f>
        <v>0</v>
      </c>
      <c r="I707" s="8">
        <f>+G707*'[1]VENTAS(RESUMEN GLOBAL)'!F707</f>
        <v>0</v>
      </c>
      <c r="J707" s="8">
        <f>'[1]VENTAS(RESUMEN GLOBAL)'!G707*(1-'[1]VENTAS(RESUMEN GLOBAL)'!H707)</f>
        <v>0</v>
      </c>
      <c r="K707" s="8">
        <f t="shared" ref="K707:K770" si="11">+I707-J707</f>
        <v>0</v>
      </c>
      <c r="L707" s="8">
        <f>+'[1]VENTAS(RESUMEN GLOBAL)'!J707</f>
        <v>0</v>
      </c>
      <c r="M707" s="8">
        <f>+Tabla1[[#This Row],[utilidad x dia]]*7</f>
        <v>0</v>
      </c>
    </row>
    <row r="708" spans="1:13" x14ac:dyDescent="0.3">
      <c r="A708" s="6">
        <f>+'[1]VENTAS(RESUMEN GLOBAL)'!L708</f>
        <v>0</v>
      </c>
      <c r="B708" s="6">
        <f>+'[1]VENTAS(RESUMEN GLOBAL)'!M708</f>
        <v>0</v>
      </c>
      <c r="C708">
        <f>+'[1]VENTAS(RESUMEN GLOBAL)'!B708</f>
        <v>0</v>
      </c>
      <c r="D708" t="e">
        <f>INDEX('[1]CÓDIGOS DE PRODUCTO'!$D$3:$D$1000,MATCH(C708,'[1]CÓDIGOS DE PRODUCTO'!$A$3:$A$1000,0))</f>
        <v>#N/A</v>
      </c>
      <c r="E708">
        <f>VLOOKUP(C708,'[1]CÓDIGOS DE PRODUCTO'!$A$4:$B$156,2,FALSE)</f>
        <v>0</v>
      </c>
      <c r="F708">
        <f>INDEX('[1]CÓDIGOS DE PRODUCTO'!$C$3:$C$1000,MATCH(C708,'[1]CÓDIGOS DE PRODUCTO'!$A$3:$A$1000,0))</f>
        <v>0</v>
      </c>
      <c r="G708">
        <f>+'[1]VENTAS(RESUMEN GLOBAL)'!D708-'[1]VENTAS(RESUMEN GLOBAL)'!E708</f>
        <v>0</v>
      </c>
      <c r="H708" s="9">
        <f>+'[1]VENTAS(RESUMEN GLOBAL)'!K708</f>
        <v>0</v>
      </c>
      <c r="I708" s="8">
        <f>+G708*'[1]VENTAS(RESUMEN GLOBAL)'!F708</f>
        <v>0</v>
      </c>
      <c r="J708" s="8">
        <f>'[1]VENTAS(RESUMEN GLOBAL)'!G708*(1-'[1]VENTAS(RESUMEN GLOBAL)'!H708)</f>
        <v>0</v>
      </c>
      <c r="K708" s="8">
        <f t="shared" si="11"/>
        <v>0</v>
      </c>
      <c r="L708" s="8">
        <f>+'[1]VENTAS(RESUMEN GLOBAL)'!J708</f>
        <v>0</v>
      </c>
      <c r="M708" s="8">
        <f>+Tabla1[[#This Row],[utilidad x dia]]*7</f>
        <v>0</v>
      </c>
    </row>
    <row r="709" spans="1:13" x14ac:dyDescent="0.3">
      <c r="A709" s="6">
        <f>+'[1]VENTAS(RESUMEN GLOBAL)'!L709</f>
        <v>0</v>
      </c>
      <c r="B709" s="6">
        <f>+'[1]VENTAS(RESUMEN GLOBAL)'!M709</f>
        <v>0</v>
      </c>
      <c r="C709">
        <f>+'[1]VENTAS(RESUMEN GLOBAL)'!B709</f>
        <v>0</v>
      </c>
      <c r="D709" t="e">
        <f>INDEX('[1]CÓDIGOS DE PRODUCTO'!$D$3:$D$1000,MATCH(C709,'[1]CÓDIGOS DE PRODUCTO'!$A$3:$A$1000,0))</f>
        <v>#N/A</v>
      </c>
      <c r="E709">
        <f>VLOOKUP(C709,'[1]CÓDIGOS DE PRODUCTO'!$A$4:$B$156,2,FALSE)</f>
        <v>0</v>
      </c>
      <c r="F709">
        <f>INDEX('[1]CÓDIGOS DE PRODUCTO'!$C$3:$C$1000,MATCH(C709,'[1]CÓDIGOS DE PRODUCTO'!$A$3:$A$1000,0))</f>
        <v>0</v>
      </c>
      <c r="G709">
        <f>+'[1]VENTAS(RESUMEN GLOBAL)'!D709-'[1]VENTAS(RESUMEN GLOBAL)'!E709</f>
        <v>0</v>
      </c>
      <c r="H709" s="9">
        <f>+'[1]VENTAS(RESUMEN GLOBAL)'!K709</f>
        <v>0</v>
      </c>
      <c r="I709" s="8">
        <f>+G709*'[1]VENTAS(RESUMEN GLOBAL)'!F709</f>
        <v>0</v>
      </c>
      <c r="J709" s="8">
        <f>'[1]VENTAS(RESUMEN GLOBAL)'!G709*(1-'[1]VENTAS(RESUMEN GLOBAL)'!H709)</f>
        <v>0</v>
      </c>
      <c r="K709" s="8">
        <f t="shared" si="11"/>
        <v>0</v>
      </c>
      <c r="L709" s="8">
        <f>+'[1]VENTAS(RESUMEN GLOBAL)'!J709</f>
        <v>0</v>
      </c>
      <c r="M709" s="8">
        <f>+Tabla1[[#This Row],[utilidad x dia]]*7</f>
        <v>0</v>
      </c>
    </row>
    <row r="710" spans="1:13" x14ac:dyDescent="0.3">
      <c r="A710" s="6">
        <f>+'[1]VENTAS(RESUMEN GLOBAL)'!L710</f>
        <v>0</v>
      </c>
      <c r="B710" s="6">
        <f>+'[1]VENTAS(RESUMEN GLOBAL)'!M710</f>
        <v>0</v>
      </c>
      <c r="C710">
        <f>+'[1]VENTAS(RESUMEN GLOBAL)'!B710</f>
        <v>0</v>
      </c>
      <c r="D710" t="e">
        <f>INDEX('[1]CÓDIGOS DE PRODUCTO'!$D$3:$D$1000,MATCH(C710,'[1]CÓDIGOS DE PRODUCTO'!$A$3:$A$1000,0))</f>
        <v>#N/A</v>
      </c>
      <c r="E710">
        <f>VLOOKUP(C710,'[1]CÓDIGOS DE PRODUCTO'!$A$4:$B$156,2,FALSE)</f>
        <v>0</v>
      </c>
      <c r="F710">
        <f>INDEX('[1]CÓDIGOS DE PRODUCTO'!$C$3:$C$1000,MATCH(C710,'[1]CÓDIGOS DE PRODUCTO'!$A$3:$A$1000,0))</f>
        <v>0</v>
      </c>
      <c r="G710">
        <f>+'[1]VENTAS(RESUMEN GLOBAL)'!D710-'[1]VENTAS(RESUMEN GLOBAL)'!E710</f>
        <v>0</v>
      </c>
      <c r="H710" s="9">
        <f>+'[1]VENTAS(RESUMEN GLOBAL)'!K710</f>
        <v>0</v>
      </c>
      <c r="I710" s="8">
        <f>+G710*'[1]VENTAS(RESUMEN GLOBAL)'!F710</f>
        <v>0</v>
      </c>
      <c r="J710" s="8">
        <f>'[1]VENTAS(RESUMEN GLOBAL)'!G710*(1-'[1]VENTAS(RESUMEN GLOBAL)'!H710)</f>
        <v>0</v>
      </c>
      <c r="K710" s="8">
        <f t="shared" si="11"/>
        <v>0</v>
      </c>
      <c r="L710" s="8">
        <f>+'[1]VENTAS(RESUMEN GLOBAL)'!J710</f>
        <v>0</v>
      </c>
      <c r="M710" s="8">
        <f>+Tabla1[[#This Row],[utilidad x dia]]*7</f>
        <v>0</v>
      </c>
    </row>
    <row r="711" spans="1:13" x14ac:dyDescent="0.3">
      <c r="A711" s="6">
        <f>+'[1]VENTAS(RESUMEN GLOBAL)'!L711</f>
        <v>0</v>
      </c>
      <c r="B711" s="6">
        <f>+'[1]VENTAS(RESUMEN GLOBAL)'!M711</f>
        <v>0</v>
      </c>
      <c r="C711">
        <f>+'[1]VENTAS(RESUMEN GLOBAL)'!B711</f>
        <v>0</v>
      </c>
      <c r="D711" t="e">
        <f>INDEX('[1]CÓDIGOS DE PRODUCTO'!$D$3:$D$1000,MATCH(C711,'[1]CÓDIGOS DE PRODUCTO'!$A$3:$A$1000,0))</f>
        <v>#N/A</v>
      </c>
      <c r="E711">
        <f>VLOOKUP(C711,'[1]CÓDIGOS DE PRODUCTO'!$A$4:$B$156,2,FALSE)</f>
        <v>0</v>
      </c>
      <c r="F711">
        <f>INDEX('[1]CÓDIGOS DE PRODUCTO'!$C$3:$C$1000,MATCH(C711,'[1]CÓDIGOS DE PRODUCTO'!$A$3:$A$1000,0))</f>
        <v>0</v>
      </c>
      <c r="G711">
        <f>+'[1]VENTAS(RESUMEN GLOBAL)'!D711-'[1]VENTAS(RESUMEN GLOBAL)'!E711</f>
        <v>0</v>
      </c>
      <c r="H711" s="9">
        <f>+'[1]VENTAS(RESUMEN GLOBAL)'!K711</f>
        <v>0</v>
      </c>
      <c r="I711" s="8">
        <f>+G711*'[1]VENTAS(RESUMEN GLOBAL)'!F711</f>
        <v>0</v>
      </c>
      <c r="J711" s="8">
        <f>'[1]VENTAS(RESUMEN GLOBAL)'!G711*(1-'[1]VENTAS(RESUMEN GLOBAL)'!H711)</f>
        <v>0</v>
      </c>
      <c r="K711" s="8">
        <f t="shared" si="11"/>
        <v>0</v>
      </c>
      <c r="L711" s="8">
        <f>+'[1]VENTAS(RESUMEN GLOBAL)'!J711</f>
        <v>0</v>
      </c>
      <c r="M711" s="8">
        <f>+Tabla1[[#This Row],[utilidad x dia]]*7</f>
        <v>0</v>
      </c>
    </row>
    <row r="712" spans="1:13" x14ac:dyDescent="0.3">
      <c r="A712" s="6">
        <f>+'[1]VENTAS(RESUMEN GLOBAL)'!L712</f>
        <v>0</v>
      </c>
      <c r="B712" s="6">
        <f>+'[1]VENTAS(RESUMEN GLOBAL)'!M712</f>
        <v>0</v>
      </c>
      <c r="C712">
        <f>+'[1]VENTAS(RESUMEN GLOBAL)'!B712</f>
        <v>0</v>
      </c>
      <c r="D712" t="e">
        <f>INDEX('[1]CÓDIGOS DE PRODUCTO'!$D$3:$D$1000,MATCH(C712,'[1]CÓDIGOS DE PRODUCTO'!$A$3:$A$1000,0))</f>
        <v>#N/A</v>
      </c>
      <c r="E712">
        <f>VLOOKUP(C712,'[1]CÓDIGOS DE PRODUCTO'!$A$4:$B$156,2,FALSE)</f>
        <v>0</v>
      </c>
      <c r="F712">
        <f>INDEX('[1]CÓDIGOS DE PRODUCTO'!$C$3:$C$1000,MATCH(C712,'[1]CÓDIGOS DE PRODUCTO'!$A$3:$A$1000,0))</f>
        <v>0</v>
      </c>
      <c r="G712">
        <f>+'[1]VENTAS(RESUMEN GLOBAL)'!D712-'[1]VENTAS(RESUMEN GLOBAL)'!E712</f>
        <v>0</v>
      </c>
      <c r="H712" s="9">
        <f>+'[1]VENTAS(RESUMEN GLOBAL)'!K712</f>
        <v>0</v>
      </c>
      <c r="I712" s="8">
        <f>+G712*'[1]VENTAS(RESUMEN GLOBAL)'!F712</f>
        <v>0</v>
      </c>
      <c r="J712" s="8">
        <f>'[1]VENTAS(RESUMEN GLOBAL)'!G712*(1-'[1]VENTAS(RESUMEN GLOBAL)'!H712)</f>
        <v>0</v>
      </c>
      <c r="K712" s="8">
        <f t="shared" si="11"/>
        <v>0</v>
      </c>
      <c r="L712" s="8">
        <f>+'[1]VENTAS(RESUMEN GLOBAL)'!J712</f>
        <v>0</v>
      </c>
      <c r="M712" s="8">
        <f>+Tabla1[[#This Row],[utilidad x dia]]*7</f>
        <v>0</v>
      </c>
    </row>
    <row r="713" spans="1:13" x14ac:dyDescent="0.3">
      <c r="A713" s="6">
        <f>+'[1]VENTAS(RESUMEN GLOBAL)'!L713</f>
        <v>0</v>
      </c>
      <c r="B713" s="6">
        <f>+'[1]VENTAS(RESUMEN GLOBAL)'!M713</f>
        <v>0</v>
      </c>
      <c r="C713">
        <f>+'[1]VENTAS(RESUMEN GLOBAL)'!B713</f>
        <v>0</v>
      </c>
      <c r="D713" t="e">
        <f>INDEX('[1]CÓDIGOS DE PRODUCTO'!$D$3:$D$1000,MATCH(C713,'[1]CÓDIGOS DE PRODUCTO'!$A$3:$A$1000,0))</f>
        <v>#N/A</v>
      </c>
      <c r="E713">
        <f>VLOOKUP(C713,'[1]CÓDIGOS DE PRODUCTO'!$A$4:$B$156,2,FALSE)</f>
        <v>0</v>
      </c>
      <c r="F713">
        <f>INDEX('[1]CÓDIGOS DE PRODUCTO'!$C$3:$C$1000,MATCH(C713,'[1]CÓDIGOS DE PRODUCTO'!$A$3:$A$1000,0))</f>
        <v>0</v>
      </c>
      <c r="G713">
        <f>+'[1]VENTAS(RESUMEN GLOBAL)'!D713-'[1]VENTAS(RESUMEN GLOBAL)'!E713</f>
        <v>0</v>
      </c>
      <c r="H713" s="9">
        <f>+'[1]VENTAS(RESUMEN GLOBAL)'!K713</f>
        <v>0</v>
      </c>
      <c r="I713" s="8">
        <f>+G713*'[1]VENTAS(RESUMEN GLOBAL)'!F713</f>
        <v>0</v>
      </c>
      <c r="J713" s="8">
        <f>'[1]VENTAS(RESUMEN GLOBAL)'!G713*(1-'[1]VENTAS(RESUMEN GLOBAL)'!H713)</f>
        <v>0</v>
      </c>
      <c r="K713" s="8">
        <f t="shared" si="11"/>
        <v>0</v>
      </c>
      <c r="L713" s="8">
        <f>+'[1]VENTAS(RESUMEN GLOBAL)'!J713</f>
        <v>0</v>
      </c>
      <c r="M713" s="8">
        <f>+Tabla1[[#This Row],[utilidad x dia]]*7</f>
        <v>0</v>
      </c>
    </row>
    <row r="714" spans="1:13" x14ac:dyDescent="0.3">
      <c r="A714" s="6">
        <f>+'[1]VENTAS(RESUMEN GLOBAL)'!L714</f>
        <v>0</v>
      </c>
      <c r="B714" s="6">
        <f>+'[1]VENTAS(RESUMEN GLOBAL)'!M714</f>
        <v>0</v>
      </c>
      <c r="C714">
        <f>+'[1]VENTAS(RESUMEN GLOBAL)'!B714</f>
        <v>0</v>
      </c>
      <c r="D714" t="e">
        <f>INDEX('[1]CÓDIGOS DE PRODUCTO'!$D$3:$D$1000,MATCH(C714,'[1]CÓDIGOS DE PRODUCTO'!$A$3:$A$1000,0))</f>
        <v>#N/A</v>
      </c>
      <c r="E714">
        <f>VLOOKUP(C714,'[1]CÓDIGOS DE PRODUCTO'!$A$4:$B$156,2,FALSE)</f>
        <v>0</v>
      </c>
      <c r="F714">
        <f>INDEX('[1]CÓDIGOS DE PRODUCTO'!$C$3:$C$1000,MATCH(C714,'[1]CÓDIGOS DE PRODUCTO'!$A$3:$A$1000,0))</f>
        <v>0</v>
      </c>
      <c r="G714">
        <f>+'[1]VENTAS(RESUMEN GLOBAL)'!D714-'[1]VENTAS(RESUMEN GLOBAL)'!E714</f>
        <v>0</v>
      </c>
      <c r="H714" s="9">
        <f>+'[1]VENTAS(RESUMEN GLOBAL)'!K714</f>
        <v>0</v>
      </c>
      <c r="I714" s="8">
        <f>+G714*'[1]VENTAS(RESUMEN GLOBAL)'!F714</f>
        <v>0</v>
      </c>
      <c r="J714" s="8">
        <f>'[1]VENTAS(RESUMEN GLOBAL)'!G714*(1-'[1]VENTAS(RESUMEN GLOBAL)'!H714)</f>
        <v>0</v>
      </c>
      <c r="K714" s="8">
        <f t="shared" si="11"/>
        <v>0</v>
      </c>
      <c r="L714" s="8">
        <f>+'[1]VENTAS(RESUMEN GLOBAL)'!J714</f>
        <v>0</v>
      </c>
      <c r="M714" s="8">
        <f>+Tabla1[[#This Row],[utilidad x dia]]*7</f>
        <v>0</v>
      </c>
    </row>
    <row r="715" spans="1:13" x14ac:dyDescent="0.3">
      <c r="A715" s="6">
        <f>+'[1]VENTAS(RESUMEN GLOBAL)'!L715</f>
        <v>0</v>
      </c>
      <c r="B715" s="6">
        <f>+'[1]VENTAS(RESUMEN GLOBAL)'!M715</f>
        <v>0</v>
      </c>
      <c r="C715">
        <f>+'[1]VENTAS(RESUMEN GLOBAL)'!B715</f>
        <v>0</v>
      </c>
      <c r="D715" t="e">
        <f>INDEX('[1]CÓDIGOS DE PRODUCTO'!$D$3:$D$1000,MATCH(C715,'[1]CÓDIGOS DE PRODUCTO'!$A$3:$A$1000,0))</f>
        <v>#N/A</v>
      </c>
      <c r="E715">
        <f>VLOOKUP(C715,'[1]CÓDIGOS DE PRODUCTO'!$A$4:$B$156,2,FALSE)</f>
        <v>0</v>
      </c>
      <c r="F715">
        <f>INDEX('[1]CÓDIGOS DE PRODUCTO'!$C$3:$C$1000,MATCH(C715,'[1]CÓDIGOS DE PRODUCTO'!$A$3:$A$1000,0))</f>
        <v>0</v>
      </c>
      <c r="G715">
        <f>+'[1]VENTAS(RESUMEN GLOBAL)'!D715-'[1]VENTAS(RESUMEN GLOBAL)'!E715</f>
        <v>0</v>
      </c>
      <c r="H715" s="9">
        <f>+'[1]VENTAS(RESUMEN GLOBAL)'!K715</f>
        <v>0</v>
      </c>
      <c r="I715" s="8">
        <f>+G715*'[1]VENTAS(RESUMEN GLOBAL)'!F715</f>
        <v>0</v>
      </c>
      <c r="J715" s="8">
        <f>'[1]VENTAS(RESUMEN GLOBAL)'!G715*(1-'[1]VENTAS(RESUMEN GLOBAL)'!H715)</f>
        <v>0</v>
      </c>
      <c r="K715" s="8">
        <f t="shared" si="11"/>
        <v>0</v>
      </c>
      <c r="L715" s="8">
        <f>+'[1]VENTAS(RESUMEN GLOBAL)'!J715</f>
        <v>0</v>
      </c>
      <c r="M715" s="8">
        <f>+Tabla1[[#This Row],[utilidad x dia]]*7</f>
        <v>0</v>
      </c>
    </row>
    <row r="716" spans="1:13" x14ac:dyDescent="0.3">
      <c r="A716" s="6">
        <f>+'[1]VENTAS(RESUMEN GLOBAL)'!L716</f>
        <v>0</v>
      </c>
      <c r="B716" s="6">
        <f>+'[1]VENTAS(RESUMEN GLOBAL)'!M716</f>
        <v>0</v>
      </c>
      <c r="C716">
        <f>+'[1]VENTAS(RESUMEN GLOBAL)'!B716</f>
        <v>0</v>
      </c>
      <c r="D716" t="e">
        <f>INDEX('[1]CÓDIGOS DE PRODUCTO'!$D$3:$D$1000,MATCH(C716,'[1]CÓDIGOS DE PRODUCTO'!$A$3:$A$1000,0))</f>
        <v>#N/A</v>
      </c>
      <c r="E716">
        <f>VLOOKUP(C716,'[1]CÓDIGOS DE PRODUCTO'!$A$4:$B$156,2,FALSE)</f>
        <v>0</v>
      </c>
      <c r="F716">
        <f>INDEX('[1]CÓDIGOS DE PRODUCTO'!$C$3:$C$1000,MATCH(C716,'[1]CÓDIGOS DE PRODUCTO'!$A$3:$A$1000,0))</f>
        <v>0</v>
      </c>
      <c r="G716">
        <f>+'[1]VENTAS(RESUMEN GLOBAL)'!D716-'[1]VENTAS(RESUMEN GLOBAL)'!E716</f>
        <v>0</v>
      </c>
      <c r="H716" s="9">
        <f>+'[1]VENTAS(RESUMEN GLOBAL)'!K716</f>
        <v>0</v>
      </c>
      <c r="I716" s="8">
        <f>+G716*'[1]VENTAS(RESUMEN GLOBAL)'!F716</f>
        <v>0</v>
      </c>
      <c r="J716" s="8">
        <f>'[1]VENTAS(RESUMEN GLOBAL)'!G716*(1-'[1]VENTAS(RESUMEN GLOBAL)'!H716)</f>
        <v>0</v>
      </c>
      <c r="K716" s="8">
        <f t="shared" si="11"/>
        <v>0</v>
      </c>
      <c r="L716" s="8">
        <f>+'[1]VENTAS(RESUMEN GLOBAL)'!J716</f>
        <v>0</v>
      </c>
      <c r="M716" s="8">
        <f>+Tabla1[[#This Row],[utilidad x dia]]*7</f>
        <v>0</v>
      </c>
    </row>
    <row r="717" spans="1:13" x14ac:dyDescent="0.3">
      <c r="A717" s="6">
        <f>+'[1]VENTAS(RESUMEN GLOBAL)'!L717</f>
        <v>0</v>
      </c>
      <c r="B717" s="6">
        <f>+'[1]VENTAS(RESUMEN GLOBAL)'!M717</f>
        <v>0</v>
      </c>
      <c r="C717">
        <f>+'[1]VENTAS(RESUMEN GLOBAL)'!B717</f>
        <v>0</v>
      </c>
      <c r="D717" t="e">
        <f>INDEX('[1]CÓDIGOS DE PRODUCTO'!$D$3:$D$1000,MATCH(C717,'[1]CÓDIGOS DE PRODUCTO'!$A$3:$A$1000,0))</f>
        <v>#N/A</v>
      </c>
      <c r="E717">
        <f>VLOOKUP(C717,'[1]CÓDIGOS DE PRODUCTO'!$A$4:$B$156,2,FALSE)</f>
        <v>0</v>
      </c>
      <c r="F717">
        <f>INDEX('[1]CÓDIGOS DE PRODUCTO'!$C$3:$C$1000,MATCH(C717,'[1]CÓDIGOS DE PRODUCTO'!$A$3:$A$1000,0))</f>
        <v>0</v>
      </c>
      <c r="G717">
        <f>+'[1]VENTAS(RESUMEN GLOBAL)'!D717-'[1]VENTAS(RESUMEN GLOBAL)'!E717</f>
        <v>0</v>
      </c>
      <c r="H717" s="9">
        <f>+'[1]VENTAS(RESUMEN GLOBAL)'!K717</f>
        <v>0</v>
      </c>
      <c r="I717" s="8">
        <f>+G717*'[1]VENTAS(RESUMEN GLOBAL)'!F717</f>
        <v>0</v>
      </c>
      <c r="J717" s="8">
        <f>'[1]VENTAS(RESUMEN GLOBAL)'!G717*(1-'[1]VENTAS(RESUMEN GLOBAL)'!H717)</f>
        <v>0</v>
      </c>
      <c r="K717" s="8">
        <f t="shared" si="11"/>
        <v>0</v>
      </c>
      <c r="L717" s="8">
        <f>+'[1]VENTAS(RESUMEN GLOBAL)'!J717</f>
        <v>0</v>
      </c>
      <c r="M717" s="8">
        <f>+Tabla1[[#This Row],[utilidad x dia]]*7</f>
        <v>0</v>
      </c>
    </row>
    <row r="718" spans="1:13" x14ac:dyDescent="0.3">
      <c r="A718" s="6">
        <f>+'[1]VENTAS(RESUMEN GLOBAL)'!L718</f>
        <v>0</v>
      </c>
      <c r="B718" s="6">
        <f>+'[1]VENTAS(RESUMEN GLOBAL)'!M718</f>
        <v>0</v>
      </c>
      <c r="C718">
        <f>+'[1]VENTAS(RESUMEN GLOBAL)'!B718</f>
        <v>0</v>
      </c>
      <c r="D718" t="e">
        <f>INDEX('[1]CÓDIGOS DE PRODUCTO'!$D$3:$D$1000,MATCH(C718,'[1]CÓDIGOS DE PRODUCTO'!$A$3:$A$1000,0))</f>
        <v>#N/A</v>
      </c>
      <c r="E718">
        <f>VLOOKUP(C718,'[1]CÓDIGOS DE PRODUCTO'!$A$4:$B$156,2,FALSE)</f>
        <v>0</v>
      </c>
      <c r="F718">
        <f>INDEX('[1]CÓDIGOS DE PRODUCTO'!$C$3:$C$1000,MATCH(C718,'[1]CÓDIGOS DE PRODUCTO'!$A$3:$A$1000,0))</f>
        <v>0</v>
      </c>
      <c r="G718">
        <f>+'[1]VENTAS(RESUMEN GLOBAL)'!D718-'[1]VENTAS(RESUMEN GLOBAL)'!E718</f>
        <v>0</v>
      </c>
      <c r="H718" s="9">
        <f>+'[1]VENTAS(RESUMEN GLOBAL)'!K718</f>
        <v>0</v>
      </c>
      <c r="I718" s="8">
        <f>+G718*'[1]VENTAS(RESUMEN GLOBAL)'!F718</f>
        <v>0</v>
      </c>
      <c r="J718" s="8">
        <f>'[1]VENTAS(RESUMEN GLOBAL)'!G718*(1-'[1]VENTAS(RESUMEN GLOBAL)'!H718)</f>
        <v>0</v>
      </c>
      <c r="K718" s="8">
        <f t="shared" si="11"/>
        <v>0</v>
      </c>
      <c r="L718" s="8">
        <f>+'[1]VENTAS(RESUMEN GLOBAL)'!J718</f>
        <v>0</v>
      </c>
      <c r="M718" s="8">
        <f>+Tabla1[[#This Row],[utilidad x dia]]*7</f>
        <v>0</v>
      </c>
    </row>
    <row r="719" spans="1:13" x14ac:dyDescent="0.3">
      <c r="A719" s="6">
        <f>+'[1]VENTAS(RESUMEN GLOBAL)'!L719</f>
        <v>0</v>
      </c>
      <c r="B719" s="6">
        <f>+'[1]VENTAS(RESUMEN GLOBAL)'!M719</f>
        <v>0</v>
      </c>
      <c r="C719">
        <f>+'[1]VENTAS(RESUMEN GLOBAL)'!B719</f>
        <v>0</v>
      </c>
      <c r="D719" t="e">
        <f>INDEX('[1]CÓDIGOS DE PRODUCTO'!$D$3:$D$1000,MATCH(C719,'[1]CÓDIGOS DE PRODUCTO'!$A$3:$A$1000,0))</f>
        <v>#N/A</v>
      </c>
      <c r="E719">
        <f>VLOOKUP(C719,'[1]CÓDIGOS DE PRODUCTO'!$A$4:$B$156,2,FALSE)</f>
        <v>0</v>
      </c>
      <c r="F719">
        <f>INDEX('[1]CÓDIGOS DE PRODUCTO'!$C$3:$C$1000,MATCH(C719,'[1]CÓDIGOS DE PRODUCTO'!$A$3:$A$1000,0))</f>
        <v>0</v>
      </c>
      <c r="G719">
        <f>+'[1]VENTAS(RESUMEN GLOBAL)'!D719-'[1]VENTAS(RESUMEN GLOBAL)'!E719</f>
        <v>0</v>
      </c>
      <c r="H719" s="9">
        <f>+'[1]VENTAS(RESUMEN GLOBAL)'!K719</f>
        <v>0</v>
      </c>
      <c r="I719" s="8">
        <f>+G719*'[1]VENTAS(RESUMEN GLOBAL)'!F719</f>
        <v>0</v>
      </c>
      <c r="J719" s="8">
        <f>'[1]VENTAS(RESUMEN GLOBAL)'!G719*(1-'[1]VENTAS(RESUMEN GLOBAL)'!H719)</f>
        <v>0</v>
      </c>
      <c r="K719" s="8">
        <f t="shared" si="11"/>
        <v>0</v>
      </c>
      <c r="L719" s="8">
        <f>+'[1]VENTAS(RESUMEN GLOBAL)'!J719</f>
        <v>0</v>
      </c>
      <c r="M719" s="8">
        <f>+Tabla1[[#This Row],[utilidad x dia]]*7</f>
        <v>0</v>
      </c>
    </row>
    <row r="720" spans="1:13" x14ac:dyDescent="0.3">
      <c r="A720" s="6">
        <f>+'[1]VENTAS(RESUMEN GLOBAL)'!L720</f>
        <v>0</v>
      </c>
      <c r="B720" s="6">
        <f>+'[1]VENTAS(RESUMEN GLOBAL)'!M720</f>
        <v>0</v>
      </c>
      <c r="C720">
        <f>+'[1]VENTAS(RESUMEN GLOBAL)'!B720</f>
        <v>0</v>
      </c>
      <c r="D720" t="e">
        <f>INDEX('[1]CÓDIGOS DE PRODUCTO'!$D$3:$D$1000,MATCH(C720,'[1]CÓDIGOS DE PRODUCTO'!$A$3:$A$1000,0))</f>
        <v>#N/A</v>
      </c>
      <c r="E720">
        <f>VLOOKUP(C720,'[1]CÓDIGOS DE PRODUCTO'!$A$4:$B$156,2,FALSE)</f>
        <v>0</v>
      </c>
      <c r="F720">
        <f>INDEX('[1]CÓDIGOS DE PRODUCTO'!$C$3:$C$1000,MATCH(C720,'[1]CÓDIGOS DE PRODUCTO'!$A$3:$A$1000,0))</f>
        <v>0</v>
      </c>
      <c r="G720">
        <f>+'[1]VENTAS(RESUMEN GLOBAL)'!D720-'[1]VENTAS(RESUMEN GLOBAL)'!E720</f>
        <v>0</v>
      </c>
      <c r="H720" s="9">
        <f>+'[1]VENTAS(RESUMEN GLOBAL)'!K720</f>
        <v>0</v>
      </c>
      <c r="I720" s="8">
        <f>+G720*'[1]VENTAS(RESUMEN GLOBAL)'!F720</f>
        <v>0</v>
      </c>
      <c r="J720" s="8">
        <f>'[1]VENTAS(RESUMEN GLOBAL)'!G720*(1-'[1]VENTAS(RESUMEN GLOBAL)'!H720)</f>
        <v>0</v>
      </c>
      <c r="K720" s="8">
        <f t="shared" si="11"/>
        <v>0</v>
      </c>
      <c r="L720" s="8">
        <f>+'[1]VENTAS(RESUMEN GLOBAL)'!J720</f>
        <v>0</v>
      </c>
      <c r="M720" s="8">
        <f>+Tabla1[[#This Row],[utilidad x dia]]*7</f>
        <v>0</v>
      </c>
    </row>
    <row r="721" spans="1:13" x14ac:dyDescent="0.3">
      <c r="A721" s="6">
        <f>+'[1]VENTAS(RESUMEN GLOBAL)'!L721</f>
        <v>0</v>
      </c>
      <c r="B721" s="6">
        <f>+'[1]VENTAS(RESUMEN GLOBAL)'!M721</f>
        <v>0</v>
      </c>
      <c r="C721">
        <f>+'[1]VENTAS(RESUMEN GLOBAL)'!B721</f>
        <v>0</v>
      </c>
      <c r="D721" t="e">
        <f>INDEX('[1]CÓDIGOS DE PRODUCTO'!$D$3:$D$1000,MATCH(C721,'[1]CÓDIGOS DE PRODUCTO'!$A$3:$A$1000,0))</f>
        <v>#N/A</v>
      </c>
      <c r="E721">
        <f>VLOOKUP(C721,'[1]CÓDIGOS DE PRODUCTO'!$A$4:$B$156,2,FALSE)</f>
        <v>0</v>
      </c>
      <c r="F721">
        <f>INDEX('[1]CÓDIGOS DE PRODUCTO'!$C$3:$C$1000,MATCH(C721,'[1]CÓDIGOS DE PRODUCTO'!$A$3:$A$1000,0))</f>
        <v>0</v>
      </c>
      <c r="G721">
        <f>+'[1]VENTAS(RESUMEN GLOBAL)'!D721-'[1]VENTAS(RESUMEN GLOBAL)'!E721</f>
        <v>0</v>
      </c>
      <c r="H721" s="9">
        <f>+'[1]VENTAS(RESUMEN GLOBAL)'!K721</f>
        <v>0</v>
      </c>
      <c r="I721" s="8">
        <f>+G721*'[1]VENTAS(RESUMEN GLOBAL)'!F721</f>
        <v>0</v>
      </c>
      <c r="J721" s="8">
        <f>'[1]VENTAS(RESUMEN GLOBAL)'!G721*(1-'[1]VENTAS(RESUMEN GLOBAL)'!H721)</f>
        <v>0</v>
      </c>
      <c r="K721" s="8">
        <f t="shared" si="11"/>
        <v>0</v>
      </c>
      <c r="L721" s="8">
        <f>+'[1]VENTAS(RESUMEN GLOBAL)'!J721</f>
        <v>0</v>
      </c>
      <c r="M721" s="8">
        <f>+Tabla1[[#This Row],[utilidad x dia]]*7</f>
        <v>0</v>
      </c>
    </row>
    <row r="722" spans="1:13" x14ac:dyDescent="0.3">
      <c r="A722" s="6">
        <f>+'[1]VENTAS(RESUMEN GLOBAL)'!L722</f>
        <v>0</v>
      </c>
      <c r="B722" s="6">
        <f>+'[1]VENTAS(RESUMEN GLOBAL)'!M722</f>
        <v>0</v>
      </c>
      <c r="C722">
        <f>+'[1]VENTAS(RESUMEN GLOBAL)'!B722</f>
        <v>0</v>
      </c>
      <c r="D722" t="e">
        <f>INDEX('[1]CÓDIGOS DE PRODUCTO'!$D$3:$D$1000,MATCH(C722,'[1]CÓDIGOS DE PRODUCTO'!$A$3:$A$1000,0))</f>
        <v>#N/A</v>
      </c>
      <c r="E722">
        <f>VLOOKUP(C722,'[1]CÓDIGOS DE PRODUCTO'!$A$4:$B$156,2,FALSE)</f>
        <v>0</v>
      </c>
      <c r="F722">
        <f>INDEX('[1]CÓDIGOS DE PRODUCTO'!$C$3:$C$1000,MATCH(C722,'[1]CÓDIGOS DE PRODUCTO'!$A$3:$A$1000,0))</f>
        <v>0</v>
      </c>
      <c r="G722">
        <f>+'[1]VENTAS(RESUMEN GLOBAL)'!D722-'[1]VENTAS(RESUMEN GLOBAL)'!E722</f>
        <v>0</v>
      </c>
      <c r="H722" s="9">
        <f>+'[1]VENTAS(RESUMEN GLOBAL)'!K722</f>
        <v>0</v>
      </c>
      <c r="I722" s="8">
        <f>+G722*'[1]VENTAS(RESUMEN GLOBAL)'!F722</f>
        <v>0</v>
      </c>
      <c r="J722" s="8">
        <f>'[1]VENTAS(RESUMEN GLOBAL)'!G722*(1-'[1]VENTAS(RESUMEN GLOBAL)'!H722)</f>
        <v>0</v>
      </c>
      <c r="K722" s="8">
        <f t="shared" si="11"/>
        <v>0</v>
      </c>
      <c r="L722" s="8">
        <f>+'[1]VENTAS(RESUMEN GLOBAL)'!J722</f>
        <v>0</v>
      </c>
      <c r="M722" s="8">
        <f>+Tabla1[[#This Row],[utilidad x dia]]*7</f>
        <v>0</v>
      </c>
    </row>
    <row r="723" spans="1:13" x14ac:dyDescent="0.3">
      <c r="A723" s="6">
        <f>+'[1]VENTAS(RESUMEN GLOBAL)'!L723</f>
        <v>0</v>
      </c>
      <c r="B723" s="6">
        <f>+'[1]VENTAS(RESUMEN GLOBAL)'!M723</f>
        <v>0</v>
      </c>
      <c r="C723">
        <f>+'[1]VENTAS(RESUMEN GLOBAL)'!B723</f>
        <v>0</v>
      </c>
      <c r="D723" t="e">
        <f>INDEX('[1]CÓDIGOS DE PRODUCTO'!$D$3:$D$1000,MATCH(C723,'[1]CÓDIGOS DE PRODUCTO'!$A$3:$A$1000,0))</f>
        <v>#N/A</v>
      </c>
      <c r="E723">
        <f>VLOOKUP(C723,'[1]CÓDIGOS DE PRODUCTO'!$A$4:$B$156,2,FALSE)</f>
        <v>0</v>
      </c>
      <c r="F723">
        <f>INDEX('[1]CÓDIGOS DE PRODUCTO'!$C$3:$C$1000,MATCH(C723,'[1]CÓDIGOS DE PRODUCTO'!$A$3:$A$1000,0))</f>
        <v>0</v>
      </c>
      <c r="G723">
        <f>+'[1]VENTAS(RESUMEN GLOBAL)'!D723-'[1]VENTAS(RESUMEN GLOBAL)'!E723</f>
        <v>0</v>
      </c>
      <c r="H723" s="9">
        <f>+'[1]VENTAS(RESUMEN GLOBAL)'!K723</f>
        <v>0</v>
      </c>
      <c r="I723" s="8">
        <f>+G723*'[1]VENTAS(RESUMEN GLOBAL)'!F723</f>
        <v>0</v>
      </c>
      <c r="J723" s="8">
        <f>'[1]VENTAS(RESUMEN GLOBAL)'!G723*(1-'[1]VENTAS(RESUMEN GLOBAL)'!H723)</f>
        <v>0</v>
      </c>
      <c r="K723" s="8">
        <f t="shared" si="11"/>
        <v>0</v>
      </c>
      <c r="L723" s="8">
        <f>+'[1]VENTAS(RESUMEN GLOBAL)'!J723</f>
        <v>0</v>
      </c>
      <c r="M723" s="8">
        <f>+Tabla1[[#This Row],[utilidad x dia]]*7</f>
        <v>0</v>
      </c>
    </row>
    <row r="724" spans="1:13" x14ac:dyDescent="0.3">
      <c r="A724" s="6">
        <f>+'[1]VENTAS(RESUMEN GLOBAL)'!L724</f>
        <v>0</v>
      </c>
      <c r="B724" s="6">
        <f>+'[1]VENTAS(RESUMEN GLOBAL)'!M724</f>
        <v>0</v>
      </c>
      <c r="C724">
        <f>+'[1]VENTAS(RESUMEN GLOBAL)'!B724</f>
        <v>0</v>
      </c>
      <c r="D724" t="e">
        <f>INDEX('[1]CÓDIGOS DE PRODUCTO'!$D$3:$D$1000,MATCH(C724,'[1]CÓDIGOS DE PRODUCTO'!$A$3:$A$1000,0))</f>
        <v>#N/A</v>
      </c>
      <c r="E724">
        <f>VLOOKUP(C724,'[1]CÓDIGOS DE PRODUCTO'!$A$4:$B$156,2,FALSE)</f>
        <v>0</v>
      </c>
      <c r="F724">
        <f>INDEX('[1]CÓDIGOS DE PRODUCTO'!$C$3:$C$1000,MATCH(C724,'[1]CÓDIGOS DE PRODUCTO'!$A$3:$A$1000,0))</f>
        <v>0</v>
      </c>
      <c r="G724">
        <f>+'[1]VENTAS(RESUMEN GLOBAL)'!D724-'[1]VENTAS(RESUMEN GLOBAL)'!E724</f>
        <v>0</v>
      </c>
      <c r="H724" s="9">
        <f>+'[1]VENTAS(RESUMEN GLOBAL)'!K724</f>
        <v>0</v>
      </c>
      <c r="I724" s="8">
        <f>+G724*'[1]VENTAS(RESUMEN GLOBAL)'!F724</f>
        <v>0</v>
      </c>
      <c r="J724" s="8">
        <f>'[1]VENTAS(RESUMEN GLOBAL)'!G724*(1-'[1]VENTAS(RESUMEN GLOBAL)'!H724)</f>
        <v>0</v>
      </c>
      <c r="K724" s="8">
        <f t="shared" si="11"/>
        <v>0</v>
      </c>
      <c r="L724" s="8">
        <f>+'[1]VENTAS(RESUMEN GLOBAL)'!J724</f>
        <v>0</v>
      </c>
      <c r="M724" s="8">
        <f>+Tabla1[[#This Row],[utilidad x dia]]*7</f>
        <v>0</v>
      </c>
    </row>
    <row r="725" spans="1:13" x14ac:dyDescent="0.3">
      <c r="A725" s="6">
        <f>+'[1]VENTAS(RESUMEN GLOBAL)'!L725</f>
        <v>0</v>
      </c>
      <c r="B725" s="6">
        <f>+'[1]VENTAS(RESUMEN GLOBAL)'!M725</f>
        <v>0</v>
      </c>
      <c r="C725">
        <f>+'[1]VENTAS(RESUMEN GLOBAL)'!B725</f>
        <v>0</v>
      </c>
      <c r="D725" t="e">
        <f>INDEX('[1]CÓDIGOS DE PRODUCTO'!$D$3:$D$1000,MATCH(C725,'[1]CÓDIGOS DE PRODUCTO'!$A$3:$A$1000,0))</f>
        <v>#N/A</v>
      </c>
      <c r="E725">
        <f>VLOOKUP(C725,'[1]CÓDIGOS DE PRODUCTO'!$A$4:$B$156,2,FALSE)</f>
        <v>0</v>
      </c>
      <c r="F725">
        <f>INDEX('[1]CÓDIGOS DE PRODUCTO'!$C$3:$C$1000,MATCH(C725,'[1]CÓDIGOS DE PRODUCTO'!$A$3:$A$1000,0))</f>
        <v>0</v>
      </c>
      <c r="G725">
        <f>+'[1]VENTAS(RESUMEN GLOBAL)'!D725-'[1]VENTAS(RESUMEN GLOBAL)'!E725</f>
        <v>0</v>
      </c>
      <c r="H725" s="9">
        <f>+'[1]VENTAS(RESUMEN GLOBAL)'!K725</f>
        <v>0</v>
      </c>
      <c r="I725" s="8">
        <f>+G725*'[1]VENTAS(RESUMEN GLOBAL)'!F725</f>
        <v>0</v>
      </c>
      <c r="J725" s="8">
        <f>'[1]VENTAS(RESUMEN GLOBAL)'!G725*(1-'[1]VENTAS(RESUMEN GLOBAL)'!H725)</f>
        <v>0</v>
      </c>
      <c r="K725" s="8">
        <f t="shared" si="11"/>
        <v>0</v>
      </c>
      <c r="L725" s="8">
        <f>+'[1]VENTAS(RESUMEN GLOBAL)'!J725</f>
        <v>0</v>
      </c>
      <c r="M725" s="8">
        <f>+Tabla1[[#This Row],[utilidad x dia]]*7</f>
        <v>0</v>
      </c>
    </row>
    <row r="726" spans="1:13" x14ac:dyDescent="0.3">
      <c r="A726" s="6">
        <f>+'[1]VENTAS(RESUMEN GLOBAL)'!L726</f>
        <v>0</v>
      </c>
      <c r="B726" s="6">
        <f>+'[1]VENTAS(RESUMEN GLOBAL)'!M726</f>
        <v>0</v>
      </c>
      <c r="C726">
        <f>+'[1]VENTAS(RESUMEN GLOBAL)'!B726</f>
        <v>0</v>
      </c>
      <c r="D726" t="e">
        <f>INDEX('[1]CÓDIGOS DE PRODUCTO'!$D$3:$D$1000,MATCH(C726,'[1]CÓDIGOS DE PRODUCTO'!$A$3:$A$1000,0))</f>
        <v>#N/A</v>
      </c>
      <c r="E726">
        <f>VLOOKUP(C726,'[1]CÓDIGOS DE PRODUCTO'!$A$4:$B$156,2,FALSE)</f>
        <v>0</v>
      </c>
      <c r="F726">
        <f>INDEX('[1]CÓDIGOS DE PRODUCTO'!$C$3:$C$1000,MATCH(C726,'[1]CÓDIGOS DE PRODUCTO'!$A$3:$A$1000,0))</f>
        <v>0</v>
      </c>
      <c r="G726">
        <f>+'[1]VENTAS(RESUMEN GLOBAL)'!D726-'[1]VENTAS(RESUMEN GLOBAL)'!E726</f>
        <v>0</v>
      </c>
      <c r="H726" s="9">
        <f>+'[1]VENTAS(RESUMEN GLOBAL)'!K726</f>
        <v>0</v>
      </c>
      <c r="I726" s="8">
        <f>+G726*'[1]VENTAS(RESUMEN GLOBAL)'!F726</f>
        <v>0</v>
      </c>
      <c r="J726" s="8">
        <f>'[1]VENTAS(RESUMEN GLOBAL)'!G726*(1-'[1]VENTAS(RESUMEN GLOBAL)'!H726)</f>
        <v>0</v>
      </c>
      <c r="K726" s="8">
        <f t="shared" si="11"/>
        <v>0</v>
      </c>
      <c r="L726" s="8">
        <f>+'[1]VENTAS(RESUMEN GLOBAL)'!J726</f>
        <v>0</v>
      </c>
      <c r="M726" s="8">
        <f>+Tabla1[[#This Row],[utilidad x dia]]*7</f>
        <v>0</v>
      </c>
    </row>
    <row r="727" spans="1:13" x14ac:dyDescent="0.3">
      <c r="A727" s="6">
        <f>+'[1]VENTAS(RESUMEN GLOBAL)'!L727</f>
        <v>0</v>
      </c>
      <c r="B727" s="6">
        <f>+'[1]VENTAS(RESUMEN GLOBAL)'!M727</f>
        <v>0</v>
      </c>
      <c r="C727">
        <f>+'[1]VENTAS(RESUMEN GLOBAL)'!B727</f>
        <v>0</v>
      </c>
      <c r="D727" t="e">
        <f>INDEX('[1]CÓDIGOS DE PRODUCTO'!$D$3:$D$1000,MATCH(C727,'[1]CÓDIGOS DE PRODUCTO'!$A$3:$A$1000,0))</f>
        <v>#N/A</v>
      </c>
      <c r="E727">
        <f>VLOOKUP(C727,'[1]CÓDIGOS DE PRODUCTO'!$A$4:$B$156,2,FALSE)</f>
        <v>0</v>
      </c>
      <c r="F727">
        <f>INDEX('[1]CÓDIGOS DE PRODUCTO'!$C$3:$C$1000,MATCH(C727,'[1]CÓDIGOS DE PRODUCTO'!$A$3:$A$1000,0))</f>
        <v>0</v>
      </c>
      <c r="G727">
        <f>+'[1]VENTAS(RESUMEN GLOBAL)'!D727-'[1]VENTAS(RESUMEN GLOBAL)'!E727</f>
        <v>0</v>
      </c>
      <c r="H727" s="9">
        <f>+'[1]VENTAS(RESUMEN GLOBAL)'!K727</f>
        <v>0</v>
      </c>
      <c r="I727" s="8">
        <f>+G727*'[1]VENTAS(RESUMEN GLOBAL)'!F727</f>
        <v>0</v>
      </c>
      <c r="J727" s="8">
        <f>'[1]VENTAS(RESUMEN GLOBAL)'!G727*(1-'[1]VENTAS(RESUMEN GLOBAL)'!H727)</f>
        <v>0</v>
      </c>
      <c r="K727" s="8">
        <f t="shared" si="11"/>
        <v>0</v>
      </c>
      <c r="L727" s="8">
        <f>+'[1]VENTAS(RESUMEN GLOBAL)'!J727</f>
        <v>0</v>
      </c>
      <c r="M727" s="8">
        <f>+Tabla1[[#This Row],[utilidad x dia]]*7</f>
        <v>0</v>
      </c>
    </row>
    <row r="728" spans="1:13" x14ac:dyDescent="0.3">
      <c r="A728" s="6">
        <f>+'[1]VENTAS(RESUMEN GLOBAL)'!L728</f>
        <v>0</v>
      </c>
      <c r="B728" s="6">
        <f>+'[1]VENTAS(RESUMEN GLOBAL)'!M728</f>
        <v>0</v>
      </c>
      <c r="C728">
        <f>+'[1]VENTAS(RESUMEN GLOBAL)'!B728</f>
        <v>0</v>
      </c>
      <c r="D728" t="e">
        <f>INDEX('[1]CÓDIGOS DE PRODUCTO'!$D$3:$D$1000,MATCH(C728,'[1]CÓDIGOS DE PRODUCTO'!$A$3:$A$1000,0))</f>
        <v>#N/A</v>
      </c>
      <c r="E728">
        <f>VLOOKUP(C728,'[1]CÓDIGOS DE PRODUCTO'!$A$4:$B$156,2,FALSE)</f>
        <v>0</v>
      </c>
      <c r="F728">
        <f>INDEX('[1]CÓDIGOS DE PRODUCTO'!$C$3:$C$1000,MATCH(C728,'[1]CÓDIGOS DE PRODUCTO'!$A$3:$A$1000,0))</f>
        <v>0</v>
      </c>
      <c r="G728">
        <f>+'[1]VENTAS(RESUMEN GLOBAL)'!D728-'[1]VENTAS(RESUMEN GLOBAL)'!E728</f>
        <v>0</v>
      </c>
      <c r="H728" s="9">
        <f>+'[1]VENTAS(RESUMEN GLOBAL)'!K728</f>
        <v>0</v>
      </c>
      <c r="I728" s="8">
        <f>+G728*'[1]VENTAS(RESUMEN GLOBAL)'!F728</f>
        <v>0</v>
      </c>
      <c r="J728" s="8">
        <f>'[1]VENTAS(RESUMEN GLOBAL)'!G728*(1-'[1]VENTAS(RESUMEN GLOBAL)'!H728)</f>
        <v>0</v>
      </c>
      <c r="K728" s="8">
        <f t="shared" si="11"/>
        <v>0</v>
      </c>
      <c r="L728" s="8">
        <f>+'[1]VENTAS(RESUMEN GLOBAL)'!J728</f>
        <v>0</v>
      </c>
      <c r="M728" s="8">
        <f>+Tabla1[[#This Row],[utilidad x dia]]*7</f>
        <v>0</v>
      </c>
    </row>
    <row r="729" spans="1:13" x14ac:dyDescent="0.3">
      <c r="A729" s="6">
        <f>+'[1]VENTAS(RESUMEN GLOBAL)'!L729</f>
        <v>0</v>
      </c>
      <c r="B729" s="6">
        <f>+'[1]VENTAS(RESUMEN GLOBAL)'!M729</f>
        <v>0</v>
      </c>
      <c r="C729">
        <f>+'[1]VENTAS(RESUMEN GLOBAL)'!B729</f>
        <v>0</v>
      </c>
      <c r="D729" t="e">
        <f>INDEX('[1]CÓDIGOS DE PRODUCTO'!$D$3:$D$1000,MATCH(C729,'[1]CÓDIGOS DE PRODUCTO'!$A$3:$A$1000,0))</f>
        <v>#N/A</v>
      </c>
      <c r="E729">
        <f>VLOOKUP(C729,'[1]CÓDIGOS DE PRODUCTO'!$A$4:$B$156,2,FALSE)</f>
        <v>0</v>
      </c>
      <c r="F729">
        <f>INDEX('[1]CÓDIGOS DE PRODUCTO'!$C$3:$C$1000,MATCH(C729,'[1]CÓDIGOS DE PRODUCTO'!$A$3:$A$1000,0))</f>
        <v>0</v>
      </c>
      <c r="G729">
        <f>+'[1]VENTAS(RESUMEN GLOBAL)'!D729-'[1]VENTAS(RESUMEN GLOBAL)'!E729</f>
        <v>0</v>
      </c>
      <c r="H729" s="9">
        <f>+'[1]VENTAS(RESUMEN GLOBAL)'!K729</f>
        <v>0</v>
      </c>
      <c r="I729" s="8">
        <f>+G729*'[1]VENTAS(RESUMEN GLOBAL)'!F729</f>
        <v>0</v>
      </c>
      <c r="J729" s="8">
        <f>'[1]VENTAS(RESUMEN GLOBAL)'!G729*(1-'[1]VENTAS(RESUMEN GLOBAL)'!H729)</f>
        <v>0</v>
      </c>
      <c r="K729" s="8">
        <f t="shared" si="11"/>
        <v>0</v>
      </c>
      <c r="L729" s="8">
        <f>+'[1]VENTAS(RESUMEN GLOBAL)'!J729</f>
        <v>0</v>
      </c>
      <c r="M729" s="8">
        <f>+Tabla1[[#This Row],[utilidad x dia]]*7</f>
        <v>0</v>
      </c>
    </row>
    <row r="730" spans="1:13" x14ac:dyDescent="0.3">
      <c r="A730" s="6">
        <f>+'[1]VENTAS(RESUMEN GLOBAL)'!L730</f>
        <v>0</v>
      </c>
      <c r="B730" s="6">
        <f>+'[1]VENTAS(RESUMEN GLOBAL)'!M730</f>
        <v>0</v>
      </c>
      <c r="C730">
        <f>+'[1]VENTAS(RESUMEN GLOBAL)'!B730</f>
        <v>0</v>
      </c>
      <c r="D730" t="e">
        <f>INDEX('[1]CÓDIGOS DE PRODUCTO'!$D$3:$D$1000,MATCH(C730,'[1]CÓDIGOS DE PRODUCTO'!$A$3:$A$1000,0))</f>
        <v>#N/A</v>
      </c>
      <c r="E730">
        <f>VLOOKUP(C730,'[1]CÓDIGOS DE PRODUCTO'!$A$4:$B$156,2,FALSE)</f>
        <v>0</v>
      </c>
      <c r="F730">
        <f>INDEX('[1]CÓDIGOS DE PRODUCTO'!$C$3:$C$1000,MATCH(C730,'[1]CÓDIGOS DE PRODUCTO'!$A$3:$A$1000,0))</f>
        <v>0</v>
      </c>
      <c r="G730">
        <f>+'[1]VENTAS(RESUMEN GLOBAL)'!D730-'[1]VENTAS(RESUMEN GLOBAL)'!E730</f>
        <v>0</v>
      </c>
      <c r="H730" s="9">
        <f>+'[1]VENTAS(RESUMEN GLOBAL)'!K730</f>
        <v>0</v>
      </c>
      <c r="I730" s="8">
        <f>+G730*'[1]VENTAS(RESUMEN GLOBAL)'!F730</f>
        <v>0</v>
      </c>
      <c r="J730" s="8">
        <f>'[1]VENTAS(RESUMEN GLOBAL)'!G730*(1-'[1]VENTAS(RESUMEN GLOBAL)'!H730)</f>
        <v>0</v>
      </c>
      <c r="K730" s="8">
        <f t="shared" si="11"/>
        <v>0</v>
      </c>
      <c r="L730" s="8">
        <f>+'[1]VENTAS(RESUMEN GLOBAL)'!J730</f>
        <v>0</v>
      </c>
      <c r="M730" s="8">
        <f>+Tabla1[[#This Row],[utilidad x dia]]*7</f>
        <v>0</v>
      </c>
    </row>
    <row r="731" spans="1:13" x14ac:dyDescent="0.3">
      <c r="A731" s="6">
        <f>+'[1]VENTAS(RESUMEN GLOBAL)'!L731</f>
        <v>0</v>
      </c>
      <c r="B731" s="6">
        <f>+'[1]VENTAS(RESUMEN GLOBAL)'!M731</f>
        <v>0</v>
      </c>
      <c r="C731">
        <f>+'[1]VENTAS(RESUMEN GLOBAL)'!B731</f>
        <v>0</v>
      </c>
      <c r="D731" t="e">
        <f>INDEX('[1]CÓDIGOS DE PRODUCTO'!$D$3:$D$1000,MATCH(C731,'[1]CÓDIGOS DE PRODUCTO'!$A$3:$A$1000,0))</f>
        <v>#N/A</v>
      </c>
      <c r="E731">
        <f>VLOOKUP(C731,'[1]CÓDIGOS DE PRODUCTO'!$A$4:$B$156,2,FALSE)</f>
        <v>0</v>
      </c>
      <c r="F731">
        <f>INDEX('[1]CÓDIGOS DE PRODUCTO'!$C$3:$C$1000,MATCH(C731,'[1]CÓDIGOS DE PRODUCTO'!$A$3:$A$1000,0))</f>
        <v>0</v>
      </c>
      <c r="G731">
        <f>+'[1]VENTAS(RESUMEN GLOBAL)'!D731-'[1]VENTAS(RESUMEN GLOBAL)'!E731</f>
        <v>0</v>
      </c>
      <c r="H731" s="9">
        <f>+'[1]VENTAS(RESUMEN GLOBAL)'!K731</f>
        <v>0</v>
      </c>
      <c r="I731" s="8">
        <f>+G731*'[1]VENTAS(RESUMEN GLOBAL)'!F731</f>
        <v>0</v>
      </c>
      <c r="J731" s="8">
        <f>'[1]VENTAS(RESUMEN GLOBAL)'!G731*(1-'[1]VENTAS(RESUMEN GLOBAL)'!H731)</f>
        <v>0</v>
      </c>
      <c r="K731" s="8">
        <f t="shared" si="11"/>
        <v>0</v>
      </c>
      <c r="L731" s="8">
        <f>+'[1]VENTAS(RESUMEN GLOBAL)'!J731</f>
        <v>0</v>
      </c>
      <c r="M731" s="8">
        <f>+Tabla1[[#This Row],[utilidad x dia]]*7</f>
        <v>0</v>
      </c>
    </row>
    <row r="732" spans="1:13" x14ac:dyDescent="0.3">
      <c r="A732" s="6">
        <f>+'[1]VENTAS(RESUMEN GLOBAL)'!L732</f>
        <v>0</v>
      </c>
      <c r="B732" s="6">
        <f>+'[1]VENTAS(RESUMEN GLOBAL)'!M732</f>
        <v>0</v>
      </c>
      <c r="C732">
        <f>+'[1]VENTAS(RESUMEN GLOBAL)'!B732</f>
        <v>0</v>
      </c>
      <c r="D732" t="e">
        <f>INDEX('[1]CÓDIGOS DE PRODUCTO'!$D$3:$D$1000,MATCH(C732,'[1]CÓDIGOS DE PRODUCTO'!$A$3:$A$1000,0))</f>
        <v>#N/A</v>
      </c>
      <c r="E732">
        <f>VLOOKUP(C732,'[1]CÓDIGOS DE PRODUCTO'!$A$4:$B$156,2,FALSE)</f>
        <v>0</v>
      </c>
      <c r="F732">
        <f>INDEX('[1]CÓDIGOS DE PRODUCTO'!$C$3:$C$1000,MATCH(C732,'[1]CÓDIGOS DE PRODUCTO'!$A$3:$A$1000,0))</f>
        <v>0</v>
      </c>
      <c r="G732">
        <f>+'[1]VENTAS(RESUMEN GLOBAL)'!D732-'[1]VENTAS(RESUMEN GLOBAL)'!E732</f>
        <v>0</v>
      </c>
      <c r="H732" s="9">
        <f>+'[1]VENTAS(RESUMEN GLOBAL)'!K732</f>
        <v>0</v>
      </c>
      <c r="I732" s="8">
        <f>+G732*'[1]VENTAS(RESUMEN GLOBAL)'!F732</f>
        <v>0</v>
      </c>
      <c r="J732" s="8">
        <f>'[1]VENTAS(RESUMEN GLOBAL)'!G732*(1-'[1]VENTAS(RESUMEN GLOBAL)'!H732)</f>
        <v>0</v>
      </c>
      <c r="K732" s="8">
        <f t="shared" si="11"/>
        <v>0</v>
      </c>
      <c r="L732" s="8">
        <f>+'[1]VENTAS(RESUMEN GLOBAL)'!J732</f>
        <v>0</v>
      </c>
      <c r="M732" s="8">
        <f>+Tabla1[[#This Row],[utilidad x dia]]*7</f>
        <v>0</v>
      </c>
    </row>
    <row r="733" spans="1:13" x14ac:dyDescent="0.3">
      <c r="A733" s="6">
        <f>+'[1]VENTAS(RESUMEN GLOBAL)'!L733</f>
        <v>0</v>
      </c>
      <c r="B733" s="6">
        <f>+'[1]VENTAS(RESUMEN GLOBAL)'!M733</f>
        <v>0</v>
      </c>
      <c r="C733">
        <f>+'[1]VENTAS(RESUMEN GLOBAL)'!B733</f>
        <v>0</v>
      </c>
      <c r="D733" t="e">
        <f>INDEX('[1]CÓDIGOS DE PRODUCTO'!$D$3:$D$1000,MATCH(C733,'[1]CÓDIGOS DE PRODUCTO'!$A$3:$A$1000,0))</f>
        <v>#N/A</v>
      </c>
      <c r="E733">
        <f>VLOOKUP(C733,'[1]CÓDIGOS DE PRODUCTO'!$A$4:$B$156,2,FALSE)</f>
        <v>0</v>
      </c>
      <c r="F733">
        <f>INDEX('[1]CÓDIGOS DE PRODUCTO'!$C$3:$C$1000,MATCH(C733,'[1]CÓDIGOS DE PRODUCTO'!$A$3:$A$1000,0))</f>
        <v>0</v>
      </c>
      <c r="G733">
        <f>+'[1]VENTAS(RESUMEN GLOBAL)'!D733-'[1]VENTAS(RESUMEN GLOBAL)'!E733</f>
        <v>0</v>
      </c>
      <c r="H733" s="9">
        <f>+'[1]VENTAS(RESUMEN GLOBAL)'!K733</f>
        <v>0</v>
      </c>
      <c r="I733" s="8">
        <f>+G733*'[1]VENTAS(RESUMEN GLOBAL)'!F733</f>
        <v>0</v>
      </c>
      <c r="J733" s="8">
        <f>'[1]VENTAS(RESUMEN GLOBAL)'!G733*(1-'[1]VENTAS(RESUMEN GLOBAL)'!H733)</f>
        <v>0</v>
      </c>
      <c r="K733" s="8">
        <f t="shared" si="11"/>
        <v>0</v>
      </c>
      <c r="L733" s="8">
        <f>+'[1]VENTAS(RESUMEN GLOBAL)'!J733</f>
        <v>0</v>
      </c>
      <c r="M733" s="8">
        <f>+Tabla1[[#This Row],[utilidad x dia]]*7</f>
        <v>0</v>
      </c>
    </row>
    <row r="734" spans="1:13" x14ac:dyDescent="0.3">
      <c r="A734" s="6">
        <f>+'[1]VENTAS(RESUMEN GLOBAL)'!L734</f>
        <v>0</v>
      </c>
      <c r="B734" s="6">
        <f>+'[1]VENTAS(RESUMEN GLOBAL)'!M734</f>
        <v>0</v>
      </c>
      <c r="C734">
        <f>+'[1]VENTAS(RESUMEN GLOBAL)'!B734</f>
        <v>0</v>
      </c>
      <c r="D734" t="e">
        <f>INDEX('[1]CÓDIGOS DE PRODUCTO'!$D$3:$D$1000,MATCH(C734,'[1]CÓDIGOS DE PRODUCTO'!$A$3:$A$1000,0))</f>
        <v>#N/A</v>
      </c>
      <c r="E734">
        <f>VLOOKUP(C734,'[1]CÓDIGOS DE PRODUCTO'!$A$4:$B$156,2,FALSE)</f>
        <v>0</v>
      </c>
      <c r="F734">
        <f>INDEX('[1]CÓDIGOS DE PRODUCTO'!$C$3:$C$1000,MATCH(C734,'[1]CÓDIGOS DE PRODUCTO'!$A$3:$A$1000,0))</f>
        <v>0</v>
      </c>
      <c r="G734">
        <f>+'[1]VENTAS(RESUMEN GLOBAL)'!D734-'[1]VENTAS(RESUMEN GLOBAL)'!E734</f>
        <v>0</v>
      </c>
      <c r="H734" s="9">
        <f>+'[1]VENTAS(RESUMEN GLOBAL)'!K734</f>
        <v>0</v>
      </c>
      <c r="I734" s="8">
        <f>+G734*'[1]VENTAS(RESUMEN GLOBAL)'!F734</f>
        <v>0</v>
      </c>
      <c r="J734" s="8">
        <f>'[1]VENTAS(RESUMEN GLOBAL)'!G734*(1-'[1]VENTAS(RESUMEN GLOBAL)'!H734)</f>
        <v>0</v>
      </c>
      <c r="K734" s="8">
        <f t="shared" si="11"/>
        <v>0</v>
      </c>
      <c r="L734" s="8">
        <f>+'[1]VENTAS(RESUMEN GLOBAL)'!J734</f>
        <v>0</v>
      </c>
      <c r="M734" s="8">
        <f>+Tabla1[[#This Row],[utilidad x dia]]*7</f>
        <v>0</v>
      </c>
    </row>
    <row r="735" spans="1:13" x14ac:dyDescent="0.3">
      <c r="A735" s="6">
        <f>+'[1]VENTAS(RESUMEN GLOBAL)'!L735</f>
        <v>0</v>
      </c>
      <c r="B735" s="6">
        <f>+'[1]VENTAS(RESUMEN GLOBAL)'!M735</f>
        <v>0</v>
      </c>
      <c r="C735">
        <f>+'[1]VENTAS(RESUMEN GLOBAL)'!B735</f>
        <v>0</v>
      </c>
      <c r="D735" t="e">
        <f>INDEX('[1]CÓDIGOS DE PRODUCTO'!$D$3:$D$1000,MATCH(C735,'[1]CÓDIGOS DE PRODUCTO'!$A$3:$A$1000,0))</f>
        <v>#N/A</v>
      </c>
      <c r="E735">
        <f>VLOOKUP(C735,'[1]CÓDIGOS DE PRODUCTO'!$A$4:$B$156,2,FALSE)</f>
        <v>0</v>
      </c>
      <c r="F735">
        <f>INDEX('[1]CÓDIGOS DE PRODUCTO'!$C$3:$C$1000,MATCH(C735,'[1]CÓDIGOS DE PRODUCTO'!$A$3:$A$1000,0))</f>
        <v>0</v>
      </c>
      <c r="G735">
        <f>+'[1]VENTAS(RESUMEN GLOBAL)'!D735-'[1]VENTAS(RESUMEN GLOBAL)'!E735</f>
        <v>0</v>
      </c>
      <c r="H735" s="9">
        <f>+'[1]VENTAS(RESUMEN GLOBAL)'!K735</f>
        <v>0</v>
      </c>
      <c r="I735" s="8">
        <f>+G735*'[1]VENTAS(RESUMEN GLOBAL)'!F735</f>
        <v>0</v>
      </c>
      <c r="J735" s="8">
        <f>'[1]VENTAS(RESUMEN GLOBAL)'!G735*(1-'[1]VENTAS(RESUMEN GLOBAL)'!H735)</f>
        <v>0</v>
      </c>
      <c r="K735" s="8">
        <f t="shared" si="11"/>
        <v>0</v>
      </c>
      <c r="L735" s="8">
        <f>+'[1]VENTAS(RESUMEN GLOBAL)'!J735</f>
        <v>0</v>
      </c>
      <c r="M735" s="8">
        <f>+Tabla1[[#This Row],[utilidad x dia]]*7</f>
        <v>0</v>
      </c>
    </row>
    <row r="736" spans="1:13" x14ac:dyDescent="0.3">
      <c r="A736" s="6">
        <f>+'[1]VENTAS(RESUMEN GLOBAL)'!L736</f>
        <v>0</v>
      </c>
      <c r="B736" s="6">
        <f>+'[1]VENTAS(RESUMEN GLOBAL)'!M736</f>
        <v>0</v>
      </c>
      <c r="C736">
        <f>+'[1]VENTAS(RESUMEN GLOBAL)'!B736</f>
        <v>0</v>
      </c>
      <c r="D736" t="e">
        <f>INDEX('[1]CÓDIGOS DE PRODUCTO'!$D$3:$D$1000,MATCH(C736,'[1]CÓDIGOS DE PRODUCTO'!$A$3:$A$1000,0))</f>
        <v>#N/A</v>
      </c>
      <c r="E736">
        <f>VLOOKUP(C736,'[1]CÓDIGOS DE PRODUCTO'!$A$4:$B$156,2,FALSE)</f>
        <v>0</v>
      </c>
      <c r="F736">
        <f>INDEX('[1]CÓDIGOS DE PRODUCTO'!$C$3:$C$1000,MATCH(C736,'[1]CÓDIGOS DE PRODUCTO'!$A$3:$A$1000,0))</f>
        <v>0</v>
      </c>
      <c r="G736">
        <f>+'[1]VENTAS(RESUMEN GLOBAL)'!D736-'[1]VENTAS(RESUMEN GLOBAL)'!E736</f>
        <v>0</v>
      </c>
      <c r="H736" s="9">
        <f>+'[1]VENTAS(RESUMEN GLOBAL)'!K736</f>
        <v>0</v>
      </c>
      <c r="I736" s="8">
        <f>+G736*'[1]VENTAS(RESUMEN GLOBAL)'!F736</f>
        <v>0</v>
      </c>
      <c r="J736" s="8">
        <f>'[1]VENTAS(RESUMEN GLOBAL)'!G736*(1-'[1]VENTAS(RESUMEN GLOBAL)'!H736)</f>
        <v>0</v>
      </c>
      <c r="K736" s="8">
        <f t="shared" si="11"/>
        <v>0</v>
      </c>
      <c r="L736" s="8">
        <f>+'[1]VENTAS(RESUMEN GLOBAL)'!J736</f>
        <v>0</v>
      </c>
      <c r="M736" s="8">
        <f>+Tabla1[[#This Row],[utilidad x dia]]*7</f>
        <v>0</v>
      </c>
    </row>
    <row r="737" spans="1:13" x14ac:dyDescent="0.3">
      <c r="A737" s="6">
        <f>+'[1]VENTAS(RESUMEN GLOBAL)'!L737</f>
        <v>0</v>
      </c>
      <c r="B737" s="6">
        <f>+'[1]VENTAS(RESUMEN GLOBAL)'!M737</f>
        <v>0</v>
      </c>
      <c r="C737">
        <f>+'[1]VENTAS(RESUMEN GLOBAL)'!B737</f>
        <v>0</v>
      </c>
      <c r="D737" t="e">
        <f>INDEX('[1]CÓDIGOS DE PRODUCTO'!$D$3:$D$1000,MATCH(C737,'[1]CÓDIGOS DE PRODUCTO'!$A$3:$A$1000,0))</f>
        <v>#N/A</v>
      </c>
      <c r="E737">
        <f>VLOOKUP(C737,'[1]CÓDIGOS DE PRODUCTO'!$A$4:$B$156,2,FALSE)</f>
        <v>0</v>
      </c>
      <c r="F737">
        <f>INDEX('[1]CÓDIGOS DE PRODUCTO'!$C$3:$C$1000,MATCH(C737,'[1]CÓDIGOS DE PRODUCTO'!$A$3:$A$1000,0))</f>
        <v>0</v>
      </c>
      <c r="G737">
        <f>+'[1]VENTAS(RESUMEN GLOBAL)'!D737-'[1]VENTAS(RESUMEN GLOBAL)'!E737</f>
        <v>0</v>
      </c>
      <c r="H737" s="9">
        <f>+'[1]VENTAS(RESUMEN GLOBAL)'!K737</f>
        <v>0</v>
      </c>
      <c r="I737" s="8">
        <f>+G737*'[1]VENTAS(RESUMEN GLOBAL)'!F737</f>
        <v>0</v>
      </c>
      <c r="J737" s="8">
        <f>'[1]VENTAS(RESUMEN GLOBAL)'!G737*(1-'[1]VENTAS(RESUMEN GLOBAL)'!H737)</f>
        <v>0</v>
      </c>
      <c r="K737" s="8">
        <f t="shared" si="11"/>
        <v>0</v>
      </c>
      <c r="L737" s="8">
        <f>+'[1]VENTAS(RESUMEN GLOBAL)'!J737</f>
        <v>0</v>
      </c>
      <c r="M737" s="8">
        <f>+Tabla1[[#This Row],[utilidad x dia]]*7</f>
        <v>0</v>
      </c>
    </row>
    <row r="738" spans="1:13" x14ac:dyDescent="0.3">
      <c r="A738" s="6">
        <f>+'[1]VENTAS(RESUMEN GLOBAL)'!L738</f>
        <v>0</v>
      </c>
      <c r="B738" s="6">
        <f>+'[1]VENTAS(RESUMEN GLOBAL)'!M738</f>
        <v>0</v>
      </c>
      <c r="C738">
        <f>+'[1]VENTAS(RESUMEN GLOBAL)'!B738</f>
        <v>0</v>
      </c>
      <c r="D738" t="e">
        <f>INDEX('[1]CÓDIGOS DE PRODUCTO'!$D$3:$D$1000,MATCH(C738,'[1]CÓDIGOS DE PRODUCTO'!$A$3:$A$1000,0))</f>
        <v>#N/A</v>
      </c>
      <c r="E738">
        <f>VLOOKUP(C738,'[1]CÓDIGOS DE PRODUCTO'!$A$4:$B$156,2,FALSE)</f>
        <v>0</v>
      </c>
      <c r="F738">
        <f>INDEX('[1]CÓDIGOS DE PRODUCTO'!$C$3:$C$1000,MATCH(C738,'[1]CÓDIGOS DE PRODUCTO'!$A$3:$A$1000,0))</f>
        <v>0</v>
      </c>
      <c r="G738">
        <f>+'[1]VENTAS(RESUMEN GLOBAL)'!D738-'[1]VENTAS(RESUMEN GLOBAL)'!E738</f>
        <v>0</v>
      </c>
      <c r="H738" s="9">
        <f>+'[1]VENTAS(RESUMEN GLOBAL)'!K738</f>
        <v>0</v>
      </c>
      <c r="I738" s="8">
        <f>+G738*'[1]VENTAS(RESUMEN GLOBAL)'!F738</f>
        <v>0</v>
      </c>
      <c r="J738" s="8">
        <f>'[1]VENTAS(RESUMEN GLOBAL)'!G738*(1-'[1]VENTAS(RESUMEN GLOBAL)'!H738)</f>
        <v>0</v>
      </c>
      <c r="K738" s="8">
        <f t="shared" si="11"/>
        <v>0</v>
      </c>
      <c r="L738" s="8">
        <f>+'[1]VENTAS(RESUMEN GLOBAL)'!J738</f>
        <v>0</v>
      </c>
      <c r="M738" s="8">
        <f>+Tabla1[[#This Row],[utilidad x dia]]*7</f>
        <v>0</v>
      </c>
    </row>
    <row r="739" spans="1:13" x14ac:dyDescent="0.3">
      <c r="A739" s="6">
        <f>+'[1]VENTAS(RESUMEN GLOBAL)'!L739</f>
        <v>0</v>
      </c>
      <c r="B739" s="6">
        <f>+'[1]VENTAS(RESUMEN GLOBAL)'!M739</f>
        <v>0</v>
      </c>
      <c r="C739">
        <f>+'[1]VENTAS(RESUMEN GLOBAL)'!B739</f>
        <v>0</v>
      </c>
      <c r="D739" t="e">
        <f>INDEX('[1]CÓDIGOS DE PRODUCTO'!$D$3:$D$1000,MATCH(C739,'[1]CÓDIGOS DE PRODUCTO'!$A$3:$A$1000,0))</f>
        <v>#N/A</v>
      </c>
      <c r="E739">
        <f>VLOOKUP(C739,'[1]CÓDIGOS DE PRODUCTO'!$A$4:$B$156,2,FALSE)</f>
        <v>0</v>
      </c>
      <c r="F739">
        <f>INDEX('[1]CÓDIGOS DE PRODUCTO'!$C$3:$C$1000,MATCH(C739,'[1]CÓDIGOS DE PRODUCTO'!$A$3:$A$1000,0))</f>
        <v>0</v>
      </c>
      <c r="G739">
        <f>+'[1]VENTAS(RESUMEN GLOBAL)'!D739-'[1]VENTAS(RESUMEN GLOBAL)'!E739</f>
        <v>0</v>
      </c>
      <c r="H739" s="9">
        <f>+'[1]VENTAS(RESUMEN GLOBAL)'!K739</f>
        <v>0</v>
      </c>
      <c r="I739" s="8">
        <f>+G739*'[1]VENTAS(RESUMEN GLOBAL)'!F739</f>
        <v>0</v>
      </c>
      <c r="J739" s="8">
        <f>'[1]VENTAS(RESUMEN GLOBAL)'!G739*(1-'[1]VENTAS(RESUMEN GLOBAL)'!H739)</f>
        <v>0</v>
      </c>
      <c r="K739" s="8">
        <f t="shared" si="11"/>
        <v>0</v>
      </c>
      <c r="L739" s="8">
        <f>+'[1]VENTAS(RESUMEN GLOBAL)'!J739</f>
        <v>0</v>
      </c>
      <c r="M739" s="8">
        <f>+Tabla1[[#This Row],[utilidad x dia]]*7</f>
        <v>0</v>
      </c>
    </row>
    <row r="740" spans="1:13" x14ac:dyDescent="0.3">
      <c r="A740" s="6">
        <f>+'[1]VENTAS(RESUMEN GLOBAL)'!L740</f>
        <v>0</v>
      </c>
      <c r="B740" s="6">
        <f>+'[1]VENTAS(RESUMEN GLOBAL)'!M740</f>
        <v>0</v>
      </c>
      <c r="C740">
        <f>+'[1]VENTAS(RESUMEN GLOBAL)'!B740</f>
        <v>0</v>
      </c>
      <c r="D740" t="e">
        <f>INDEX('[1]CÓDIGOS DE PRODUCTO'!$D$3:$D$1000,MATCH(C740,'[1]CÓDIGOS DE PRODUCTO'!$A$3:$A$1000,0))</f>
        <v>#N/A</v>
      </c>
      <c r="E740">
        <f>VLOOKUP(C740,'[1]CÓDIGOS DE PRODUCTO'!$A$4:$B$156,2,FALSE)</f>
        <v>0</v>
      </c>
      <c r="F740">
        <f>INDEX('[1]CÓDIGOS DE PRODUCTO'!$C$3:$C$1000,MATCH(C740,'[1]CÓDIGOS DE PRODUCTO'!$A$3:$A$1000,0))</f>
        <v>0</v>
      </c>
      <c r="G740">
        <f>+'[1]VENTAS(RESUMEN GLOBAL)'!D740-'[1]VENTAS(RESUMEN GLOBAL)'!E740</f>
        <v>0</v>
      </c>
      <c r="H740" s="9">
        <f>+'[1]VENTAS(RESUMEN GLOBAL)'!K740</f>
        <v>0</v>
      </c>
      <c r="I740" s="8">
        <f>+G740*'[1]VENTAS(RESUMEN GLOBAL)'!F740</f>
        <v>0</v>
      </c>
      <c r="J740" s="8">
        <f>'[1]VENTAS(RESUMEN GLOBAL)'!G740*(1-'[1]VENTAS(RESUMEN GLOBAL)'!H740)</f>
        <v>0</v>
      </c>
      <c r="K740" s="8">
        <f t="shared" si="11"/>
        <v>0</v>
      </c>
      <c r="L740" s="8">
        <f>+'[1]VENTAS(RESUMEN GLOBAL)'!J740</f>
        <v>0</v>
      </c>
      <c r="M740" s="8">
        <f>+Tabla1[[#This Row],[utilidad x dia]]*7</f>
        <v>0</v>
      </c>
    </row>
    <row r="741" spans="1:13" x14ac:dyDescent="0.3">
      <c r="A741" s="6">
        <f>+'[1]VENTAS(RESUMEN GLOBAL)'!L741</f>
        <v>0</v>
      </c>
      <c r="B741" s="6">
        <f>+'[1]VENTAS(RESUMEN GLOBAL)'!M741</f>
        <v>0</v>
      </c>
      <c r="C741">
        <f>+'[1]VENTAS(RESUMEN GLOBAL)'!B741</f>
        <v>0</v>
      </c>
      <c r="D741" t="e">
        <f>INDEX('[1]CÓDIGOS DE PRODUCTO'!$D$3:$D$1000,MATCH(C741,'[1]CÓDIGOS DE PRODUCTO'!$A$3:$A$1000,0))</f>
        <v>#N/A</v>
      </c>
      <c r="E741">
        <f>VLOOKUP(C741,'[1]CÓDIGOS DE PRODUCTO'!$A$4:$B$156,2,FALSE)</f>
        <v>0</v>
      </c>
      <c r="F741">
        <f>INDEX('[1]CÓDIGOS DE PRODUCTO'!$C$3:$C$1000,MATCH(C741,'[1]CÓDIGOS DE PRODUCTO'!$A$3:$A$1000,0))</f>
        <v>0</v>
      </c>
      <c r="G741">
        <f>+'[1]VENTAS(RESUMEN GLOBAL)'!D741-'[1]VENTAS(RESUMEN GLOBAL)'!E741</f>
        <v>0</v>
      </c>
      <c r="H741" s="9">
        <f>+'[1]VENTAS(RESUMEN GLOBAL)'!K741</f>
        <v>0</v>
      </c>
      <c r="I741" s="8">
        <f>+G741*'[1]VENTAS(RESUMEN GLOBAL)'!F741</f>
        <v>0</v>
      </c>
      <c r="J741" s="8">
        <f>'[1]VENTAS(RESUMEN GLOBAL)'!G741*(1-'[1]VENTAS(RESUMEN GLOBAL)'!H741)</f>
        <v>0</v>
      </c>
      <c r="K741" s="8">
        <f t="shared" si="11"/>
        <v>0</v>
      </c>
      <c r="L741" s="8">
        <f>+'[1]VENTAS(RESUMEN GLOBAL)'!J741</f>
        <v>0</v>
      </c>
      <c r="M741" s="8">
        <f>+Tabla1[[#This Row],[utilidad x dia]]*7</f>
        <v>0</v>
      </c>
    </row>
    <row r="742" spans="1:13" x14ac:dyDescent="0.3">
      <c r="A742" s="6">
        <f>+'[1]VENTAS(RESUMEN GLOBAL)'!L742</f>
        <v>0</v>
      </c>
      <c r="B742" s="6">
        <f>+'[1]VENTAS(RESUMEN GLOBAL)'!M742</f>
        <v>0</v>
      </c>
      <c r="C742">
        <f>+'[1]VENTAS(RESUMEN GLOBAL)'!B742</f>
        <v>0</v>
      </c>
      <c r="D742" t="e">
        <f>INDEX('[1]CÓDIGOS DE PRODUCTO'!$D$3:$D$1000,MATCH(C742,'[1]CÓDIGOS DE PRODUCTO'!$A$3:$A$1000,0))</f>
        <v>#N/A</v>
      </c>
      <c r="E742">
        <f>VLOOKUP(C742,'[1]CÓDIGOS DE PRODUCTO'!$A$4:$B$156,2,FALSE)</f>
        <v>0</v>
      </c>
      <c r="F742">
        <f>INDEX('[1]CÓDIGOS DE PRODUCTO'!$C$3:$C$1000,MATCH(C742,'[1]CÓDIGOS DE PRODUCTO'!$A$3:$A$1000,0))</f>
        <v>0</v>
      </c>
      <c r="G742">
        <f>+'[1]VENTAS(RESUMEN GLOBAL)'!D742-'[1]VENTAS(RESUMEN GLOBAL)'!E742</f>
        <v>0</v>
      </c>
      <c r="H742" s="9">
        <f>+'[1]VENTAS(RESUMEN GLOBAL)'!K742</f>
        <v>0</v>
      </c>
      <c r="I742" s="8">
        <f>+G742*'[1]VENTAS(RESUMEN GLOBAL)'!F742</f>
        <v>0</v>
      </c>
      <c r="J742" s="8">
        <f>'[1]VENTAS(RESUMEN GLOBAL)'!G742*(1-'[1]VENTAS(RESUMEN GLOBAL)'!H742)</f>
        <v>0</v>
      </c>
      <c r="K742" s="8">
        <f t="shared" si="11"/>
        <v>0</v>
      </c>
      <c r="L742" s="8">
        <f>+'[1]VENTAS(RESUMEN GLOBAL)'!J742</f>
        <v>0</v>
      </c>
      <c r="M742" s="8">
        <f>+Tabla1[[#This Row],[utilidad x dia]]*7</f>
        <v>0</v>
      </c>
    </row>
    <row r="743" spans="1:13" x14ac:dyDescent="0.3">
      <c r="A743" s="6">
        <f>+'[1]VENTAS(RESUMEN GLOBAL)'!L743</f>
        <v>0</v>
      </c>
      <c r="B743" s="6">
        <f>+'[1]VENTAS(RESUMEN GLOBAL)'!M743</f>
        <v>0</v>
      </c>
      <c r="C743">
        <f>+'[1]VENTAS(RESUMEN GLOBAL)'!B743</f>
        <v>0</v>
      </c>
      <c r="D743" t="e">
        <f>INDEX('[1]CÓDIGOS DE PRODUCTO'!$D$3:$D$1000,MATCH(C743,'[1]CÓDIGOS DE PRODUCTO'!$A$3:$A$1000,0))</f>
        <v>#N/A</v>
      </c>
      <c r="E743">
        <f>VLOOKUP(C743,'[1]CÓDIGOS DE PRODUCTO'!$A$4:$B$156,2,FALSE)</f>
        <v>0</v>
      </c>
      <c r="F743">
        <f>INDEX('[1]CÓDIGOS DE PRODUCTO'!$C$3:$C$1000,MATCH(C743,'[1]CÓDIGOS DE PRODUCTO'!$A$3:$A$1000,0))</f>
        <v>0</v>
      </c>
      <c r="G743">
        <f>+'[1]VENTAS(RESUMEN GLOBAL)'!D743-'[1]VENTAS(RESUMEN GLOBAL)'!E743</f>
        <v>0</v>
      </c>
      <c r="H743" s="9">
        <f>+'[1]VENTAS(RESUMEN GLOBAL)'!K743</f>
        <v>0</v>
      </c>
      <c r="I743" s="8">
        <f>+G743*'[1]VENTAS(RESUMEN GLOBAL)'!F743</f>
        <v>0</v>
      </c>
      <c r="J743" s="8">
        <f>'[1]VENTAS(RESUMEN GLOBAL)'!G743*(1-'[1]VENTAS(RESUMEN GLOBAL)'!H743)</f>
        <v>0</v>
      </c>
      <c r="K743" s="8">
        <f t="shared" si="11"/>
        <v>0</v>
      </c>
      <c r="L743" s="8">
        <f>+'[1]VENTAS(RESUMEN GLOBAL)'!J743</f>
        <v>0</v>
      </c>
      <c r="M743" s="8">
        <f>+Tabla1[[#This Row],[utilidad x dia]]*7</f>
        <v>0</v>
      </c>
    </row>
    <row r="744" spans="1:13" x14ac:dyDescent="0.3">
      <c r="A744" s="6">
        <f>+'[1]VENTAS(RESUMEN GLOBAL)'!L744</f>
        <v>0</v>
      </c>
      <c r="B744" s="6">
        <f>+'[1]VENTAS(RESUMEN GLOBAL)'!M744</f>
        <v>0</v>
      </c>
      <c r="C744">
        <f>+'[1]VENTAS(RESUMEN GLOBAL)'!B744</f>
        <v>0</v>
      </c>
      <c r="D744" t="e">
        <f>INDEX('[1]CÓDIGOS DE PRODUCTO'!$D$3:$D$1000,MATCH(C744,'[1]CÓDIGOS DE PRODUCTO'!$A$3:$A$1000,0))</f>
        <v>#N/A</v>
      </c>
      <c r="E744">
        <f>VLOOKUP(C744,'[1]CÓDIGOS DE PRODUCTO'!$A$4:$B$156,2,FALSE)</f>
        <v>0</v>
      </c>
      <c r="F744">
        <f>INDEX('[1]CÓDIGOS DE PRODUCTO'!$C$3:$C$1000,MATCH(C744,'[1]CÓDIGOS DE PRODUCTO'!$A$3:$A$1000,0))</f>
        <v>0</v>
      </c>
      <c r="G744">
        <f>+'[1]VENTAS(RESUMEN GLOBAL)'!D744-'[1]VENTAS(RESUMEN GLOBAL)'!E744</f>
        <v>0</v>
      </c>
      <c r="H744" s="9">
        <f>+'[1]VENTAS(RESUMEN GLOBAL)'!K744</f>
        <v>0</v>
      </c>
      <c r="I744" s="8">
        <f>+G744*'[1]VENTAS(RESUMEN GLOBAL)'!F744</f>
        <v>0</v>
      </c>
      <c r="J744" s="8">
        <f>'[1]VENTAS(RESUMEN GLOBAL)'!G744*(1-'[1]VENTAS(RESUMEN GLOBAL)'!H744)</f>
        <v>0</v>
      </c>
      <c r="K744" s="8">
        <f t="shared" si="11"/>
        <v>0</v>
      </c>
      <c r="L744" s="8">
        <f>+'[1]VENTAS(RESUMEN GLOBAL)'!J744</f>
        <v>0</v>
      </c>
      <c r="M744" s="8">
        <f>+Tabla1[[#This Row],[utilidad x dia]]*7</f>
        <v>0</v>
      </c>
    </row>
    <row r="745" spans="1:13" x14ac:dyDescent="0.3">
      <c r="A745" s="6">
        <f>+'[1]VENTAS(RESUMEN GLOBAL)'!L745</f>
        <v>0</v>
      </c>
      <c r="B745" s="6">
        <f>+'[1]VENTAS(RESUMEN GLOBAL)'!M745</f>
        <v>0</v>
      </c>
      <c r="C745">
        <f>+'[1]VENTAS(RESUMEN GLOBAL)'!B745</f>
        <v>0</v>
      </c>
      <c r="D745" t="e">
        <f>INDEX('[1]CÓDIGOS DE PRODUCTO'!$D$3:$D$1000,MATCH(C745,'[1]CÓDIGOS DE PRODUCTO'!$A$3:$A$1000,0))</f>
        <v>#N/A</v>
      </c>
      <c r="E745">
        <f>VLOOKUP(C745,'[1]CÓDIGOS DE PRODUCTO'!$A$4:$B$156,2,FALSE)</f>
        <v>0</v>
      </c>
      <c r="F745">
        <f>INDEX('[1]CÓDIGOS DE PRODUCTO'!$C$3:$C$1000,MATCH(C745,'[1]CÓDIGOS DE PRODUCTO'!$A$3:$A$1000,0))</f>
        <v>0</v>
      </c>
      <c r="G745">
        <f>+'[1]VENTAS(RESUMEN GLOBAL)'!D745-'[1]VENTAS(RESUMEN GLOBAL)'!E745</f>
        <v>0</v>
      </c>
      <c r="H745" s="9">
        <f>+'[1]VENTAS(RESUMEN GLOBAL)'!K745</f>
        <v>0</v>
      </c>
      <c r="I745" s="8">
        <f>+G745*'[1]VENTAS(RESUMEN GLOBAL)'!F745</f>
        <v>0</v>
      </c>
      <c r="J745" s="8">
        <f>'[1]VENTAS(RESUMEN GLOBAL)'!G745*(1-'[1]VENTAS(RESUMEN GLOBAL)'!H745)</f>
        <v>0</v>
      </c>
      <c r="K745" s="8">
        <f t="shared" si="11"/>
        <v>0</v>
      </c>
      <c r="L745" s="8">
        <f>+'[1]VENTAS(RESUMEN GLOBAL)'!J745</f>
        <v>0</v>
      </c>
      <c r="M745" s="8">
        <f>+Tabla1[[#This Row],[utilidad x dia]]*7</f>
        <v>0</v>
      </c>
    </row>
    <row r="746" spans="1:13" x14ac:dyDescent="0.3">
      <c r="A746" s="6">
        <f>+'[1]VENTAS(RESUMEN GLOBAL)'!L746</f>
        <v>0</v>
      </c>
      <c r="B746" s="6">
        <f>+'[1]VENTAS(RESUMEN GLOBAL)'!M746</f>
        <v>0</v>
      </c>
      <c r="C746">
        <f>+'[1]VENTAS(RESUMEN GLOBAL)'!B746</f>
        <v>0</v>
      </c>
      <c r="D746" t="e">
        <f>INDEX('[1]CÓDIGOS DE PRODUCTO'!$D$3:$D$1000,MATCH(C746,'[1]CÓDIGOS DE PRODUCTO'!$A$3:$A$1000,0))</f>
        <v>#N/A</v>
      </c>
      <c r="E746">
        <f>VLOOKUP(C746,'[1]CÓDIGOS DE PRODUCTO'!$A$4:$B$156,2,FALSE)</f>
        <v>0</v>
      </c>
      <c r="F746">
        <f>INDEX('[1]CÓDIGOS DE PRODUCTO'!$C$3:$C$1000,MATCH(C746,'[1]CÓDIGOS DE PRODUCTO'!$A$3:$A$1000,0))</f>
        <v>0</v>
      </c>
      <c r="G746">
        <f>+'[1]VENTAS(RESUMEN GLOBAL)'!D746-'[1]VENTAS(RESUMEN GLOBAL)'!E746</f>
        <v>0</v>
      </c>
      <c r="H746" s="9">
        <f>+'[1]VENTAS(RESUMEN GLOBAL)'!K746</f>
        <v>0</v>
      </c>
      <c r="I746" s="8">
        <f>+G746*'[1]VENTAS(RESUMEN GLOBAL)'!F746</f>
        <v>0</v>
      </c>
      <c r="J746" s="8">
        <f>'[1]VENTAS(RESUMEN GLOBAL)'!G746*(1-'[1]VENTAS(RESUMEN GLOBAL)'!H746)</f>
        <v>0</v>
      </c>
      <c r="K746" s="8">
        <f t="shared" si="11"/>
        <v>0</v>
      </c>
      <c r="L746" s="8">
        <f>+'[1]VENTAS(RESUMEN GLOBAL)'!J746</f>
        <v>0</v>
      </c>
      <c r="M746" s="8">
        <f>+Tabla1[[#This Row],[utilidad x dia]]*7</f>
        <v>0</v>
      </c>
    </row>
    <row r="747" spans="1:13" x14ac:dyDescent="0.3">
      <c r="A747" s="6">
        <f>+'[1]VENTAS(RESUMEN GLOBAL)'!L747</f>
        <v>0</v>
      </c>
      <c r="B747" s="6">
        <f>+'[1]VENTAS(RESUMEN GLOBAL)'!M747</f>
        <v>0</v>
      </c>
      <c r="C747">
        <f>+'[1]VENTAS(RESUMEN GLOBAL)'!B747</f>
        <v>0</v>
      </c>
      <c r="D747" t="e">
        <f>INDEX('[1]CÓDIGOS DE PRODUCTO'!$D$3:$D$1000,MATCH(C747,'[1]CÓDIGOS DE PRODUCTO'!$A$3:$A$1000,0))</f>
        <v>#N/A</v>
      </c>
      <c r="E747">
        <f>VLOOKUP(C747,'[1]CÓDIGOS DE PRODUCTO'!$A$4:$B$156,2,FALSE)</f>
        <v>0</v>
      </c>
      <c r="F747">
        <f>INDEX('[1]CÓDIGOS DE PRODUCTO'!$C$3:$C$1000,MATCH(C747,'[1]CÓDIGOS DE PRODUCTO'!$A$3:$A$1000,0))</f>
        <v>0</v>
      </c>
      <c r="G747">
        <f>+'[1]VENTAS(RESUMEN GLOBAL)'!D747-'[1]VENTAS(RESUMEN GLOBAL)'!E747</f>
        <v>0</v>
      </c>
      <c r="H747" s="9">
        <f>+'[1]VENTAS(RESUMEN GLOBAL)'!K747</f>
        <v>0</v>
      </c>
      <c r="I747" s="8">
        <f>+G747*'[1]VENTAS(RESUMEN GLOBAL)'!F747</f>
        <v>0</v>
      </c>
      <c r="J747" s="8">
        <f>'[1]VENTAS(RESUMEN GLOBAL)'!G747*(1-'[1]VENTAS(RESUMEN GLOBAL)'!H747)</f>
        <v>0</v>
      </c>
      <c r="K747" s="8">
        <f t="shared" si="11"/>
        <v>0</v>
      </c>
      <c r="L747" s="8">
        <f>+'[1]VENTAS(RESUMEN GLOBAL)'!J747</f>
        <v>0</v>
      </c>
      <c r="M747" s="8">
        <f>+Tabla1[[#This Row],[utilidad x dia]]*7</f>
        <v>0</v>
      </c>
    </row>
    <row r="748" spans="1:13" x14ac:dyDescent="0.3">
      <c r="A748" s="6">
        <f>+'[1]VENTAS(RESUMEN GLOBAL)'!L748</f>
        <v>0</v>
      </c>
      <c r="B748" s="6">
        <f>+'[1]VENTAS(RESUMEN GLOBAL)'!M748</f>
        <v>0</v>
      </c>
      <c r="C748">
        <f>+'[1]VENTAS(RESUMEN GLOBAL)'!B748</f>
        <v>0</v>
      </c>
      <c r="D748" t="e">
        <f>INDEX('[1]CÓDIGOS DE PRODUCTO'!$D$3:$D$1000,MATCH(C748,'[1]CÓDIGOS DE PRODUCTO'!$A$3:$A$1000,0))</f>
        <v>#N/A</v>
      </c>
      <c r="E748">
        <f>VLOOKUP(C748,'[1]CÓDIGOS DE PRODUCTO'!$A$4:$B$156,2,FALSE)</f>
        <v>0</v>
      </c>
      <c r="F748">
        <f>INDEX('[1]CÓDIGOS DE PRODUCTO'!$C$3:$C$1000,MATCH(C748,'[1]CÓDIGOS DE PRODUCTO'!$A$3:$A$1000,0))</f>
        <v>0</v>
      </c>
      <c r="G748">
        <f>+'[1]VENTAS(RESUMEN GLOBAL)'!D748-'[1]VENTAS(RESUMEN GLOBAL)'!E748</f>
        <v>0</v>
      </c>
      <c r="H748" s="9">
        <f>+'[1]VENTAS(RESUMEN GLOBAL)'!K748</f>
        <v>0</v>
      </c>
      <c r="I748" s="8">
        <f>+G748*'[1]VENTAS(RESUMEN GLOBAL)'!F748</f>
        <v>0</v>
      </c>
      <c r="J748" s="8">
        <f>'[1]VENTAS(RESUMEN GLOBAL)'!G748*(1-'[1]VENTAS(RESUMEN GLOBAL)'!H748)</f>
        <v>0</v>
      </c>
      <c r="K748" s="8">
        <f t="shared" si="11"/>
        <v>0</v>
      </c>
      <c r="L748" s="8">
        <f>+'[1]VENTAS(RESUMEN GLOBAL)'!J748</f>
        <v>0</v>
      </c>
      <c r="M748" s="8">
        <f>+Tabla1[[#This Row],[utilidad x dia]]*7</f>
        <v>0</v>
      </c>
    </row>
    <row r="749" spans="1:13" x14ac:dyDescent="0.3">
      <c r="A749" s="6">
        <f>+'[1]VENTAS(RESUMEN GLOBAL)'!L749</f>
        <v>0</v>
      </c>
      <c r="B749" s="6">
        <f>+'[1]VENTAS(RESUMEN GLOBAL)'!M749</f>
        <v>0</v>
      </c>
      <c r="C749">
        <f>+'[1]VENTAS(RESUMEN GLOBAL)'!B749</f>
        <v>0</v>
      </c>
      <c r="D749" t="e">
        <f>INDEX('[1]CÓDIGOS DE PRODUCTO'!$D$3:$D$1000,MATCH(C749,'[1]CÓDIGOS DE PRODUCTO'!$A$3:$A$1000,0))</f>
        <v>#N/A</v>
      </c>
      <c r="E749">
        <f>VLOOKUP(C749,'[1]CÓDIGOS DE PRODUCTO'!$A$4:$B$156,2,FALSE)</f>
        <v>0</v>
      </c>
      <c r="F749">
        <f>INDEX('[1]CÓDIGOS DE PRODUCTO'!$C$3:$C$1000,MATCH(C749,'[1]CÓDIGOS DE PRODUCTO'!$A$3:$A$1000,0))</f>
        <v>0</v>
      </c>
      <c r="G749">
        <f>+'[1]VENTAS(RESUMEN GLOBAL)'!D749-'[1]VENTAS(RESUMEN GLOBAL)'!E749</f>
        <v>0</v>
      </c>
      <c r="H749" s="9">
        <f>+'[1]VENTAS(RESUMEN GLOBAL)'!K749</f>
        <v>0</v>
      </c>
      <c r="I749" s="8">
        <f>+G749*'[1]VENTAS(RESUMEN GLOBAL)'!F749</f>
        <v>0</v>
      </c>
      <c r="J749" s="8">
        <f>'[1]VENTAS(RESUMEN GLOBAL)'!G749*(1-'[1]VENTAS(RESUMEN GLOBAL)'!H749)</f>
        <v>0</v>
      </c>
      <c r="K749" s="8">
        <f t="shared" si="11"/>
        <v>0</v>
      </c>
      <c r="L749" s="8">
        <f>+'[1]VENTAS(RESUMEN GLOBAL)'!J749</f>
        <v>0</v>
      </c>
      <c r="M749" s="8">
        <f>+Tabla1[[#This Row],[utilidad x dia]]*7</f>
        <v>0</v>
      </c>
    </row>
    <row r="750" spans="1:13" x14ac:dyDescent="0.3">
      <c r="A750" s="6">
        <f>+'[1]VENTAS(RESUMEN GLOBAL)'!L750</f>
        <v>0</v>
      </c>
      <c r="B750" s="6">
        <f>+'[1]VENTAS(RESUMEN GLOBAL)'!M750</f>
        <v>0</v>
      </c>
      <c r="C750">
        <f>+'[1]VENTAS(RESUMEN GLOBAL)'!B750</f>
        <v>0</v>
      </c>
      <c r="D750" t="e">
        <f>INDEX('[1]CÓDIGOS DE PRODUCTO'!$D$3:$D$1000,MATCH(C750,'[1]CÓDIGOS DE PRODUCTO'!$A$3:$A$1000,0))</f>
        <v>#N/A</v>
      </c>
      <c r="E750">
        <f>VLOOKUP(C750,'[1]CÓDIGOS DE PRODUCTO'!$A$4:$B$156,2,FALSE)</f>
        <v>0</v>
      </c>
      <c r="F750">
        <f>INDEX('[1]CÓDIGOS DE PRODUCTO'!$C$3:$C$1000,MATCH(C750,'[1]CÓDIGOS DE PRODUCTO'!$A$3:$A$1000,0))</f>
        <v>0</v>
      </c>
      <c r="G750">
        <f>+'[1]VENTAS(RESUMEN GLOBAL)'!D750-'[1]VENTAS(RESUMEN GLOBAL)'!E750</f>
        <v>0</v>
      </c>
      <c r="H750" s="9">
        <f>+'[1]VENTAS(RESUMEN GLOBAL)'!K750</f>
        <v>0</v>
      </c>
      <c r="I750" s="8">
        <f>+G750*'[1]VENTAS(RESUMEN GLOBAL)'!F750</f>
        <v>0</v>
      </c>
      <c r="J750" s="8">
        <f>'[1]VENTAS(RESUMEN GLOBAL)'!G750*(1-'[1]VENTAS(RESUMEN GLOBAL)'!H750)</f>
        <v>0</v>
      </c>
      <c r="K750" s="8">
        <f t="shared" si="11"/>
        <v>0</v>
      </c>
      <c r="L750" s="8">
        <f>+'[1]VENTAS(RESUMEN GLOBAL)'!J750</f>
        <v>0</v>
      </c>
      <c r="M750" s="8">
        <f>+Tabla1[[#This Row],[utilidad x dia]]*7</f>
        <v>0</v>
      </c>
    </row>
    <row r="751" spans="1:13" x14ac:dyDescent="0.3">
      <c r="A751" s="6">
        <f>+'[1]VENTAS(RESUMEN GLOBAL)'!L751</f>
        <v>0</v>
      </c>
      <c r="B751" s="6">
        <f>+'[1]VENTAS(RESUMEN GLOBAL)'!M751</f>
        <v>0</v>
      </c>
      <c r="C751">
        <f>+'[1]VENTAS(RESUMEN GLOBAL)'!B751</f>
        <v>0</v>
      </c>
      <c r="D751" t="e">
        <f>INDEX('[1]CÓDIGOS DE PRODUCTO'!$D$3:$D$1000,MATCH(C751,'[1]CÓDIGOS DE PRODUCTO'!$A$3:$A$1000,0))</f>
        <v>#N/A</v>
      </c>
      <c r="E751">
        <f>VLOOKUP(C751,'[1]CÓDIGOS DE PRODUCTO'!$A$4:$B$156,2,FALSE)</f>
        <v>0</v>
      </c>
      <c r="F751">
        <f>INDEX('[1]CÓDIGOS DE PRODUCTO'!$C$3:$C$1000,MATCH(C751,'[1]CÓDIGOS DE PRODUCTO'!$A$3:$A$1000,0))</f>
        <v>0</v>
      </c>
      <c r="G751">
        <f>+'[1]VENTAS(RESUMEN GLOBAL)'!D751-'[1]VENTAS(RESUMEN GLOBAL)'!E751</f>
        <v>0</v>
      </c>
      <c r="H751" s="9">
        <f>+'[1]VENTAS(RESUMEN GLOBAL)'!K751</f>
        <v>0</v>
      </c>
      <c r="I751" s="8">
        <f>+G751*'[1]VENTAS(RESUMEN GLOBAL)'!F751</f>
        <v>0</v>
      </c>
      <c r="J751" s="8">
        <f>'[1]VENTAS(RESUMEN GLOBAL)'!G751*(1-'[1]VENTAS(RESUMEN GLOBAL)'!H751)</f>
        <v>0</v>
      </c>
      <c r="K751" s="8">
        <f t="shared" si="11"/>
        <v>0</v>
      </c>
      <c r="L751" s="8">
        <f>+'[1]VENTAS(RESUMEN GLOBAL)'!J751</f>
        <v>0</v>
      </c>
      <c r="M751" s="8">
        <f>+Tabla1[[#This Row],[utilidad x dia]]*7</f>
        <v>0</v>
      </c>
    </row>
    <row r="752" spans="1:13" x14ac:dyDescent="0.3">
      <c r="A752" s="6">
        <f>+'[1]VENTAS(RESUMEN GLOBAL)'!L752</f>
        <v>0</v>
      </c>
      <c r="B752" s="6">
        <f>+'[1]VENTAS(RESUMEN GLOBAL)'!M752</f>
        <v>0</v>
      </c>
      <c r="C752">
        <f>+'[1]VENTAS(RESUMEN GLOBAL)'!B752</f>
        <v>0</v>
      </c>
      <c r="D752" t="e">
        <f>INDEX('[1]CÓDIGOS DE PRODUCTO'!$D$3:$D$1000,MATCH(C752,'[1]CÓDIGOS DE PRODUCTO'!$A$3:$A$1000,0))</f>
        <v>#N/A</v>
      </c>
      <c r="E752">
        <f>VLOOKUP(C752,'[1]CÓDIGOS DE PRODUCTO'!$A$4:$B$156,2,FALSE)</f>
        <v>0</v>
      </c>
      <c r="F752">
        <f>INDEX('[1]CÓDIGOS DE PRODUCTO'!$C$3:$C$1000,MATCH(C752,'[1]CÓDIGOS DE PRODUCTO'!$A$3:$A$1000,0))</f>
        <v>0</v>
      </c>
      <c r="G752">
        <f>+'[1]VENTAS(RESUMEN GLOBAL)'!D752-'[1]VENTAS(RESUMEN GLOBAL)'!E752</f>
        <v>0</v>
      </c>
      <c r="H752" s="9">
        <f>+'[1]VENTAS(RESUMEN GLOBAL)'!K752</f>
        <v>0</v>
      </c>
      <c r="I752" s="8">
        <f>+G752*'[1]VENTAS(RESUMEN GLOBAL)'!F752</f>
        <v>0</v>
      </c>
      <c r="J752" s="8">
        <f>'[1]VENTAS(RESUMEN GLOBAL)'!G752*(1-'[1]VENTAS(RESUMEN GLOBAL)'!H752)</f>
        <v>0</v>
      </c>
      <c r="K752" s="8">
        <f t="shared" si="11"/>
        <v>0</v>
      </c>
      <c r="L752" s="8">
        <f>+'[1]VENTAS(RESUMEN GLOBAL)'!J752</f>
        <v>0</v>
      </c>
      <c r="M752" s="8">
        <f>+Tabla1[[#This Row],[utilidad x dia]]*7</f>
        <v>0</v>
      </c>
    </row>
    <row r="753" spans="1:13" x14ac:dyDescent="0.3">
      <c r="A753" s="6">
        <f>+'[1]VENTAS(RESUMEN GLOBAL)'!L753</f>
        <v>0</v>
      </c>
      <c r="B753" s="6">
        <f>+'[1]VENTAS(RESUMEN GLOBAL)'!M753</f>
        <v>0</v>
      </c>
      <c r="C753">
        <f>+'[1]VENTAS(RESUMEN GLOBAL)'!B753</f>
        <v>0</v>
      </c>
      <c r="D753" t="e">
        <f>INDEX('[1]CÓDIGOS DE PRODUCTO'!$D$3:$D$1000,MATCH(C753,'[1]CÓDIGOS DE PRODUCTO'!$A$3:$A$1000,0))</f>
        <v>#N/A</v>
      </c>
      <c r="E753">
        <f>VLOOKUP(C753,'[1]CÓDIGOS DE PRODUCTO'!$A$4:$B$156,2,FALSE)</f>
        <v>0</v>
      </c>
      <c r="F753">
        <f>INDEX('[1]CÓDIGOS DE PRODUCTO'!$C$3:$C$1000,MATCH(C753,'[1]CÓDIGOS DE PRODUCTO'!$A$3:$A$1000,0))</f>
        <v>0</v>
      </c>
      <c r="G753">
        <f>+'[1]VENTAS(RESUMEN GLOBAL)'!D753-'[1]VENTAS(RESUMEN GLOBAL)'!E753</f>
        <v>0</v>
      </c>
      <c r="H753" s="9">
        <f>+'[1]VENTAS(RESUMEN GLOBAL)'!K753</f>
        <v>0</v>
      </c>
      <c r="I753" s="8">
        <f>+G753*'[1]VENTAS(RESUMEN GLOBAL)'!F753</f>
        <v>0</v>
      </c>
      <c r="J753" s="8">
        <f>'[1]VENTAS(RESUMEN GLOBAL)'!G753*(1-'[1]VENTAS(RESUMEN GLOBAL)'!H753)</f>
        <v>0</v>
      </c>
      <c r="K753" s="8">
        <f t="shared" si="11"/>
        <v>0</v>
      </c>
      <c r="L753" s="8">
        <f>+'[1]VENTAS(RESUMEN GLOBAL)'!J753</f>
        <v>0</v>
      </c>
      <c r="M753" s="8">
        <f>+Tabla1[[#This Row],[utilidad x dia]]*7</f>
        <v>0</v>
      </c>
    </row>
    <row r="754" spans="1:13" x14ac:dyDescent="0.3">
      <c r="A754" s="6">
        <f>+'[1]VENTAS(RESUMEN GLOBAL)'!L754</f>
        <v>0</v>
      </c>
      <c r="B754" s="6">
        <f>+'[1]VENTAS(RESUMEN GLOBAL)'!M754</f>
        <v>0</v>
      </c>
      <c r="C754">
        <f>+'[1]VENTAS(RESUMEN GLOBAL)'!B754</f>
        <v>0</v>
      </c>
      <c r="D754" t="e">
        <f>INDEX('[1]CÓDIGOS DE PRODUCTO'!$D$3:$D$1000,MATCH(C754,'[1]CÓDIGOS DE PRODUCTO'!$A$3:$A$1000,0))</f>
        <v>#N/A</v>
      </c>
      <c r="E754">
        <f>VLOOKUP(C754,'[1]CÓDIGOS DE PRODUCTO'!$A$4:$B$156,2,FALSE)</f>
        <v>0</v>
      </c>
      <c r="F754">
        <f>INDEX('[1]CÓDIGOS DE PRODUCTO'!$C$3:$C$1000,MATCH(C754,'[1]CÓDIGOS DE PRODUCTO'!$A$3:$A$1000,0))</f>
        <v>0</v>
      </c>
      <c r="G754">
        <f>+'[1]VENTAS(RESUMEN GLOBAL)'!D754-'[1]VENTAS(RESUMEN GLOBAL)'!E754</f>
        <v>0</v>
      </c>
      <c r="H754" s="9">
        <f>+'[1]VENTAS(RESUMEN GLOBAL)'!K754</f>
        <v>0</v>
      </c>
      <c r="I754" s="8">
        <f>+G754*'[1]VENTAS(RESUMEN GLOBAL)'!F754</f>
        <v>0</v>
      </c>
      <c r="J754" s="8">
        <f>'[1]VENTAS(RESUMEN GLOBAL)'!G754*(1-'[1]VENTAS(RESUMEN GLOBAL)'!H754)</f>
        <v>0</v>
      </c>
      <c r="K754" s="8">
        <f t="shared" si="11"/>
        <v>0</v>
      </c>
      <c r="L754" s="8">
        <f>+'[1]VENTAS(RESUMEN GLOBAL)'!J754</f>
        <v>0</v>
      </c>
      <c r="M754" s="8">
        <f>+Tabla1[[#This Row],[utilidad x dia]]*7</f>
        <v>0</v>
      </c>
    </row>
    <row r="755" spans="1:13" x14ac:dyDescent="0.3">
      <c r="A755" s="6">
        <f>+'[1]VENTAS(RESUMEN GLOBAL)'!L755</f>
        <v>0</v>
      </c>
      <c r="B755" s="6">
        <f>+'[1]VENTAS(RESUMEN GLOBAL)'!M755</f>
        <v>0</v>
      </c>
      <c r="C755">
        <f>+'[1]VENTAS(RESUMEN GLOBAL)'!B755</f>
        <v>0</v>
      </c>
      <c r="D755" t="e">
        <f>INDEX('[1]CÓDIGOS DE PRODUCTO'!$D$3:$D$1000,MATCH(C755,'[1]CÓDIGOS DE PRODUCTO'!$A$3:$A$1000,0))</f>
        <v>#N/A</v>
      </c>
      <c r="E755">
        <f>VLOOKUP(C755,'[1]CÓDIGOS DE PRODUCTO'!$A$4:$B$156,2,FALSE)</f>
        <v>0</v>
      </c>
      <c r="F755">
        <f>INDEX('[1]CÓDIGOS DE PRODUCTO'!$C$3:$C$1000,MATCH(C755,'[1]CÓDIGOS DE PRODUCTO'!$A$3:$A$1000,0))</f>
        <v>0</v>
      </c>
      <c r="G755">
        <f>+'[1]VENTAS(RESUMEN GLOBAL)'!D755-'[1]VENTAS(RESUMEN GLOBAL)'!E755</f>
        <v>0</v>
      </c>
      <c r="H755" s="9">
        <f>+'[1]VENTAS(RESUMEN GLOBAL)'!K755</f>
        <v>0</v>
      </c>
      <c r="I755" s="8">
        <f>+G755*'[1]VENTAS(RESUMEN GLOBAL)'!F755</f>
        <v>0</v>
      </c>
      <c r="J755" s="8">
        <f>'[1]VENTAS(RESUMEN GLOBAL)'!G755*(1-'[1]VENTAS(RESUMEN GLOBAL)'!H755)</f>
        <v>0</v>
      </c>
      <c r="K755" s="8">
        <f t="shared" si="11"/>
        <v>0</v>
      </c>
      <c r="L755" s="8">
        <f>+'[1]VENTAS(RESUMEN GLOBAL)'!J755</f>
        <v>0</v>
      </c>
      <c r="M755" s="8">
        <f>+Tabla1[[#This Row],[utilidad x dia]]*7</f>
        <v>0</v>
      </c>
    </row>
    <row r="756" spans="1:13" x14ac:dyDescent="0.3">
      <c r="A756" s="6">
        <f>+'[1]VENTAS(RESUMEN GLOBAL)'!L756</f>
        <v>0</v>
      </c>
      <c r="B756" s="6">
        <f>+'[1]VENTAS(RESUMEN GLOBAL)'!M756</f>
        <v>0</v>
      </c>
      <c r="C756">
        <f>+'[1]VENTAS(RESUMEN GLOBAL)'!B756</f>
        <v>0</v>
      </c>
      <c r="D756" t="e">
        <f>INDEX('[1]CÓDIGOS DE PRODUCTO'!$D$3:$D$1000,MATCH(C756,'[1]CÓDIGOS DE PRODUCTO'!$A$3:$A$1000,0))</f>
        <v>#N/A</v>
      </c>
      <c r="E756">
        <f>VLOOKUP(C756,'[1]CÓDIGOS DE PRODUCTO'!$A$4:$B$156,2,FALSE)</f>
        <v>0</v>
      </c>
      <c r="F756">
        <f>INDEX('[1]CÓDIGOS DE PRODUCTO'!$C$3:$C$1000,MATCH(C756,'[1]CÓDIGOS DE PRODUCTO'!$A$3:$A$1000,0))</f>
        <v>0</v>
      </c>
      <c r="G756">
        <f>+'[1]VENTAS(RESUMEN GLOBAL)'!D756-'[1]VENTAS(RESUMEN GLOBAL)'!E756</f>
        <v>0</v>
      </c>
      <c r="H756" s="9">
        <f>+'[1]VENTAS(RESUMEN GLOBAL)'!K756</f>
        <v>0</v>
      </c>
      <c r="I756" s="8">
        <f>+G756*'[1]VENTAS(RESUMEN GLOBAL)'!F756</f>
        <v>0</v>
      </c>
      <c r="J756" s="8">
        <f>'[1]VENTAS(RESUMEN GLOBAL)'!G756*(1-'[1]VENTAS(RESUMEN GLOBAL)'!H756)</f>
        <v>0</v>
      </c>
      <c r="K756" s="8">
        <f t="shared" si="11"/>
        <v>0</v>
      </c>
      <c r="L756" s="8">
        <f>+'[1]VENTAS(RESUMEN GLOBAL)'!J756</f>
        <v>0</v>
      </c>
      <c r="M756" s="8">
        <f>+Tabla1[[#This Row],[utilidad x dia]]*7</f>
        <v>0</v>
      </c>
    </row>
    <row r="757" spans="1:13" x14ac:dyDescent="0.3">
      <c r="A757" s="6">
        <f>+'[1]VENTAS(RESUMEN GLOBAL)'!L757</f>
        <v>0</v>
      </c>
      <c r="B757" s="6">
        <f>+'[1]VENTAS(RESUMEN GLOBAL)'!M757</f>
        <v>0</v>
      </c>
      <c r="C757">
        <f>+'[1]VENTAS(RESUMEN GLOBAL)'!B757</f>
        <v>0</v>
      </c>
      <c r="D757" t="e">
        <f>INDEX('[1]CÓDIGOS DE PRODUCTO'!$D$3:$D$1000,MATCH(C757,'[1]CÓDIGOS DE PRODUCTO'!$A$3:$A$1000,0))</f>
        <v>#N/A</v>
      </c>
      <c r="E757">
        <f>VLOOKUP(C757,'[1]CÓDIGOS DE PRODUCTO'!$A$4:$B$156,2,FALSE)</f>
        <v>0</v>
      </c>
      <c r="F757">
        <f>INDEX('[1]CÓDIGOS DE PRODUCTO'!$C$3:$C$1000,MATCH(C757,'[1]CÓDIGOS DE PRODUCTO'!$A$3:$A$1000,0))</f>
        <v>0</v>
      </c>
      <c r="G757">
        <f>+'[1]VENTAS(RESUMEN GLOBAL)'!D757-'[1]VENTAS(RESUMEN GLOBAL)'!E757</f>
        <v>0</v>
      </c>
      <c r="H757" s="9">
        <f>+'[1]VENTAS(RESUMEN GLOBAL)'!K757</f>
        <v>0</v>
      </c>
      <c r="I757" s="8">
        <f>+G757*'[1]VENTAS(RESUMEN GLOBAL)'!F757</f>
        <v>0</v>
      </c>
      <c r="J757" s="8">
        <f>'[1]VENTAS(RESUMEN GLOBAL)'!G757*(1-'[1]VENTAS(RESUMEN GLOBAL)'!H757)</f>
        <v>0</v>
      </c>
      <c r="K757" s="8">
        <f t="shared" si="11"/>
        <v>0</v>
      </c>
      <c r="L757" s="8">
        <f>+'[1]VENTAS(RESUMEN GLOBAL)'!J757</f>
        <v>0</v>
      </c>
      <c r="M757" s="8">
        <f>+Tabla1[[#This Row],[utilidad x dia]]*7</f>
        <v>0</v>
      </c>
    </row>
    <row r="758" spans="1:13" x14ac:dyDescent="0.3">
      <c r="A758" s="6">
        <f>+'[1]VENTAS(RESUMEN GLOBAL)'!L758</f>
        <v>0</v>
      </c>
      <c r="B758" s="6">
        <f>+'[1]VENTAS(RESUMEN GLOBAL)'!M758</f>
        <v>0</v>
      </c>
      <c r="C758">
        <f>+'[1]VENTAS(RESUMEN GLOBAL)'!B758</f>
        <v>0</v>
      </c>
      <c r="D758" t="e">
        <f>INDEX('[1]CÓDIGOS DE PRODUCTO'!$D$3:$D$1000,MATCH(C758,'[1]CÓDIGOS DE PRODUCTO'!$A$3:$A$1000,0))</f>
        <v>#N/A</v>
      </c>
      <c r="E758">
        <f>VLOOKUP(C758,'[1]CÓDIGOS DE PRODUCTO'!$A$4:$B$156,2,FALSE)</f>
        <v>0</v>
      </c>
      <c r="F758">
        <f>INDEX('[1]CÓDIGOS DE PRODUCTO'!$C$3:$C$1000,MATCH(C758,'[1]CÓDIGOS DE PRODUCTO'!$A$3:$A$1000,0))</f>
        <v>0</v>
      </c>
      <c r="G758">
        <f>+'[1]VENTAS(RESUMEN GLOBAL)'!D758-'[1]VENTAS(RESUMEN GLOBAL)'!E758</f>
        <v>0</v>
      </c>
      <c r="H758" s="9">
        <f>+'[1]VENTAS(RESUMEN GLOBAL)'!K758</f>
        <v>0</v>
      </c>
      <c r="I758" s="8">
        <f>+G758*'[1]VENTAS(RESUMEN GLOBAL)'!F758</f>
        <v>0</v>
      </c>
      <c r="J758" s="8">
        <f>'[1]VENTAS(RESUMEN GLOBAL)'!G758*(1-'[1]VENTAS(RESUMEN GLOBAL)'!H758)</f>
        <v>0</v>
      </c>
      <c r="K758" s="8">
        <f t="shared" si="11"/>
        <v>0</v>
      </c>
      <c r="L758" s="8">
        <f>+'[1]VENTAS(RESUMEN GLOBAL)'!J758</f>
        <v>0</v>
      </c>
      <c r="M758" s="8">
        <f>+Tabla1[[#This Row],[utilidad x dia]]*7</f>
        <v>0</v>
      </c>
    </row>
    <row r="759" spans="1:13" x14ac:dyDescent="0.3">
      <c r="A759" s="6">
        <f>+'[1]VENTAS(RESUMEN GLOBAL)'!L759</f>
        <v>0</v>
      </c>
      <c r="B759" s="6">
        <f>+'[1]VENTAS(RESUMEN GLOBAL)'!M759</f>
        <v>0</v>
      </c>
      <c r="C759">
        <f>+'[1]VENTAS(RESUMEN GLOBAL)'!B759</f>
        <v>0</v>
      </c>
      <c r="D759" t="e">
        <f>INDEX('[1]CÓDIGOS DE PRODUCTO'!$D$3:$D$1000,MATCH(C759,'[1]CÓDIGOS DE PRODUCTO'!$A$3:$A$1000,0))</f>
        <v>#N/A</v>
      </c>
      <c r="E759">
        <f>VLOOKUP(C759,'[1]CÓDIGOS DE PRODUCTO'!$A$4:$B$156,2,FALSE)</f>
        <v>0</v>
      </c>
      <c r="F759">
        <f>INDEX('[1]CÓDIGOS DE PRODUCTO'!$C$3:$C$1000,MATCH(C759,'[1]CÓDIGOS DE PRODUCTO'!$A$3:$A$1000,0))</f>
        <v>0</v>
      </c>
      <c r="G759">
        <f>+'[1]VENTAS(RESUMEN GLOBAL)'!D759-'[1]VENTAS(RESUMEN GLOBAL)'!E759</f>
        <v>0</v>
      </c>
      <c r="H759" s="9">
        <f>+'[1]VENTAS(RESUMEN GLOBAL)'!K759</f>
        <v>0</v>
      </c>
      <c r="I759" s="8">
        <f>+G759*'[1]VENTAS(RESUMEN GLOBAL)'!F759</f>
        <v>0</v>
      </c>
      <c r="J759" s="8">
        <f>'[1]VENTAS(RESUMEN GLOBAL)'!G759*(1-'[1]VENTAS(RESUMEN GLOBAL)'!H759)</f>
        <v>0</v>
      </c>
      <c r="K759" s="8">
        <f t="shared" si="11"/>
        <v>0</v>
      </c>
      <c r="L759" s="8">
        <f>+'[1]VENTAS(RESUMEN GLOBAL)'!J759</f>
        <v>0</v>
      </c>
      <c r="M759" s="8">
        <f>+Tabla1[[#This Row],[utilidad x dia]]*7</f>
        <v>0</v>
      </c>
    </row>
    <row r="760" spans="1:13" x14ac:dyDescent="0.3">
      <c r="A760" s="6">
        <f>+'[1]VENTAS(RESUMEN GLOBAL)'!L760</f>
        <v>0</v>
      </c>
      <c r="B760" s="6">
        <f>+'[1]VENTAS(RESUMEN GLOBAL)'!M760</f>
        <v>0</v>
      </c>
      <c r="C760">
        <f>+'[1]VENTAS(RESUMEN GLOBAL)'!B760</f>
        <v>0</v>
      </c>
      <c r="D760" t="e">
        <f>INDEX('[1]CÓDIGOS DE PRODUCTO'!$D$3:$D$1000,MATCH(C760,'[1]CÓDIGOS DE PRODUCTO'!$A$3:$A$1000,0))</f>
        <v>#N/A</v>
      </c>
      <c r="E760">
        <f>VLOOKUP(C760,'[1]CÓDIGOS DE PRODUCTO'!$A$4:$B$156,2,FALSE)</f>
        <v>0</v>
      </c>
      <c r="F760">
        <f>INDEX('[1]CÓDIGOS DE PRODUCTO'!$C$3:$C$1000,MATCH(C760,'[1]CÓDIGOS DE PRODUCTO'!$A$3:$A$1000,0))</f>
        <v>0</v>
      </c>
      <c r="G760">
        <f>+'[1]VENTAS(RESUMEN GLOBAL)'!D760-'[1]VENTAS(RESUMEN GLOBAL)'!E760</f>
        <v>0</v>
      </c>
      <c r="H760" s="9">
        <f>+'[1]VENTAS(RESUMEN GLOBAL)'!K760</f>
        <v>0</v>
      </c>
      <c r="I760" s="8">
        <f>+G760*'[1]VENTAS(RESUMEN GLOBAL)'!F760</f>
        <v>0</v>
      </c>
      <c r="J760" s="8">
        <f>'[1]VENTAS(RESUMEN GLOBAL)'!G760*(1-'[1]VENTAS(RESUMEN GLOBAL)'!H760)</f>
        <v>0</v>
      </c>
      <c r="K760" s="8">
        <f t="shared" si="11"/>
        <v>0</v>
      </c>
      <c r="L760" s="8">
        <f>+'[1]VENTAS(RESUMEN GLOBAL)'!J760</f>
        <v>0</v>
      </c>
      <c r="M760" s="8">
        <f>+Tabla1[[#This Row],[utilidad x dia]]*7</f>
        <v>0</v>
      </c>
    </row>
    <row r="761" spans="1:13" x14ac:dyDescent="0.3">
      <c r="A761" s="6">
        <f>+'[1]VENTAS(RESUMEN GLOBAL)'!L761</f>
        <v>0</v>
      </c>
      <c r="B761" s="6">
        <f>+'[1]VENTAS(RESUMEN GLOBAL)'!M761</f>
        <v>0</v>
      </c>
      <c r="C761">
        <f>+'[1]VENTAS(RESUMEN GLOBAL)'!B761</f>
        <v>0</v>
      </c>
      <c r="D761" t="e">
        <f>INDEX('[1]CÓDIGOS DE PRODUCTO'!$D$3:$D$1000,MATCH(C761,'[1]CÓDIGOS DE PRODUCTO'!$A$3:$A$1000,0))</f>
        <v>#N/A</v>
      </c>
      <c r="E761">
        <f>VLOOKUP(C761,'[1]CÓDIGOS DE PRODUCTO'!$A$4:$B$156,2,FALSE)</f>
        <v>0</v>
      </c>
      <c r="F761">
        <f>INDEX('[1]CÓDIGOS DE PRODUCTO'!$C$3:$C$1000,MATCH(C761,'[1]CÓDIGOS DE PRODUCTO'!$A$3:$A$1000,0))</f>
        <v>0</v>
      </c>
      <c r="G761">
        <f>+'[1]VENTAS(RESUMEN GLOBAL)'!D761-'[1]VENTAS(RESUMEN GLOBAL)'!E761</f>
        <v>0</v>
      </c>
      <c r="H761" s="9">
        <f>+'[1]VENTAS(RESUMEN GLOBAL)'!K761</f>
        <v>0</v>
      </c>
      <c r="I761" s="8">
        <f>+G761*'[1]VENTAS(RESUMEN GLOBAL)'!F761</f>
        <v>0</v>
      </c>
      <c r="J761" s="8">
        <f>'[1]VENTAS(RESUMEN GLOBAL)'!G761*(1-'[1]VENTAS(RESUMEN GLOBAL)'!H761)</f>
        <v>0</v>
      </c>
      <c r="K761" s="8">
        <f t="shared" si="11"/>
        <v>0</v>
      </c>
      <c r="L761" s="8">
        <f>+'[1]VENTAS(RESUMEN GLOBAL)'!J761</f>
        <v>0</v>
      </c>
      <c r="M761" s="8">
        <f>+Tabla1[[#This Row],[utilidad x dia]]*7</f>
        <v>0</v>
      </c>
    </row>
    <row r="762" spans="1:13" x14ac:dyDescent="0.3">
      <c r="A762" s="6">
        <f>+'[1]VENTAS(RESUMEN GLOBAL)'!L762</f>
        <v>0</v>
      </c>
      <c r="B762" s="6">
        <f>+'[1]VENTAS(RESUMEN GLOBAL)'!M762</f>
        <v>0</v>
      </c>
      <c r="C762">
        <f>+'[1]VENTAS(RESUMEN GLOBAL)'!B762</f>
        <v>0</v>
      </c>
      <c r="D762" t="e">
        <f>INDEX('[1]CÓDIGOS DE PRODUCTO'!$D$3:$D$1000,MATCH(C762,'[1]CÓDIGOS DE PRODUCTO'!$A$3:$A$1000,0))</f>
        <v>#N/A</v>
      </c>
      <c r="E762">
        <f>VLOOKUP(C762,'[1]CÓDIGOS DE PRODUCTO'!$A$4:$B$156,2,FALSE)</f>
        <v>0</v>
      </c>
      <c r="F762">
        <f>INDEX('[1]CÓDIGOS DE PRODUCTO'!$C$3:$C$1000,MATCH(C762,'[1]CÓDIGOS DE PRODUCTO'!$A$3:$A$1000,0))</f>
        <v>0</v>
      </c>
      <c r="G762">
        <f>+'[1]VENTAS(RESUMEN GLOBAL)'!D762-'[1]VENTAS(RESUMEN GLOBAL)'!E762</f>
        <v>0</v>
      </c>
      <c r="H762" s="9">
        <f>+'[1]VENTAS(RESUMEN GLOBAL)'!K762</f>
        <v>0</v>
      </c>
      <c r="I762" s="8">
        <f>+G762*'[1]VENTAS(RESUMEN GLOBAL)'!F762</f>
        <v>0</v>
      </c>
      <c r="J762" s="8">
        <f>'[1]VENTAS(RESUMEN GLOBAL)'!G762*(1-'[1]VENTAS(RESUMEN GLOBAL)'!H762)</f>
        <v>0</v>
      </c>
      <c r="K762" s="8">
        <f t="shared" si="11"/>
        <v>0</v>
      </c>
      <c r="L762" s="8">
        <f>+'[1]VENTAS(RESUMEN GLOBAL)'!J762</f>
        <v>0</v>
      </c>
      <c r="M762" s="8">
        <f>+Tabla1[[#This Row],[utilidad x dia]]*7</f>
        <v>0</v>
      </c>
    </row>
    <row r="763" spans="1:13" x14ac:dyDescent="0.3">
      <c r="A763" s="6">
        <f>+'[1]VENTAS(RESUMEN GLOBAL)'!L763</f>
        <v>0</v>
      </c>
      <c r="B763" s="6">
        <f>+'[1]VENTAS(RESUMEN GLOBAL)'!M763</f>
        <v>0</v>
      </c>
      <c r="C763">
        <f>+'[1]VENTAS(RESUMEN GLOBAL)'!B763</f>
        <v>0</v>
      </c>
      <c r="D763" t="e">
        <f>INDEX('[1]CÓDIGOS DE PRODUCTO'!$D$3:$D$1000,MATCH(C763,'[1]CÓDIGOS DE PRODUCTO'!$A$3:$A$1000,0))</f>
        <v>#N/A</v>
      </c>
      <c r="E763">
        <f>VLOOKUP(C763,'[1]CÓDIGOS DE PRODUCTO'!$A$4:$B$156,2,FALSE)</f>
        <v>0</v>
      </c>
      <c r="F763">
        <f>INDEX('[1]CÓDIGOS DE PRODUCTO'!$C$3:$C$1000,MATCH(C763,'[1]CÓDIGOS DE PRODUCTO'!$A$3:$A$1000,0))</f>
        <v>0</v>
      </c>
      <c r="G763">
        <f>+'[1]VENTAS(RESUMEN GLOBAL)'!D763-'[1]VENTAS(RESUMEN GLOBAL)'!E763</f>
        <v>0</v>
      </c>
      <c r="H763" s="9">
        <f>+'[1]VENTAS(RESUMEN GLOBAL)'!K763</f>
        <v>0</v>
      </c>
      <c r="I763" s="8">
        <f>+G763*'[1]VENTAS(RESUMEN GLOBAL)'!F763</f>
        <v>0</v>
      </c>
      <c r="J763" s="8">
        <f>'[1]VENTAS(RESUMEN GLOBAL)'!G763*(1-'[1]VENTAS(RESUMEN GLOBAL)'!H763)</f>
        <v>0</v>
      </c>
      <c r="K763" s="8">
        <f t="shared" si="11"/>
        <v>0</v>
      </c>
      <c r="L763" s="8">
        <f>+'[1]VENTAS(RESUMEN GLOBAL)'!J763</f>
        <v>0</v>
      </c>
      <c r="M763" s="8">
        <f>+Tabla1[[#This Row],[utilidad x dia]]*7</f>
        <v>0</v>
      </c>
    </row>
    <row r="764" spans="1:13" x14ac:dyDescent="0.3">
      <c r="A764" s="6">
        <f>+'[1]VENTAS(RESUMEN GLOBAL)'!L764</f>
        <v>0</v>
      </c>
      <c r="B764" s="6">
        <f>+'[1]VENTAS(RESUMEN GLOBAL)'!M764</f>
        <v>0</v>
      </c>
      <c r="C764">
        <f>+'[1]VENTAS(RESUMEN GLOBAL)'!B764</f>
        <v>0</v>
      </c>
      <c r="D764" t="e">
        <f>INDEX('[1]CÓDIGOS DE PRODUCTO'!$D$3:$D$1000,MATCH(C764,'[1]CÓDIGOS DE PRODUCTO'!$A$3:$A$1000,0))</f>
        <v>#N/A</v>
      </c>
      <c r="E764">
        <f>VLOOKUP(C764,'[1]CÓDIGOS DE PRODUCTO'!$A$4:$B$156,2,FALSE)</f>
        <v>0</v>
      </c>
      <c r="F764">
        <f>INDEX('[1]CÓDIGOS DE PRODUCTO'!$C$3:$C$1000,MATCH(C764,'[1]CÓDIGOS DE PRODUCTO'!$A$3:$A$1000,0))</f>
        <v>0</v>
      </c>
      <c r="G764">
        <f>+'[1]VENTAS(RESUMEN GLOBAL)'!D764-'[1]VENTAS(RESUMEN GLOBAL)'!E764</f>
        <v>0</v>
      </c>
      <c r="H764" s="9">
        <f>+'[1]VENTAS(RESUMEN GLOBAL)'!K764</f>
        <v>0</v>
      </c>
      <c r="I764" s="8">
        <f>+G764*'[1]VENTAS(RESUMEN GLOBAL)'!F764</f>
        <v>0</v>
      </c>
      <c r="J764" s="8">
        <f>'[1]VENTAS(RESUMEN GLOBAL)'!G764*(1-'[1]VENTAS(RESUMEN GLOBAL)'!H764)</f>
        <v>0</v>
      </c>
      <c r="K764" s="8">
        <f t="shared" si="11"/>
        <v>0</v>
      </c>
      <c r="L764" s="8">
        <f>+'[1]VENTAS(RESUMEN GLOBAL)'!J764</f>
        <v>0</v>
      </c>
      <c r="M764" s="8">
        <f>+Tabla1[[#This Row],[utilidad x dia]]*7</f>
        <v>0</v>
      </c>
    </row>
    <row r="765" spans="1:13" x14ac:dyDescent="0.3">
      <c r="A765" s="6">
        <f>+'[1]VENTAS(RESUMEN GLOBAL)'!L765</f>
        <v>0</v>
      </c>
      <c r="B765" s="6">
        <f>+'[1]VENTAS(RESUMEN GLOBAL)'!M765</f>
        <v>0</v>
      </c>
      <c r="C765">
        <f>+'[1]VENTAS(RESUMEN GLOBAL)'!B765</f>
        <v>0</v>
      </c>
      <c r="D765" t="e">
        <f>INDEX('[1]CÓDIGOS DE PRODUCTO'!$D$3:$D$1000,MATCH(C765,'[1]CÓDIGOS DE PRODUCTO'!$A$3:$A$1000,0))</f>
        <v>#N/A</v>
      </c>
      <c r="E765">
        <f>VLOOKUP(C765,'[1]CÓDIGOS DE PRODUCTO'!$A$4:$B$156,2,FALSE)</f>
        <v>0</v>
      </c>
      <c r="F765">
        <f>INDEX('[1]CÓDIGOS DE PRODUCTO'!$C$3:$C$1000,MATCH(C765,'[1]CÓDIGOS DE PRODUCTO'!$A$3:$A$1000,0))</f>
        <v>0</v>
      </c>
      <c r="G765">
        <f>+'[1]VENTAS(RESUMEN GLOBAL)'!D765-'[1]VENTAS(RESUMEN GLOBAL)'!E765</f>
        <v>0</v>
      </c>
      <c r="H765" s="9">
        <f>+'[1]VENTAS(RESUMEN GLOBAL)'!K765</f>
        <v>0</v>
      </c>
      <c r="I765" s="8">
        <f>+G765*'[1]VENTAS(RESUMEN GLOBAL)'!F765</f>
        <v>0</v>
      </c>
      <c r="J765" s="8">
        <f>'[1]VENTAS(RESUMEN GLOBAL)'!G765*(1-'[1]VENTAS(RESUMEN GLOBAL)'!H765)</f>
        <v>0</v>
      </c>
      <c r="K765" s="8">
        <f t="shared" si="11"/>
        <v>0</v>
      </c>
      <c r="L765" s="8">
        <f>+'[1]VENTAS(RESUMEN GLOBAL)'!J765</f>
        <v>0</v>
      </c>
      <c r="M765" s="8">
        <f>+Tabla1[[#This Row],[utilidad x dia]]*7</f>
        <v>0</v>
      </c>
    </row>
    <row r="766" spans="1:13" x14ac:dyDescent="0.3">
      <c r="A766" s="6">
        <f>+'[1]VENTAS(RESUMEN GLOBAL)'!L766</f>
        <v>0</v>
      </c>
      <c r="B766" s="6">
        <f>+'[1]VENTAS(RESUMEN GLOBAL)'!M766</f>
        <v>0</v>
      </c>
      <c r="C766">
        <f>+'[1]VENTAS(RESUMEN GLOBAL)'!B766</f>
        <v>0</v>
      </c>
      <c r="D766" t="e">
        <f>INDEX('[1]CÓDIGOS DE PRODUCTO'!$D$3:$D$1000,MATCH(C766,'[1]CÓDIGOS DE PRODUCTO'!$A$3:$A$1000,0))</f>
        <v>#N/A</v>
      </c>
      <c r="E766">
        <f>VLOOKUP(C766,'[1]CÓDIGOS DE PRODUCTO'!$A$4:$B$156,2,FALSE)</f>
        <v>0</v>
      </c>
      <c r="F766">
        <f>INDEX('[1]CÓDIGOS DE PRODUCTO'!$C$3:$C$1000,MATCH(C766,'[1]CÓDIGOS DE PRODUCTO'!$A$3:$A$1000,0))</f>
        <v>0</v>
      </c>
      <c r="G766">
        <f>+'[1]VENTAS(RESUMEN GLOBAL)'!D766-'[1]VENTAS(RESUMEN GLOBAL)'!E766</f>
        <v>0</v>
      </c>
      <c r="H766" s="9">
        <f>+'[1]VENTAS(RESUMEN GLOBAL)'!K766</f>
        <v>0</v>
      </c>
      <c r="I766" s="8">
        <f>+G766*'[1]VENTAS(RESUMEN GLOBAL)'!F766</f>
        <v>0</v>
      </c>
      <c r="J766" s="8">
        <f>'[1]VENTAS(RESUMEN GLOBAL)'!G766*(1-'[1]VENTAS(RESUMEN GLOBAL)'!H766)</f>
        <v>0</v>
      </c>
      <c r="K766" s="8">
        <f t="shared" si="11"/>
        <v>0</v>
      </c>
      <c r="L766" s="8">
        <f>+'[1]VENTAS(RESUMEN GLOBAL)'!J766</f>
        <v>0</v>
      </c>
      <c r="M766" s="8">
        <f>+Tabla1[[#This Row],[utilidad x dia]]*7</f>
        <v>0</v>
      </c>
    </row>
    <row r="767" spans="1:13" x14ac:dyDescent="0.3">
      <c r="A767" s="6">
        <f>+'[1]VENTAS(RESUMEN GLOBAL)'!L767</f>
        <v>0</v>
      </c>
      <c r="B767" s="6">
        <f>+'[1]VENTAS(RESUMEN GLOBAL)'!M767</f>
        <v>0</v>
      </c>
      <c r="C767">
        <f>+'[1]VENTAS(RESUMEN GLOBAL)'!B767</f>
        <v>0</v>
      </c>
      <c r="D767" t="e">
        <f>INDEX('[1]CÓDIGOS DE PRODUCTO'!$D$3:$D$1000,MATCH(C767,'[1]CÓDIGOS DE PRODUCTO'!$A$3:$A$1000,0))</f>
        <v>#N/A</v>
      </c>
      <c r="E767">
        <f>VLOOKUP(C767,'[1]CÓDIGOS DE PRODUCTO'!$A$4:$B$156,2,FALSE)</f>
        <v>0</v>
      </c>
      <c r="F767">
        <f>INDEX('[1]CÓDIGOS DE PRODUCTO'!$C$3:$C$1000,MATCH(C767,'[1]CÓDIGOS DE PRODUCTO'!$A$3:$A$1000,0))</f>
        <v>0</v>
      </c>
      <c r="G767">
        <f>+'[1]VENTAS(RESUMEN GLOBAL)'!D767-'[1]VENTAS(RESUMEN GLOBAL)'!E767</f>
        <v>0</v>
      </c>
      <c r="H767" s="9">
        <f>+'[1]VENTAS(RESUMEN GLOBAL)'!K767</f>
        <v>0</v>
      </c>
      <c r="I767" s="8">
        <f>+G767*'[1]VENTAS(RESUMEN GLOBAL)'!F767</f>
        <v>0</v>
      </c>
      <c r="J767" s="8">
        <f>'[1]VENTAS(RESUMEN GLOBAL)'!G767*(1-'[1]VENTAS(RESUMEN GLOBAL)'!H767)</f>
        <v>0</v>
      </c>
      <c r="K767" s="8">
        <f t="shared" si="11"/>
        <v>0</v>
      </c>
      <c r="L767" s="8">
        <f>+'[1]VENTAS(RESUMEN GLOBAL)'!J767</f>
        <v>0</v>
      </c>
      <c r="M767" s="8">
        <f>+Tabla1[[#This Row],[utilidad x dia]]*7</f>
        <v>0</v>
      </c>
    </row>
    <row r="768" spans="1:13" x14ac:dyDescent="0.3">
      <c r="A768" s="6">
        <f>+'[1]VENTAS(RESUMEN GLOBAL)'!L768</f>
        <v>0</v>
      </c>
      <c r="B768" s="6">
        <f>+'[1]VENTAS(RESUMEN GLOBAL)'!M768</f>
        <v>0</v>
      </c>
      <c r="C768">
        <f>+'[1]VENTAS(RESUMEN GLOBAL)'!B768</f>
        <v>0</v>
      </c>
      <c r="D768" t="e">
        <f>INDEX('[1]CÓDIGOS DE PRODUCTO'!$D$3:$D$1000,MATCH(C768,'[1]CÓDIGOS DE PRODUCTO'!$A$3:$A$1000,0))</f>
        <v>#N/A</v>
      </c>
      <c r="E768">
        <f>VLOOKUP(C768,'[1]CÓDIGOS DE PRODUCTO'!$A$4:$B$156,2,FALSE)</f>
        <v>0</v>
      </c>
      <c r="F768">
        <f>INDEX('[1]CÓDIGOS DE PRODUCTO'!$C$3:$C$1000,MATCH(C768,'[1]CÓDIGOS DE PRODUCTO'!$A$3:$A$1000,0))</f>
        <v>0</v>
      </c>
      <c r="G768">
        <f>+'[1]VENTAS(RESUMEN GLOBAL)'!D768-'[1]VENTAS(RESUMEN GLOBAL)'!E768</f>
        <v>0</v>
      </c>
      <c r="H768" s="9">
        <f>+'[1]VENTAS(RESUMEN GLOBAL)'!K768</f>
        <v>0</v>
      </c>
      <c r="I768" s="8">
        <f>+G768*'[1]VENTAS(RESUMEN GLOBAL)'!F768</f>
        <v>0</v>
      </c>
      <c r="J768" s="8">
        <f>'[1]VENTAS(RESUMEN GLOBAL)'!G768*(1-'[1]VENTAS(RESUMEN GLOBAL)'!H768)</f>
        <v>0</v>
      </c>
      <c r="K768" s="8">
        <f t="shared" si="11"/>
        <v>0</v>
      </c>
      <c r="L768" s="8">
        <f>+'[1]VENTAS(RESUMEN GLOBAL)'!J768</f>
        <v>0</v>
      </c>
      <c r="M768" s="8">
        <f>+Tabla1[[#This Row],[utilidad x dia]]*7</f>
        <v>0</v>
      </c>
    </row>
    <row r="769" spans="1:13" x14ac:dyDescent="0.3">
      <c r="A769" s="6">
        <f>+'[1]VENTAS(RESUMEN GLOBAL)'!L769</f>
        <v>0</v>
      </c>
      <c r="B769" s="6">
        <f>+'[1]VENTAS(RESUMEN GLOBAL)'!M769</f>
        <v>0</v>
      </c>
      <c r="C769">
        <f>+'[1]VENTAS(RESUMEN GLOBAL)'!B769</f>
        <v>0</v>
      </c>
      <c r="D769" t="e">
        <f>INDEX('[1]CÓDIGOS DE PRODUCTO'!$D$3:$D$1000,MATCH(C769,'[1]CÓDIGOS DE PRODUCTO'!$A$3:$A$1000,0))</f>
        <v>#N/A</v>
      </c>
      <c r="E769">
        <f>VLOOKUP(C769,'[1]CÓDIGOS DE PRODUCTO'!$A$4:$B$156,2,FALSE)</f>
        <v>0</v>
      </c>
      <c r="F769">
        <f>INDEX('[1]CÓDIGOS DE PRODUCTO'!$C$3:$C$1000,MATCH(C769,'[1]CÓDIGOS DE PRODUCTO'!$A$3:$A$1000,0))</f>
        <v>0</v>
      </c>
      <c r="G769">
        <f>+'[1]VENTAS(RESUMEN GLOBAL)'!D769-'[1]VENTAS(RESUMEN GLOBAL)'!E769</f>
        <v>0</v>
      </c>
      <c r="H769" s="9">
        <f>+'[1]VENTAS(RESUMEN GLOBAL)'!K769</f>
        <v>0</v>
      </c>
      <c r="I769" s="8">
        <f>+G769*'[1]VENTAS(RESUMEN GLOBAL)'!F769</f>
        <v>0</v>
      </c>
      <c r="J769" s="8">
        <f>'[1]VENTAS(RESUMEN GLOBAL)'!G769*(1-'[1]VENTAS(RESUMEN GLOBAL)'!H769)</f>
        <v>0</v>
      </c>
      <c r="K769" s="8">
        <f t="shared" si="11"/>
        <v>0</v>
      </c>
      <c r="L769" s="8">
        <f>+'[1]VENTAS(RESUMEN GLOBAL)'!J769</f>
        <v>0</v>
      </c>
      <c r="M769" s="8">
        <f>+Tabla1[[#This Row],[utilidad x dia]]*7</f>
        <v>0</v>
      </c>
    </row>
    <row r="770" spans="1:13" x14ac:dyDescent="0.3">
      <c r="A770" s="6">
        <f>+'[1]VENTAS(RESUMEN GLOBAL)'!L770</f>
        <v>0</v>
      </c>
      <c r="B770" s="6">
        <f>+'[1]VENTAS(RESUMEN GLOBAL)'!M770</f>
        <v>0</v>
      </c>
      <c r="C770">
        <f>+'[1]VENTAS(RESUMEN GLOBAL)'!B770</f>
        <v>0</v>
      </c>
      <c r="D770" t="e">
        <f>INDEX('[1]CÓDIGOS DE PRODUCTO'!$D$3:$D$1000,MATCH(C770,'[1]CÓDIGOS DE PRODUCTO'!$A$3:$A$1000,0))</f>
        <v>#N/A</v>
      </c>
      <c r="E770">
        <f>VLOOKUP(C770,'[1]CÓDIGOS DE PRODUCTO'!$A$4:$B$156,2,FALSE)</f>
        <v>0</v>
      </c>
      <c r="F770">
        <f>INDEX('[1]CÓDIGOS DE PRODUCTO'!$C$3:$C$1000,MATCH(C770,'[1]CÓDIGOS DE PRODUCTO'!$A$3:$A$1000,0))</f>
        <v>0</v>
      </c>
      <c r="G770">
        <f>+'[1]VENTAS(RESUMEN GLOBAL)'!D770-'[1]VENTAS(RESUMEN GLOBAL)'!E770</f>
        <v>0</v>
      </c>
      <c r="H770" s="9">
        <f>+'[1]VENTAS(RESUMEN GLOBAL)'!K770</f>
        <v>0</v>
      </c>
      <c r="I770" s="8">
        <f>+G770*'[1]VENTAS(RESUMEN GLOBAL)'!F770</f>
        <v>0</v>
      </c>
      <c r="J770" s="8">
        <f>'[1]VENTAS(RESUMEN GLOBAL)'!G770*(1-'[1]VENTAS(RESUMEN GLOBAL)'!H770)</f>
        <v>0</v>
      </c>
      <c r="K770" s="8">
        <f t="shared" si="11"/>
        <v>0</v>
      </c>
      <c r="L770" s="8">
        <f>+'[1]VENTAS(RESUMEN GLOBAL)'!J770</f>
        <v>0</v>
      </c>
      <c r="M770" s="8">
        <f>+Tabla1[[#This Row],[utilidad x dia]]*7</f>
        <v>0</v>
      </c>
    </row>
    <row r="771" spans="1:13" x14ac:dyDescent="0.3">
      <c r="A771" s="6">
        <f>+'[1]VENTAS(RESUMEN GLOBAL)'!L771</f>
        <v>0</v>
      </c>
      <c r="B771" s="6">
        <f>+'[1]VENTAS(RESUMEN GLOBAL)'!M771</f>
        <v>0</v>
      </c>
      <c r="C771">
        <f>+'[1]VENTAS(RESUMEN GLOBAL)'!B771</f>
        <v>0</v>
      </c>
      <c r="D771" t="e">
        <f>INDEX('[1]CÓDIGOS DE PRODUCTO'!$D$3:$D$1000,MATCH(C771,'[1]CÓDIGOS DE PRODUCTO'!$A$3:$A$1000,0))</f>
        <v>#N/A</v>
      </c>
      <c r="E771">
        <f>VLOOKUP(C771,'[1]CÓDIGOS DE PRODUCTO'!$A$4:$B$156,2,FALSE)</f>
        <v>0</v>
      </c>
      <c r="F771">
        <f>INDEX('[1]CÓDIGOS DE PRODUCTO'!$C$3:$C$1000,MATCH(C771,'[1]CÓDIGOS DE PRODUCTO'!$A$3:$A$1000,0))</f>
        <v>0</v>
      </c>
      <c r="G771">
        <f>+'[1]VENTAS(RESUMEN GLOBAL)'!D771-'[1]VENTAS(RESUMEN GLOBAL)'!E771</f>
        <v>0</v>
      </c>
      <c r="H771" s="9">
        <f>+'[1]VENTAS(RESUMEN GLOBAL)'!K771</f>
        <v>0</v>
      </c>
      <c r="I771" s="8">
        <f>+G771*'[1]VENTAS(RESUMEN GLOBAL)'!F771</f>
        <v>0</v>
      </c>
      <c r="J771" s="8">
        <f>'[1]VENTAS(RESUMEN GLOBAL)'!G771*(1-'[1]VENTAS(RESUMEN GLOBAL)'!H771)</f>
        <v>0</v>
      </c>
      <c r="K771" s="8">
        <f t="shared" ref="K771:K834" si="12">+I771-J771</f>
        <v>0</v>
      </c>
      <c r="L771" s="8">
        <f>+'[1]VENTAS(RESUMEN GLOBAL)'!J771</f>
        <v>0</v>
      </c>
      <c r="M771" s="8">
        <f>+Tabla1[[#This Row],[utilidad x dia]]*7</f>
        <v>0</v>
      </c>
    </row>
    <row r="772" spans="1:13" x14ac:dyDescent="0.3">
      <c r="A772" s="6">
        <f>+'[1]VENTAS(RESUMEN GLOBAL)'!L772</f>
        <v>0</v>
      </c>
      <c r="B772" s="6">
        <f>+'[1]VENTAS(RESUMEN GLOBAL)'!M772</f>
        <v>0</v>
      </c>
      <c r="C772">
        <f>+'[1]VENTAS(RESUMEN GLOBAL)'!B772</f>
        <v>0</v>
      </c>
      <c r="D772" t="e">
        <f>INDEX('[1]CÓDIGOS DE PRODUCTO'!$D$3:$D$1000,MATCH(C772,'[1]CÓDIGOS DE PRODUCTO'!$A$3:$A$1000,0))</f>
        <v>#N/A</v>
      </c>
      <c r="E772">
        <f>VLOOKUP(C772,'[1]CÓDIGOS DE PRODUCTO'!$A$4:$B$156,2,FALSE)</f>
        <v>0</v>
      </c>
      <c r="F772">
        <f>INDEX('[1]CÓDIGOS DE PRODUCTO'!$C$3:$C$1000,MATCH(C772,'[1]CÓDIGOS DE PRODUCTO'!$A$3:$A$1000,0))</f>
        <v>0</v>
      </c>
      <c r="G772">
        <f>+'[1]VENTAS(RESUMEN GLOBAL)'!D772-'[1]VENTAS(RESUMEN GLOBAL)'!E772</f>
        <v>0</v>
      </c>
      <c r="H772" s="9">
        <f>+'[1]VENTAS(RESUMEN GLOBAL)'!K772</f>
        <v>0</v>
      </c>
      <c r="I772" s="8">
        <f>+G772*'[1]VENTAS(RESUMEN GLOBAL)'!F772</f>
        <v>0</v>
      </c>
      <c r="J772" s="8">
        <f>'[1]VENTAS(RESUMEN GLOBAL)'!G772*(1-'[1]VENTAS(RESUMEN GLOBAL)'!H772)</f>
        <v>0</v>
      </c>
      <c r="K772" s="8">
        <f t="shared" si="12"/>
        <v>0</v>
      </c>
      <c r="L772" s="8">
        <f>+'[1]VENTAS(RESUMEN GLOBAL)'!J772</f>
        <v>0</v>
      </c>
      <c r="M772" s="8">
        <f>+Tabla1[[#This Row],[utilidad x dia]]*7</f>
        <v>0</v>
      </c>
    </row>
    <row r="773" spans="1:13" x14ac:dyDescent="0.3">
      <c r="A773" s="6">
        <f>+'[1]VENTAS(RESUMEN GLOBAL)'!L773</f>
        <v>0</v>
      </c>
      <c r="B773" s="6">
        <f>+'[1]VENTAS(RESUMEN GLOBAL)'!M773</f>
        <v>0</v>
      </c>
      <c r="C773">
        <f>+'[1]VENTAS(RESUMEN GLOBAL)'!B773</f>
        <v>0</v>
      </c>
      <c r="D773" t="e">
        <f>INDEX('[1]CÓDIGOS DE PRODUCTO'!$D$3:$D$1000,MATCH(C773,'[1]CÓDIGOS DE PRODUCTO'!$A$3:$A$1000,0))</f>
        <v>#N/A</v>
      </c>
      <c r="E773">
        <f>VLOOKUP(C773,'[1]CÓDIGOS DE PRODUCTO'!$A$4:$B$156,2,FALSE)</f>
        <v>0</v>
      </c>
      <c r="F773">
        <f>INDEX('[1]CÓDIGOS DE PRODUCTO'!$C$3:$C$1000,MATCH(C773,'[1]CÓDIGOS DE PRODUCTO'!$A$3:$A$1000,0))</f>
        <v>0</v>
      </c>
      <c r="G773">
        <f>+'[1]VENTAS(RESUMEN GLOBAL)'!D773-'[1]VENTAS(RESUMEN GLOBAL)'!E773</f>
        <v>0</v>
      </c>
      <c r="H773" s="9">
        <f>+'[1]VENTAS(RESUMEN GLOBAL)'!K773</f>
        <v>0</v>
      </c>
      <c r="I773" s="8">
        <f>+G773*'[1]VENTAS(RESUMEN GLOBAL)'!F773</f>
        <v>0</v>
      </c>
      <c r="J773" s="8">
        <f>'[1]VENTAS(RESUMEN GLOBAL)'!G773*(1-'[1]VENTAS(RESUMEN GLOBAL)'!H773)</f>
        <v>0</v>
      </c>
      <c r="K773" s="8">
        <f t="shared" si="12"/>
        <v>0</v>
      </c>
      <c r="L773" s="8">
        <f>+'[1]VENTAS(RESUMEN GLOBAL)'!J773</f>
        <v>0</v>
      </c>
      <c r="M773" s="8">
        <f>+Tabla1[[#This Row],[utilidad x dia]]*7</f>
        <v>0</v>
      </c>
    </row>
    <row r="774" spans="1:13" x14ac:dyDescent="0.3">
      <c r="A774" s="6">
        <f>+'[1]VENTAS(RESUMEN GLOBAL)'!L774</f>
        <v>0</v>
      </c>
      <c r="B774" s="6">
        <f>+'[1]VENTAS(RESUMEN GLOBAL)'!M774</f>
        <v>0</v>
      </c>
      <c r="C774">
        <f>+'[1]VENTAS(RESUMEN GLOBAL)'!B774</f>
        <v>0</v>
      </c>
      <c r="D774" t="e">
        <f>INDEX('[1]CÓDIGOS DE PRODUCTO'!$D$3:$D$1000,MATCH(C774,'[1]CÓDIGOS DE PRODUCTO'!$A$3:$A$1000,0))</f>
        <v>#N/A</v>
      </c>
      <c r="E774">
        <f>VLOOKUP(C774,'[1]CÓDIGOS DE PRODUCTO'!$A$4:$B$156,2,FALSE)</f>
        <v>0</v>
      </c>
      <c r="F774">
        <f>INDEX('[1]CÓDIGOS DE PRODUCTO'!$C$3:$C$1000,MATCH(C774,'[1]CÓDIGOS DE PRODUCTO'!$A$3:$A$1000,0))</f>
        <v>0</v>
      </c>
      <c r="G774">
        <f>+'[1]VENTAS(RESUMEN GLOBAL)'!D774-'[1]VENTAS(RESUMEN GLOBAL)'!E774</f>
        <v>0</v>
      </c>
      <c r="H774" s="9">
        <f>+'[1]VENTAS(RESUMEN GLOBAL)'!K774</f>
        <v>0</v>
      </c>
      <c r="I774" s="8">
        <f>+G774*'[1]VENTAS(RESUMEN GLOBAL)'!F774</f>
        <v>0</v>
      </c>
      <c r="J774" s="8">
        <f>'[1]VENTAS(RESUMEN GLOBAL)'!G774*(1-'[1]VENTAS(RESUMEN GLOBAL)'!H774)</f>
        <v>0</v>
      </c>
      <c r="K774" s="8">
        <f t="shared" si="12"/>
        <v>0</v>
      </c>
      <c r="L774" s="8">
        <f>+'[1]VENTAS(RESUMEN GLOBAL)'!J774</f>
        <v>0</v>
      </c>
      <c r="M774" s="8">
        <f>+Tabla1[[#This Row],[utilidad x dia]]*7</f>
        <v>0</v>
      </c>
    </row>
    <row r="775" spans="1:13" x14ac:dyDescent="0.3">
      <c r="A775" s="6">
        <f>+'[1]VENTAS(RESUMEN GLOBAL)'!L775</f>
        <v>0</v>
      </c>
      <c r="B775" s="6">
        <f>+'[1]VENTAS(RESUMEN GLOBAL)'!M775</f>
        <v>0</v>
      </c>
      <c r="C775">
        <f>+'[1]VENTAS(RESUMEN GLOBAL)'!B775</f>
        <v>0</v>
      </c>
      <c r="D775" t="e">
        <f>INDEX('[1]CÓDIGOS DE PRODUCTO'!$D$3:$D$1000,MATCH(C775,'[1]CÓDIGOS DE PRODUCTO'!$A$3:$A$1000,0))</f>
        <v>#N/A</v>
      </c>
      <c r="E775">
        <f>VLOOKUP(C775,'[1]CÓDIGOS DE PRODUCTO'!$A$4:$B$156,2,FALSE)</f>
        <v>0</v>
      </c>
      <c r="F775">
        <f>INDEX('[1]CÓDIGOS DE PRODUCTO'!$C$3:$C$1000,MATCH(C775,'[1]CÓDIGOS DE PRODUCTO'!$A$3:$A$1000,0))</f>
        <v>0</v>
      </c>
      <c r="G775">
        <f>+'[1]VENTAS(RESUMEN GLOBAL)'!D775-'[1]VENTAS(RESUMEN GLOBAL)'!E775</f>
        <v>0</v>
      </c>
      <c r="H775" s="9">
        <f>+'[1]VENTAS(RESUMEN GLOBAL)'!K775</f>
        <v>0</v>
      </c>
      <c r="I775" s="8">
        <f>+G775*'[1]VENTAS(RESUMEN GLOBAL)'!F775</f>
        <v>0</v>
      </c>
      <c r="J775" s="8">
        <f>'[1]VENTAS(RESUMEN GLOBAL)'!G775*(1-'[1]VENTAS(RESUMEN GLOBAL)'!H775)</f>
        <v>0</v>
      </c>
      <c r="K775" s="8">
        <f t="shared" si="12"/>
        <v>0</v>
      </c>
      <c r="L775" s="8">
        <f>+'[1]VENTAS(RESUMEN GLOBAL)'!J775</f>
        <v>0</v>
      </c>
      <c r="M775" s="8">
        <f>+Tabla1[[#This Row],[utilidad x dia]]*7</f>
        <v>0</v>
      </c>
    </row>
    <row r="776" spans="1:13" x14ac:dyDescent="0.3">
      <c r="A776" s="6">
        <f>+'[1]VENTAS(RESUMEN GLOBAL)'!L776</f>
        <v>0</v>
      </c>
      <c r="B776" s="6">
        <f>+'[1]VENTAS(RESUMEN GLOBAL)'!M776</f>
        <v>0</v>
      </c>
      <c r="C776">
        <f>+'[1]VENTAS(RESUMEN GLOBAL)'!B776</f>
        <v>0</v>
      </c>
      <c r="D776" t="e">
        <f>INDEX('[1]CÓDIGOS DE PRODUCTO'!$D$3:$D$1000,MATCH(C776,'[1]CÓDIGOS DE PRODUCTO'!$A$3:$A$1000,0))</f>
        <v>#N/A</v>
      </c>
      <c r="E776">
        <f>VLOOKUP(C776,'[1]CÓDIGOS DE PRODUCTO'!$A$4:$B$156,2,FALSE)</f>
        <v>0</v>
      </c>
      <c r="F776">
        <f>INDEX('[1]CÓDIGOS DE PRODUCTO'!$C$3:$C$1000,MATCH(C776,'[1]CÓDIGOS DE PRODUCTO'!$A$3:$A$1000,0))</f>
        <v>0</v>
      </c>
      <c r="G776">
        <f>+'[1]VENTAS(RESUMEN GLOBAL)'!D776-'[1]VENTAS(RESUMEN GLOBAL)'!E776</f>
        <v>0</v>
      </c>
      <c r="H776" s="9">
        <f>+'[1]VENTAS(RESUMEN GLOBAL)'!K776</f>
        <v>0</v>
      </c>
      <c r="I776" s="8">
        <f>+G776*'[1]VENTAS(RESUMEN GLOBAL)'!F776</f>
        <v>0</v>
      </c>
      <c r="J776" s="8">
        <f>'[1]VENTAS(RESUMEN GLOBAL)'!G776*(1-'[1]VENTAS(RESUMEN GLOBAL)'!H776)</f>
        <v>0</v>
      </c>
      <c r="K776" s="8">
        <f t="shared" si="12"/>
        <v>0</v>
      </c>
      <c r="L776" s="8">
        <f>+'[1]VENTAS(RESUMEN GLOBAL)'!J776</f>
        <v>0</v>
      </c>
      <c r="M776" s="8">
        <f>+Tabla1[[#This Row],[utilidad x dia]]*7</f>
        <v>0</v>
      </c>
    </row>
    <row r="777" spans="1:13" x14ac:dyDescent="0.3">
      <c r="A777" s="6">
        <f>+'[1]VENTAS(RESUMEN GLOBAL)'!L777</f>
        <v>0</v>
      </c>
      <c r="B777" s="6">
        <f>+'[1]VENTAS(RESUMEN GLOBAL)'!M777</f>
        <v>0</v>
      </c>
      <c r="C777">
        <f>+'[1]VENTAS(RESUMEN GLOBAL)'!B777</f>
        <v>0</v>
      </c>
      <c r="D777" t="e">
        <f>INDEX('[1]CÓDIGOS DE PRODUCTO'!$D$3:$D$1000,MATCH(C777,'[1]CÓDIGOS DE PRODUCTO'!$A$3:$A$1000,0))</f>
        <v>#N/A</v>
      </c>
      <c r="E777">
        <f>VLOOKUP(C777,'[1]CÓDIGOS DE PRODUCTO'!$A$4:$B$156,2,FALSE)</f>
        <v>0</v>
      </c>
      <c r="F777">
        <f>INDEX('[1]CÓDIGOS DE PRODUCTO'!$C$3:$C$1000,MATCH(C777,'[1]CÓDIGOS DE PRODUCTO'!$A$3:$A$1000,0))</f>
        <v>0</v>
      </c>
      <c r="G777">
        <f>+'[1]VENTAS(RESUMEN GLOBAL)'!D777-'[1]VENTAS(RESUMEN GLOBAL)'!E777</f>
        <v>0</v>
      </c>
      <c r="H777" s="9">
        <f>+'[1]VENTAS(RESUMEN GLOBAL)'!K777</f>
        <v>0</v>
      </c>
      <c r="I777" s="8">
        <f>+G777*'[1]VENTAS(RESUMEN GLOBAL)'!F777</f>
        <v>0</v>
      </c>
      <c r="J777" s="8">
        <f>'[1]VENTAS(RESUMEN GLOBAL)'!G777*(1-'[1]VENTAS(RESUMEN GLOBAL)'!H777)</f>
        <v>0</v>
      </c>
      <c r="K777" s="8">
        <f t="shared" si="12"/>
        <v>0</v>
      </c>
      <c r="L777" s="8">
        <f>+'[1]VENTAS(RESUMEN GLOBAL)'!J777</f>
        <v>0</v>
      </c>
      <c r="M777" s="8">
        <f>+Tabla1[[#This Row],[utilidad x dia]]*7</f>
        <v>0</v>
      </c>
    </row>
    <row r="778" spans="1:13" x14ac:dyDescent="0.3">
      <c r="A778" s="6">
        <f>+'[1]VENTAS(RESUMEN GLOBAL)'!L778</f>
        <v>0</v>
      </c>
      <c r="B778" s="6">
        <f>+'[1]VENTAS(RESUMEN GLOBAL)'!M778</f>
        <v>0</v>
      </c>
      <c r="C778">
        <f>+'[1]VENTAS(RESUMEN GLOBAL)'!B778</f>
        <v>0</v>
      </c>
      <c r="D778" t="e">
        <f>INDEX('[1]CÓDIGOS DE PRODUCTO'!$D$3:$D$1000,MATCH(C778,'[1]CÓDIGOS DE PRODUCTO'!$A$3:$A$1000,0))</f>
        <v>#N/A</v>
      </c>
      <c r="E778">
        <f>VLOOKUP(C778,'[1]CÓDIGOS DE PRODUCTO'!$A$4:$B$156,2,FALSE)</f>
        <v>0</v>
      </c>
      <c r="F778">
        <f>INDEX('[1]CÓDIGOS DE PRODUCTO'!$C$3:$C$1000,MATCH(C778,'[1]CÓDIGOS DE PRODUCTO'!$A$3:$A$1000,0))</f>
        <v>0</v>
      </c>
      <c r="G778">
        <f>+'[1]VENTAS(RESUMEN GLOBAL)'!D778-'[1]VENTAS(RESUMEN GLOBAL)'!E778</f>
        <v>0</v>
      </c>
      <c r="H778" s="9">
        <f>+'[1]VENTAS(RESUMEN GLOBAL)'!K778</f>
        <v>0</v>
      </c>
      <c r="I778" s="8">
        <f>+G778*'[1]VENTAS(RESUMEN GLOBAL)'!F778</f>
        <v>0</v>
      </c>
      <c r="J778" s="8">
        <f>'[1]VENTAS(RESUMEN GLOBAL)'!G778*(1-'[1]VENTAS(RESUMEN GLOBAL)'!H778)</f>
        <v>0</v>
      </c>
      <c r="K778" s="8">
        <f t="shared" si="12"/>
        <v>0</v>
      </c>
      <c r="L778" s="8">
        <f>+'[1]VENTAS(RESUMEN GLOBAL)'!J778</f>
        <v>0</v>
      </c>
      <c r="M778" s="8">
        <f>+Tabla1[[#This Row],[utilidad x dia]]*7</f>
        <v>0</v>
      </c>
    </row>
    <row r="779" spans="1:13" x14ac:dyDescent="0.3">
      <c r="A779" s="6">
        <f>+'[1]VENTAS(RESUMEN GLOBAL)'!L779</f>
        <v>0</v>
      </c>
      <c r="B779" s="6">
        <f>+'[1]VENTAS(RESUMEN GLOBAL)'!M779</f>
        <v>0</v>
      </c>
      <c r="C779">
        <f>+'[1]VENTAS(RESUMEN GLOBAL)'!B779</f>
        <v>0</v>
      </c>
      <c r="D779" t="e">
        <f>INDEX('[1]CÓDIGOS DE PRODUCTO'!$D$3:$D$1000,MATCH(C779,'[1]CÓDIGOS DE PRODUCTO'!$A$3:$A$1000,0))</f>
        <v>#N/A</v>
      </c>
      <c r="E779">
        <f>VLOOKUP(C779,'[1]CÓDIGOS DE PRODUCTO'!$A$4:$B$156,2,FALSE)</f>
        <v>0</v>
      </c>
      <c r="F779">
        <f>INDEX('[1]CÓDIGOS DE PRODUCTO'!$C$3:$C$1000,MATCH(C779,'[1]CÓDIGOS DE PRODUCTO'!$A$3:$A$1000,0))</f>
        <v>0</v>
      </c>
      <c r="G779">
        <f>+'[1]VENTAS(RESUMEN GLOBAL)'!D779-'[1]VENTAS(RESUMEN GLOBAL)'!E779</f>
        <v>0</v>
      </c>
      <c r="H779" s="9">
        <f>+'[1]VENTAS(RESUMEN GLOBAL)'!K779</f>
        <v>0</v>
      </c>
      <c r="I779" s="8">
        <f>+G779*'[1]VENTAS(RESUMEN GLOBAL)'!F779</f>
        <v>0</v>
      </c>
      <c r="J779" s="8">
        <f>'[1]VENTAS(RESUMEN GLOBAL)'!G779*(1-'[1]VENTAS(RESUMEN GLOBAL)'!H779)</f>
        <v>0</v>
      </c>
      <c r="K779" s="8">
        <f t="shared" si="12"/>
        <v>0</v>
      </c>
      <c r="L779" s="8">
        <f>+'[1]VENTAS(RESUMEN GLOBAL)'!J779</f>
        <v>0</v>
      </c>
      <c r="M779" s="8">
        <f>+Tabla1[[#This Row],[utilidad x dia]]*7</f>
        <v>0</v>
      </c>
    </row>
    <row r="780" spans="1:13" x14ac:dyDescent="0.3">
      <c r="A780" s="6">
        <f>+'[1]VENTAS(RESUMEN GLOBAL)'!L780</f>
        <v>0</v>
      </c>
      <c r="B780" s="6">
        <f>+'[1]VENTAS(RESUMEN GLOBAL)'!M780</f>
        <v>0</v>
      </c>
      <c r="C780">
        <f>+'[1]VENTAS(RESUMEN GLOBAL)'!B780</f>
        <v>0</v>
      </c>
      <c r="D780" t="e">
        <f>INDEX('[1]CÓDIGOS DE PRODUCTO'!$D$3:$D$1000,MATCH(C780,'[1]CÓDIGOS DE PRODUCTO'!$A$3:$A$1000,0))</f>
        <v>#N/A</v>
      </c>
      <c r="E780">
        <f>VLOOKUP(C780,'[1]CÓDIGOS DE PRODUCTO'!$A$4:$B$156,2,FALSE)</f>
        <v>0</v>
      </c>
      <c r="F780">
        <f>INDEX('[1]CÓDIGOS DE PRODUCTO'!$C$3:$C$1000,MATCH(C780,'[1]CÓDIGOS DE PRODUCTO'!$A$3:$A$1000,0))</f>
        <v>0</v>
      </c>
      <c r="G780">
        <f>+'[1]VENTAS(RESUMEN GLOBAL)'!D780-'[1]VENTAS(RESUMEN GLOBAL)'!E780</f>
        <v>0</v>
      </c>
      <c r="H780" s="9">
        <f>+'[1]VENTAS(RESUMEN GLOBAL)'!K780</f>
        <v>0</v>
      </c>
      <c r="I780" s="8">
        <f>+G780*'[1]VENTAS(RESUMEN GLOBAL)'!F780</f>
        <v>0</v>
      </c>
      <c r="J780" s="8">
        <f>'[1]VENTAS(RESUMEN GLOBAL)'!G780*(1-'[1]VENTAS(RESUMEN GLOBAL)'!H780)</f>
        <v>0</v>
      </c>
      <c r="K780" s="8">
        <f t="shared" si="12"/>
        <v>0</v>
      </c>
      <c r="L780" s="8">
        <f>+'[1]VENTAS(RESUMEN GLOBAL)'!J780</f>
        <v>0</v>
      </c>
      <c r="M780" s="8">
        <f>+Tabla1[[#This Row],[utilidad x dia]]*7</f>
        <v>0</v>
      </c>
    </row>
    <row r="781" spans="1:13" x14ac:dyDescent="0.3">
      <c r="A781" s="6">
        <f>+'[1]VENTAS(RESUMEN GLOBAL)'!L781</f>
        <v>0</v>
      </c>
      <c r="B781" s="6">
        <f>+'[1]VENTAS(RESUMEN GLOBAL)'!M781</f>
        <v>0</v>
      </c>
      <c r="C781">
        <f>+'[1]VENTAS(RESUMEN GLOBAL)'!B781</f>
        <v>0</v>
      </c>
      <c r="D781" t="e">
        <f>INDEX('[1]CÓDIGOS DE PRODUCTO'!$D$3:$D$1000,MATCH(C781,'[1]CÓDIGOS DE PRODUCTO'!$A$3:$A$1000,0))</f>
        <v>#N/A</v>
      </c>
      <c r="E781">
        <f>VLOOKUP(C781,'[1]CÓDIGOS DE PRODUCTO'!$A$4:$B$156,2,FALSE)</f>
        <v>0</v>
      </c>
      <c r="F781">
        <f>INDEX('[1]CÓDIGOS DE PRODUCTO'!$C$3:$C$1000,MATCH(C781,'[1]CÓDIGOS DE PRODUCTO'!$A$3:$A$1000,0))</f>
        <v>0</v>
      </c>
      <c r="G781">
        <f>+'[1]VENTAS(RESUMEN GLOBAL)'!D781-'[1]VENTAS(RESUMEN GLOBAL)'!E781</f>
        <v>0</v>
      </c>
      <c r="H781" s="9">
        <f>+'[1]VENTAS(RESUMEN GLOBAL)'!K781</f>
        <v>0</v>
      </c>
      <c r="I781" s="8">
        <f>+G781*'[1]VENTAS(RESUMEN GLOBAL)'!F781</f>
        <v>0</v>
      </c>
      <c r="J781" s="8">
        <f>'[1]VENTAS(RESUMEN GLOBAL)'!G781*(1-'[1]VENTAS(RESUMEN GLOBAL)'!H781)</f>
        <v>0</v>
      </c>
      <c r="K781" s="8">
        <f t="shared" si="12"/>
        <v>0</v>
      </c>
      <c r="L781" s="8">
        <f>+'[1]VENTAS(RESUMEN GLOBAL)'!J781</f>
        <v>0</v>
      </c>
      <c r="M781" s="8">
        <f>+Tabla1[[#This Row],[utilidad x dia]]*7</f>
        <v>0</v>
      </c>
    </row>
    <row r="782" spans="1:13" x14ac:dyDescent="0.3">
      <c r="A782" s="6">
        <f>+'[1]VENTAS(RESUMEN GLOBAL)'!L782</f>
        <v>0</v>
      </c>
      <c r="B782" s="6">
        <f>+'[1]VENTAS(RESUMEN GLOBAL)'!M782</f>
        <v>0</v>
      </c>
      <c r="C782">
        <f>+'[1]VENTAS(RESUMEN GLOBAL)'!B782</f>
        <v>0</v>
      </c>
      <c r="D782" t="e">
        <f>INDEX('[1]CÓDIGOS DE PRODUCTO'!$D$3:$D$1000,MATCH(C782,'[1]CÓDIGOS DE PRODUCTO'!$A$3:$A$1000,0))</f>
        <v>#N/A</v>
      </c>
      <c r="E782">
        <f>VLOOKUP(C782,'[1]CÓDIGOS DE PRODUCTO'!$A$4:$B$156,2,FALSE)</f>
        <v>0</v>
      </c>
      <c r="F782">
        <f>INDEX('[1]CÓDIGOS DE PRODUCTO'!$C$3:$C$1000,MATCH(C782,'[1]CÓDIGOS DE PRODUCTO'!$A$3:$A$1000,0))</f>
        <v>0</v>
      </c>
      <c r="G782">
        <f>+'[1]VENTAS(RESUMEN GLOBAL)'!D782-'[1]VENTAS(RESUMEN GLOBAL)'!E782</f>
        <v>0</v>
      </c>
      <c r="H782" s="9">
        <f>+'[1]VENTAS(RESUMEN GLOBAL)'!K782</f>
        <v>0</v>
      </c>
      <c r="I782" s="8">
        <f>+G782*'[1]VENTAS(RESUMEN GLOBAL)'!F782</f>
        <v>0</v>
      </c>
      <c r="J782" s="8">
        <f>'[1]VENTAS(RESUMEN GLOBAL)'!G782*(1-'[1]VENTAS(RESUMEN GLOBAL)'!H782)</f>
        <v>0</v>
      </c>
      <c r="K782" s="8">
        <f t="shared" si="12"/>
        <v>0</v>
      </c>
      <c r="L782" s="8">
        <f>+'[1]VENTAS(RESUMEN GLOBAL)'!J782</f>
        <v>0</v>
      </c>
      <c r="M782" s="8">
        <f>+Tabla1[[#This Row],[utilidad x dia]]*7</f>
        <v>0</v>
      </c>
    </row>
    <row r="783" spans="1:13" x14ac:dyDescent="0.3">
      <c r="A783" s="6">
        <f>+'[1]VENTAS(RESUMEN GLOBAL)'!L783</f>
        <v>0</v>
      </c>
      <c r="B783" s="6">
        <f>+'[1]VENTAS(RESUMEN GLOBAL)'!M783</f>
        <v>0</v>
      </c>
      <c r="C783">
        <f>+'[1]VENTAS(RESUMEN GLOBAL)'!B783</f>
        <v>0</v>
      </c>
      <c r="D783" t="e">
        <f>INDEX('[1]CÓDIGOS DE PRODUCTO'!$D$3:$D$1000,MATCH(C783,'[1]CÓDIGOS DE PRODUCTO'!$A$3:$A$1000,0))</f>
        <v>#N/A</v>
      </c>
      <c r="E783">
        <f>VLOOKUP(C783,'[1]CÓDIGOS DE PRODUCTO'!$A$4:$B$156,2,FALSE)</f>
        <v>0</v>
      </c>
      <c r="F783">
        <f>INDEX('[1]CÓDIGOS DE PRODUCTO'!$C$3:$C$1000,MATCH(C783,'[1]CÓDIGOS DE PRODUCTO'!$A$3:$A$1000,0))</f>
        <v>0</v>
      </c>
      <c r="G783">
        <f>+'[1]VENTAS(RESUMEN GLOBAL)'!D783-'[1]VENTAS(RESUMEN GLOBAL)'!E783</f>
        <v>0</v>
      </c>
      <c r="H783" s="9">
        <f>+'[1]VENTAS(RESUMEN GLOBAL)'!K783</f>
        <v>0</v>
      </c>
      <c r="I783" s="8">
        <f>+G783*'[1]VENTAS(RESUMEN GLOBAL)'!F783</f>
        <v>0</v>
      </c>
      <c r="J783" s="8">
        <f>'[1]VENTAS(RESUMEN GLOBAL)'!G783*(1-'[1]VENTAS(RESUMEN GLOBAL)'!H783)</f>
        <v>0</v>
      </c>
      <c r="K783" s="8">
        <f t="shared" si="12"/>
        <v>0</v>
      </c>
      <c r="L783" s="8">
        <f>+'[1]VENTAS(RESUMEN GLOBAL)'!J783</f>
        <v>0</v>
      </c>
      <c r="M783" s="8">
        <f>+Tabla1[[#This Row],[utilidad x dia]]*7</f>
        <v>0</v>
      </c>
    </row>
    <row r="784" spans="1:13" x14ac:dyDescent="0.3">
      <c r="A784" s="6">
        <f>+'[1]VENTAS(RESUMEN GLOBAL)'!L784</f>
        <v>0</v>
      </c>
      <c r="B784" s="6">
        <f>+'[1]VENTAS(RESUMEN GLOBAL)'!M784</f>
        <v>0</v>
      </c>
      <c r="C784">
        <f>+'[1]VENTAS(RESUMEN GLOBAL)'!B784</f>
        <v>0</v>
      </c>
      <c r="D784" t="e">
        <f>INDEX('[1]CÓDIGOS DE PRODUCTO'!$D$3:$D$1000,MATCH(C784,'[1]CÓDIGOS DE PRODUCTO'!$A$3:$A$1000,0))</f>
        <v>#N/A</v>
      </c>
      <c r="E784">
        <f>VLOOKUP(C784,'[1]CÓDIGOS DE PRODUCTO'!$A$4:$B$156,2,FALSE)</f>
        <v>0</v>
      </c>
      <c r="F784">
        <f>INDEX('[1]CÓDIGOS DE PRODUCTO'!$C$3:$C$1000,MATCH(C784,'[1]CÓDIGOS DE PRODUCTO'!$A$3:$A$1000,0))</f>
        <v>0</v>
      </c>
      <c r="G784">
        <f>+'[1]VENTAS(RESUMEN GLOBAL)'!D784-'[1]VENTAS(RESUMEN GLOBAL)'!E784</f>
        <v>0</v>
      </c>
      <c r="H784" s="9">
        <f>+'[1]VENTAS(RESUMEN GLOBAL)'!K784</f>
        <v>0</v>
      </c>
      <c r="I784" s="8">
        <f>+G784*'[1]VENTAS(RESUMEN GLOBAL)'!F784</f>
        <v>0</v>
      </c>
      <c r="J784" s="8">
        <f>'[1]VENTAS(RESUMEN GLOBAL)'!G784*(1-'[1]VENTAS(RESUMEN GLOBAL)'!H784)</f>
        <v>0</v>
      </c>
      <c r="K784" s="8">
        <f t="shared" si="12"/>
        <v>0</v>
      </c>
      <c r="L784" s="8">
        <f>+'[1]VENTAS(RESUMEN GLOBAL)'!J784</f>
        <v>0</v>
      </c>
      <c r="M784" s="8">
        <f>+Tabla1[[#This Row],[utilidad x dia]]*7</f>
        <v>0</v>
      </c>
    </row>
    <row r="785" spans="1:13" x14ac:dyDescent="0.3">
      <c r="A785" s="6">
        <f>+'[1]VENTAS(RESUMEN GLOBAL)'!L785</f>
        <v>0</v>
      </c>
      <c r="B785" s="6">
        <f>+'[1]VENTAS(RESUMEN GLOBAL)'!M785</f>
        <v>0</v>
      </c>
      <c r="C785">
        <f>+'[1]VENTAS(RESUMEN GLOBAL)'!B785</f>
        <v>0</v>
      </c>
      <c r="D785" t="e">
        <f>INDEX('[1]CÓDIGOS DE PRODUCTO'!$D$3:$D$1000,MATCH(C785,'[1]CÓDIGOS DE PRODUCTO'!$A$3:$A$1000,0))</f>
        <v>#N/A</v>
      </c>
      <c r="E785">
        <f>VLOOKUP(C785,'[1]CÓDIGOS DE PRODUCTO'!$A$4:$B$156,2,FALSE)</f>
        <v>0</v>
      </c>
      <c r="F785">
        <f>INDEX('[1]CÓDIGOS DE PRODUCTO'!$C$3:$C$1000,MATCH(C785,'[1]CÓDIGOS DE PRODUCTO'!$A$3:$A$1000,0))</f>
        <v>0</v>
      </c>
      <c r="G785">
        <f>+'[1]VENTAS(RESUMEN GLOBAL)'!D785-'[1]VENTAS(RESUMEN GLOBAL)'!E785</f>
        <v>0</v>
      </c>
      <c r="H785" s="9">
        <f>+'[1]VENTAS(RESUMEN GLOBAL)'!K785</f>
        <v>0</v>
      </c>
      <c r="I785" s="8">
        <f>+G785*'[1]VENTAS(RESUMEN GLOBAL)'!F785</f>
        <v>0</v>
      </c>
      <c r="J785" s="8">
        <f>'[1]VENTAS(RESUMEN GLOBAL)'!G785*(1-'[1]VENTAS(RESUMEN GLOBAL)'!H785)</f>
        <v>0</v>
      </c>
      <c r="K785" s="8">
        <f t="shared" si="12"/>
        <v>0</v>
      </c>
      <c r="L785" s="8">
        <f>+'[1]VENTAS(RESUMEN GLOBAL)'!J785</f>
        <v>0</v>
      </c>
      <c r="M785" s="8">
        <f>+Tabla1[[#This Row],[utilidad x dia]]*7</f>
        <v>0</v>
      </c>
    </row>
    <row r="786" spans="1:13" x14ac:dyDescent="0.3">
      <c r="A786" s="6">
        <f>+'[1]VENTAS(RESUMEN GLOBAL)'!L786</f>
        <v>0</v>
      </c>
      <c r="B786" s="6">
        <f>+'[1]VENTAS(RESUMEN GLOBAL)'!M786</f>
        <v>0</v>
      </c>
      <c r="C786">
        <f>+'[1]VENTAS(RESUMEN GLOBAL)'!B786</f>
        <v>0</v>
      </c>
      <c r="D786" t="e">
        <f>INDEX('[1]CÓDIGOS DE PRODUCTO'!$D$3:$D$1000,MATCH(C786,'[1]CÓDIGOS DE PRODUCTO'!$A$3:$A$1000,0))</f>
        <v>#N/A</v>
      </c>
      <c r="E786">
        <f>VLOOKUP(C786,'[1]CÓDIGOS DE PRODUCTO'!$A$4:$B$156,2,FALSE)</f>
        <v>0</v>
      </c>
      <c r="F786">
        <f>INDEX('[1]CÓDIGOS DE PRODUCTO'!$C$3:$C$1000,MATCH(C786,'[1]CÓDIGOS DE PRODUCTO'!$A$3:$A$1000,0))</f>
        <v>0</v>
      </c>
      <c r="G786">
        <f>+'[1]VENTAS(RESUMEN GLOBAL)'!D786-'[1]VENTAS(RESUMEN GLOBAL)'!E786</f>
        <v>0</v>
      </c>
      <c r="H786" s="9">
        <f>+'[1]VENTAS(RESUMEN GLOBAL)'!K786</f>
        <v>0</v>
      </c>
      <c r="I786" s="8">
        <f>+G786*'[1]VENTAS(RESUMEN GLOBAL)'!F786</f>
        <v>0</v>
      </c>
      <c r="J786" s="8">
        <f>'[1]VENTAS(RESUMEN GLOBAL)'!G786*(1-'[1]VENTAS(RESUMEN GLOBAL)'!H786)</f>
        <v>0</v>
      </c>
      <c r="K786" s="8">
        <f t="shared" si="12"/>
        <v>0</v>
      </c>
      <c r="L786" s="8">
        <f>+'[1]VENTAS(RESUMEN GLOBAL)'!J786</f>
        <v>0</v>
      </c>
      <c r="M786" s="8">
        <f>+Tabla1[[#This Row],[utilidad x dia]]*7</f>
        <v>0</v>
      </c>
    </row>
    <row r="787" spans="1:13" x14ac:dyDescent="0.3">
      <c r="A787" s="6">
        <f>+'[1]VENTAS(RESUMEN GLOBAL)'!L787</f>
        <v>0</v>
      </c>
      <c r="B787" s="6">
        <f>+'[1]VENTAS(RESUMEN GLOBAL)'!M787</f>
        <v>0</v>
      </c>
      <c r="C787">
        <f>+'[1]VENTAS(RESUMEN GLOBAL)'!B787</f>
        <v>0</v>
      </c>
      <c r="D787" t="e">
        <f>INDEX('[1]CÓDIGOS DE PRODUCTO'!$D$3:$D$1000,MATCH(C787,'[1]CÓDIGOS DE PRODUCTO'!$A$3:$A$1000,0))</f>
        <v>#N/A</v>
      </c>
      <c r="E787">
        <f>VLOOKUP(C787,'[1]CÓDIGOS DE PRODUCTO'!$A$4:$B$156,2,FALSE)</f>
        <v>0</v>
      </c>
      <c r="F787">
        <f>INDEX('[1]CÓDIGOS DE PRODUCTO'!$C$3:$C$1000,MATCH(C787,'[1]CÓDIGOS DE PRODUCTO'!$A$3:$A$1000,0))</f>
        <v>0</v>
      </c>
      <c r="G787">
        <f>+'[1]VENTAS(RESUMEN GLOBAL)'!D787-'[1]VENTAS(RESUMEN GLOBAL)'!E787</f>
        <v>0</v>
      </c>
      <c r="H787" s="9">
        <f>+'[1]VENTAS(RESUMEN GLOBAL)'!K787</f>
        <v>0</v>
      </c>
      <c r="I787" s="8">
        <f>+G787*'[1]VENTAS(RESUMEN GLOBAL)'!F787</f>
        <v>0</v>
      </c>
      <c r="J787" s="8">
        <f>'[1]VENTAS(RESUMEN GLOBAL)'!G787*(1-'[1]VENTAS(RESUMEN GLOBAL)'!H787)</f>
        <v>0</v>
      </c>
      <c r="K787" s="8">
        <f t="shared" si="12"/>
        <v>0</v>
      </c>
      <c r="L787" s="8">
        <f>+'[1]VENTAS(RESUMEN GLOBAL)'!J787</f>
        <v>0</v>
      </c>
      <c r="M787" s="8">
        <f>+Tabla1[[#This Row],[utilidad x dia]]*7</f>
        <v>0</v>
      </c>
    </row>
    <row r="788" spans="1:13" x14ac:dyDescent="0.3">
      <c r="A788" s="6">
        <f>+'[1]VENTAS(RESUMEN GLOBAL)'!L788</f>
        <v>0</v>
      </c>
      <c r="B788" s="6">
        <f>+'[1]VENTAS(RESUMEN GLOBAL)'!M788</f>
        <v>0</v>
      </c>
      <c r="C788">
        <f>+'[1]VENTAS(RESUMEN GLOBAL)'!B788</f>
        <v>0</v>
      </c>
      <c r="D788" t="e">
        <f>INDEX('[1]CÓDIGOS DE PRODUCTO'!$D$3:$D$1000,MATCH(C788,'[1]CÓDIGOS DE PRODUCTO'!$A$3:$A$1000,0))</f>
        <v>#N/A</v>
      </c>
      <c r="E788">
        <f>VLOOKUP(C788,'[1]CÓDIGOS DE PRODUCTO'!$A$4:$B$156,2,FALSE)</f>
        <v>0</v>
      </c>
      <c r="F788">
        <f>INDEX('[1]CÓDIGOS DE PRODUCTO'!$C$3:$C$1000,MATCH(C788,'[1]CÓDIGOS DE PRODUCTO'!$A$3:$A$1000,0))</f>
        <v>0</v>
      </c>
      <c r="G788">
        <f>+'[1]VENTAS(RESUMEN GLOBAL)'!D788-'[1]VENTAS(RESUMEN GLOBAL)'!E788</f>
        <v>0</v>
      </c>
      <c r="H788" s="9">
        <f>+'[1]VENTAS(RESUMEN GLOBAL)'!K788</f>
        <v>0</v>
      </c>
      <c r="I788" s="8">
        <f>+G788*'[1]VENTAS(RESUMEN GLOBAL)'!F788</f>
        <v>0</v>
      </c>
      <c r="J788" s="8">
        <f>'[1]VENTAS(RESUMEN GLOBAL)'!G788*(1-'[1]VENTAS(RESUMEN GLOBAL)'!H788)</f>
        <v>0</v>
      </c>
      <c r="K788" s="8">
        <f t="shared" si="12"/>
        <v>0</v>
      </c>
      <c r="L788" s="8">
        <f>+'[1]VENTAS(RESUMEN GLOBAL)'!J788</f>
        <v>0</v>
      </c>
      <c r="M788" s="8">
        <f>+Tabla1[[#This Row],[utilidad x dia]]*7</f>
        <v>0</v>
      </c>
    </row>
    <row r="789" spans="1:13" x14ac:dyDescent="0.3">
      <c r="A789" s="6">
        <f>+'[1]VENTAS(RESUMEN GLOBAL)'!L789</f>
        <v>0</v>
      </c>
      <c r="B789" s="6">
        <f>+'[1]VENTAS(RESUMEN GLOBAL)'!M789</f>
        <v>0</v>
      </c>
      <c r="C789">
        <f>+'[1]VENTAS(RESUMEN GLOBAL)'!B789</f>
        <v>0</v>
      </c>
      <c r="D789" t="e">
        <f>INDEX('[1]CÓDIGOS DE PRODUCTO'!$D$3:$D$1000,MATCH(C789,'[1]CÓDIGOS DE PRODUCTO'!$A$3:$A$1000,0))</f>
        <v>#N/A</v>
      </c>
      <c r="E789">
        <f>VLOOKUP(C789,'[1]CÓDIGOS DE PRODUCTO'!$A$4:$B$156,2,FALSE)</f>
        <v>0</v>
      </c>
      <c r="F789">
        <f>INDEX('[1]CÓDIGOS DE PRODUCTO'!$C$3:$C$1000,MATCH(C789,'[1]CÓDIGOS DE PRODUCTO'!$A$3:$A$1000,0))</f>
        <v>0</v>
      </c>
      <c r="G789">
        <f>+'[1]VENTAS(RESUMEN GLOBAL)'!D789-'[1]VENTAS(RESUMEN GLOBAL)'!E789</f>
        <v>0</v>
      </c>
      <c r="H789" s="9">
        <f>+'[1]VENTAS(RESUMEN GLOBAL)'!K789</f>
        <v>0</v>
      </c>
      <c r="I789" s="8">
        <f>+G789*'[1]VENTAS(RESUMEN GLOBAL)'!F789</f>
        <v>0</v>
      </c>
      <c r="J789" s="8">
        <f>'[1]VENTAS(RESUMEN GLOBAL)'!G789*(1-'[1]VENTAS(RESUMEN GLOBAL)'!H789)</f>
        <v>0</v>
      </c>
      <c r="K789" s="8">
        <f t="shared" si="12"/>
        <v>0</v>
      </c>
      <c r="L789" s="8">
        <f>+'[1]VENTAS(RESUMEN GLOBAL)'!J789</f>
        <v>0</v>
      </c>
      <c r="M789" s="8">
        <f>+Tabla1[[#This Row],[utilidad x dia]]*7</f>
        <v>0</v>
      </c>
    </row>
    <row r="790" spans="1:13" x14ac:dyDescent="0.3">
      <c r="A790" s="6">
        <f>+'[1]VENTAS(RESUMEN GLOBAL)'!L790</f>
        <v>0</v>
      </c>
      <c r="B790" s="6">
        <f>+'[1]VENTAS(RESUMEN GLOBAL)'!M790</f>
        <v>0</v>
      </c>
      <c r="C790">
        <f>+'[1]VENTAS(RESUMEN GLOBAL)'!B790</f>
        <v>0</v>
      </c>
      <c r="D790" t="e">
        <f>INDEX('[1]CÓDIGOS DE PRODUCTO'!$D$3:$D$1000,MATCH(C790,'[1]CÓDIGOS DE PRODUCTO'!$A$3:$A$1000,0))</f>
        <v>#N/A</v>
      </c>
      <c r="E790">
        <f>VLOOKUP(C790,'[1]CÓDIGOS DE PRODUCTO'!$A$4:$B$156,2,FALSE)</f>
        <v>0</v>
      </c>
      <c r="F790">
        <f>INDEX('[1]CÓDIGOS DE PRODUCTO'!$C$3:$C$1000,MATCH(C790,'[1]CÓDIGOS DE PRODUCTO'!$A$3:$A$1000,0))</f>
        <v>0</v>
      </c>
      <c r="G790">
        <f>+'[1]VENTAS(RESUMEN GLOBAL)'!D790-'[1]VENTAS(RESUMEN GLOBAL)'!E790</f>
        <v>0</v>
      </c>
      <c r="H790" s="9">
        <f>+'[1]VENTAS(RESUMEN GLOBAL)'!K790</f>
        <v>0</v>
      </c>
      <c r="I790" s="8">
        <f>+G790*'[1]VENTAS(RESUMEN GLOBAL)'!F790</f>
        <v>0</v>
      </c>
      <c r="J790" s="8">
        <f>'[1]VENTAS(RESUMEN GLOBAL)'!G790*(1-'[1]VENTAS(RESUMEN GLOBAL)'!H790)</f>
        <v>0</v>
      </c>
      <c r="K790" s="8">
        <f t="shared" si="12"/>
        <v>0</v>
      </c>
      <c r="L790" s="8">
        <f>+'[1]VENTAS(RESUMEN GLOBAL)'!J790</f>
        <v>0</v>
      </c>
      <c r="M790" s="8">
        <f>+Tabla1[[#This Row],[utilidad x dia]]*7</f>
        <v>0</v>
      </c>
    </row>
    <row r="791" spans="1:13" x14ac:dyDescent="0.3">
      <c r="A791" s="6">
        <f>+'[1]VENTAS(RESUMEN GLOBAL)'!L791</f>
        <v>0</v>
      </c>
      <c r="B791" s="6">
        <f>+'[1]VENTAS(RESUMEN GLOBAL)'!M791</f>
        <v>0</v>
      </c>
      <c r="C791">
        <f>+'[1]VENTAS(RESUMEN GLOBAL)'!B791</f>
        <v>0</v>
      </c>
      <c r="D791" t="e">
        <f>INDEX('[1]CÓDIGOS DE PRODUCTO'!$D$3:$D$1000,MATCH(C791,'[1]CÓDIGOS DE PRODUCTO'!$A$3:$A$1000,0))</f>
        <v>#N/A</v>
      </c>
      <c r="E791">
        <f>VLOOKUP(C791,'[1]CÓDIGOS DE PRODUCTO'!$A$4:$B$156,2,FALSE)</f>
        <v>0</v>
      </c>
      <c r="F791">
        <f>INDEX('[1]CÓDIGOS DE PRODUCTO'!$C$3:$C$1000,MATCH(C791,'[1]CÓDIGOS DE PRODUCTO'!$A$3:$A$1000,0))</f>
        <v>0</v>
      </c>
      <c r="G791">
        <f>+'[1]VENTAS(RESUMEN GLOBAL)'!D791-'[1]VENTAS(RESUMEN GLOBAL)'!E791</f>
        <v>0</v>
      </c>
      <c r="H791" s="9">
        <f>+'[1]VENTAS(RESUMEN GLOBAL)'!K791</f>
        <v>0</v>
      </c>
      <c r="I791" s="8">
        <f>+G791*'[1]VENTAS(RESUMEN GLOBAL)'!F791</f>
        <v>0</v>
      </c>
      <c r="J791" s="8">
        <f>'[1]VENTAS(RESUMEN GLOBAL)'!G791*(1-'[1]VENTAS(RESUMEN GLOBAL)'!H791)</f>
        <v>0</v>
      </c>
      <c r="K791" s="8">
        <f t="shared" si="12"/>
        <v>0</v>
      </c>
      <c r="L791" s="8">
        <f>+'[1]VENTAS(RESUMEN GLOBAL)'!J791</f>
        <v>0</v>
      </c>
      <c r="M791" s="8">
        <f>+Tabla1[[#This Row],[utilidad x dia]]*7</f>
        <v>0</v>
      </c>
    </row>
    <row r="792" spans="1:13" x14ac:dyDescent="0.3">
      <c r="A792" s="6">
        <f>+'[1]VENTAS(RESUMEN GLOBAL)'!L792</f>
        <v>0</v>
      </c>
      <c r="B792" s="6">
        <f>+'[1]VENTAS(RESUMEN GLOBAL)'!M792</f>
        <v>0</v>
      </c>
      <c r="C792">
        <f>+'[1]VENTAS(RESUMEN GLOBAL)'!B792</f>
        <v>0</v>
      </c>
      <c r="D792" t="e">
        <f>INDEX('[1]CÓDIGOS DE PRODUCTO'!$D$3:$D$1000,MATCH(C792,'[1]CÓDIGOS DE PRODUCTO'!$A$3:$A$1000,0))</f>
        <v>#N/A</v>
      </c>
      <c r="E792">
        <f>VLOOKUP(C792,'[1]CÓDIGOS DE PRODUCTO'!$A$4:$B$156,2,FALSE)</f>
        <v>0</v>
      </c>
      <c r="F792">
        <f>INDEX('[1]CÓDIGOS DE PRODUCTO'!$C$3:$C$1000,MATCH(C792,'[1]CÓDIGOS DE PRODUCTO'!$A$3:$A$1000,0))</f>
        <v>0</v>
      </c>
      <c r="G792">
        <f>+'[1]VENTAS(RESUMEN GLOBAL)'!D792-'[1]VENTAS(RESUMEN GLOBAL)'!E792</f>
        <v>0</v>
      </c>
      <c r="H792" s="9">
        <f>+'[1]VENTAS(RESUMEN GLOBAL)'!K792</f>
        <v>0</v>
      </c>
      <c r="I792" s="8">
        <f>+G792*'[1]VENTAS(RESUMEN GLOBAL)'!F792</f>
        <v>0</v>
      </c>
      <c r="J792" s="8">
        <f>'[1]VENTAS(RESUMEN GLOBAL)'!G792*(1-'[1]VENTAS(RESUMEN GLOBAL)'!H792)</f>
        <v>0</v>
      </c>
      <c r="K792" s="8">
        <f t="shared" si="12"/>
        <v>0</v>
      </c>
      <c r="L792" s="8">
        <f>+'[1]VENTAS(RESUMEN GLOBAL)'!J792</f>
        <v>0</v>
      </c>
      <c r="M792" s="8">
        <f>+Tabla1[[#This Row],[utilidad x dia]]*7</f>
        <v>0</v>
      </c>
    </row>
    <row r="793" spans="1:13" x14ac:dyDescent="0.3">
      <c r="A793" s="6">
        <f>+'[1]VENTAS(RESUMEN GLOBAL)'!L793</f>
        <v>0</v>
      </c>
      <c r="B793" s="6">
        <f>+'[1]VENTAS(RESUMEN GLOBAL)'!M793</f>
        <v>0</v>
      </c>
      <c r="C793">
        <f>+'[1]VENTAS(RESUMEN GLOBAL)'!B793</f>
        <v>0</v>
      </c>
      <c r="D793" t="e">
        <f>INDEX('[1]CÓDIGOS DE PRODUCTO'!$D$3:$D$1000,MATCH(C793,'[1]CÓDIGOS DE PRODUCTO'!$A$3:$A$1000,0))</f>
        <v>#N/A</v>
      </c>
      <c r="E793">
        <f>VLOOKUP(C793,'[1]CÓDIGOS DE PRODUCTO'!$A$4:$B$156,2,FALSE)</f>
        <v>0</v>
      </c>
      <c r="F793">
        <f>INDEX('[1]CÓDIGOS DE PRODUCTO'!$C$3:$C$1000,MATCH(C793,'[1]CÓDIGOS DE PRODUCTO'!$A$3:$A$1000,0))</f>
        <v>0</v>
      </c>
      <c r="G793">
        <f>+'[1]VENTAS(RESUMEN GLOBAL)'!D793-'[1]VENTAS(RESUMEN GLOBAL)'!E793</f>
        <v>0</v>
      </c>
      <c r="H793" s="9">
        <f>+'[1]VENTAS(RESUMEN GLOBAL)'!K793</f>
        <v>0</v>
      </c>
      <c r="I793" s="8">
        <f>+G793*'[1]VENTAS(RESUMEN GLOBAL)'!F793</f>
        <v>0</v>
      </c>
      <c r="J793" s="8">
        <f>'[1]VENTAS(RESUMEN GLOBAL)'!G793*(1-'[1]VENTAS(RESUMEN GLOBAL)'!H793)</f>
        <v>0</v>
      </c>
      <c r="K793" s="8">
        <f t="shared" si="12"/>
        <v>0</v>
      </c>
      <c r="L793" s="8">
        <f>+'[1]VENTAS(RESUMEN GLOBAL)'!J793</f>
        <v>0</v>
      </c>
      <c r="M793" s="8">
        <f>+Tabla1[[#This Row],[utilidad x dia]]*7</f>
        <v>0</v>
      </c>
    </row>
    <row r="794" spans="1:13" x14ac:dyDescent="0.3">
      <c r="A794" s="6">
        <f>+'[1]VENTAS(RESUMEN GLOBAL)'!L794</f>
        <v>0</v>
      </c>
      <c r="B794" s="6">
        <f>+'[1]VENTAS(RESUMEN GLOBAL)'!M794</f>
        <v>0</v>
      </c>
      <c r="C794">
        <f>+'[1]VENTAS(RESUMEN GLOBAL)'!B794</f>
        <v>0</v>
      </c>
      <c r="D794" t="e">
        <f>INDEX('[1]CÓDIGOS DE PRODUCTO'!$D$3:$D$1000,MATCH(C794,'[1]CÓDIGOS DE PRODUCTO'!$A$3:$A$1000,0))</f>
        <v>#N/A</v>
      </c>
      <c r="E794">
        <f>VLOOKUP(C794,'[1]CÓDIGOS DE PRODUCTO'!$A$4:$B$156,2,FALSE)</f>
        <v>0</v>
      </c>
      <c r="F794">
        <f>INDEX('[1]CÓDIGOS DE PRODUCTO'!$C$3:$C$1000,MATCH(C794,'[1]CÓDIGOS DE PRODUCTO'!$A$3:$A$1000,0))</f>
        <v>0</v>
      </c>
      <c r="G794">
        <f>+'[1]VENTAS(RESUMEN GLOBAL)'!D794-'[1]VENTAS(RESUMEN GLOBAL)'!E794</f>
        <v>0</v>
      </c>
      <c r="H794" s="9">
        <f>+'[1]VENTAS(RESUMEN GLOBAL)'!K794</f>
        <v>0</v>
      </c>
      <c r="I794" s="8">
        <f>+G794*'[1]VENTAS(RESUMEN GLOBAL)'!F794</f>
        <v>0</v>
      </c>
      <c r="J794" s="8">
        <f>'[1]VENTAS(RESUMEN GLOBAL)'!G794*(1-'[1]VENTAS(RESUMEN GLOBAL)'!H794)</f>
        <v>0</v>
      </c>
      <c r="K794" s="8">
        <f t="shared" si="12"/>
        <v>0</v>
      </c>
      <c r="L794" s="8">
        <f>+'[1]VENTAS(RESUMEN GLOBAL)'!J794</f>
        <v>0</v>
      </c>
      <c r="M794" s="8">
        <f>+Tabla1[[#This Row],[utilidad x dia]]*7</f>
        <v>0</v>
      </c>
    </row>
    <row r="795" spans="1:13" x14ac:dyDescent="0.3">
      <c r="A795" s="6">
        <f>+'[1]VENTAS(RESUMEN GLOBAL)'!L795</f>
        <v>0</v>
      </c>
      <c r="B795" s="6">
        <f>+'[1]VENTAS(RESUMEN GLOBAL)'!M795</f>
        <v>0</v>
      </c>
      <c r="C795">
        <f>+'[1]VENTAS(RESUMEN GLOBAL)'!B795</f>
        <v>0</v>
      </c>
      <c r="D795" t="e">
        <f>INDEX('[1]CÓDIGOS DE PRODUCTO'!$D$3:$D$1000,MATCH(C795,'[1]CÓDIGOS DE PRODUCTO'!$A$3:$A$1000,0))</f>
        <v>#N/A</v>
      </c>
      <c r="E795">
        <f>VLOOKUP(C795,'[1]CÓDIGOS DE PRODUCTO'!$A$4:$B$156,2,FALSE)</f>
        <v>0</v>
      </c>
      <c r="F795">
        <f>INDEX('[1]CÓDIGOS DE PRODUCTO'!$C$3:$C$1000,MATCH(C795,'[1]CÓDIGOS DE PRODUCTO'!$A$3:$A$1000,0))</f>
        <v>0</v>
      </c>
      <c r="G795">
        <f>+'[1]VENTAS(RESUMEN GLOBAL)'!D795-'[1]VENTAS(RESUMEN GLOBAL)'!E795</f>
        <v>0</v>
      </c>
      <c r="H795" s="9">
        <f>+'[1]VENTAS(RESUMEN GLOBAL)'!K795</f>
        <v>0</v>
      </c>
      <c r="I795" s="8">
        <f>+G795*'[1]VENTAS(RESUMEN GLOBAL)'!F795</f>
        <v>0</v>
      </c>
      <c r="J795" s="8">
        <f>'[1]VENTAS(RESUMEN GLOBAL)'!G795*(1-'[1]VENTAS(RESUMEN GLOBAL)'!H795)</f>
        <v>0</v>
      </c>
      <c r="K795" s="8">
        <f t="shared" si="12"/>
        <v>0</v>
      </c>
      <c r="L795" s="8">
        <f>+'[1]VENTAS(RESUMEN GLOBAL)'!J795</f>
        <v>0</v>
      </c>
      <c r="M795" s="8">
        <f>+Tabla1[[#This Row],[utilidad x dia]]*7</f>
        <v>0</v>
      </c>
    </row>
    <row r="796" spans="1:13" x14ac:dyDescent="0.3">
      <c r="A796" s="6">
        <f>+'[1]VENTAS(RESUMEN GLOBAL)'!L796</f>
        <v>0</v>
      </c>
      <c r="B796" s="6">
        <f>+'[1]VENTAS(RESUMEN GLOBAL)'!M796</f>
        <v>0</v>
      </c>
      <c r="C796">
        <f>+'[1]VENTAS(RESUMEN GLOBAL)'!B796</f>
        <v>0</v>
      </c>
      <c r="D796" t="e">
        <f>INDEX('[1]CÓDIGOS DE PRODUCTO'!$D$3:$D$1000,MATCH(C796,'[1]CÓDIGOS DE PRODUCTO'!$A$3:$A$1000,0))</f>
        <v>#N/A</v>
      </c>
      <c r="E796">
        <f>VLOOKUP(C796,'[1]CÓDIGOS DE PRODUCTO'!$A$4:$B$156,2,FALSE)</f>
        <v>0</v>
      </c>
      <c r="F796">
        <f>INDEX('[1]CÓDIGOS DE PRODUCTO'!$C$3:$C$1000,MATCH(C796,'[1]CÓDIGOS DE PRODUCTO'!$A$3:$A$1000,0))</f>
        <v>0</v>
      </c>
      <c r="G796">
        <f>+'[1]VENTAS(RESUMEN GLOBAL)'!D796-'[1]VENTAS(RESUMEN GLOBAL)'!E796</f>
        <v>0</v>
      </c>
      <c r="H796" s="9">
        <f>+'[1]VENTAS(RESUMEN GLOBAL)'!K796</f>
        <v>0</v>
      </c>
      <c r="I796" s="8">
        <f>+G796*'[1]VENTAS(RESUMEN GLOBAL)'!F796</f>
        <v>0</v>
      </c>
      <c r="J796" s="8">
        <f>'[1]VENTAS(RESUMEN GLOBAL)'!G796*(1-'[1]VENTAS(RESUMEN GLOBAL)'!H796)</f>
        <v>0</v>
      </c>
      <c r="K796" s="8">
        <f t="shared" si="12"/>
        <v>0</v>
      </c>
      <c r="L796" s="8">
        <f>+'[1]VENTAS(RESUMEN GLOBAL)'!J796</f>
        <v>0</v>
      </c>
      <c r="M796" s="8">
        <f>+Tabla1[[#This Row],[utilidad x dia]]*7</f>
        <v>0</v>
      </c>
    </row>
    <row r="797" spans="1:13" x14ac:dyDescent="0.3">
      <c r="A797" s="6">
        <f>+'[1]VENTAS(RESUMEN GLOBAL)'!L797</f>
        <v>0</v>
      </c>
      <c r="B797" s="6">
        <f>+'[1]VENTAS(RESUMEN GLOBAL)'!M797</f>
        <v>0</v>
      </c>
      <c r="C797">
        <f>+'[1]VENTAS(RESUMEN GLOBAL)'!B797</f>
        <v>0</v>
      </c>
      <c r="D797" t="e">
        <f>INDEX('[1]CÓDIGOS DE PRODUCTO'!$D$3:$D$1000,MATCH(C797,'[1]CÓDIGOS DE PRODUCTO'!$A$3:$A$1000,0))</f>
        <v>#N/A</v>
      </c>
      <c r="E797">
        <f>VLOOKUP(C797,'[1]CÓDIGOS DE PRODUCTO'!$A$4:$B$156,2,FALSE)</f>
        <v>0</v>
      </c>
      <c r="F797">
        <f>INDEX('[1]CÓDIGOS DE PRODUCTO'!$C$3:$C$1000,MATCH(C797,'[1]CÓDIGOS DE PRODUCTO'!$A$3:$A$1000,0))</f>
        <v>0</v>
      </c>
      <c r="G797">
        <f>+'[1]VENTAS(RESUMEN GLOBAL)'!D797-'[1]VENTAS(RESUMEN GLOBAL)'!E797</f>
        <v>0</v>
      </c>
      <c r="H797" s="9">
        <f>+'[1]VENTAS(RESUMEN GLOBAL)'!K797</f>
        <v>0</v>
      </c>
      <c r="I797" s="8">
        <f>+G797*'[1]VENTAS(RESUMEN GLOBAL)'!F797</f>
        <v>0</v>
      </c>
      <c r="J797" s="8">
        <f>'[1]VENTAS(RESUMEN GLOBAL)'!G797*(1-'[1]VENTAS(RESUMEN GLOBAL)'!H797)</f>
        <v>0</v>
      </c>
      <c r="K797" s="8">
        <f t="shared" si="12"/>
        <v>0</v>
      </c>
      <c r="L797" s="8">
        <f>+'[1]VENTAS(RESUMEN GLOBAL)'!J797</f>
        <v>0</v>
      </c>
      <c r="M797" s="8">
        <f>+Tabla1[[#This Row],[utilidad x dia]]*7</f>
        <v>0</v>
      </c>
    </row>
    <row r="798" spans="1:13" x14ac:dyDescent="0.3">
      <c r="A798" s="6">
        <f>+'[1]VENTAS(RESUMEN GLOBAL)'!L798</f>
        <v>0</v>
      </c>
      <c r="B798" s="6">
        <f>+'[1]VENTAS(RESUMEN GLOBAL)'!M798</f>
        <v>0</v>
      </c>
      <c r="C798">
        <f>+'[1]VENTAS(RESUMEN GLOBAL)'!B798</f>
        <v>0</v>
      </c>
      <c r="D798" t="e">
        <f>INDEX('[1]CÓDIGOS DE PRODUCTO'!$D$3:$D$1000,MATCH(C798,'[1]CÓDIGOS DE PRODUCTO'!$A$3:$A$1000,0))</f>
        <v>#N/A</v>
      </c>
      <c r="E798">
        <f>VLOOKUP(C798,'[1]CÓDIGOS DE PRODUCTO'!$A$4:$B$156,2,FALSE)</f>
        <v>0</v>
      </c>
      <c r="F798">
        <f>INDEX('[1]CÓDIGOS DE PRODUCTO'!$C$3:$C$1000,MATCH(C798,'[1]CÓDIGOS DE PRODUCTO'!$A$3:$A$1000,0))</f>
        <v>0</v>
      </c>
      <c r="G798">
        <f>+'[1]VENTAS(RESUMEN GLOBAL)'!D798-'[1]VENTAS(RESUMEN GLOBAL)'!E798</f>
        <v>0</v>
      </c>
      <c r="H798" s="9">
        <f>+'[1]VENTAS(RESUMEN GLOBAL)'!K798</f>
        <v>0</v>
      </c>
      <c r="I798" s="8">
        <f>+G798*'[1]VENTAS(RESUMEN GLOBAL)'!F798</f>
        <v>0</v>
      </c>
      <c r="J798" s="8">
        <f>'[1]VENTAS(RESUMEN GLOBAL)'!G798*(1-'[1]VENTAS(RESUMEN GLOBAL)'!H798)</f>
        <v>0</v>
      </c>
      <c r="K798" s="8">
        <f t="shared" si="12"/>
        <v>0</v>
      </c>
      <c r="L798" s="8">
        <f>+'[1]VENTAS(RESUMEN GLOBAL)'!J798</f>
        <v>0</v>
      </c>
      <c r="M798" s="8">
        <f>+Tabla1[[#This Row],[utilidad x dia]]*7</f>
        <v>0</v>
      </c>
    </row>
    <row r="799" spans="1:13" x14ac:dyDescent="0.3">
      <c r="A799" s="6">
        <f>+'[1]VENTAS(RESUMEN GLOBAL)'!L799</f>
        <v>0</v>
      </c>
      <c r="B799" s="6">
        <f>+'[1]VENTAS(RESUMEN GLOBAL)'!M799</f>
        <v>0</v>
      </c>
      <c r="C799">
        <f>+'[1]VENTAS(RESUMEN GLOBAL)'!B799</f>
        <v>0</v>
      </c>
      <c r="D799" t="e">
        <f>INDEX('[1]CÓDIGOS DE PRODUCTO'!$D$3:$D$1000,MATCH(C799,'[1]CÓDIGOS DE PRODUCTO'!$A$3:$A$1000,0))</f>
        <v>#N/A</v>
      </c>
      <c r="E799">
        <f>VLOOKUP(C799,'[1]CÓDIGOS DE PRODUCTO'!$A$4:$B$156,2,FALSE)</f>
        <v>0</v>
      </c>
      <c r="F799">
        <f>INDEX('[1]CÓDIGOS DE PRODUCTO'!$C$3:$C$1000,MATCH(C799,'[1]CÓDIGOS DE PRODUCTO'!$A$3:$A$1000,0))</f>
        <v>0</v>
      </c>
      <c r="G799">
        <f>+'[1]VENTAS(RESUMEN GLOBAL)'!D799-'[1]VENTAS(RESUMEN GLOBAL)'!E799</f>
        <v>0</v>
      </c>
      <c r="H799" s="9">
        <f>+'[1]VENTAS(RESUMEN GLOBAL)'!K799</f>
        <v>0</v>
      </c>
      <c r="I799" s="8">
        <f>+G799*'[1]VENTAS(RESUMEN GLOBAL)'!F799</f>
        <v>0</v>
      </c>
      <c r="J799" s="8">
        <f>'[1]VENTAS(RESUMEN GLOBAL)'!G799*(1-'[1]VENTAS(RESUMEN GLOBAL)'!H799)</f>
        <v>0</v>
      </c>
      <c r="K799" s="8">
        <f t="shared" si="12"/>
        <v>0</v>
      </c>
      <c r="L799" s="8">
        <f>+'[1]VENTAS(RESUMEN GLOBAL)'!J799</f>
        <v>0</v>
      </c>
      <c r="M799" s="8">
        <f>+Tabla1[[#This Row],[utilidad x dia]]*7</f>
        <v>0</v>
      </c>
    </row>
    <row r="800" spans="1:13" x14ac:dyDescent="0.3">
      <c r="A800" s="6">
        <f>+'[1]VENTAS(RESUMEN GLOBAL)'!L800</f>
        <v>0</v>
      </c>
      <c r="B800" s="6">
        <f>+'[1]VENTAS(RESUMEN GLOBAL)'!M800</f>
        <v>0</v>
      </c>
      <c r="C800">
        <f>+'[1]VENTAS(RESUMEN GLOBAL)'!B800</f>
        <v>0</v>
      </c>
      <c r="D800" t="e">
        <f>INDEX('[1]CÓDIGOS DE PRODUCTO'!$D$3:$D$1000,MATCH(C800,'[1]CÓDIGOS DE PRODUCTO'!$A$3:$A$1000,0))</f>
        <v>#N/A</v>
      </c>
      <c r="E800">
        <f>VLOOKUP(C800,'[1]CÓDIGOS DE PRODUCTO'!$A$4:$B$156,2,FALSE)</f>
        <v>0</v>
      </c>
      <c r="F800">
        <f>INDEX('[1]CÓDIGOS DE PRODUCTO'!$C$3:$C$1000,MATCH(C800,'[1]CÓDIGOS DE PRODUCTO'!$A$3:$A$1000,0))</f>
        <v>0</v>
      </c>
      <c r="G800">
        <f>+'[1]VENTAS(RESUMEN GLOBAL)'!D800-'[1]VENTAS(RESUMEN GLOBAL)'!E800</f>
        <v>0</v>
      </c>
      <c r="H800" s="9">
        <f>+'[1]VENTAS(RESUMEN GLOBAL)'!K800</f>
        <v>0</v>
      </c>
      <c r="I800" s="8">
        <f>+G800*'[1]VENTAS(RESUMEN GLOBAL)'!F800</f>
        <v>0</v>
      </c>
      <c r="J800" s="8">
        <f>'[1]VENTAS(RESUMEN GLOBAL)'!G800*(1-'[1]VENTAS(RESUMEN GLOBAL)'!H800)</f>
        <v>0</v>
      </c>
      <c r="K800" s="8">
        <f t="shared" si="12"/>
        <v>0</v>
      </c>
      <c r="L800" s="8">
        <f>+'[1]VENTAS(RESUMEN GLOBAL)'!J800</f>
        <v>0</v>
      </c>
      <c r="M800" s="8">
        <f>+Tabla1[[#This Row],[utilidad x dia]]*7</f>
        <v>0</v>
      </c>
    </row>
    <row r="801" spans="1:13" x14ac:dyDescent="0.3">
      <c r="A801" s="6">
        <f>+'[1]VENTAS(RESUMEN GLOBAL)'!L801</f>
        <v>0</v>
      </c>
      <c r="B801" s="6">
        <f>+'[1]VENTAS(RESUMEN GLOBAL)'!M801</f>
        <v>0</v>
      </c>
      <c r="C801">
        <f>+'[1]VENTAS(RESUMEN GLOBAL)'!B801</f>
        <v>0</v>
      </c>
      <c r="D801" t="e">
        <f>INDEX('[1]CÓDIGOS DE PRODUCTO'!$D$3:$D$1000,MATCH(C801,'[1]CÓDIGOS DE PRODUCTO'!$A$3:$A$1000,0))</f>
        <v>#N/A</v>
      </c>
      <c r="E801">
        <f>VLOOKUP(C801,'[1]CÓDIGOS DE PRODUCTO'!$A$4:$B$156,2,FALSE)</f>
        <v>0</v>
      </c>
      <c r="F801">
        <f>INDEX('[1]CÓDIGOS DE PRODUCTO'!$C$3:$C$1000,MATCH(C801,'[1]CÓDIGOS DE PRODUCTO'!$A$3:$A$1000,0))</f>
        <v>0</v>
      </c>
      <c r="G801">
        <f>+'[1]VENTAS(RESUMEN GLOBAL)'!D801-'[1]VENTAS(RESUMEN GLOBAL)'!E801</f>
        <v>0</v>
      </c>
      <c r="H801" s="9">
        <f>+'[1]VENTAS(RESUMEN GLOBAL)'!K801</f>
        <v>0</v>
      </c>
      <c r="I801" s="8">
        <f>+G801*'[1]VENTAS(RESUMEN GLOBAL)'!F801</f>
        <v>0</v>
      </c>
      <c r="J801" s="8">
        <f>'[1]VENTAS(RESUMEN GLOBAL)'!G801*(1-'[1]VENTAS(RESUMEN GLOBAL)'!H801)</f>
        <v>0</v>
      </c>
      <c r="K801" s="8">
        <f t="shared" si="12"/>
        <v>0</v>
      </c>
      <c r="L801" s="8">
        <f>+'[1]VENTAS(RESUMEN GLOBAL)'!J801</f>
        <v>0</v>
      </c>
      <c r="M801" s="8">
        <f>+Tabla1[[#This Row],[utilidad x dia]]*7</f>
        <v>0</v>
      </c>
    </row>
    <row r="802" spans="1:13" x14ac:dyDescent="0.3">
      <c r="A802" s="6">
        <f>+'[1]VENTAS(RESUMEN GLOBAL)'!L802</f>
        <v>0</v>
      </c>
      <c r="B802" s="6">
        <f>+'[1]VENTAS(RESUMEN GLOBAL)'!M802</f>
        <v>0</v>
      </c>
      <c r="C802">
        <f>+'[1]VENTAS(RESUMEN GLOBAL)'!B802</f>
        <v>0</v>
      </c>
      <c r="D802" t="e">
        <f>INDEX('[1]CÓDIGOS DE PRODUCTO'!$D$3:$D$1000,MATCH(C802,'[1]CÓDIGOS DE PRODUCTO'!$A$3:$A$1000,0))</f>
        <v>#N/A</v>
      </c>
      <c r="E802">
        <f>VLOOKUP(C802,'[1]CÓDIGOS DE PRODUCTO'!$A$4:$B$156,2,FALSE)</f>
        <v>0</v>
      </c>
      <c r="F802">
        <f>INDEX('[1]CÓDIGOS DE PRODUCTO'!$C$3:$C$1000,MATCH(C802,'[1]CÓDIGOS DE PRODUCTO'!$A$3:$A$1000,0))</f>
        <v>0</v>
      </c>
      <c r="G802">
        <f>+'[1]VENTAS(RESUMEN GLOBAL)'!D802-'[1]VENTAS(RESUMEN GLOBAL)'!E802</f>
        <v>0</v>
      </c>
      <c r="H802" s="9">
        <f>+'[1]VENTAS(RESUMEN GLOBAL)'!K802</f>
        <v>0</v>
      </c>
      <c r="I802" s="8">
        <f>+G802*'[1]VENTAS(RESUMEN GLOBAL)'!F802</f>
        <v>0</v>
      </c>
      <c r="J802" s="8">
        <f>'[1]VENTAS(RESUMEN GLOBAL)'!G802*(1-'[1]VENTAS(RESUMEN GLOBAL)'!H802)</f>
        <v>0</v>
      </c>
      <c r="K802" s="8">
        <f t="shared" si="12"/>
        <v>0</v>
      </c>
      <c r="L802" s="8">
        <f>+'[1]VENTAS(RESUMEN GLOBAL)'!J802</f>
        <v>0</v>
      </c>
      <c r="M802" s="8">
        <f>+Tabla1[[#This Row],[utilidad x dia]]*7</f>
        <v>0</v>
      </c>
    </row>
    <row r="803" spans="1:13" x14ac:dyDescent="0.3">
      <c r="A803" s="6">
        <f>+'[1]VENTAS(RESUMEN GLOBAL)'!L803</f>
        <v>0</v>
      </c>
      <c r="B803" s="6">
        <f>+'[1]VENTAS(RESUMEN GLOBAL)'!M803</f>
        <v>0</v>
      </c>
      <c r="C803">
        <f>+'[1]VENTAS(RESUMEN GLOBAL)'!B803</f>
        <v>0</v>
      </c>
      <c r="D803" t="e">
        <f>INDEX('[1]CÓDIGOS DE PRODUCTO'!$D$3:$D$1000,MATCH(C803,'[1]CÓDIGOS DE PRODUCTO'!$A$3:$A$1000,0))</f>
        <v>#N/A</v>
      </c>
      <c r="E803">
        <f>VLOOKUP(C803,'[1]CÓDIGOS DE PRODUCTO'!$A$4:$B$156,2,FALSE)</f>
        <v>0</v>
      </c>
      <c r="F803">
        <f>INDEX('[1]CÓDIGOS DE PRODUCTO'!$C$3:$C$1000,MATCH(C803,'[1]CÓDIGOS DE PRODUCTO'!$A$3:$A$1000,0))</f>
        <v>0</v>
      </c>
      <c r="G803">
        <f>+'[1]VENTAS(RESUMEN GLOBAL)'!D803-'[1]VENTAS(RESUMEN GLOBAL)'!E803</f>
        <v>0</v>
      </c>
      <c r="H803" s="9">
        <f>+'[1]VENTAS(RESUMEN GLOBAL)'!K803</f>
        <v>0</v>
      </c>
      <c r="I803" s="8">
        <f>+G803*'[1]VENTAS(RESUMEN GLOBAL)'!F803</f>
        <v>0</v>
      </c>
      <c r="J803" s="8">
        <f>'[1]VENTAS(RESUMEN GLOBAL)'!G803*(1-'[1]VENTAS(RESUMEN GLOBAL)'!H803)</f>
        <v>0</v>
      </c>
      <c r="K803" s="8">
        <f t="shared" si="12"/>
        <v>0</v>
      </c>
      <c r="L803" s="8">
        <f>+'[1]VENTAS(RESUMEN GLOBAL)'!J803</f>
        <v>0</v>
      </c>
      <c r="M803" s="8">
        <f>+Tabla1[[#This Row],[utilidad x dia]]*7</f>
        <v>0</v>
      </c>
    </row>
    <row r="804" spans="1:13" x14ac:dyDescent="0.3">
      <c r="A804" s="6">
        <f>+'[1]VENTAS(RESUMEN GLOBAL)'!L804</f>
        <v>0</v>
      </c>
      <c r="B804" s="6">
        <f>+'[1]VENTAS(RESUMEN GLOBAL)'!M804</f>
        <v>0</v>
      </c>
      <c r="C804">
        <f>+'[1]VENTAS(RESUMEN GLOBAL)'!B804</f>
        <v>0</v>
      </c>
      <c r="D804" t="e">
        <f>INDEX('[1]CÓDIGOS DE PRODUCTO'!$D$3:$D$1000,MATCH(C804,'[1]CÓDIGOS DE PRODUCTO'!$A$3:$A$1000,0))</f>
        <v>#N/A</v>
      </c>
      <c r="E804">
        <f>VLOOKUP(C804,'[1]CÓDIGOS DE PRODUCTO'!$A$4:$B$156,2,FALSE)</f>
        <v>0</v>
      </c>
      <c r="F804">
        <f>INDEX('[1]CÓDIGOS DE PRODUCTO'!$C$3:$C$1000,MATCH(C804,'[1]CÓDIGOS DE PRODUCTO'!$A$3:$A$1000,0))</f>
        <v>0</v>
      </c>
      <c r="G804">
        <f>+'[1]VENTAS(RESUMEN GLOBAL)'!D804-'[1]VENTAS(RESUMEN GLOBAL)'!E804</f>
        <v>0</v>
      </c>
      <c r="H804" s="9">
        <f>+'[1]VENTAS(RESUMEN GLOBAL)'!K804</f>
        <v>0</v>
      </c>
      <c r="I804" s="8">
        <f>+G804*'[1]VENTAS(RESUMEN GLOBAL)'!F804</f>
        <v>0</v>
      </c>
      <c r="J804" s="8">
        <f>'[1]VENTAS(RESUMEN GLOBAL)'!G804*(1-'[1]VENTAS(RESUMEN GLOBAL)'!H804)</f>
        <v>0</v>
      </c>
      <c r="K804" s="8">
        <f t="shared" si="12"/>
        <v>0</v>
      </c>
      <c r="L804" s="8">
        <f>+'[1]VENTAS(RESUMEN GLOBAL)'!J804</f>
        <v>0</v>
      </c>
      <c r="M804" s="8">
        <f>+Tabla1[[#This Row],[utilidad x dia]]*7</f>
        <v>0</v>
      </c>
    </row>
    <row r="805" spans="1:13" x14ac:dyDescent="0.3">
      <c r="A805" s="6">
        <f>+'[1]VENTAS(RESUMEN GLOBAL)'!L805</f>
        <v>0</v>
      </c>
      <c r="B805" s="6">
        <f>+'[1]VENTAS(RESUMEN GLOBAL)'!M805</f>
        <v>0</v>
      </c>
      <c r="C805">
        <f>+'[1]VENTAS(RESUMEN GLOBAL)'!B805</f>
        <v>0</v>
      </c>
      <c r="D805" t="e">
        <f>INDEX('[1]CÓDIGOS DE PRODUCTO'!$D$3:$D$1000,MATCH(C805,'[1]CÓDIGOS DE PRODUCTO'!$A$3:$A$1000,0))</f>
        <v>#N/A</v>
      </c>
      <c r="E805">
        <f>VLOOKUP(C805,'[1]CÓDIGOS DE PRODUCTO'!$A$4:$B$156,2,FALSE)</f>
        <v>0</v>
      </c>
      <c r="F805">
        <f>INDEX('[1]CÓDIGOS DE PRODUCTO'!$C$3:$C$1000,MATCH(C805,'[1]CÓDIGOS DE PRODUCTO'!$A$3:$A$1000,0))</f>
        <v>0</v>
      </c>
      <c r="G805">
        <f>+'[1]VENTAS(RESUMEN GLOBAL)'!D805-'[1]VENTAS(RESUMEN GLOBAL)'!E805</f>
        <v>0</v>
      </c>
      <c r="H805" s="9">
        <f>+'[1]VENTAS(RESUMEN GLOBAL)'!K805</f>
        <v>0</v>
      </c>
      <c r="I805" s="8">
        <f>+G805*'[1]VENTAS(RESUMEN GLOBAL)'!F805</f>
        <v>0</v>
      </c>
      <c r="J805" s="8">
        <f>'[1]VENTAS(RESUMEN GLOBAL)'!G805*(1-'[1]VENTAS(RESUMEN GLOBAL)'!H805)</f>
        <v>0</v>
      </c>
      <c r="K805" s="8">
        <f t="shared" si="12"/>
        <v>0</v>
      </c>
      <c r="L805" s="8">
        <f>+'[1]VENTAS(RESUMEN GLOBAL)'!J805</f>
        <v>0</v>
      </c>
      <c r="M805" s="8">
        <f>+Tabla1[[#This Row],[utilidad x dia]]*7</f>
        <v>0</v>
      </c>
    </row>
    <row r="806" spans="1:13" x14ac:dyDescent="0.3">
      <c r="A806" s="6">
        <f>+'[1]VENTAS(RESUMEN GLOBAL)'!L806</f>
        <v>0</v>
      </c>
      <c r="B806" s="6">
        <f>+'[1]VENTAS(RESUMEN GLOBAL)'!M806</f>
        <v>0</v>
      </c>
      <c r="C806">
        <f>+'[1]VENTAS(RESUMEN GLOBAL)'!B806</f>
        <v>0</v>
      </c>
      <c r="D806" t="e">
        <f>INDEX('[1]CÓDIGOS DE PRODUCTO'!$D$3:$D$1000,MATCH(C806,'[1]CÓDIGOS DE PRODUCTO'!$A$3:$A$1000,0))</f>
        <v>#N/A</v>
      </c>
      <c r="E806">
        <f>VLOOKUP(C806,'[1]CÓDIGOS DE PRODUCTO'!$A$4:$B$156,2,FALSE)</f>
        <v>0</v>
      </c>
      <c r="F806">
        <f>INDEX('[1]CÓDIGOS DE PRODUCTO'!$C$3:$C$1000,MATCH(C806,'[1]CÓDIGOS DE PRODUCTO'!$A$3:$A$1000,0))</f>
        <v>0</v>
      </c>
      <c r="G806">
        <f>+'[1]VENTAS(RESUMEN GLOBAL)'!D806-'[1]VENTAS(RESUMEN GLOBAL)'!E806</f>
        <v>0</v>
      </c>
      <c r="H806" s="9">
        <f>+'[1]VENTAS(RESUMEN GLOBAL)'!K806</f>
        <v>0</v>
      </c>
      <c r="I806" s="8">
        <f>+G806*'[1]VENTAS(RESUMEN GLOBAL)'!F806</f>
        <v>0</v>
      </c>
      <c r="J806" s="8">
        <f>'[1]VENTAS(RESUMEN GLOBAL)'!G806*(1-'[1]VENTAS(RESUMEN GLOBAL)'!H806)</f>
        <v>0</v>
      </c>
      <c r="K806" s="8">
        <f t="shared" si="12"/>
        <v>0</v>
      </c>
      <c r="L806" s="8">
        <f>+'[1]VENTAS(RESUMEN GLOBAL)'!J806</f>
        <v>0</v>
      </c>
      <c r="M806" s="8">
        <f>+Tabla1[[#This Row],[utilidad x dia]]*7</f>
        <v>0</v>
      </c>
    </row>
    <row r="807" spans="1:13" x14ac:dyDescent="0.3">
      <c r="A807" s="6">
        <f>+'[1]VENTAS(RESUMEN GLOBAL)'!L807</f>
        <v>0</v>
      </c>
      <c r="B807" s="6">
        <f>+'[1]VENTAS(RESUMEN GLOBAL)'!M807</f>
        <v>0</v>
      </c>
      <c r="C807">
        <f>+'[1]VENTAS(RESUMEN GLOBAL)'!B807</f>
        <v>0</v>
      </c>
      <c r="D807" t="e">
        <f>INDEX('[1]CÓDIGOS DE PRODUCTO'!$D$3:$D$1000,MATCH(C807,'[1]CÓDIGOS DE PRODUCTO'!$A$3:$A$1000,0))</f>
        <v>#N/A</v>
      </c>
      <c r="E807">
        <f>VLOOKUP(C807,'[1]CÓDIGOS DE PRODUCTO'!$A$4:$B$156,2,FALSE)</f>
        <v>0</v>
      </c>
      <c r="F807">
        <f>INDEX('[1]CÓDIGOS DE PRODUCTO'!$C$3:$C$1000,MATCH(C807,'[1]CÓDIGOS DE PRODUCTO'!$A$3:$A$1000,0))</f>
        <v>0</v>
      </c>
      <c r="G807">
        <f>+'[1]VENTAS(RESUMEN GLOBAL)'!D807-'[1]VENTAS(RESUMEN GLOBAL)'!E807</f>
        <v>0</v>
      </c>
      <c r="H807" s="9">
        <f>+'[1]VENTAS(RESUMEN GLOBAL)'!K807</f>
        <v>0</v>
      </c>
      <c r="I807" s="8">
        <f>+G807*'[1]VENTAS(RESUMEN GLOBAL)'!F807</f>
        <v>0</v>
      </c>
      <c r="J807" s="8">
        <f>'[1]VENTAS(RESUMEN GLOBAL)'!G807*(1-'[1]VENTAS(RESUMEN GLOBAL)'!H807)</f>
        <v>0</v>
      </c>
      <c r="K807" s="8">
        <f t="shared" si="12"/>
        <v>0</v>
      </c>
      <c r="L807" s="8">
        <f>+'[1]VENTAS(RESUMEN GLOBAL)'!J807</f>
        <v>0</v>
      </c>
      <c r="M807" s="8">
        <f>+Tabla1[[#This Row],[utilidad x dia]]*7</f>
        <v>0</v>
      </c>
    </row>
    <row r="808" spans="1:13" x14ac:dyDescent="0.3">
      <c r="A808" s="6">
        <f>+'[1]VENTAS(RESUMEN GLOBAL)'!L808</f>
        <v>0</v>
      </c>
      <c r="B808" s="6">
        <f>+'[1]VENTAS(RESUMEN GLOBAL)'!M808</f>
        <v>0</v>
      </c>
      <c r="C808">
        <f>+'[1]VENTAS(RESUMEN GLOBAL)'!B808</f>
        <v>0</v>
      </c>
      <c r="D808" t="e">
        <f>INDEX('[1]CÓDIGOS DE PRODUCTO'!$D$3:$D$1000,MATCH(C808,'[1]CÓDIGOS DE PRODUCTO'!$A$3:$A$1000,0))</f>
        <v>#N/A</v>
      </c>
      <c r="E808">
        <f>VLOOKUP(C808,'[1]CÓDIGOS DE PRODUCTO'!$A$4:$B$156,2,FALSE)</f>
        <v>0</v>
      </c>
      <c r="F808">
        <f>INDEX('[1]CÓDIGOS DE PRODUCTO'!$C$3:$C$1000,MATCH(C808,'[1]CÓDIGOS DE PRODUCTO'!$A$3:$A$1000,0))</f>
        <v>0</v>
      </c>
      <c r="G808">
        <f>+'[1]VENTAS(RESUMEN GLOBAL)'!D808-'[1]VENTAS(RESUMEN GLOBAL)'!E808</f>
        <v>0</v>
      </c>
      <c r="H808" s="9">
        <f>+'[1]VENTAS(RESUMEN GLOBAL)'!K808</f>
        <v>0</v>
      </c>
      <c r="I808" s="8">
        <f>+G808*'[1]VENTAS(RESUMEN GLOBAL)'!F808</f>
        <v>0</v>
      </c>
      <c r="J808" s="8">
        <f>'[1]VENTAS(RESUMEN GLOBAL)'!G808*(1-'[1]VENTAS(RESUMEN GLOBAL)'!H808)</f>
        <v>0</v>
      </c>
      <c r="K808" s="8">
        <f t="shared" si="12"/>
        <v>0</v>
      </c>
      <c r="L808" s="8">
        <f>+'[1]VENTAS(RESUMEN GLOBAL)'!J808</f>
        <v>0</v>
      </c>
      <c r="M808" s="8">
        <f>+Tabla1[[#This Row],[utilidad x dia]]*7</f>
        <v>0</v>
      </c>
    </row>
    <row r="809" spans="1:13" x14ac:dyDescent="0.3">
      <c r="A809" s="6">
        <f>+'[1]VENTAS(RESUMEN GLOBAL)'!L809</f>
        <v>0</v>
      </c>
      <c r="B809" s="6">
        <f>+'[1]VENTAS(RESUMEN GLOBAL)'!M809</f>
        <v>0</v>
      </c>
      <c r="C809">
        <f>+'[1]VENTAS(RESUMEN GLOBAL)'!B809</f>
        <v>0</v>
      </c>
      <c r="D809" t="e">
        <f>INDEX('[1]CÓDIGOS DE PRODUCTO'!$D$3:$D$1000,MATCH(C809,'[1]CÓDIGOS DE PRODUCTO'!$A$3:$A$1000,0))</f>
        <v>#N/A</v>
      </c>
      <c r="E809">
        <f>VLOOKUP(C809,'[1]CÓDIGOS DE PRODUCTO'!$A$4:$B$156,2,FALSE)</f>
        <v>0</v>
      </c>
      <c r="F809">
        <f>INDEX('[1]CÓDIGOS DE PRODUCTO'!$C$3:$C$1000,MATCH(C809,'[1]CÓDIGOS DE PRODUCTO'!$A$3:$A$1000,0))</f>
        <v>0</v>
      </c>
      <c r="G809">
        <f>+'[1]VENTAS(RESUMEN GLOBAL)'!D809-'[1]VENTAS(RESUMEN GLOBAL)'!E809</f>
        <v>0</v>
      </c>
      <c r="H809" s="9">
        <f>+'[1]VENTAS(RESUMEN GLOBAL)'!K809</f>
        <v>0</v>
      </c>
      <c r="I809" s="8">
        <f>+G809*'[1]VENTAS(RESUMEN GLOBAL)'!F809</f>
        <v>0</v>
      </c>
      <c r="J809" s="8">
        <f>'[1]VENTAS(RESUMEN GLOBAL)'!G809*(1-'[1]VENTAS(RESUMEN GLOBAL)'!H809)</f>
        <v>0</v>
      </c>
      <c r="K809" s="8">
        <f t="shared" si="12"/>
        <v>0</v>
      </c>
      <c r="L809" s="8">
        <f>+'[1]VENTAS(RESUMEN GLOBAL)'!J809</f>
        <v>0</v>
      </c>
      <c r="M809" s="8">
        <f>+Tabla1[[#This Row],[utilidad x dia]]*7</f>
        <v>0</v>
      </c>
    </row>
    <row r="810" spans="1:13" x14ac:dyDescent="0.3">
      <c r="A810" s="6">
        <f>+'[1]VENTAS(RESUMEN GLOBAL)'!L810</f>
        <v>0</v>
      </c>
      <c r="B810" s="6">
        <f>+'[1]VENTAS(RESUMEN GLOBAL)'!M810</f>
        <v>0</v>
      </c>
      <c r="C810">
        <f>+'[1]VENTAS(RESUMEN GLOBAL)'!B810</f>
        <v>0</v>
      </c>
      <c r="D810" t="e">
        <f>INDEX('[1]CÓDIGOS DE PRODUCTO'!$D$3:$D$1000,MATCH(C810,'[1]CÓDIGOS DE PRODUCTO'!$A$3:$A$1000,0))</f>
        <v>#N/A</v>
      </c>
      <c r="E810">
        <f>VLOOKUP(C810,'[1]CÓDIGOS DE PRODUCTO'!$A$4:$B$156,2,FALSE)</f>
        <v>0</v>
      </c>
      <c r="F810">
        <f>INDEX('[1]CÓDIGOS DE PRODUCTO'!$C$3:$C$1000,MATCH(C810,'[1]CÓDIGOS DE PRODUCTO'!$A$3:$A$1000,0))</f>
        <v>0</v>
      </c>
      <c r="G810">
        <f>+'[1]VENTAS(RESUMEN GLOBAL)'!D810-'[1]VENTAS(RESUMEN GLOBAL)'!E810</f>
        <v>0</v>
      </c>
      <c r="H810" s="9">
        <f>+'[1]VENTAS(RESUMEN GLOBAL)'!K810</f>
        <v>0</v>
      </c>
      <c r="I810" s="8">
        <f>+G810*'[1]VENTAS(RESUMEN GLOBAL)'!F810</f>
        <v>0</v>
      </c>
      <c r="J810" s="8">
        <f>'[1]VENTAS(RESUMEN GLOBAL)'!G810*(1-'[1]VENTAS(RESUMEN GLOBAL)'!H810)</f>
        <v>0</v>
      </c>
      <c r="K810" s="8">
        <f t="shared" si="12"/>
        <v>0</v>
      </c>
      <c r="L810" s="8">
        <f>+'[1]VENTAS(RESUMEN GLOBAL)'!J810</f>
        <v>0</v>
      </c>
      <c r="M810" s="8">
        <f>+Tabla1[[#This Row],[utilidad x dia]]*7</f>
        <v>0</v>
      </c>
    </row>
    <row r="811" spans="1:13" x14ac:dyDescent="0.3">
      <c r="A811" s="6">
        <f>+'[1]VENTAS(RESUMEN GLOBAL)'!L811</f>
        <v>0</v>
      </c>
      <c r="B811" s="6">
        <f>+'[1]VENTAS(RESUMEN GLOBAL)'!M811</f>
        <v>0</v>
      </c>
      <c r="C811">
        <f>+'[1]VENTAS(RESUMEN GLOBAL)'!B811</f>
        <v>0</v>
      </c>
      <c r="D811" t="e">
        <f>INDEX('[1]CÓDIGOS DE PRODUCTO'!$D$3:$D$1000,MATCH(C811,'[1]CÓDIGOS DE PRODUCTO'!$A$3:$A$1000,0))</f>
        <v>#N/A</v>
      </c>
      <c r="E811">
        <f>VLOOKUP(C811,'[1]CÓDIGOS DE PRODUCTO'!$A$4:$B$156,2,FALSE)</f>
        <v>0</v>
      </c>
      <c r="F811">
        <f>INDEX('[1]CÓDIGOS DE PRODUCTO'!$C$3:$C$1000,MATCH(C811,'[1]CÓDIGOS DE PRODUCTO'!$A$3:$A$1000,0))</f>
        <v>0</v>
      </c>
      <c r="G811">
        <f>+'[1]VENTAS(RESUMEN GLOBAL)'!D811-'[1]VENTAS(RESUMEN GLOBAL)'!E811</f>
        <v>0</v>
      </c>
      <c r="H811" s="9">
        <f>+'[1]VENTAS(RESUMEN GLOBAL)'!K811</f>
        <v>0</v>
      </c>
      <c r="I811" s="8">
        <f>+G811*'[1]VENTAS(RESUMEN GLOBAL)'!F811</f>
        <v>0</v>
      </c>
      <c r="J811" s="8">
        <f>'[1]VENTAS(RESUMEN GLOBAL)'!G811*(1-'[1]VENTAS(RESUMEN GLOBAL)'!H811)</f>
        <v>0</v>
      </c>
      <c r="K811" s="8">
        <f t="shared" si="12"/>
        <v>0</v>
      </c>
      <c r="L811" s="8">
        <f>+'[1]VENTAS(RESUMEN GLOBAL)'!J811</f>
        <v>0</v>
      </c>
      <c r="M811" s="8">
        <f>+Tabla1[[#This Row],[utilidad x dia]]*7</f>
        <v>0</v>
      </c>
    </row>
    <row r="812" spans="1:13" x14ac:dyDescent="0.3">
      <c r="A812" s="6">
        <f>+'[1]VENTAS(RESUMEN GLOBAL)'!L812</f>
        <v>0</v>
      </c>
      <c r="B812" s="6">
        <f>+'[1]VENTAS(RESUMEN GLOBAL)'!M812</f>
        <v>0</v>
      </c>
      <c r="C812">
        <f>+'[1]VENTAS(RESUMEN GLOBAL)'!B812</f>
        <v>0</v>
      </c>
      <c r="D812" t="e">
        <f>INDEX('[1]CÓDIGOS DE PRODUCTO'!$D$3:$D$1000,MATCH(C812,'[1]CÓDIGOS DE PRODUCTO'!$A$3:$A$1000,0))</f>
        <v>#N/A</v>
      </c>
      <c r="E812">
        <f>VLOOKUP(C812,'[1]CÓDIGOS DE PRODUCTO'!$A$4:$B$156,2,FALSE)</f>
        <v>0</v>
      </c>
      <c r="F812">
        <f>INDEX('[1]CÓDIGOS DE PRODUCTO'!$C$3:$C$1000,MATCH(C812,'[1]CÓDIGOS DE PRODUCTO'!$A$3:$A$1000,0))</f>
        <v>0</v>
      </c>
      <c r="G812">
        <f>+'[1]VENTAS(RESUMEN GLOBAL)'!D812-'[1]VENTAS(RESUMEN GLOBAL)'!E812</f>
        <v>0</v>
      </c>
      <c r="H812" s="9">
        <f>+'[1]VENTAS(RESUMEN GLOBAL)'!K812</f>
        <v>0</v>
      </c>
      <c r="I812" s="8">
        <f>+G812*'[1]VENTAS(RESUMEN GLOBAL)'!F812</f>
        <v>0</v>
      </c>
      <c r="J812" s="8">
        <f>'[1]VENTAS(RESUMEN GLOBAL)'!G812*(1-'[1]VENTAS(RESUMEN GLOBAL)'!H812)</f>
        <v>0</v>
      </c>
      <c r="K812" s="8">
        <f t="shared" si="12"/>
        <v>0</v>
      </c>
      <c r="L812" s="8">
        <f>+'[1]VENTAS(RESUMEN GLOBAL)'!J812</f>
        <v>0</v>
      </c>
      <c r="M812" s="8">
        <f>+Tabla1[[#This Row],[utilidad x dia]]*7</f>
        <v>0</v>
      </c>
    </row>
    <row r="813" spans="1:13" x14ac:dyDescent="0.3">
      <c r="A813" s="6">
        <f>+'[1]VENTAS(RESUMEN GLOBAL)'!L813</f>
        <v>0</v>
      </c>
      <c r="B813" s="6">
        <f>+'[1]VENTAS(RESUMEN GLOBAL)'!M813</f>
        <v>0</v>
      </c>
      <c r="C813">
        <f>+'[1]VENTAS(RESUMEN GLOBAL)'!B813</f>
        <v>0</v>
      </c>
      <c r="D813" t="e">
        <f>INDEX('[1]CÓDIGOS DE PRODUCTO'!$D$3:$D$1000,MATCH(C813,'[1]CÓDIGOS DE PRODUCTO'!$A$3:$A$1000,0))</f>
        <v>#N/A</v>
      </c>
      <c r="E813">
        <f>VLOOKUP(C813,'[1]CÓDIGOS DE PRODUCTO'!$A$4:$B$156,2,FALSE)</f>
        <v>0</v>
      </c>
      <c r="F813">
        <f>INDEX('[1]CÓDIGOS DE PRODUCTO'!$C$3:$C$1000,MATCH(C813,'[1]CÓDIGOS DE PRODUCTO'!$A$3:$A$1000,0))</f>
        <v>0</v>
      </c>
      <c r="G813">
        <f>+'[1]VENTAS(RESUMEN GLOBAL)'!D813-'[1]VENTAS(RESUMEN GLOBAL)'!E813</f>
        <v>0</v>
      </c>
      <c r="H813" s="9">
        <f>+'[1]VENTAS(RESUMEN GLOBAL)'!K813</f>
        <v>0</v>
      </c>
      <c r="I813" s="8">
        <f>+G813*'[1]VENTAS(RESUMEN GLOBAL)'!F813</f>
        <v>0</v>
      </c>
      <c r="J813" s="8">
        <f>'[1]VENTAS(RESUMEN GLOBAL)'!G813*(1-'[1]VENTAS(RESUMEN GLOBAL)'!H813)</f>
        <v>0</v>
      </c>
      <c r="K813" s="8">
        <f t="shared" si="12"/>
        <v>0</v>
      </c>
      <c r="L813" s="8">
        <f>+'[1]VENTAS(RESUMEN GLOBAL)'!J813</f>
        <v>0</v>
      </c>
      <c r="M813" s="8">
        <f>+Tabla1[[#This Row],[utilidad x dia]]*7</f>
        <v>0</v>
      </c>
    </row>
    <row r="814" spans="1:13" x14ac:dyDescent="0.3">
      <c r="A814" s="6">
        <f>+'[1]VENTAS(RESUMEN GLOBAL)'!L814</f>
        <v>0</v>
      </c>
      <c r="B814" s="6">
        <f>+'[1]VENTAS(RESUMEN GLOBAL)'!M814</f>
        <v>0</v>
      </c>
      <c r="C814">
        <f>+'[1]VENTAS(RESUMEN GLOBAL)'!B814</f>
        <v>0</v>
      </c>
      <c r="D814" t="e">
        <f>INDEX('[1]CÓDIGOS DE PRODUCTO'!$D$3:$D$1000,MATCH(C814,'[1]CÓDIGOS DE PRODUCTO'!$A$3:$A$1000,0))</f>
        <v>#N/A</v>
      </c>
      <c r="E814">
        <f>VLOOKUP(C814,'[1]CÓDIGOS DE PRODUCTO'!$A$4:$B$156,2,FALSE)</f>
        <v>0</v>
      </c>
      <c r="F814">
        <f>INDEX('[1]CÓDIGOS DE PRODUCTO'!$C$3:$C$1000,MATCH(C814,'[1]CÓDIGOS DE PRODUCTO'!$A$3:$A$1000,0))</f>
        <v>0</v>
      </c>
      <c r="G814">
        <f>+'[1]VENTAS(RESUMEN GLOBAL)'!D814-'[1]VENTAS(RESUMEN GLOBAL)'!E814</f>
        <v>0</v>
      </c>
      <c r="H814" s="9">
        <f>+'[1]VENTAS(RESUMEN GLOBAL)'!K814</f>
        <v>0</v>
      </c>
      <c r="I814" s="8">
        <f>+G814*'[1]VENTAS(RESUMEN GLOBAL)'!F814</f>
        <v>0</v>
      </c>
      <c r="J814" s="8">
        <f>'[1]VENTAS(RESUMEN GLOBAL)'!G814*(1-'[1]VENTAS(RESUMEN GLOBAL)'!H814)</f>
        <v>0</v>
      </c>
      <c r="K814" s="8">
        <f t="shared" si="12"/>
        <v>0</v>
      </c>
      <c r="L814" s="8">
        <f>+'[1]VENTAS(RESUMEN GLOBAL)'!J814</f>
        <v>0</v>
      </c>
      <c r="M814" s="8">
        <f>+Tabla1[[#This Row],[utilidad x dia]]*7</f>
        <v>0</v>
      </c>
    </row>
    <row r="815" spans="1:13" x14ac:dyDescent="0.3">
      <c r="A815" s="6">
        <f>+'[1]VENTAS(RESUMEN GLOBAL)'!L815</f>
        <v>0</v>
      </c>
      <c r="B815" s="6">
        <f>+'[1]VENTAS(RESUMEN GLOBAL)'!M815</f>
        <v>0</v>
      </c>
      <c r="C815">
        <f>+'[1]VENTAS(RESUMEN GLOBAL)'!B815</f>
        <v>0</v>
      </c>
      <c r="D815" t="e">
        <f>INDEX('[1]CÓDIGOS DE PRODUCTO'!$D$3:$D$1000,MATCH(C815,'[1]CÓDIGOS DE PRODUCTO'!$A$3:$A$1000,0))</f>
        <v>#N/A</v>
      </c>
      <c r="E815">
        <f>VLOOKUP(C815,'[1]CÓDIGOS DE PRODUCTO'!$A$4:$B$156,2,FALSE)</f>
        <v>0</v>
      </c>
      <c r="F815">
        <f>INDEX('[1]CÓDIGOS DE PRODUCTO'!$C$3:$C$1000,MATCH(C815,'[1]CÓDIGOS DE PRODUCTO'!$A$3:$A$1000,0))</f>
        <v>0</v>
      </c>
      <c r="G815">
        <f>+'[1]VENTAS(RESUMEN GLOBAL)'!D815-'[1]VENTAS(RESUMEN GLOBAL)'!E815</f>
        <v>0</v>
      </c>
      <c r="H815" s="9">
        <f>+'[1]VENTAS(RESUMEN GLOBAL)'!K815</f>
        <v>0</v>
      </c>
      <c r="I815" s="8">
        <f>+G815*'[1]VENTAS(RESUMEN GLOBAL)'!F815</f>
        <v>0</v>
      </c>
      <c r="J815" s="8">
        <f>'[1]VENTAS(RESUMEN GLOBAL)'!G815*(1-'[1]VENTAS(RESUMEN GLOBAL)'!H815)</f>
        <v>0</v>
      </c>
      <c r="K815" s="8">
        <f t="shared" si="12"/>
        <v>0</v>
      </c>
      <c r="L815" s="8">
        <f>+'[1]VENTAS(RESUMEN GLOBAL)'!J815</f>
        <v>0</v>
      </c>
      <c r="M815" s="8">
        <f>+Tabla1[[#This Row],[utilidad x dia]]*7</f>
        <v>0</v>
      </c>
    </row>
    <row r="816" spans="1:13" x14ac:dyDescent="0.3">
      <c r="A816" s="6">
        <f>+'[1]VENTAS(RESUMEN GLOBAL)'!L816</f>
        <v>0</v>
      </c>
      <c r="B816" s="6">
        <f>+'[1]VENTAS(RESUMEN GLOBAL)'!M816</f>
        <v>0</v>
      </c>
      <c r="C816">
        <f>+'[1]VENTAS(RESUMEN GLOBAL)'!B816</f>
        <v>0</v>
      </c>
      <c r="D816" t="e">
        <f>INDEX('[1]CÓDIGOS DE PRODUCTO'!$D$3:$D$1000,MATCH(C816,'[1]CÓDIGOS DE PRODUCTO'!$A$3:$A$1000,0))</f>
        <v>#N/A</v>
      </c>
      <c r="E816">
        <f>VLOOKUP(C816,'[1]CÓDIGOS DE PRODUCTO'!$A$4:$B$156,2,FALSE)</f>
        <v>0</v>
      </c>
      <c r="F816">
        <f>INDEX('[1]CÓDIGOS DE PRODUCTO'!$C$3:$C$1000,MATCH(C816,'[1]CÓDIGOS DE PRODUCTO'!$A$3:$A$1000,0))</f>
        <v>0</v>
      </c>
      <c r="G816">
        <f>+'[1]VENTAS(RESUMEN GLOBAL)'!D816-'[1]VENTAS(RESUMEN GLOBAL)'!E816</f>
        <v>0</v>
      </c>
      <c r="H816" s="9">
        <f>+'[1]VENTAS(RESUMEN GLOBAL)'!K816</f>
        <v>0</v>
      </c>
      <c r="I816" s="8">
        <f>+G816*'[1]VENTAS(RESUMEN GLOBAL)'!F816</f>
        <v>0</v>
      </c>
      <c r="J816" s="8">
        <f>'[1]VENTAS(RESUMEN GLOBAL)'!G816*(1-'[1]VENTAS(RESUMEN GLOBAL)'!H816)</f>
        <v>0</v>
      </c>
      <c r="K816" s="8">
        <f t="shared" si="12"/>
        <v>0</v>
      </c>
      <c r="L816" s="8">
        <f>+'[1]VENTAS(RESUMEN GLOBAL)'!J816</f>
        <v>0</v>
      </c>
      <c r="M816" s="8">
        <f>+Tabla1[[#This Row],[utilidad x dia]]*7</f>
        <v>0</v>
      </c>
    </row>
    <row r="817" spans="1:13" x14ac:dyDescent="0.3">
      <c r="A817" s="6">
        <f>+'[1]VENTAS(RESUMEN GLOBAL)'!L817</f>
        <v>0</v>
      </c>
      <c r="B817" s="6">
        <f>+'[1]VENTAS(RESUMEN GLOBAL)'!M817</f>
        <v>0</v>
      </c>
      <c r="C817">
        <f>+'[1]VENTAS(RESUMEN GLOBAL)'!B817</f>
        <v>0</v>
      </c>
      <c r="D817" t="e">
        <f>INDEX('[1]CÓDIGOS DE PRODUCTO'!$D$3:$D$1000,MATCH(C817,'[1]CÓDIGOS DE PRODUCTO'!$A$3:$A$1000,0))</f>
        <v>#N/A</v>
      </c>
      <c r="E817">
        <f>VLOOKUP(C817,'[1]CÓDIGOS DE PRODUCTO'!$A$4:$B$156,2,FALSE)</f>
        <v>0</v>
      </c>
      <c r="F817">
        <f>INDEX('[1]CÓDIGOS DE PRODUCTO'!$C$3:$C$1000,MATCH(C817,'[1]CÓDIGOS DE PRODUCTO'!$A$3:$A$1000,0))</f>
        <v>0</v>
      </c>
      <c r="G817">
        <f>+'[1]VENTAS(RESUMEN GLOBAL)'!D817-'[1]VENTAS(RESUMEN GLOBAL)'!E817</f>
        <v>0</v>
      </c>
      <c r="H817" s="9">
        <f>+'[1]VENTAS(RESUMEN GLOBAL)'!K817</f>
        <v>0</v>
      </c>
      <c r="I817" s="8">
        <f>+G817*'[1]VENTAS(RESUMEN GLOBAL)'!F817</f>
        <v>0</v>
      </c>
      <c r="J817" s="8">
        <f>'[1]VENTAS(RESUMEN GLOBAL)'!G817*(1-'[1]VENTAS(RESUMEN GLOBAL)'!H817)</f>
        <v>0</v>
      </c>
      <c r="K817" s="8">
        <f t="shared" si="12"/>
        <v>0</v>
      </c>
      <c r="L817" s="8">
        <f>+'[1]VENTAS(RESUMEN GLOBAL)'!J817</f>
        <v>0</v>
      </c>
      <c r="M817" s="8">
        <f>+Tabla1[[#This Row],[utilidad x dia]]*7</f>
        <v>0</v>
      </c>
    </row>
    <row r="818" spans="1:13" x14ac:dyDescent="0.3">
      <c r="A818" s="6">
        <f>+'[1]VENTAS(RESUMEN GLOBAL)'!L818</f>
        <v>0</v>
      </c>
      <c r="B818" s="6">
        <f>+'[1]VENTAS(RESUMEN GLOBAL)'!M818</f>
        <v>0</v>
      </c>
      <c r="C818">
        <f>+'[1]VENTAS(RESUMEN GLOBAL)'!B818</f>
        <v>0</v>
      </c>
      <c r="D818" t="e">
        <f>INDEX('[1]CÓDIGOS DE PRODUCTO'!$D$3:$D$1000,MATCH(C818,'[1]CÓDIGOS DE PRODUCTO'!$A$3:$A$1000,0))</f>
        <v>#N/A</v>
      </c>
      <c r="E818">
        <f>VLOOKUP(C818,'[1]CÓDIGOS DE PRODUCTO'!$A$4:$B$156,2,FALSE)</f>
        <v>0</v>
      </c>
      <c r="F818">
        <f>INDEX('[1]CÓDIGOS DE PRODUCTO'!$C$3:$C$1000,MATCH(C818,'[1]CÓDIGOS DE PRODUCTO'!$A$3:$A$1000,0))</f>
        <v>0</v>
      </c>
      <c r="G818">
        <f>+'[1]VENTAS(RESUMEN GLOBAL)'!D818-'[1]VENTAS(RESUMEN GLOBAL)'!E818</f>
        <v>0</v>
      </c>
      <c r="H818" s="9">
        <f>+'[1]VENTAS(RESUMEN GLOBAL)'!K818</f>
        <v>0</v>
      </c>
      <c r="I818" s="8">
        <f>+G818*'[1]VENTAS(RESUMEN GLOBAL)'!F818</f>
        <v>0</v>
      </c>
      <c r="J818" s="8">
        <f>'[1]VENTAS(RESUMEN GLOBAL)'!G818*(1-'[1]VENTAS(RESUMEN GLOBAL)'!H818)</f>
        <v>0</v>
      </c>
      <c r="K818" s="8">
        <f t="shared" si="12"/>
        <v>0</v>
      </c>
      <c r="L818" s="8">
        <f>+'[1]VENTAS(RESUMEN GLOBAL)'!J818</f>
        <v>0</v>
      </c>
      <c r="M818" s="8">
        <f>+Tabla1[[#This Row],[utilidad x dia]]*7</f>
        <v>0</v>
      </c>
    </row>
    <row r="819" spans="1:13" x14ac:dyDescent="0.3">
      <c r="A819" s="6">
        <f>+'[1]VENTAS(RESUMEN GLOBAL)'!L819</f>
        <v>0</v>
      </c>
      <c r="B819" s="6">
        <f>+'[1]VENTAS(RESUMEN GLOBAL)'!M819</f>
        <v>0</v>
      </c>
      <c r="C819">
        <f>+'[1]VENTAS(RESUMEN GLOBAL)'!B819</f>
        <v>0</v>
      </c>
      <c r="D819" t="e">
        <f>INDEX('[1]CÓDIGOS DE PRODUCTO'!$D$3:$D$1000,MATCH(C819,'[1]CÓDIGOS DE PRODUCTO'!$A$3:$A$1000,0))</f>
        <v>#N/A</v>
      </c>
      <c r="E819">
        <f>VLOOKUP(C819,'[1]CÓDIGOS DE PRODUCTO'!$A$4:$B$156,2,FALSE)</f>
        <v>0</v>
      </c>
      <c r="F819">
        <f>INDEX('[1]CÓDIGOS DE PRODUCTO'!$C$3:$C$1000,MATCH(C819,'[1]CÓDIGOS DE PRODUCTO'!$A$3:$A$1000,0))</f>
        <v>0</v>
      </c>
      <c r="G819">
        <f>+'[1]VENTAS(RESUMEN GLOBAL)'!D819-'[1]VENTAS(RESUMEN GLOBAL)'!E819</f>
        <v>0</v>
      </c>
      <c r="H819" s="9">
        <f>+'[1]VENTAS(RESUMEN GLOBAL)'!K819</f>
        <v>0</v>
      </c>
      <c r="I819" s="8">
        <f>+G819*'[1]VENTAS(RESUMEN GLOBAL)'!F819</f>
        <v>0</v>
      </c>
      <c r="J819" s="8">
        <f>'[1]VENTAS(RESUMEN GLOBAL)'!G819*(1-'[1]VENTAS(RESUMEN GLOBAL)'!H819)</f>
        <v>0</v>
      </c>
      <c r="K819" s="8">
        <f t="shared" si="12"/>
        <v>0</v>
      </c>
      <c r="L819" s="8">
        <f>+'[1]VENTAS(RESUMEN GLOBAL)'!J819</f>
        <v>0</v>
      </c>
      <c r="M819" s="8">
        <f>+Tabla1[[#This Row],[utilidad x dia]]*7</f>
        <v>0</v>
      </c>
    </row>
    <row r="820" spans="1:13" x14ac:dyDescent="0.3">
      <c r="A820" s="6">
        <f>+'[1]VENTAS(RESUMEN GLOBAL)'!L820</f>
        <v>0</v>
      </c>
      <c r="B820" s="6">
        <f>+'[1]VENTAS(RESUMEN GLOBAL)'!M820</f>
        <v>0</v>
      </c>
      <c r="C820">
        <f>+'[1]VENTAS(RESUMEN GLOBAL)'!B820</f>
        <v>0</v>
      </c>
      <c r="D820" t="e">
        <f>INDEX('[1]CÓDIGOS DE PRODUCTO'!$D$3:$D$1000,MATCH(C820,'[1]CÓDIGOS DE PRODUCTO'!$A$3:$A$1000,0))</f>
        <v>#N/A</v>
      </c>
      <c r="E820">
        <f>VLOOKUP(C820,'[1]CÓDIGOS DE PRODUCTO'!$A$4:$B$156,2,FALSE)</f>
        <v>0</v>
      </c>
      <c r="F820">
        <f>INDEX('[1]CÓDIGOS DE PRODUCTO'!$C$3:$C$1000,MATCH(C820,'[1]CÓDIGOS DE PRODUCTO'!$A$3:$A$1000,0))</f>
        <v>0</v>
      </c>
      <c r="G820">
        <f>+'[1]VENTAS(RESUMEN GLOBAL)'!D820-'[1]VENTAS(RESUMEN GLOBAL)'!E820</f>
        <v>0</v>
      </c>
      <c r="H820" s="9">
        <f>+'[1]VENTAS(RESUMEN GLOBAL)'!K820</f>
        <v>0</v>
      </c>
      <c r="I820" s="8">
        <f>+G820*'[1]VENTAS(RESUMEN GLOBAL)'!F820</f>
        <v>0</v>
      </c>
      <c r="J820" s="8">
        <f>'[1]VENTAS(RESUMEN GLOBAL)'!G820*(1-'[1]VENTAS(RESUMEN GLOBAL)'!H820)</f>
        <v>0</v>
      </c>
      <c r="K820" s="8">
        <f t="shared" si="12"/>
        <v>0</v>
      </c>
      <c r="L820" s="8">
        <f>+'[1]VENTAS(RESUMEN GLOBAL)'!J820</f>
        <v>0</v>
      </c>
      <c r="M820" s="8">
        <f>+Tabla1[[#This Row],[utilidad x dia]]*7</f>
        <v>0</v>
      </c>
    </row>
    <row r="821" spans="1:13" x14ac:dyDescent="0.3">
      <c r="A821" s="6">
        <f>+'[1]VENTAS(RESUMEN GLOBAL)'!L821</f>
        <v>0</v>
      </c>
      <c r="B821" s="6">
        <f>+'[1]VENTAS(RESUMEN GLOBAL)'!M821</f>
        <v>0</v>
      </c>
      <c r="C821">
        <f>+'[1]VENTAS(RESUMEN GLOBAL)'!B821</f>
        <v>0</v>
      </c>
      <c r="D821" t="e">
        <f>INDEX('[1]CÓDIGOS DE PRODUCTO'!$D$3:$D$1000,MATCH(C821,'[1]CÓDIGOS DE PRODUCTO'!$A$3:$A$1000,0))</f>
        <v>#N/A</v>
      </c>
      <c r="E821">
        <f>VLOOKUP(C821,'[1]CÓDIGOS DE PRODUCTO'!$A$4:$B$156,2,FALSE)</f>
        <v>0</v>
      </c>
      <c r="F821">
        <f>INDEX('[1]CÓDIGOS DE PRODUCTO'!$C$3:$C$1000,MATCH(C821,'[1]CÓDIGOS DE PRODUCTO'!$A$3:$A$1000,0))</f>
        <v>0</v>
      </c>
      <c r="G821">
        <f>+'[1]VENTAS(RESUMEN GLOBAL)'!D821-'[1]VENTAS(RESUMEN GLOBAL)'!E821</f>
        <v>0</v>
      </c>
      <c r="H821" s="9">
        <f>+'[1]VENTAS(RESUMEN GLOBAL)'!K821</f>
        <v>0</v>
      </c>
      <c r="I821" s="8">
        <f>+G821*'[1]VENTAS(RESUMEN GLOBAL)'!F821</f>
        <v>0</v>
      </c>
      <c r="J821" s="8">
        <f>'[1]VENTAS(RESUMEN GLOBAL)'!G821*(1-'[1]VENTAS(RESUMEN GLOBAL)'!H821)</f>
        <v>0</v>
      </c>
      <c r="K821" s="8">
        <f t="shared" si="12"/>
        <v>0</v>
      </c>
      <c r="L821" s="8">
        <f>+'[1]VENTAS(RESUMEN GLOBAL)'!J821</f>
        <v>0</v>
      </c>
      <c r="M821" s="8">
        <f>+Tabla1[[#This Row],[utilidad x dia]]*7</f>
        <v>0</v>
      </c>
    </row>
    <row r="822" spans="1:13" x14ac:dyDescent="0.3">
      <c r="A822" s="6">
        <f>+'[1]VENTAS(RESUMEN GLOBAL)'!L822</f>
        <v>0</v>
      </c>
      <c r="B822" s="6">
        <f>+'[1]VENTAS(RESUMEN GLOBAL)'!M822</f>
        <v>0</v>
      </c>
      <c r="C822">
        <f>+'[1]VENTAS(RESUMEN GLOBAL)'!B822</f>
        <v>0</v>
      </c>
      <c r="D822" t="e">
        <f>INDEX('[1]CÓDIGOS DE PRODUCTO'!$D$3:$D$1000,MATCH(C822,'[1]CÓDIGOS DE PRODUCTO'!$A$3:$A$1000,0))</f>
        <v>#N/A</v>
      </c>
      <c r="E822">
        <f>VLOOKUP(C822,'[1]CÓDIGOS DE PRODUCTO'!$A$4:$B$156,2,FALSE)</f>
        <v>0</v>
      </c>
      <c r="F822">
        <f>INDEX('[1]CÓDIGOS DE PRODUCTO'!$C$3:$C$1000,MATCH(C822,'[1]CÓDIGOS DE PRODUCTO'!$A$3:$A$1000,0))</f>
        <v>0</v>
      </c>
      <c r="G822">
        <f>+'[1]VENTAS(RESUMEN GLOBAL)'!D822-'[1]VENTAS(RESUMEN GLOBAL)'!E822</f>
        <v>0</v>
      </c>
      <c r="H822" s="9">
        <f>+'[1]VENTAS(RESUMEN GLOBAL)'!K822</f>
        <v>0</v>
      </c>
      <c r="I822" s="8">
        <f>+G822*'[1]VENTAS(RESUMEN GLOBAL)'!F822</f>
        <v>0</v>
      </c>
      <c r="J822" s="8">
        <f>'[1]VENTAS(RESUMEN GLOBAL)'!G822*(1-'[1]VENTAS(RESUMEN GLOBAL)'!H822)</f>
        <v>0</v>
      </c>
      <c r="K822" s="8">
        <f t="shared" si="12"/>
        <v>0</v>
      </c>
      <c r="L822" s="8">
        <f>+'[1]VENTAS(RESUMEN GLOBAL)'!J822</f>
        <v>0</v>
      </c>
      <c r="M822" s="8">
        <f>+Tabla1[[#This Row],[utilidad x dia]]*7</f>
        <v>0</v>
      </c>
    </row>
    <row r="823" spans="1:13" x14ac:dyDescent="0.3">
      <c r="A823" s="6">
        <f>+'[1]VENTAS(RESUMEN GLOBAL)'!L823</f>
        <v>0</v>
      </c>
      <c r="B823" s="6">
        <f>+'[1]VENTAS(RESUMEN GLOBAL)'!M823</f>
        <v>0</v>
      </c>
      <c r="C823">
        <f>+'[1]VENTAS(RESUMEN GLOBAL)'!B823</f>
        <v>0</v>
      </c>
      <c r="D823" t="e">
        <f>INDEX('[1]CÓDIGOS DE PRODUCTO'!$D$3:$D$1000,MATCH(C823,'[1]CÓDIGOS DE PRODUCTO'!$A$3:$A$1000,0))</f>
        <v>#N/A</v>
      </c>
      <c r="E823">
        <f>VLOOKUP(C823,'[1]CÓDIGOS DE PRODUCTO'!$A$4:$B$156,2,FALSE)</f>
        <v>0</v>
      </c>
      <c r="F823">
        <f>INDEX('[1]CÓDIGOS DE PRODUCTO'!$C$3:$C$1000,MATCH(C823,'[1]CÓDIGOS DE PRODUCTO'!$A$3:$A$1000,0))</f>
        <v>0</v>
      </c>
      <c r="G823">
        <f>+'[1]VENTAS(RESUMEN GLOBAL)'!D823-'[1]VENTAS(RESUMEN GLOBAL)'!E823</f>
        <v>0</v>
      </c>
      <c r="H823" s="9">
        <f>+'[1]VENTAS(RESUMEN GLOBAL)'!K823</f>
        <v>0</v>
      </c>
      <c r="I823" s="8">
        <f>+G823*'[1]VENTAS(RESUMEN GLOBAL)'!F823</f>
        <v>0</v>
      </c>
      <c r="J823" s="8">
        <f>'[1]VENTAS(RESUMEN GLOBAL)'!G823*(1-'[1]VENTAS(RESUMEN GLOBAL)'!H823)</f>
        <v>0</v>
      </c>
      <c r="K823" s="8">
        <f t="shared" si="12"/>
        <v>0</v>
      </c>
      <c r="L823" s="8">
        <f>+'[1]VENTAS(RESUMEN GLOBAL)'!J823</f>
        <v>0</v>
      </c>
      <c r="M823" s="8">
        <f>+Tabla1[[#This Row],[utilidad x dia]]*7</f>
        <v>0</v>
      </c>
    </row>
    <row r="824" spans="1:13" x14ac:dyDescent="0.3">
      <c r="A824" s="6">
        <f>+'[1]VENTAS(RESUMEN GLOBAL)'!L824</f>
        <v>0</v>
      </c>
      <c r="B824" s="6">
        <f>+'[1]VENTAS(RESUMEN GLOBAL)'!M824</f>
        <v>0</v>
      </c>
      <c r="C824">
        <f>+'[1]VENTAS(RESUMEN GLOBAL)'!B824</f>
        <v>0</v>
      </c>
      <c r="D824" t="e">
        <f>INDEX('[1]CÓDIGOS DE PRODUCTO'!$D$3:$D$1000,MATCH(C824,'[1]CÓDIGOS DE PRODUCTO'!$A$3:$A$1000,0))</f>
        <v>#N/A</v>
      </c>
      <c r="E824">
        <f>VLOOKUP(C824,'[1]CÓDIGOS DE PRODUCTO'!$A$4:$B$156,2,FALSE)</f>
        <v>0</v>
      </c>
      <c r="F824">
        <f>INDEX('[1]CÓDIGOS DE PRODUCTO'!$C$3:$C$1000,MATCH(C824,'[1]CÓDIGOS DE PRODUCTO'!$A$3:$A$1000,0))</f>
        <v>0</v>
      </c>
      <c r="G824">
        <f>+'[1]VENTAS(RESUMEN GLOBAL)'!D824-'[1]VENTAS(RESUMEN GLOBAL)'!E824</f>
        <v>0</v>
      </c>
      <c r="H824" s="9">
        <f>+'[1]VENTAS(RESUMEN GLOBAL)'!K824</f>
        <v>0</v>
      </c>
      <c r="I824" s="8">
        <f>+G824*'[1]VENTAS(RESUMEN GLOBAL)'!F824</f>
        <v>0</v>
      </c>
      <c r="J824" s="8">
        <f>'[1]VENTAS(RESUMEN GLOBAL)'!G824*(1-'[1]VENTAS(RESUMEN GLOBAL)'!H824)</f>
        <v>0</v>
      </c>
      <c r="K824" s="8">
        <f t="shared" si="12"/>
        <v>0</v>
      </c>
      <c r="L824" s="8">
        <f>+'[1]VENTAS(RESUMEN GLOBAL)'!J824</f>
        <v>0</v>
      </c>
      <c r="M824" s="8">
        <f>+Tabla1[[#This Row],[utilidad x dia]]*7</f>
        <v>0</v>
      </c>
    </row>
    <row r="825" spans="1:13" x14ac:dyDescent="0.3">
      <c r="A825" s="6">
        <f>+'[1]VENTAS(RESUMEN GLOBAL)'!L825</f>
        <v>0</v>
      </c>
      <c r="B825" s="6">
        <f>+'[1]VENTAS(RESUMEN GLOBAL)'!M825</f>
        <v>0</v>
      </c>
      <c r="C825">
        <f>+'[1]VENTAS(RESUMEN GLOBAL)'!B825</f>
        <v>0</v>
      </c>
      <c r="D825" t="e">
        <f>INDEX('[1]CÓDIGOS DE PRODUCTO'!$D$3:$D$1000,MATCH(C825,'[1]CÓDIGOS DE PRODUCTO'!$A$3:$A$1000,0))</f>
        <v>#N/A</v>
      </c>
      <c r="E825">
        <f>VLOOKUP(C825,'[1]CÓDIGOS DE PRODUCTO'!$A$4:$B$156,2,FALSE)</f>
        <v>0</v>
      </c>
      <c r="F825">
        <f>INDEX('[1]CÓDIGOS DE PRODUCTO'!$C$3:$C$1000,MATCH(C825,'[1]CÓDIGOS DE PRODUCTO'!$A$3:$A$1000,0))</f>
        <v>0</v>
      </c>
      <c r="G825">
        <f>+'[1]VENTAS(RESUMEN GLOBAL)'!D825-'[1]VENTAS(RESUMEN GLOBAL)'!E825</f>
        <v>0</v>
      </c>
      <c r="H825" s="9">
        <f>+'[1]VENTAS(RESUMEN GLOBAL)'!K825</f>
        <v>0</v>
      </c>
      <c r="I825" s="8">
        <f>+G825*'[1]VENTAS(RESUMEN GLOBAL)'!F825</f>
        <v>0</v>
      </c>
      <c r="J825" s="8">
        <f>'[1]VENTAS(RESUMEN GLOBAL)'!G825*(1-'[1]VENTAS(RESUMEN GLOBAL)'!H825)</f>
        <v>0</v>
      </c>
      <c r="K825" s="8">
        <f t="shared" si="12"/>
        <v>0</v>
      </c>
      <c r="L825" s="8">
        <f>+'[1]VENTAS(RESUMEN GLOBAL)'!J825</f>
        <v>0</v>
      </c>
      <c r="M825" s="8">
        <f>+Tabla1[[#This Row],[utilidad x dia]]*7</f>
        <v>0</v>
      </c>
    </row>
    <row r="826" spans="1:13" x14ac:dyDescent="0.3">
      <c r="A826" s="6">
        <f>+'[1]VENTAS(RESUMEN GLOBAL)'!L826</f>
        <v>0</v>
      </c>
      <c r="B826" s="6">
        <f>+'[1]VENTAS(RESUMEN GLOBAL)'!M826</f>
        <v>0</v>
      </c>
      <c r="C826">
        <f>+'[1]VENTAS(RESUMEN GLOBAL)'!B826</f>
        <v>0</v>
      </c>
      <c r="D826" t="e">
        <f>INDEX('[1]CÓDIGOS DE PRODUCTO'!$D$3:$D$1000,MATCH(C826,'[1]CÓDIGOS DE PRODUCTO'!$A$3:$A$1000,0))</f>
        <v>#N/A</v>
      </c>
      <c r="E826">
        <f>VLOOKUP(C826,'[1]CÓDIGOS DE PRODUCTO'!$A$4:$B$156,2,FALSE)</f>
        <v>0</v>
      </c>
      <c r="F826">
        <f>INDEX('[1]CÓDIGOS DE PRODUCTO'!$C$3:$C$1000,MATCH(C826,'[1]CÓDIGOS DE PRODUCTO'!$A$3:$A$1000,0))</f>
        <v>0</v>
      </c>
      <c r="G826">
        <f>+'[1]VENTAS(RESUMEN GLOBAL)'!D826-'[1]VENTAS(RESUMEN GLOBAL)'!E826</f>
        <v>0</v>
      </c>
      <c r="H826" s="9">
        <f>+'[1]VENTAS(RESUMEN GLOBAL)'!K826</f>
        <v>0</v>
      </c>
      <c r="I826" s="8">
        <f>+G826*'[1]VENTAS(RESUMEN GLOBAL)'!F826</f>
        <v>0</v>
      </c>
      <c r="J826" s="8">
        <f>'[1]VENTAS(RESUMEN GLOBAL)'!G826*(1-'[1]VENTAS(RESUMEN GLOBAL)'!H826)</f>
        <v>0</v>
      </c>
      <c r="K826" s="8">
        <f t="shared" si="12"/>
        <v>0</v>
      </c>
      <c r="L826" s="8">
        <f>+'[1]VENTAS(RESUMEN GLOBAL)'!J826</f>
        <v>0</v>
      </c>
      <c r="M826" s="8">
        <f>+Tabla1[[#This Row],[utilidad x dia]]*7</f>
        <v>0</v>
      </c>
    </row>
    <row r="827" spans="1:13" x14ac:dyDescent="0.3">
      <c r="A827" s="6">
        <f>+'[1]VENTAS(RESUMEN GLOBAL)'!L827</f>
        <v>0</v>
      </c>
      <c r="B827" s="6">
        <f>+'[1]VENTAS(RESUMEN GLOBAL)'!M827</f>
        <v>0</v>
      </c>
      <c r="C827">
        <f>+'[1]VENTAS(RESUMEN GLOBAL)'!B827</f>
        <v>0</v>
      </c>
      <c r="D827" t="e">
        <f>INDEX('[1]CÓDIGOS DE PRODUCTO'!$D$3:$D$1000,MATCH(C827,'[1]CÓDIGOS DE PRODUCTO'!$A$3:$A$1000,0))</f>
        <v>#N/A</v>
      </c>
      <c r="E827">
        <f>VLOOKUP(C827,'[1]CÓDIGOS DE PRODUCTO'!$A$4:$B$156,2,FALSE)</f>
        <v>0</v>
      </c>
      <c r="F827">
        <f>INDEX('[1]CÓDIGOS DE PRODUCTO'!$C$3:$C$1000,MATCH(C827,'[1]CÓDIGOS DE PRODUCTO'!$A$3:$A$1000,0))</f>
        <v>0</v>
      </c>
      <c r="G827">
        <f>+'[1]VENTAS(RESUMEN GLOBAL)'!D827-'[1]VENTAS(RESUMEN GLOBAL)'!E827</f>
        <v>0</v>
      </c>
      <c r="H827" s="9">
        <f>+'[1]VENTAS(RESUMEN GLOBAL)'!K827</f>
        <v>0</v>
      </c>
      <c r="I827" s="8">
        <f>+G827*'[1]VENTAS(RESUMEN GLOBAL)'!F827</f>
        <v>0</v>
      </c>
      <c r="J827" s="8">
        <f>'[1]VENTAS(RESUMEN GLOBAL)'!G827*(1-'[1]VENTAS(RESUMEN GLOBAL)'!H827)</f>
        <v>0</v>
      </c>
      <c r="K827" s="8">
        <f t="shared" si="12"/>
        <v>0</v>
      </c>
      <c r="L827" s="8">
        <f>+'[1]VENTAS(RESUMEN GLOBAL)'!J827</f>
        <v>0</v>
      </c>
      <c r="M827" s="8">
        <f>+Tabla1[[#This Row],[utilidad x dia]]*7</f>
        <v>0</v>
      </c>
    </row>
    <row r="828" spans="1:13" x14ac:dyDescent="0.3">
      <c r="A828" s="6">
        <f>+'[1]VENTAS(RESUMEN GLOBAL)'!L828</f>
        <v>0</v>
      </c>
      <c r="B828" s="6">
        <f>+'[1]VENTAS(RESUMEN GLOBAL)'!M828</f>
        <v>0</v>
      </c>
      <c r="C828">
        <f>+'[1]VENTAS(RESUMEN GLOBAL)'!B828</f>
        <v>0</v>
      </c>
      <c r="D828" t="e">
        <f>INDEX('[1]CÓDIGOS DE PRODUCTO'!$D$3:$D$1000,MATCH(C828,'[1]CÓDIGOS DE PRODUCTO'!$A$3:$A$1000,0))</f>
        <v>#N/A</v>
      </c>
      <c r="E828">
        <f>VLOOKUP(C828,'[1]CÓDIGOS DE PRODUCTO'!$A$4:$B$156,2,FALSE)</f>
        <v>0</v>
      </c>
      <c r="F828">
        <f>INDEX('[1]CÓDIGOS DE PRODUCTO'!$C$3:$C$1000,MATCH(C828,'[1]CÓDIGOS DE PRODUCTO'!$A$3:$A$1000,0))</f>
        <v>0</v>
      </c>
      <c r="G828">
        <f>+'[1]VENTAS(RESUMEN GLOBAL)'!D828-'[1]VENTAS(RESUMEN GLOBAL)'!E828</f>
        <v>0</v>
      </c>
      <c r="H828" s="9">
        <f>+'[1]VENTAS(RESUMEN GLOBAL)'!K828</f>
        <v>0</v>
      </c>
      <c r="I828" s="8">
        <f>+G828*'[1]VENTAS(RESUMEN GLOBAL)'!F828</f>
        <v>0</v>
      </c>
      <c r="J828" s="8">
        <f>'[1]VENTAS(RESUMEN GLOBAL)'!G828*(1-'[1]VENTAS(RESUMEN GLOBAL)'!H828)</f>
        <v>0</v>
      </c>
      <c r="K828" s="8">
        <f t="shared" si="12"/>
        <v>0</v>
      </c>
      <c r="L828" s="8">
        <f>+'[1]VENTAS(RESUMEN GLOBAL)'!J828</f>
        <v>0</v>
      </c>
      <c r="M828" s="8">
        <f>+Tabla1[[#This Row],[utilidad x dia]]*7</f>
        <v>0</v>
      </c>
    </row>
    <row r="829" spans="1:13" x14ac:dyDescent="0.3">
      <c r="A829" s="6">
        <f>+'[1]VENTAS(RESUMEN GLOBAL)'!L829</f>
        <v>0</v>
      </c>
      <c r="B829" s="6">
        <f>+'[1]VENTAS(RESUMEN GLOBAL)'!M829</f>
        <v>0</v>
      </c>
      <c r="C829">
        <f>+'[1]VENTAS(RESUMEN GLOBAL)'!B829</f>
        <v>0</v>
      </c>
      <c r="D829" t="e">
        <f>INDEX('[1]CÓDIGOS DE PRODUCTO'!$D$3:$D$1000,MATCH(C829,'[1]CÓDIGOS DE PRODUCTO'!$A$3:$A$1000,0))</f>
        <v>#N/A</v>
      </c>
      <c r="E829">
        <f>VLOOKUP(C829,'[1]CÓDIGOS DE PRODUCTO'!$A$4:$B$156,2,FALSE)</f>
        <v>0</v>
      </c>
      <c r="F829">
        <f>INDEX('[1]CÓDIGOS DE PRODUCTO'!$C$3:$C$1000,MATCH(C829,'[1]CÓDIGOS DE PRODUCTO'!$A$3:$A$1000,0))</f>
        <v>0</v>
      </c>
      <c r="G829">
        <f>+'[1]VENTAS(RESUMEN GLOBAL)'!D829-'[1]VENTAS(RESUMEN GLOBAL)'!E829</f>
        <v>0</v>
      </c>
      <c r="H829" s="9">
        <f>+'[1]VENTAS(RESUMEN GLOBAL)'!K829</f>
        <v>0</v>
      </c>
      <c r="I829" s="8">
        <f>+G829*'[1]VENTAS(RESUMEN GLOBAL)'!F829</f>
        <v>0</v>
      </c>
      <c r="J829" s="8">
        <f>'[1]VENTAS(RESUMEN GLOBAL)'!G829*(1-'[1]VENTAS(RESUMEN GLOBAL)'!H829)</f>
        <v>0</v>
      </c>
      <c r="K829" s="8">
        <f t="shared" si="12"/>
        <v>0</v>
      </c>
      <c r="L829" s="8">
        <f>+'[1]VENTAS(RESUMEN GLOBAL)'!J829</f>
        <v>0</v>
      </c>
      <c r="M829" s="8">
        <f>+Tabla1[[#This Row],[utilidad x dia]]*7</f>
        <v>0</v>
      </c>
    </row>
    <row r="830" spans="1:13" x14ac:dyDescent="0.3">
      <c r="A830" s="6">
        <f>+'[1]VENTAS(RESUMEN GLOBAL)'!L830</f>
        <v>0</v>
      </c>
      <c r="B830" s="6">
        <f>+'[1]VENTAS(RESUMEN GLOBAL)'!M830</f>
        <v>0</v>
      </c>
      <c r="C830">
        <f>+'[1]VENTAS(RESUMEN GLOBAL)'!B830</f>
        <v>0</v>
      </c>
      <c r="D830" t="e">
        <f>INDEX('[1]CÓDIGOS DE PRODUCTO'!$D$3:$D$1000,MATCH(C830,'[1]CÓDIGOS DE PRODUCTO'!$A$3:$A$1000,0))</f>
        <v>#N/A</v>
      </c>
      <c r="E830">
        <f>VLOOKUP(C830,'[1]CÓDIGOS DE PRODUCTO'!$A$4:$B$156,2,FALSE)</f>
        <v>0</v>
      </c>
      <c r="F830">
        <f>INDEX('[1]CÓDIGOS DE PRODUCTO'!$C$3:$C$1000,MATCH(C830,'[1]CÓDIGOS DE PRODUCTO'!$A$3:$A$1000,0))</f>
        <v>0</v>
      </c>
      <c r="G830">
        <f>+'[1]VENTAS(RESUMEN GLOBAL)'!D830-'[1]VENTAS(RESUMEN GLOBAL)'!E830</f>
        <v>0</v>
      </c>
      <c r="H830" s="9">
        <f>+'[1]VENTAS(RESUMEN GLOBAL)'!K830</f>
        <v>0</v>
      </c>
      <c r="I830" s="8">
        <f>+G830*'[1]VENTAS(RESUMEN GLOBAL)'!F830</f>
        <v>0</v>
      </c>
      <c r="J830" s="8">
        <f>'[1]VENTAS(RESUMEN GLOBAL)'!G830*(1-'[1]VENTAS(RESUMEN GLOBAL)'!H830)</f>
        <v>0</v>
      </c>
      <c r="K830" s="8">
        <f t="shared" si="12"/>
        <v>0</v>
      </c>
      <c r="L830" s="8">
        <f>+'[1]VENTAS(RESUMEN GLOBAL)'!J830</f>
        <v>0</v>
      </c>
      <c r="M830" s="8">
        <f>+Tabla1[[#This Row],[utilidad x dia]]*7</f>
        <v>0</v>
      </c>
    </row>
    <row r="831" spans="1:13" x14ac:dyDescent="0.3">
      <c r="A831" s="6">
        <f>+'[1]VENTAS(RESUMEN GLOBAL)'!L831</f>
        <v>0</v>
      </c>
      <c r="B831" s="6">
        <f>+'[1]VENTAS(RESUMEN GLOBAL)'!M831</f>
        <v>0</v>
      </c>
      <c r="C831">
        <f>+'[1]VENTAS(RESUMEN GLOBAL)'!B831</f>
        <v>0</v>
      </c>
      <c r="D831" t="e">
        <f>INDEX('[1]CÓDIGOS DE PRODUCTO'!$D$3:$D$1000,MATCH(C831,'[1]CÓDIGOS DE PRODUCTO'!$A$3:$A$1000,0))</f>
        <v>#N/A</v>
      </c>
      <c r="E831">
        <f>VLOOKUP(C831,'[1]CÓDIGOS DE PRODUCTO'!$A$4:$B$156,2,FALSE)</f>
        <v>0</v>
      </c>
      <c r="F831">
        <f>INDEX('[1]CÓDIGOS DE PRODUCTO'!$C$3:$C$1000,MATCH(C831,'[1]CÓDIGOS DE PRODUCTO'!$A$3:$A$1000,0))</f>
        <v>0</v>
      </c>
      <c r="G831">
        <f>+'[1]VENTAS(RESUMEN GLOBAL)'!D831-'[1]VENTAS(RESUMEN GLOBAL)'!E831</f>
        <v>0</v>
      </c>
      <c r="H831" s="9">
        <f>+'[1]VENTAS(RESUMEN GLOBAL)'!K831</f>
        <v>0</v>
      </c>
      <c r="I831" s="8">
        <f>+G831*'[1]VENTAS(RESUMEN GLOBAL)'!F831</f>
        <v>0</v>
      </c>
      <c r="J831" s="8">
        <f>'[1]VENTAS(RESUMEN GLOBAL)'!G831*(1-'[1]VENTAS(RESUMEN GLOBAL)'!H831)</f>
        <v>0</v>
      </c>
      <c r="K831" s="8">
        <f t="shared" si="12"/>
        <v>0</v>
      </c>
      <c r="L831" s="8">
        <f>+'[1]VENTAS(RESUMEN GLOBAL)'!J831</f>
        <v>0</v>
      </c>
      <c r="M831" s="8">
        <f>+Tabla1[[#This Row],[utilidad x dia]]*7</f>
        <v>0</v>
      </c>
    </row>
    <row r="832" spans="1:13" x14ac:dyDescent="0.3">
      <c r="A832" s="6">
        <f>+'[1]VENTAS(RESUMEN GLOBAL)'!L832</f>
        <v>0</v>
      </c>
      <c r="B832" s="6">
        <f>+'[1]VENTAS(RESUMEN GLOBAL)'!M832</f>
        <v>0</v>
      </c>
      <c r="C832">
        <f>+'[1]VENTAS(RESUMEN GLOBAL)'!B832</f>
        <v>0</v>
      </c>
      <c r="D832" t="e">
        <f>INDEX('[1]CÓDIGOS DE PRODUCTO'!$D$3:$D$1000,MATCH(C832,'[1]CÓDIGOS DE PRODUCTO'!$A$3:$A$1000,0))</f>
        <v>#N/A</v>
      </c>
      <c r="E832">
        <f>VLOOKUP(C832,'[1]CÓDIGOS DE PRODUCTO'!$A$4:$B$156,2,FALSE)</f>
        <v>0</v>
      </c>
      <c r="F832">
        <f>INDEX('[1]CÓDIGOS DE PRODUCTO'!$C$3:$C$1000,MATCH(C832,'[1]CÓDIGOS DE PRODUCTO'!$A$3:$A$1000,0))</f>
        <v>0</v>
      </c>
      <c r="G832">
        <f>+'[1]VENTAS(RESUMEN GLOBAL)'!D832-'[1]VENTAS(RESUMEN GLOBAL)'!E832</f>
        <v>0</v>
      </c>
      <c r="H832" s="9">
        <f>+'[1]VENTAS(RESUMEN GLOBAL)'!K832</f>
        <v>0</v>
      </c>
      <c r="I832" s="8">
        <f>+G832*'[1]VENTAS(RESUMEN GLOBAL)'!F832</f>
        <v>0</v>
      </c>
      <c r="J832" s="8">
        <f>'[1]VENTAS(RESUMEN GLOBAL)'!G832*(1-'[1]VENTAS(RESUMEN GLOBAL)'!H832)</f>
        <v>0</v>
      </c>
      <c r="K832" s="8">
        <f t="shared" si="12"/>
        <v>0</v>
      </c>
      <c r="L832" s="8">
        <f>+'[1]VENTAS(RESUMEN GLOBAL)'!J832</f>
        <v>0</v>
      </c>
      <c r="M832" s="8">
        <f>+Tabla1[[#This Row],[utilidad x dia]]*7</f>
        <v>0</v>
      </c>
    </row>
    <row r="833" spans="1:13" x14ac:dyDescent="0.3">
      <c r="A833" s="6">
        <f>+'[1]VENTAS(RESUMEN GLOBAL)'!L833</f>
        <v>0</v>
      </c>
      <c r="B833" s="6">
        <f>+'[1]VENTAS(RESUMEN GLOBAL)'!M833</f>
        <v>0</v>
      </c>
      <c r="C833">
        <f>+'[1]VENTAS(RESUMEN GLOBAL)'!B833</f>
        <v>0</v>
      </c>
      <c r="D833" t="e">
        <f>INDEX('[1]CÓDIGOS DE PRODUCTO'!$D$3:$D$1000,MATCH(C833,'[1]CÓDIGOS DE PRODUCTO'!$A$3:$A$1000,0))</f>
        <v>#N/A</v>
      </c>
      <c r="E833">
        <f>VLOOKUP(C833,'[1]CÓDIGOS DE PRODUCTO'!$A$4:$B$156,2,FALSE)</f>
        <v>0</v>
      </c>
      <c r="F833">
        <f>INDEX('[1]CÓDIGOS DE PRODUCTO'!$C$3:$C$1000,MATCH(C833,'[1]CÓDIGOS DE PRODUCTO'!$A$3:$A$1000,0))</f>
        <v>0</v>
      </c>
      <c r="G833">
        <f>+'[1]VENTAS(RESUMEN GLOBAL)'!D833-'[1]VENTAS(RESUMEN GLOBAL)'!E833</f>
        <v>0</v>
      </c>
      <c r="H833" s="9">
        <f>+'[1]VENTAS(RESUMEN GLOBAL)'!K833</f>
        <v>0</v>
      </c>
      <c r="I833" s="8">
        <f>+G833*'[1]VENTAS(RESUMEN GLOBAL)'!F833</f>
        <v>0</v>
      </c>
      <c r="J833" s="8">
        <f>'[1]VENTAS(RESUMEN GLOBAL)'!G833*(1-'[1]VENTAS(RESUMEN GLOBAL)'!H833)</f>
        <v>0</v>
      </c>
      <c r="K833" s="8">
        <f t="shared" si="12"/>
        <v>0</v>
      </c>
      <c r="L833" s="8">
        <f>+'[1]VENTAS(RESUMEN GLOBAL)'!J833</f>
        <v>0</v>
      </c>
      <c r="M833" s="8">
        <f>+Tabla1[[#This Row],[utilidad x dia]]*7</f>
        <v>0</v>
      </c>
    </row>
    <row r="834" spans="1:13" x14ac:dyDescent="0.3">
      <c r="A834" s="6">
        <f>+'[1]VENTAS(RESUMEN GLOBAL)'!L834</f>
        <v>0</v>
      </c>
      <c r="B834" s="6">
        <f>+'[1]VENTAS(RESUMEN GLOBAL)'!M834</f>
        <v>0</v>
      </c>
      <c r="C834">
        <f>+'[1]VENTAS(RESUMEN GLOBAL)'!B834</f>
        <v>0</v>
      </c>
      <c r="D834" t="e">
        <f>INDEX('[1]CÓDIGOS DE PRODUCTO'!$D$3:$D$1000,MATCH(C834,'[1]CÓDIGOS DE PRODUCTO'!$A$3:$A$1000,0))</f>
        <v>#N/A</v>
      </c>
      <c r="E834">
        <f>VLOOKUP(C834,'[1]CÓDIGOS DE PRODUCTO'!$A$4:$B$156,2,FALSE)</f>
        <v>0</v>
      </c>
      <c r="F834">
        <f>INDEX('[1]CÓDIGOS DE PRODUCTO'!$C$3:$C$1000,MATCH(C834,'[1]CÓDIGOS DE PRODUCTO'!$A$3:$A$1000,0))</f>
        <v>0</v>
      </c>
      <c r="G834">
        <f>+'[1]VENTAS(RESUMEN GLOBAL)'!D834-'[1]VENTAS(RESUMEN GLOBAL)'!E834</f>
        <v>0</v>
      </c>
      <c r="H834" s="9">
        <f>+'[1]VENTAS(RESUMEN GLOBAL)'!K834</f>
        <v>0</v>
      </c>
      <c r="I834" s="8">
        <f>+G834*'[1]VENTAS(RESUMEN GLOBAL)'!F834</f>
        <v>0</v>
      </c>
      <c r="J834" s="8">
        <f>'[1]VENTAS(RESUMEN GLOBAL)'!G834*(1-'[1]VENTAS(RESUMEN GLOBAL)'!H834)</f>
        <v>0</v>
      </c>
      <c r="K834" s="8">
        <f t="shared" si="12"/>
        <v>0</v>
      </c>
      <c r="L834" s="8">
        <f>+'[1]VENTAS(RESUMEN GLOBAL)'!J834</f>
        <v>0</v>
      </c>
      <c r="M834" s="8">
        <f>+Tabla1[[#This Row],[utilidad x dia]]*7</f>
        <v>0</v>
      </c>
    </row>
    <row r="835" spans="1:13" x14ac:dyDescent="0.3">
      <c r="A835" s="6">
        <f>+'[1]VENTAS(RESUMEN GLOBAL)'!L835</f>
        <v>0</v>
      </c>
      <c r="B835" s="6">
        <f>+'[1]VENTAS(RESUMEN GLOBAL)'!M835</f>
        <v>0</v>
      </c>
      <c r="C835">
        <f>+'[1]VENTAS(RESUMEN GLOBAL)'!B835</f>
        <v>0</v>
      </c>
      <c r="D835" t="e">
        <f>INDEX('[1]CÓDIGOS DE PRODUCTO'!$D$3:$D$1000,MATCH(C835,'[1]CÓDIGOS DE PRODUCTO'!$A$3:$A$1000,0))</f>
        <v>#N/A</v>
      </c>
      <c r="E835">
        <f>VLOOKUP(C835,'[1]CÓDIGOS DE PRODUCTO'!$A$4:$B$156,2,FALSE)</f>
        <v>0</v>
      </c>
      <c r="F835">
        <f>INDEX('[1]CÓDIGOS DE PRODUCTO'!$C$3:$C$1000,MATCH(C835,'[1]CÓDIGOS DE PRODUCTO'!$A$3:$A$1000,0))</f>
        <v>0</v>
      </c>
      <c r="G835">
        <f>+'[1]VENTAS(RESUMEN GLOBAL)'!D835-'[1]VENTAS(RESUMEN GLOBAL)'!E835</f>
        <v>0</v>
      </c>
      <c r="H835" s="9">
        <f>+'[1]VENTAS(RESUMEN GLOBAL)'!K835</f>
        <v>0</v>
      </c>
      <c r="I835" s="8">
        <f>+G835*'[1]VENTAS(RESUMEN GLOBAL)'!F835</f>
        <v>0</v>
      </c>
      <c r="J835" s="8">
        <f>'[1]VENTAS(RESUMEN GLOBAL)'!G835*(1-'[1]VENTAS(RESUMEN GLOBAL)'!H835)</f>
        <v>0</v>
      </c>
      <c r="K835" s="8">
        <f t="shared" ref="K835:K898" si="13">+I835-J835</f>
        <v>0</v>
      </c>
      <c r="L835" s="8">
        <f>+'[1]VENTAS(RESUMEN GLOBAL)'!J835</f>
        <v>0</v>
      </c>
      <c r="M835" s="8">
        <f>+Tabla1[[#This Row],[utilidad x dia]]*7</f>
        <v>0</v>
      </c>
    </row>
    <row r="836" spans="1:13" x14ac:dyDescent="0.3">
      <c r="A836" s="6">
        <f>+'[1]VENTAS(RESUMEN GLOBAL)'!L836</f>
        <v>0</v>
      </c>
      <c r="B836" s="6">
        <f>+'[1]VENTAS(RESUMEN GLOBAL)'!M836</f>
        <v>0</v>
      </c>
      <c r="C836">
        <f>+'[1]VENTAS(RESUMEN GLOBAL)'!B836</f>
        <v>0</v>
      </c>
      <c r="D836" t="e">
        <f>INDEX('[1]CÓDIGOS DE PRODUCTO'!$D$3:$D$1000,MATCH(C836,'[1]CÓDIGOS DE PRODUCTO'!$A$3:$A$1000,0))</f>
        <v>#N/A</v>
      </c>
      <c r="E836">
        <f>VLOOKUP(C836,'[1]CÓDIGOS DE PRODUCTO'!$A$4:$B$156,2,FALSE)</f>
        <v>0</v>
      </c>
      <c r="F836">
        <f>INDEX('[1]CÓDIGOS DE PRODUCTO'!$C$3:$C$1000,MATCH(C836,'[1]CÓDIGOS DE PRODUCTO'!$A$3:$A$1000,0))</f>
        <v>0</v>
      </c>
      <c r="G836">
        <f>+'[1]VENTAS(RESUMEN GLOBAL)'!D836-'[1]VENTAS(RESUMEN GLOBAL)'!E836</f>
        <v>0</v>
      </c>
      <c r="H836" s="9">
        <f>+'[1]VENTAS(RESUMEN GLOBAL)'!K836</f>
        <v>0</v>
      </c>
      <c r="I836" s="8">
        <f>+G836*'[1]VENTAS(RESUMEN GLOBAL)'!F836</f>
        <v>0</v>
      </c>
      <c r="J836" s="8">
        <f>'[1]VENTAS(RESUMEN GLOBAL)'!G836*(1-'[1]VENTAS(RESUMEN GLOBAL)'!H836)</f>
        <v>0</v>
      </c>
      <c r="K836" s="8">
        <f t="shared" si="13"/>
        <v>0</v>
      </c>
      <c r="L836" s="8">
        <f>+'[1]VENTAS(RESUMEN GLOBAL)'!J836</f>
        <v>0</v>
      </c>
      <c r="M836" s="8">
        <f>+Tabla1[[#This Row],[utilidad x dia]]*7</f>
        <v>0</v>
      </c>
    </row>
    <row r="837" spans="1:13" x14ac:dyDescent="0.3">
      <c r="A837" s="6">
        <f>+'[1]VENTAS(RESUMEN GLOBAL)'!L837</f>
        <v>0</v>
      </c>
      <c r="B837" s="6">
        <f>+'[1]VENTAS(RESUMEN GLOBAL)'!M837</f>
        <v>0</v>
      </c>
      <c r="C837">
        <f>+'[1]VENTAS(RESUMEN GLOBAL)'!B837</f>
        <v>0</v>
      </c>
      <c r="D837" t="e">
        <f>INDEX('[1]CÓDIGOS DE PRODUCTO'!$D$3:$D$1000,MATCH(C837,'[1]CÓDIGOS DE PRODUCTO'!$A$3:$A$1000,0))</f>
        <v>#N/A</v>
      </c>
      <c r="E837">
        <f>VLOOKUP(C837,'[1]CÓDIGOS DE PRODUCTO'!$A$4:$B$156,2,FALSE)</f>
        <v>0</v>
      </c>
      <c r="F837">
        <f>INDEX('[1]CÓDIGOS DE PRODUCTO'!$C$3:$C$1000,MATCH(C837,'[1]CÓDIGOS DE PRODUCTO'!$A$3:$A$1000,0))</f>
        <v>0</v>
      </c>
      <c r="G837">
        <f>+'[1]VENTAS(RESUMEN GLOBAL)'!D837-'[1]VENTAS(RESUMEN GLOBAL)'!E837</f>
        <v>0</v>
      </c>
      <c r="H837" s="9">
        <f>+'[1]VENTAS(RESUMEN GLOBAL)'!K837</f>
        <v>0</v>
      </c>
      <c r="I837" s="8">
        <f>+G837*'[1]VENTAS(RESUMEN GLOBAL)'!F837</f>
        <v>0</v>
      </c>
      <c r="J837" s="8">
        <f>'[1]VENTAS(RESUMEN GLOBAL)'!G837*(1-'[1]VENTAS(RESUMEN GLOBAL)'!H837)</f>
        <v>0</v>
      </c>
      <c r="K837" s="8">
        <f t="shared" si="13"/>
        <v>0</v>
      </c>
      <c r="L837" s="8">
        <f>+'[1]VENTAS(RESUMEN GLOBAL)'!J837</f>
        <v>0</v>
      </c>
      <c r="M837" s="8">
        <f>+Tabla1[[#This Row],[utilidad x dia]]*7</f>
        <v>0</v>
      </c>
    </row>
    <row r="838" spans="1:13" x14ac:dyDescent="0.3">
      <c r="A838" s="6">
        <f>+'[1]VENTAS(RESUMEN GLOBAL)'!L838</f>
        <v>0</v>
      </c>
      <c r="B838" s="6">
        <f>+'[1]VENTAS(RESUMEN GLOBAL)'!M838</f>
        <v>0</v>
      </c>
      <c r="C838">
        <f>+'[1]VENTAS(RESUMEN GLOBAL)'!B838</f>
        <v>0</v>
      </c>
      <c r="D838" t="e">
        <f>INDEX('[1]CÓDIGOS DE PRODUCTO'!$D$3:$D$1000,MATCH(C838,'[1]CÓDIGOS DE PRODUCTO'!$A$3:$A$1000,0))</f>
        <v>#N/A</v>
      </c>
      <c r="E838">
        <f>VLOOKUP(C838,'[1]CÓDIGOS DE PRODUCTO'!$A$4:$B$156,2,FALSE)</f>
        <v>0</v>
      </c>
      <c r="F838">
        <f>INDEX('[1]CÓDIGOS DE PRODUCTO'!$C$3:$C$1000,MATCH(C838,'[1]CÓDIGOS DE PRODUCTO'!$A$3:$A$1000,0))</f>
        <v>0</v>
      </c>
      <c r="G838">
        <f>+'[1]VENTAS(RESUMEN GLOBAL)'!D838-'[1]VENTAS(RESUMEN GLOBAL)'!E838</f>
        <v>0</v>
      </c>
      <c r="H838" s="9">
        <f>+'[1]VENTAS(RESUMEN GLOBAL)'!K838</f>
        <v>0</v>
      </c>
      <c r="I838" s="8">
        <f>+G838*'[1]VENTAS(RESUMEN GLOBAL)'!F838</f>
        <v>0</v>
      </c>
      <c r="J838" s="8">
        <f>'[1]VENTAS(RESUMEN GLOBAL)'!G838*(1-'[1]VENTAS(RESUMEN GLOBAL)'!H838)</f>
        <v>0</v>
      </c>
      <c r="K838" s="8">
        <f t="shared" si="13"/>
        <v>0</v>
      </c>
      <c r="L838" s="8">
        <f>+'[1]VENTAS(RESUMEN GLOBAL)'!J838</f>
        <v>0</v>
      </c>
      <c r="M838" s="8">
        <f>+Tabla1[[#This Row],[utilidad x dia]]*7</f>
        <v>0</v>
      </c>
    </row>
    <row r="839" spans="1:13" x14ac:dyDescent="0.3">
      <c r="A839" s="6">
        <f>+'[1]VENTAS(RESUMEN GLOBAL)'!L839</f>
        <v>0</v>
      </c>
      <c r="B839" s="6">
        <f>+'[1]VENTAS(RESUMEN GLOBAL)'!M839</f>
        <v>0</v>
      </c>
      <c r="C839">
        <f>+'[1]VENTAS(RESUMEN GLOBAL)'!B839</f>
        <v>0</v>
      </c>
      <c r="D839" t="e">
        <f>INDEX('[1]CÓDIGOS DE PRODUCTO'!$D$3:$D$1000,MATCH(C839,'[1]CÓDIGOS DE PRODUCTO'!$A$3:$A$1000,0))</f>
        <v>#N/A</v>
      </c>
      <c r="E839">
        <f>VLOOKUP(C839,'[1]CÓDIGOS DE PRODUCTO'!$A$4:$B$156,2,FALSE)</f>
        <v>0</v>
      </c>
      <c r="F839">
        <f>INDEX('[1]CÓDIGOS DE PRODUCTO'!$C$3:$C$1000,MATCH(C839,'[1]CÓDIGOS DE PRODUCTO'!$A$3:$A$1000,0))</f>
        <v>0</v>
      </c>
      <c r="G839">
        <f>+'[1]VENTAS(RESUMEN GLOBAL)'!D839-'[1]VENTAS(RESUMEN GLOBAL)'!E839</f>
        <v>0</v>
      </c>
      <c r="H839" s="9">
        <f>+'[1]VENTAS(RESUMEN GLOBAL)'!K839</f>
        <v>0</v>
      </c>
      <c r="I839" s="8">
        <f>+G839*'[1]VENTAS(RESUMEN GLOBAL)'!F839</f>
        <v>0</v>
      </c>
      <c r="J839" s="8">
        <f>'[1]VENTAS(RESUMEN GLOBAL)'!G839*(1-'[1]VENTAS(RESUMEN GLOBAL)'!H839)</f>
        <v>0</v>
      </c>
      <c r="K839" s="8">
        <f t="shared" si="13"/>
        <v>0</v>
      </c>
      <c r="L839" s="8">
        <f>+'[1]VENTAS(RESUMEN GLOBAL)'!J839</f>
        <v>0</v>
      </c>
      <c r="M839" s="8">
        <f>+Tabla1[[#This Row],[utilidad x dia]]*7</f>
        <v>0</v>
      </c>
    </row>
    <row r="840" spans="1:13" x14ac:dyDescent="0.3">
      <c r="A840" s="6">
        <f>+'[1]VENTAS(RESUMEN GLOBAL)'!L840</f>
        <v>0</v>
      </c>
      <c r="B840" s="6">
        <f>+'[1]VENTAS(RESUMEN GLOBAL)'!M840</f>
        <v>0</v>
      </c>
      <c r="C840">
        <f>+'[1]VENTAS(RESUMEN GLOBAL)'!B840</f>
        <v>0</v>
      </c>
      <c r="D840" t="e">
        <f>INDEX('[1]CÓDIGOS DE PRODUCTO'!$D$3:$D$1000,MATCH(C840,'[1]CÓDIGOS DE PRODUCTO'!$A$3:$A$1000,0))</f>
        <v>#N/A</v>
      </c>
      <c r="E840">
        <f>VLOOKUP(C840,'[1]CÓDIGOS DE PRODUCTO'!$A$4:$B$156,2,FALSE)</f>
        <v>0</v>
      </c>
      <c r="F840">
        <f>INDEX('[1]CÓDIGOS DE PRODUCTO'!$C$3:$C$1000,MATCH(C840,'[1]CÓDIGOS DE PRODUCTO'!$A$3:$A$1000,0))</f>
        <v>0</v>
      </c>
      <c r="G840">
        <f>+'[1]VENTAS(RESUMEN GLOBAL)'!D840-'[1]VENTAS(RESUMEN GLOBAL)'!E840</f>
        <v>0</v>
      </c>
      <c r="H840" s="9">
        <f>+'[1]VENTAS(RESUMEN GLOBAL)'!K840</f>
        <v>0</v>
      </c>
      <c r="I840" s="8">
        <f>+G840*'[1]VENTAS(RESUMEN GLOBAL)'!F840</f>
        <v>0</v>
      </c>
      <c r="J840" s="8">
        <f>'[1]VENTAS(RESUMEN GLOBAL)'!G840*(1-'[1]VENTAS(RESUMEN GLOBAL)'!H840)</f>
        <v>0</v>
      </c>
      <c r="K840" s="8">
        <f t="shared" si="13"/>
        <v>0</v>
      </c>
      <c r="L840" s="8">
        <f>+'[1]VENTAS(RESUMEN GLOBAL)'!J840</f>
        <v>0</v>
      </c>
      <c r="M840" s="8">
        <f>+Tabla1[[#This Row],[utilidad x dia]]*7</f>
        <v>0</v>
      </c>
    </row>
    <row r="841" spans="1:13" x14ac:dyDescent="0.3">
      <c r="A841" s="6">
        <f>+'[1]VENTAS(RESUMEN GLOBAL)'!L841</f>
        <v>0</v>
      </c>
      <c r="B841" s="6">
        <f>+'[1]VENTAS(RESUMEN GLOBAL)'!M841</f>
        <v>0</v>
      </c>
      <c r="C841">
        <f>+'[1]VENTAS(RESUMEN GLOBAL)'!B841</f>
        <v>0</v>
      </c>
      <c r="D841" t="e">
        <f>INDEX('[1]CÓDIGOS DE PRODUCTO'!$D$3:$D$1000,MATCH(C841,'[1]CÓDIGOS DE PRODUCTO'!$A$3:$A$1000,0))</f>
        <v>#N/A</v>
      </c>
      <c r="E841">
        <f>VLOOKUP(C841,'[1]CÓDIGOS DE PRODUCTO'!$A$4:$B$156,2,FALSE)</f>
        <v>0</v>
      </c>
      <c r="F841">
        <f>INDEX('[1]CÓDIGOS DE PRODUCTO'!$C$3:$C$1000,MATCH(C841,'[1]CÓDIGOS DE PRODUCTO'!$A$3:$A$1000,0))</f>
        <v>0</v>
      </c>
      <c r="G841">
        <f>+'[1]VENTAS(RESUMEN GLOBAL)'!D841-'[1]VENTAS(RESUMEN GLOBAL)'!E841</f>
        <v>0</v>
      </c>
      <c r="H841" s="9">
        <f>+'[1]VENTAS(RESUMEN GLOBAL)'!K841</f>
        <v>0</v>
      </c>
      <c r="I841" s="8">
        <f>+G841*'[1]VENTAS(RESUMEN GLOBAL)'!F841</f>
        <v>0</v>
      </c>
      <c r="J841" s="8">
        <f>'[1]VENTAS(RESUMEN GLOBAL)'!G841*(1-'[1]VENTAS(RESUMEN GLOBAL)'!H841)</f>
        <v>0</v>
      </c>
      <c r="K841" s="8">
        <f t="shared" si="13"/>
        <v>0</v>
      </c>
      <c r="L841" s="8">
        <f>+'[1]VENTAS(RESUMEN GLOBAL)'!J841</f>
        <v>0</v>
      </c>
      <c r="M841" s="8">
        <f>+Tabla1[[#This Row],[utilidad x dia]]*7</f>
        <v>0</v>
      </c>
    </row>
    <row r="842" spans="1:13" x14ac:dyDescent="0.3">
      <c r="A842" s="6">
        <f>+'[1]VENTAS(RESUMEN GLOBAL)'!L842</f>
        <v>0</v>
      </c>
      <c r="B842" s="6">
        <f>+'[1]VENTAS(RESUMEN GLOBAL)'!M842</f>
        <v>0</v>
      </c>
      <c r="C842">
        <f>+'[1]VENTAS(RESUMEN GLOBAL)'!B842</f>
        <v>0</v>
      </c>
      <c r="D842" t="e">
        <f>INDEX('[1]CÓDIGOS DE PRODUCTO'!$D$3:$D$1000,MATCH(C842,'[1]CÓDIGOS DE PRODUCTO'!$A$3:$A$1000,0))</f>
        <v>#N/A</v>
      </c>
      <c r="E842">
        <f>VLOOKUP(C842,'[1]CÓDIGOS DE PRODUCTO'!$A$4:$B$156,2,FALSE)</f>
        <v>0</v>
      </c>
      <c r="F842">
        <f>INDEX('[1]CÓDIGOS DE PRODUCTO'!$C$3:$C$1000,MATCH(C842,'[1]CÓDIGOS DE PRODUCTO'!$A$3:$A$1000,0))</f>
        <v>0</v>
      </c>
      <c r="G842">
        <f>+'[1]VENTAS(RESUMEN GLOBAL)'!D842-'[1]VENTAS(RESUMEN GLOBAL)'!E842</f>
        <v>0</v>
      </c>
      <c r="H842" s="9">
        <f>+'[1]VENTAS(RESUMEN GLOBAL)'!K842</f>
        <v>0</v>
      </c>
      <c r="I842" s="8">
        <f>+G842*'[1]VENTAS(RESUMEN GLOBAL)'!F842</f>
        <v>0</v>
      </c>
      <c r="J842" s="8">
        <f>'[1]VENTAS(RESUMEN GLOBAL)'!G842*(1-'[1]VENTAS(RESUMEN GLOBAL)'!H842)</f>
        <v>0</v>
      </c>
      <c r="K842" s="8">
        <f t="shared" si="13"/>
        <v>0</v>
      </c>
      <c r="L842" s="8">
        <f>+'[1]VENTAS(RESUMEN GLOBAL)'!J842</f>
        <v>0</v>
      </c>
      <c r="M842" s="8">
        <f>+Tabla1[[#This Row],[utilidad x dia]]*7</f>
        <v>0</v>
      </c>
    </row>
    <row r="843" spans="1:13" x14ac:dyDescent="0.3">
      <c r="A843" s="6">
        <f>+'[1]VENTAS(RESUMEN GLOBAL)'!L843</f>
        <v>0</v>
      </c>
      <c r="B843" s="6">
        <f>+'[1]VENTAS(RESUMEN GLOBAL)'!M843</f>
        <v>0</v>
      </c>
      <c r="C843">
        <f>+'[1]VENTAS(RESUMEN GLOBAL)'!B843</f>
        <v>0</v>
      </c>
      <c r="D843" t="e">
        <f>INDEX('[1]CÓDIGOS DE PRODUCTO'!$D$3:$D$1000,MATCH(C843,'[1]CÓDIGOS DE PRODUCTO'!$A$3:$A$1000,0))</f>
        <v>#N/A</v>
      </c>
      <c r="E843">
        <f>VLOOKUP(C843,'[1]CÓDIGOS DE PRODUCTO'!$A$4:$B$156,2,FALSE)</f>
        <v>0</v>
      </c>
      <c r="F843">
        <f>INDEX('[1]CÓDIGOS DE PRODUCTO'!$C$3:$C$1000,MATCH(C843,'[1]CÓDIGOS DE PRODUCTO'!$A$3:$A$1000,0))</f>
        <v>0</v>
      </c>
      <c r="G843">
        <f>+'[1]VENTAS(RESUMEN GLOBAL)'!D843-'[1]VENTAS(RESUMEN GLOBAL)'!E843</f>
        <v>0</v>
      </c>
      <c r="H843" s="9">
        <f>+'[1]VENTAS(RESUMEN GLOBAL)'!K843</f>
        <v>0</v>
      </c>
      <c r="I843" s="8">
        <f>+G843*'[1]VENTAS(RESUMEN GLOBAL)'!F843</f>
        <v>0</v>
      </c>
      <c r="J843" s="8">
        <f>'[1]VENTAS(RESUMEN GLOBAL)'!G843*(1-'[1]VENTAS(RESUMEN GLOBAL)'!H843)</f>
        <v>0</v>
      </c>
      <c r="K843" s="8">
        <f t="shared" si="13"/>
        <v>0</v>
      </c>
      <c r="L843" s="8">
        <f>+'[1]VENTAS(RESUMEN GLOBAL)'!J843</f>
        <v>0</v>
      </c>
      <c r="M843" s="8">
        <f>+Tabla1[[#This Row],[utilidad x dia]]*7</f>
        <v>0</v>
      </c>
    </row>
    <row r="844" spans="1:13" x14ac:dyDescent="0.3">
      <c r="A844" s="6">
        <f>+'[1]VENTAS(RESUMEN GLOBAL)'!L844</f>
        <v>0</v>
      </c>
      <c r="B844" s="6">
        <f>+'[1]VENTAS(RESUMEN GLOBAL)'!M844</f>
        <v>0</v>
      </c>
      <c r="C844">
        <f>+'[1]VENTAS(RESUMEN GLOBAL)'!B844</f>
        <v>0</v>
      </c>
      <c r="D844" t="e">
        <f>INDEX('[1]CÓDIGOS DE PRODUCTO'!$D$3:$D$1000,MATCH(C844,'[1]CÓDIGOS DE PRODUCTO'!$A$3:$A$1000,0))</f>
        <v>#N/A</v>
      </c>
      <c r="E844">
        <f>VLOOKUP(C844,'[1]CÓDIGOS DE PRODUCTO'!$A$4:$B$156,2,FALSE)</f>
        <v>0</v>
      </c>
      <c r="F844">
        <f>INDEX('[1]CÓDIGOS DE PRODUCTO'!$C$3:$C$1000,MATCH(C844,'[1]CÓDIGOS DE PRODUCTO'!$A$3:$A$1000,0))</f>
        <v>0</v>
      </c>
      <c r="G844">
        <f>+'[1]VENTAS(RESUMEN GLOBAL)'!D844-'[1]VENTAS(RESUMEN GLOBAL)'!E844</f>
        <v>0</v>
      </c>
      <c r="H844" s="9">
        <f>+'[1]VENTAS(RESUMEN GLOBAL)'!K844</f>
        <v>0</v>
      </c>
      <c r="I844" s="8">
        <f>+G844*'[1]VENTAS(RESUMEN GLOBAL)'!F844</f>
        <v>0</v>
      </c>
      <c r="J844" s="8">
        <f>'[1]VENTAS(RESUMEN GLOBAL)'!G844*(1-'[1]VENTAS(RESUMEN GLOBAL)'!H844)</f>
        <v>0</v>
      </c>
      <c r="K844" s="8">
        <f t="shared" si="13"/>
        <v>0</v>
      </c>
      <c r="L844" s="8">
        <f>+'[1]VENTAS(RESUMEN GLOBAL)'!J844</f>
        <v>0</v>
      </c>
      <c r="M844" s="8">
        <f>+Tabla1[[#This Row],[utilidad x dia]]*7</f>
        <v>0</v>
      </c>
    </row>
    <row r="845" spans="1:13" x14ac:dyDescent="0.3">
      <c r="A845" s="6">
        <f>+'[1]VENTAS(RESUMEN GLOBAL)'!L845</f>
        <v>0</v>
      </c>
      <c r="B845" s="6">
        <f>+'[1]VENTAS(RESUMEN GLOBAL)'!M845</f>
        <v>0</v>
      </c>
      <c r="C845">
        <f>+'[1]VENTAS(RESUMEN GLOBAL)'!B845</f>
        <v>0</v>
      </c>
      <c r="D845" t="e">
        <f>INDEX('[1]CÓDIGOS DE PRODUCTO'!$D$3:$D$1000,MATCH(C845,'[1]CÓDIGOS DE PRODUCTO'!$A$3:$A$1000,0))</f>
        <v>#N/A</v>
      </c>
      <c r="E845">
        <f>VLOOKUP(C845,'[1]CÓDIGOS DE PRODUCTO'!$A$4:$B$156,2,FALSE)</f>
        <v>0</v>
      </c>
      <c r="F845">
        <f>INDEX('[1]CÓDIGOS DE PRODUCTO'!$C$3:$C$1000,MATCH(C845,'[1]CÓDIGOS DE PRODUCTO'!$A$3:$A$1000,0))</f>
        <v>0</v>
      </c>
      <c r="G845">
        <f>+'[1]VENTAS(RESUMEN GLOBAL)'!D845-'[1]VENTAS(RESUMEN GLOBAL)'!E845</f>
        <v>0</v>
      </c>
      <c r="H845" s="9">
        <f>+'[1]VENTAS(RESUMEN GLOBAL)'!K845</f>
        <v>0</v>
      </c>
      <c r="I845" s="8">
        <f>+G845*'[1]VENTAS(RESUMEN GLOBAL)'!F845</f>
        <v>0</v>
      </c>
      <c r="J845" s="8">
        <f>'[1]VENTAS(RESUMEN GLOBAL)'!G845*(1-'[1]VENTAS(RESUMEN GLOBAL)'!H845)</f>
        <v>0</v>
      </c>
      <c r="K845" s="8">
        <f t="shared" si="13"/>
        <v>0</v>
      </c>
      <c r="L845" s="8">
        <f>+'[1]VENTAS(RESUMEN GLOBAL)'!J845</f>
        <v>0</v>
      </c>
      <c r="M845" s="8">
        <f>+Tabla1[[#This Row],[utilidad x dia]]*7</f>
        <v>0</v>
      </c>
    </row>
    <row r="846" spans="1:13" x14ac:dyDescent="0.3">
      <c r="A846" s="6">
        <f>+'[1]VENTAS(RESUMEN GLOBAL)'!L846</f>
        <v>0</v>
      </c>
      <c r="B846" s="6">
        <f>+'[1]VENTAS(RESUMEN GLOBAL)'!M846</f>
        <v>0</v>
      </c>
      <c r="C846">
        <f>+'[1]VENTAS(RESUMEN GLOBAL)'!B846</f>
        <v>0</v>
      </c>
      <c r="D846" t="e">
        <f>INDEX('[1]CÓDIGOS DE PRODUCTO'!$D$3:$D$1000,MATCH(C846,'[1]CÓDIGOS DE PRODUCTO'!$A$3:$A$1000,0))</f>
        <v>#N/A</v>
      </c>
      <c r="E846">
        <f>VLOOKUP(C846,'[1]CÓDIGOS DE PRODUCTO'!$A$4:$B$156,2,FALSE)</f>
        <v>0</v>
      </c>
      <c r="F846">
        <f>INDEX('[1]CÓDIGOS DE PRODUCTO'!$C$3:$C$1000,MATCH(C846,'[1]CÓDIGOS DE PRODUCTO'!$A$3:$A$1000,0))</f>
        <v>0</v>
      </c>
      <c r="G846">
        <f>+'[1]VENTAS(RESUMEN GLOBAL)'!D846-'[1]VENTAS(RESUMEN GLOBAL)'!E846</f>
        <v>0</v>
      </c>
      <c r="H846" s="9">
        <f>+'[1]VENTAS(RESUMEN GLOBAL)'!K846</f>
        <v>0</v>
      </c>
      <c r="I846" s="8">
        <f>+G846*'[1]VENTAS(RESUMEN GLOBAL)'!F846</f>
        <v>0</v>
      </c>
      <c r="J846" s="8">
        <f>'[1]VENTAS(RESUMEN GLOBAL)'!G846*(1-'[1]VENTAS(RESUMEN GLOBAL)'!H846)</f>
        <v>0</v>
      </c>
      <c r="K846" s="8">
        <f t="shared" si="13"/>
        <v>0</v>
      </c>
      <c r="L846" s="8">
        <f>+'[1]VENTAS(RESUMEN GLOBAL)'!J846</f>
        <v>0</v>
      </c>
      <c r="M846" s="8">
        <f>+Tabla1[[#This Row],[utilidad x dia]]*7</f>
        <v>0</v>
      </c>
    </row>
    <row r="847" spans="1:13" x14ac:dyDescent="0.3">
      <c r="A847" s="6">
        <f>+'[1]VENTAS(RESUMEN GLOBAL)'!L847</f>
        <v>0</v>
      </c>
      <c r="B847" s="6">
        <f>+'[1]VENTAS(RESUMEN GLOBAL)'!M847</f>
        <v>0</v>
      </c>
      <c r="C847">
        <f>+'[1]VENTAS(RESUMEN GLOBAL)'!B847</f>
        <v>0</v>
      </c>
      <c r="D847" t="e">
        <f>INDEX('[1]CÓDIGOS DE PRODUCTO'!$D$3:$D$1000,MATCH(C847,'[1]CÓDIGOS DE PRODUCTO'!$A$3:$A$1000,0))</f>
        <v>#N/A</v>
      </c>
      <c r="E847">
        <f>VLOOKUP(C847,'[1]CÓDIGOS DE PRODUCTO'!$A$4:$B$156,2,FALSE)</f>
        <v>0</v>
      </c>
      <c r="F847">
        <f>INDEX('[1]CÓDIGOS DE PRODUCTO'!$C$3:$C$1000,MATCH(C847,'[1]CÓDIGOS DE PRODUCTO'!$A$3:$A$1000,0))</f>
        <v>0</v>
      </c>
      <c r="G847">
        <f>+'[1]VENTAS(RESUMEN GLOBAL)'!D847-'[1]VENTAS(RESUMEN GLOBAL)'!E847</f>
        <v>0</v>
      </c>
      <c r="H847" s="9">
        <f>+'[1]VENTAS(RESUMEN GLOBAL)'!K847</f>
        <v>0</v>
      </c>
      <c r="I847" s="8">
        <f>+G847*'[1]VENTAS(RESUMEN GLOBAL)'!F847</f>
        <v>0</v>
      </c>
      <c r="J847" s="8">
        <f>'[1]VENTAS(RESUMEN GLOBAL)'!G847*(1-'[1]VENTAS(RESUMEN GLOBAL)'!H847)</f>
        <v>0</v>
      </c>
      <c r="K847" s="8">
        <f t="shared" si="13"/>
        <v>0</v>
      </c>
      <c r="L847" s="8">
        <f>+'[1]VENTAS(RESUMEN GLOBAL)'!J847</f>
        <v>0</v>
      </c>
      <c r="M847" s="8">
        <f>+Tabla1[[#This Row],[utilidad x dia]]*7</f>
        <v>0</v>
      </c>
    </row>
    <row r="848" spans="1:13" x14ac:dyDescent="0.3">
      <c r="A848" s="6">
        <f>+'[1]VENTAS(RESUMEN GLOBAL)'!L848</f>
        <v>0</v>
      </c>
      <c r="B848" s="6">
        <f>+'[1]VENTAS(RESUMEN GLOBAL)'!M848</f>
        <v>0</v>
      </c>
      <c r="C848">
        <f>+'[1]VENTAS(RESUMEN GLOBAL)'!B848</f>
        <v>0</v>
      </c>
      <c r="D848" t="e">
        <f>INDEX('[1]CÓDIGOS DE PRODUCTO'!$D$3:$D$1000,MATCH(C848,'[1]CÓDIGOS DE PRODUCTO'!$A$3:$A$1000,0))</f>
        <v>#N/A</v>
      </c>
      <c r="E848">
        <f>VLOOKUP(C848,'[1]CÓDIGOS DE PRODUCTO'!$A$4:$B$156,2,FALSE)</f>
        <v>0</v>
      </c>
      <c r="F848">
        <f>INDEX('[1]CÓDIGOS DE PRODUCTO'!$C$3:$C$1000,MATCH(C848,'[1]CÓDIGOS DE PRODUCTO'!$A$3:$A$1000,0))</f>
        <v>0</v>
      </c>
      <c r="G848">
        <f>+'[1]VENTAS(RESUMEN GLOBAL)'!D848-'[1]VENTAS(RESUMEN GLOBAL)'!E848</f>
        <v>0</v>
      </c>
      <c r="H848" s="9">
        <f>+'[1]VENTAS(RESUMEN GLOBAL)'!K848</f>
        <v>0</v>
      </c>
      <c r="I848" s="8">
        <f>+G848*'[1]VENTAS(RESUMEN GLOBAL)'!F848</f>
        <v>0</v>
      </c>
      <c r="J848" s="8">
        <f>'[1]VENTAS(RESUMEN GLOBAL)'!G848*(1-'[1]VENTAS(RESUMEN GLOBAL)'!H848)</f>
        <v>0</v>
      </c>
      <c r="K848" s="8">
        <f t="shared" si="13"/>
        <v>0</v>
      </c>
      <c r="L848" s="8">
        <f>+'[1]VENTAS(RESUMEN GLOBAL)'!J848</f>
        <v>0</v>
      </c>
      <c r="M848" s="8">
        <f>+Tabla1[[#This Row],[utilidad x dia]]*7</f>
        <v>0</v>
      </c>
    </row>
    <row r="849" spans="1:13" x14ac:dyDescent="0.3">
      <c r="A849" s="6">
        <f>+'[1]VENTAS(RESUMEN GLOBAL)'!L849</f>
        <v>0</v>
      </c>
      <c r="B849" s="6">
        <f>+'[1]VENTAS(RESUMEN GLOBAL)'!M849</f>
        <v>0</v>
      </c>
      <c r="C849">
        <f>+'[1]VENTAS(RESUMEN GLOBAL)'!B849</f>
        <v>0</v>
      </c>
      <c r="D849" t="e">
        <f>INDEX('[1]CÓDIGOS DE PRODUCTO'!$D$3:$D$1000,MATCH(C849,'[1]CÓDIGOS DE PRODUCTO'!$A$3:$A$1000,0))</f>
        <v>#N/A</v>
      </c>
      <c r="E849">
        <f>VLOOKUP(C849,'[1]CÓDIGOS DE PRODUCTO'!$A$4:$B$156,2,FALSE)</f>
        <v>0</v>
      </c>
      <c r="F849">
        <f>INDEX('[1]CÓDIGOS DE PRODUCTO'!$C$3:$C$1000,MATCH(C849,'[1]CÓDIGOS DE PRODUCTO'!$A$3:$A$1000,0))</f>
        <v>0</v>
      </c>
      <c r="G849">
        <f>+'[1]VENTAS(RESUMEN GLOBAL)'!D849-'[1]VENTAS(RESUMEN GLOBAL)'!E849</f>
        <v>0</v>
      </c>
      <c r="H849" s="9">
        <f>+'[1]VENTAS(RESUMEN GLOBAL)'!K849</f>
        <v>0</v>
      </c>
      <c r="I849" s="8">
        <f>+G849*'[1]VENTAS(RESUMEN GLOBAL)'!F849</f>
        <v>0</v>
      </c>
      <c r="J849" s="8">
        <f>'[1]VENTAS(RESUMEN GLOBAL)'!G849*(1-'[1]VENTAS(RESUMEN GLOBAL)'!H849)</f>
        <v>0</v>
      </c>
      <c r="K849" s="8">
        <f t="shared" si="13"/>
        <v>0</v>
      </c>
      <c r="L849" s="8">
        <f>+'[1]VENTAS(RESUMEN GLOBAL)'!J849</f>
        <v>0</v>
      </c>
      <c r="M849" s="8">
        <f>+Tabla1[[#This Row],[utilidad x dia]]*7</f>
        <v>0</v>
      </c>
    </row>
    <row r="850" spans="1:13" x14ac:dyDescent="0.3">
      <c r="A850" s="6">
        <f>+'[1]VENTAS(RESUMEN GLOBAL)'!L850</f>
        <v>0</v>
      </c>
      <c r="B850" s="6">
        <f>+'[1]VENTAS(RESUMEN GLOBAL)'!M850</f>
        <v>0</v>
      </c>
      <c r="C850">
        <f>+'[1]VENTAS(RESUMEN GLOBAL)'!B850</f>
        <v>0</v>
      </c>
      <c r="D850" t="e">
        <f>INDEX('[1]CÓDIGOS DE PRODUCTO'!$D$3:$D$1000,MATCH(C850,'[1]CÓDIGOS DE PRODUCTO'!$A$3:$A$1000,0))</f>
        <v>#N/A</v>
      </c>
      <c r="E850">
        <f>VLOOKUP(C850,'[1]CÓDIGOS DE PRODUCTO'!$A$4:$B$156,2,FALSE)</f>
        <v>0</v>
      </c>
      <c r="F850">
        <f>INDEX('[1]CÓDIGOS DE PRODUCTO'!$C$3:$C$1000,MATCH(C850,'[1]CÓDIGOS DE PRODUCTO'!$A$3:$A$1000,0))</f>
        <v>0</v>
      </c>
      <c r="G850">
        <f>+'[1]VENTAS(RESUMEN GLOBAL)'!D850-'[1]VENTAS(RESUMEN GLOBAL)'!E850</f>
        <v>0</v>
      </c>
      <c r="H850" s="9">
        <f>+'[1]VENTAS(RESUMEN GLOBAL)'!K850</f>
        <v>0</v>
      </c>
      <c r="I850" s="8">
        <f>+G850*'[1]VENTAS(RESUMEN GLOBAL)'!F850</f>
        <v>0</v>
      </c>
      <c r="J850" s="8">
        <f>'[1]VENTAS(RESUMEN GLOBAL)'!G850*(1-'[1]VENTAS(RESUMEN GLOBAL)'!H850)</f>
        <v>0</v>
      </c>
      <c r="K850" s="8">
        <f t="shared" si="13"/>
        <v>0</v>
      </c>
      <c r="L850" s="8">
        <f>+'[1]VENTAS(RESUMEN GLOBAL)'!J850</f>
        <v>0</v>
      </c>
      <c r="M850" s="8">
        <f>+Tabla1[[#This Row],[utilidad x dia]]*7</f>
        <v>0</v>
      </c>
    </row>
    <row r="851" spans="1:13" x14ac:dyDescent="0.3">
      <c r="A851" s="6">
        <f>+'[1]VENTAS(RESUMEN GLOBAL)'!L851</f>
        <v>0</v>
      </c>
      <c r="B851" s="6">
        <f>+'[1]VENTAS(RESUMEN GLOBAL)'!M851</f>
        <v>0</v>
      </c>
      <c r="C851">
        <f>+'[1]VENTAS(RESUMEN GLOBAL)'!B851</f>
        <v>0</v>
      </c>
      <c r="D851" t="e">
        <f>INDEX('[1]CÓDIGOS DE PRODUCTO'!$D$3:$D$1000,MATCH(C851,'[1]CÓDIGOS DE PRODUCTO'!$A$3:$A$1000,0))</f>
        <v>#N/A</v>
      </c>
      <c r="E851">
        <f>VLOOKUP(C851,'[1]CÓDIGOS DE PRODUCTO'!$A$4:$B$156,2,FALSE)</f>
        <v>0</v>
      </c>
      <c r="F851">
        <f>INDEX('[1]CÓDIGOS DE PRODUCTO'!$C$3:$C$1000,MATCH(C851,'[1]CÓDIGOS DE PRODUCTO'!$A$3:$A$1000,0))</f>
        <v>0</v>
      </c>
      <c r="G851">
        <f>+'[1]VENTAS(RESUMEN GLOBAL)'!D851-'[1]VENTAS(RESUMEN GLOBAL)'!E851</f>
        <v>0</v>
      </c>
      <c r="H851" s="9">
        <f>+'[1]VENTAS(RESUMEN GLOBAL)'!K851</f>
        <v>0</v>
      </c>
      <c r="I851" s="8">
        <f>+G851*'[1]VENTAS(RESUMEN GLOBAL)'!F851</f>
        <v>0</v>
      </c>
      <c r="J851" s="8">
        <f>'[1]VENTAS(RESUMEN GLOBAL)'!G851*(1-'[1]VENTAS(RESUMEN GLOBAL)'!H851)</f>
        <v>0</v>
      </c>
      <c r="K851" s="8">
        <f t="shared" si="13"/>
        <v>0</v>
      </c>
      <c r="L851" s="8">
        <f>+'[1]VENTAS(RESUMEN GLOBAL)'!J851</f>
        <v>0</v>
      </c>
      <c r="M851" s="8">
        <f>+Tabla1[[#This Row],[utilidad x dia]]*7</f>
        <v>0</v>
      </c>
    </row>
    <row r="852" spans="1:13" x14ac:dyDescent="0.3">
      <c r="A852" s="6">
        <f>+'[1]VENTAS(RESUMEN GLOBAL)'!L852</f>
        <v>0</v>
      </c>
      <c r="B852" s="6">
        <f>+'[1]VENTAS(RESUMEN GLOBAL)'!M852</f>
        <v>0</v>
      </c>
      <c r="C852">
        <f>+'[1]VENTAS(RESUMEN GLOBAL)'!B852</f>
        <v>0</v>
      </c>
      <c r="D852" t="e">
        <f>INDEX('[1]CÓDIGOS DE PRODUCTO'!$D$3:$D$1000,MATCH(C852,'[1]CÓDIGOS DE PRODUCTO'!$A$3:$A$1000,0))</f>
        <v>#N/A</v>
      </c>
      <c r="E852">
        <f>VLOOKUP(C852,'[1]CÓDIGOS DE PRODUCTO'!$A$4:$B$156,2,FALSE)</f>
        <v>0</v>
      </c>
      <c r="F852">
        <f>INDEX('[1]CÓDIGOS DE PRODUCTO'!$C$3:$C$1000,MATCH(C852,'[1]CÓDIGOS DE PRODUCTO'!$A$3:$A$1000,0))</f>
        <v>0</v>
      </c>
      <c r="G852">
        <f>+'[1]VENTAS(RESUMEN GLOBAL)'!D852-'[1]VENTAS(RESUMEN GLOBAL)'!E852</f>
        <v>0</v>
      </c>
      <c r="H852" s="9">
        <f>+'[1]VENTAS(RESUMEN GLOBAL)'!K852</f>
        <v>0</v>
      </c>
      <c r="I852" s="8">
        <f>+G852*'[1]VENTAS(RESUMEN GLOBAL)'!F852</f>
        <v>0</v>
      </c>
      <c r="J852" s="8">
        <f>'[1]VENTAS(RESUMEN GLOBAL)'!G852*(1-'[1]VENTAS(RESUMEN GLOBAL)'!H852)</f>
        <v>0</v>
      </c>
      <c r="K852" s="8">
        <f t="shared" si="13"/>
        <v>0</v>
      </c>
      <c r="L852" s="8">
        <f>+'[1]VENTAS(RESUMEN GLOBAL)'!J852</f>
        <v>0</v>
      </c>
      <c r="M852" s="8">
        <f>+Tabla1[[#This Row],[utilidad x dia]]*7</f>
        <v>0</v>
      </c>
    </row>
    <row r="853" spans="1:13" x14ac:dyDescent="0.3">
      <c r="A853" s="6">
        <f>+'[1]VENTAS(RESUMEN GLOBAL)'!L853</f>
        <v>0</v>
      </c>
      <c r="B853" s="6">
        <f>+'[1]VENTAS(RESUMEN GLOBAL)'!M853</f>
        <v>0</v>
      </c>
      <c r="C853">
        <f>+'[1]VENTAS(RESUMEN GLOBAL)'!B853</f>
        <v>0</v>
      </c>
      <c r="D853" t="e">
        <f>INDEX('[1]CÓDIGOS DE PRODUCTO'!$D$3:$D$1000,MATCH(C853,'[1]CÓDIGOS DE PRODUCTO'!$A$3:$A$1000,0))</f>
        <v>#N/A</v>
      </c>
      <c r="E853">
        <f>VLOOKUP(C853,'[1]CÓDIGOS DE PRODUCTO'!$A$4:$B$156,2,FALSE)</f>
        <v>0</v>
      </c>
      <c r="F853">
        <f>INDEX('[1]CÓDIGOS DE PRODUCTO'!$C$3:$C$1000,MATCH(C853,'[1]CÓDIGOS DE PRODUCTO'!$A$3:$A$1000,0))</f>
        <v>0</v>
      </c>
      <c r="G853">
        <f>+'[1]VENTAS(RESUMEN GLOBAL)'!D853-'[1]VENTAS(RESUMEN GLOBAL)'!E853</f>
        <v>0</v>
      </c>
      <c r="H853" s="9">
        <f>+'[1]VENTAS(RESUMEN GLOBAL)'!K853</f>
        <v>0</v>
      </c>
      <c r="I853" s="8">
        <f>+G853*'[1]VENTAS(RESUMEN GLOBAL)'!F853</f>
        <v>0</v>
      </c>
      <c r="J853" s="8">
        <f>'[1]VENTAS(RESUMEN GLOBAL)'!G853*(1-'[1]VENTAS(RESUMEN GLOBAL)'!H853)</f>
        <v>0</v>
      </c>
      <c r="K853" s="8">
        <f t="shared" si="13"/>
        <v>0</v>
      </c>
      <c r="L853" s="8">
        <f>+'[1]VENTAS(RESUMEN GLOBAL)'!J853</f>
        <v>0</v>
      </c>
      <c r="M853" s="8">
        <f>+Tabla1[[#This Row],[utilidad x dia]]*7</f>
        <v>0</v>
      </c>
    </row>
    <row r="854" spans="1:13" x14ac:dyDescent="0.3">
      <c r="A854" s="6">
        <f>+'[1]VENTAS(RESUMEN GLOBAL)'!L854</f>
        <v>0</v>
      </c>
      <c r="B854" s="6">
        <f>+'[1]VENTAS(RESUMEN GLOBAL)'!M854</f>
        <v>0</v>
      </c>
      <c r="C854">
        <f>+'[1]VENTAS(RESUMEN GLOBAL)'!B854</f>
        <v>0</v>
      </c>
      <c r="D854" t="e">
        <f>INDEX('[1]CÓDIGOS DE PRODUCTO'!$D$3:$D$1000,MATCH(C854,'[1]CÓDIGOS DE PRODUCTO'!$A$3:$A$1000,0))</f>
        <v>#N/A</v>
      </c>
      <c r="E854">
        <f>VLOOKUP(C854,'[1]CÓDIGOS DE PRODUCTO'!$A$4:$B$156,2,FALSE)</f>
        <v>0</v>
      </c>
      <c r="F854">
        <f>INDEX('[1]CÓDIGOS DE PRODUCTO'!$C$3:$C$1000,MATCH(C854,'[1]CÓDIGOS DE PRODUCTO'!$A$3:$A$1000,0))</f>
        <v>0</v>
      </c>
      <c r="G854">
        <f>+'[1]VENTAS(RESUMEN GLOBAL)'!D854-'[1]VENTAS(RESUMEN GLOBAL)'!E854</f>
        <v>0</v>
      </c>
      <c r="H854" s="9">
        <f>+'[1]VENTAS(RESUMEN GLOBAL)'!K854</f>
        <v>0</v>
      </c>
      <c r="I854" s="8">
        <f>+G854*'[1]VENTAS(RESUMEN GLOBAL)'!F854</f>
        <v>0</v>
      </c>
      <c r="J854" s="8">
        <f>'[1]VENTAS(RESUMEN GLOBAL)'!G854*(1-'[1]VENTAS(RESUMEN GLOBAL)'!H854)</f>
        <v>0</v>
      </c>
      <c r="K854" s="8">
        <f t="shared" si="13"/>
        <v>0</v>
      </c>
      <c r="L854" s="8">
        <f>+'[1]VENTAS(RESUMEN GLOBAL)'!J854</f>
        <v>0</v>
      </c>
      <c r="M854" s="8">
        <f>+Tabla1[[#This Row],[utilidad x dia]]*7</f>
        <v>0</v>
      </c>
    </row>
    <row r="855" spans="1:13" x14ac:dyDescent="0.3">
      <c r="A855" s="6">
        <f>+'[1]VENTAS(RESUMEN GLOBAL)'!L855</f>
        <v>0</v>
      </c>
      <c r="B855" s="6">
        <f>+'[1]VENTAS(RESUMEN GLOBAL)'!M855</f>
        <v>0</v>
      </c>
      <c r="C855">
        <f>+'[1]VENTAS(RESUMEN GLOBAL)'!B855</f>
        <v>0</v>
      </c>
      <c r="D855" t="e">
        <f>INDEX('[1]CÓDIGOS DE PRODUCTO'!$D$3:$D$1000,MATCH(C855,'[1]CÓDIGOS DE PRODUCTO'!$A$3:$A$1000,0))</f>
        <v>#N/A</v>
      </c>
      <c r="E855">
        <f>VLOOKUP(C855,'[1]CÓDIGOS DE PRODUCTO'!$A$4:$B$156,2,FALSE)</f>
        <v>0</v>
      </c>
      <c r="F855">
        <f>INDEX('[1]CÓDIGOS DE PRODUCTO'!$C$3:$C$1000,MATCH(C855,'[1]CÓDIGOS DE PRODUCTO'!$A$3:$A$1000,0))</f>
        <v>0</v>
      </c>
      <c r="G855">
        <f>+'[1]VENTAS(RESUMEN GLOBAL)'!D855-'[1]VENTAS(RESUMEN GLOBAL)'!E855</f>
        <v>0</v>
      </c>
      <c r="H855" s="9">
        <f>+'[1]VENTAS(RESUMEN GLOBAL)'!K855</f>
        <v>0</v>
      </c>
      <c r="I855" s="8">
        <f>+G855*'[1]VENTAS(RESUMEN GLOBAL)'!F855</f>
        <v>0</v>
      </c>
      <c r="J855" s="8">
        <f>'[1]VENTAS(RESUMEN GLOBAL)'!G855*(1-'[1]VENTAS(RESUMEN GLOBAL)'!H855)</f>
        <v>0</v>
      </c>
      <c r="K855" s="8">
        <f t="shared" si="13"/>
        <v>0</v>
      </c>
      <c r="L855" s="8">
        <f>+'[1]VENTAS(RESUMEN GLOBAL)'!J855</f>
        <v>0</v>
      </c>
      <c r="M855" s="8">
        <f>+Tabla1[[#This Row],[utilidad x dia]]*7</f>
        <v>0</v>
      </c>
    </row>
    <row r="856" spans="1:13" x14ac:dyDescent="0.3">
      <c r="A856" s="6">
        <f>+'[1]VENTAS(RESUMEN GLOBAL)'!L856</f>
        <v>0</v>
      </c>
      <c r="B856" s="6">
        <f>+'[1]VENTAS(RESUMEN GLOBAL)'!M856</f>
        <v>0</v>
      </c>
      <c r="C856">
        <f>+'[1]VENTAS(RESUMEN GLOBAL)'!B856</f>
        <v>0</v>
      </c>
      <c r="D856" t="e">
        <f>INDEX('[1]CÓDIGOS DE PRODUCTO'!$D$3:$D$1000,MATCH(C856,'[1]CÓDIGOS DE PRODUCTO'!$A$3:$A$1000,0))</f>
        <v>#N/A</v>
      </c>
      <c r="E856">
        <f>VLOOKUP(C856,'[1]CÓDIGOS DE PRODUCTO'!$A$4:$B$156,2,FALSE)</f>
        <v>0</v>
      </c>
      <c r="F856">
        <f>INDEX('[1]CÓDIGOS DE PRODUCTO'!$C$3:$C$1000,MATCH(C856,'[1]CÓDIGOS DE PRODUCTO'!$A$3:$A$1000,0))</f>
        <v>0</v>
      </c>
      <c r="G856">
        <f>+'[1]VENTAS(RESUMEN GLOBAL)'!D856-'[1]VENTAS(RESUMEN GLOBAL)'!E856</f>
        <v>0</v>
      </c>
      <c r="H856" s="9">
        <f>+'[1]VENTAS(RESUMEN GLOBAL)'!K856</f>
        <v>0</v>
      </c>
      <c r="I856" s="8">
        <f>+G856*'[1]VENTAS(RESUMEN GLOBAL)'!F856</f>
        <v>0</v>
      </c>
      <c r="J856" s="8">
        <f>'[1]VENTAS(RESUMEN GLOBAL)'!G856*(1-'[1]VENTAS(RESUMEN GLOBAL)'!H856)</f>
        <v>0</v>
      </c>
      <c r="K856" s="8">
        <f t="shared" si="13"/>
        <v>0</v>
      </c>
      <c r="L856" s="8">
        <f>+'[1]VENTAS(RESUMEN GLOBAL)'!J856</f>
        <v>0</v>
      </c>
      <c r="M856" s="8">
        <f>+Tabla1[[#This Row],[utilidad x dia]]*7</f>
        <v>0</v>
      </c>
    </row>
    <row r="857" spans="1:13" x14ac:dyDescent="0.3">
      <c r="A857" s="6">
        <f>+'[1]VENTAS(RESUMEN GLOBAL)'!L857</f>
        <v>0</v>
      </c>
      <c r="B857" s="6">
        <f>+'[1]VENTAS(RESUMEN GLOBAL)'!M857</f>
        <v>0</v>
      </c>
      <c r="C857">
        <f>+'[1]VENTAS(RESUMEN GLOBAL)'!B857</f>
        <v>0</v>
      </c>
      <c r="D857" t="e">
        <f>INDEX('[1]CÓDIGOS DE PRODUCTO'!$D$3:$D$1000,MATCH(C857,'[1]CÓDIGOS DE PRODUCTO'!$A$3:$A$1000,0))</f>
        <v>#N/A</v>
      </c>
      <c r="E857">
        <f>VLOOKUP(C857,'[1]CÓDIGOS DE PRODUCTO'!$A$4:$B$156,2,FALSE)</f>
        <v>0</v>
      </c>
      <c r="F857">
        <f>INDEX('[1]CÓDIGOS DE PRODUCTO'!$C$3:$C$1000,MATCH(C857,'[1]CÓDIGOS DE PRODUCTO'!$A$3:$A$1000,0))</f>
        <v>0</v>
      </c>
      <c r="G857">
        <f>+'[1]VENTAS(RESUMEN GLOBAL)'!D857-'[1]VENTAS(RESUMEN GLOBAL)'!E857</f>
        <v>0</v>
      </c>
      <c r="H857" s="9">
        <f>+'[1]VENTAS(RESUMEN GLOBAL)'!K857</f>
        <v>0</v>
      </c>
      <c r="I857" s="8">
        <f>+G857*'[1]VENTAS(RESUMEN GLOBAL)'!F857</f>
        <v>0</v>
      </c>
      <c r="J857" s="8">
        <f>'[1]VENTAS(RESUMEN GLOBAL)'!G857*(1-'[1]VENTAS(RESUMEN GLOBAL)'!H857)</f>
        <v>0</v>
      </c>
      <c r="K857" s="8">
        <f t="shared" si="13"/>
        <v>0</v>
      </c>
      <c r="L857" s="8">
        <f>+'[1]VENTAS(RESUMEN GLOBAL)'!J857</f>
        <v>0</v>
      </c>
      <c r="M857" s="8">
        <f>+Tabla1[[#This Row],[utilidad x dia]]*7</f>
        <v>0</v>
      </c>
    </row>
    <row r="858" spans="1:13" x14ac:dyDescent="0.3">
      <c r="A858" s="6">
        <f>+'[1]VENTAS(RESUMEN GLOBAL)'!L858</f>
        <v>0</v>
      </c>
      <c r="B858" s="6">
        <f>+'[1]VENTAS(RESUMEN GLOBAL)'!M858</f>
        <v>0</v>
      </c>
      <c r="C858">
        <f>+'[1]VENTAS(RESUMEN GLOBAL)'!B858</f>
        <v>0</v>
      </c>
      <c r="D858" t="e">
        <f>INDEX('[1]CÓDIGOS DE PRODUCTO'!$D$3:$D$1000,MATCH(C858,'[1]CÓDIGOS DE PRODUCTO'!$A$3:$A$1000,0))</f>
        <v>#N/A</v>
      </c>
      <c r="E858">
        <f>VLOOKUP(C858,'[1]CÓDIGOS DE PRODUCTO'!$A$4:$B$156,2,FALSE)</f>
        <v>0</v>
      </c>
      <c r="F858">
        <f>INDEX('[1]CÓDIGOS DE PRODUCTO'!$C$3:$C$1000,MATCH(C858,'[1]CÓDIGOS DE PRODUCTO'!$A$3:$A$1000,0))</f>
        <v>0</v>
      </c>
      <c r="G858">
        <f>+'[1]VENTAS(RESUMEN GLOBAL)'!D858-'[1]VENTAS(RESUMEN GLOBAL)'!E858</f>
        <v>0</v>
      </c>
      <c r="H858" s="9">
        <f>+'[1]VENTAS(RESUMEN GLOBAL)'!K858</f>
        <v>0</v>
      </c>
      <c r="I858" s="8">
        <f>+G858*'[1]VENTAS(RESUMEN GLOBAL)'!F858</f>
        <v>0</v>
      </c>
      <c r="J858" s="8">
        <f>'[1]VENTAS(RESUMEN GLOBAL)'!G858*(1-'[1]VENTAS(RESUMEN GLOBAL)'!H858)</f>
        <v>0</v>
      </c>
      <c r="K858" s="8">
        <f t="shared" si="13"/>
        <v>0</v>
      </c>
      <c r="L858" s="8">
        <f>+'[1]VENTAS(RESUMEN GLOBAL)'!J858</f>
        <v>0</v>
      </c>
      <c r="M858" s="8">
        <f>+Tabla1[[#This Row],[utilidad x dia]]*7</f>
        <v>0</v>
      </c>
    </row>
    <row r="859" spans="1:13" x14ac:dyDescent="0.3">
      <c r="A859" s="6">
        <f>+'[1]VENTAS(RESUMEN GLOBAL)'!L859</f>
        <v>0</v>
      </c>
      <c r="B859" s="6">
        <f>+'[1]VENTAS(RESUMEN GLOBAL)'!M859</f>
        <v>0</v>
      </c>
      <c r="C859">
        <f>+'[1]VENTAS(RESUMEN GLOBAL)'!B859</f>
        <v>0</v>
      </c>
      <c r="D859" t="e">
        <f>INDEX('[1]CÓDIGOS DE PRODUCTO'!$D$3:$D$1000,MATCH(C859,'[1]CÓDIGOS DE PRODUCTO'!$A$3:$A$1000,0))</f>
        <v>#N/A</v>
      </c>
      <c r="E859">
        <f>VLOOKUP(C859,'[1]CÓDIGOS DE PRODUCTO'!$A$4:$B$156,2,FALSE)</f>
        <v>0</v>
      </c>
      <c r="F859">
        <f>INDEX('[1]CÓDIGOS DE PRODUCTO'!$C$3:$C$1000,MATCH(C859,'[1]CÓDIGOS DE PRODUCTO'!$A$3:$A$1000,0))</f>
        <v>0</v>
      </c>
      <c r="G859">
        <f>+'[1]VENTAS(RESUMEN GLOBAL)'!D859-'[1]VENTAS(RESUMEN GLOBAL)'!E859</f>
        <v>0</v>
      </c>
      <c r="H859" s="9">
        <f>+'[1]VENTAS(RESUMEN GLOBAL)'!K859</f>
        <v>0</v>
      </c>
      <c r="I859" s="8">
        <f>+G859*'[1]VENTAS(RESUMEN GLOBAL)'!F859</f>
        <v>0</v>
      </c>
      <c r="J859" s="8">
        <f>'[1]VENTAS(RESUMEN GLOBAL)'!G859*(1-'[1]VENTAS(RESUMEN GLOBAL)'!H859)</f>
        <v>0</v>
      </c>
      <c r="K859" s="8">
        <f t="shared" si="13"/>
        <v>0</v>
      </c>
      <c r="L859" s="8">
        <f>+'[1]VENTAS(RESUMEN GLOBAL)'!J859</f>
        <v>0</v>
      </c>
      <c r="M859" s="8">
        <f>+Tabla1[[#This Row],[utilidad x dia]]*7</f>
        <v>0</v>
      </c>
    </row>
    <row r="860" spans="1:13" x14ac:dyDescent="0.3">
      <c r="A860" s="6">
        <f>+'[1]VENTAS(RESUMEN GLOBAL)'!L860</f>
        <v>0</v>
      </c>
      <c r="B860" s="6">
        <f>+'[1]VENTAS(RESUMEN GLOBAL)'!M860</f>
        <v>0</v>
      </c>
      <c r="C860">
        <f>+'[1]VENTAS(RESUMEN GLOBAL)'!B860</f>
        <v>0</v>
      </c>
      <c r="D860" t="e">
        <f>INDEX('[1]CÓDIGOS DE PRODUCTO'!$D$3:$D$1000,MATCH(C860,'[1]CÓDIGOS DE PRODUCTO'!$A$3:$A$1000,0))</f>
        <v>#N/A</v>
      </c>
      <c r="E860">
        <f>VLOOKUP(C860,'[1]CÓDIGOS DE PRODUCTO'!$A$4:$B$156,2,FALSE)</f>
        <v>0</v>
      </c>
      <c r="F860">
        <f>INDEX('[1]CÓDIGOS DE PRODUCTO'!$C$3:$C$1000,MATCH(C860,'[1]CÓDIGOS DE PRODUCTO'!$A$3:$A$1000,0))</f>
        <v>0</v>
      </c>
      <c r="G860">
        <f>+'[1]VENTAS(RESUMEN GLOBAL)'!D860-'[1]VENTAS(RESUMEN GLOBAL)'!E860</f>
        <v>0</v>
      </c>
      <c r="H860" s="9">
        <f>+'[1]VENTAS(RESUMEN GLOBAL)'!K860</f>
        <v>0</v>
      </c>
      <c r="I860" s="8">
        <f>+G860*'[1]VENTAS(RESUMEN GLOBAL)'!F860</f>
        <v>0</v>
      </c>
      <c r="J860" s="8">
        <f>'[1]VENTAS(RESUMEN GLOBAL)'!G860*(1-'[1]VENTAS(RESUMEN GLOBAL)'!H860)</f>
        <v>0</v>
      </c>
      <c r="K860" s="8">
        <f t="shared" si="13"/>
        <v>0</v>
      </c>
      <c r="L860" s="8">
        <f>+'[1]VENTAS(RESUMEN GLOBAL)'!J860</f>
        <v>0</v>
      </c>
      <c r="M860" s="8">
        <f>+Tabla1[[#This Row],[utilidad x dia]]*7</f>
        <v>0</v>
      </c>
    </row>
    <row r="861" spans="1:13" x14ac:dyDescent="0.3">
      <c r="A861" s="6">
        <f>+'[1]VENTAS(RESUMEN GLOBAL)'!L861</f>
        <v>0</v>
      </c>
      <c r="B861" s="6">
        <f>+'[1]VENTAS(RESUMEN GLOBAL)'!M861</f>
        <v>0</v>
      </c>
      <c r="C861">
        <f>+'[1]VENTAS(RESUMEN GLOBAL)'!B861</f>
        <v>0</v>
      </c>
      <c r="D861" t="e">
        <f>INDEX('[1]CÓDIGOS DE PRODUCTO'!$D$3:$D$1000,MATCH(C861,'[1]CÓDIGOS DE PRODUCTO'!$A$3:$A$1000,0))</f>
        <v>#N/A</v>
      </c>
      <c r="E861">
        <f>VLOOKUP(C861,'[1]CÓDIGOS DE PRODUCTO'!$A$4:$B$156,2,FALSE)</f>
        <v>0</v>
      </c>
      <c r="F861">
        <f>INDEX('[1]CÓDIGOS DE PRODUCTO'!$C$3:$C$1000,MATCH(C861,'[1]CÓDIGOS DE PRODUCTO'!$A$3:$A$1000,0))</f>
        <v>0</v>
      </c>
      <c r="G861">
        <f>+'[1]VENTAS(RESUMEN GLOBAL)'!D861-'[1]VENTAS(RESUMEN GLOBAL)'!E861</f>
        <v>0</v>
      </c>
      <c r="H861" s="9">
        <f>+'[1]VENTAS(RESUMEN GLOBAL)'!K861</f>
        <v>0</v>
      </c>
      <c r="I861" s="8">
        <f>+G861*'[1]VENTAS(RESUMEN GLOBAL)'!F861</f>
        <v>0</v>
      </c>
      <c r="J861" s="8">
        <f>'[1]VENTAS(RESUMEN GLOBAL)'!G861*(1-'[1]VENTAS(RESUMEN GLOBAL)'!H861)</f>
        <v>0</v>
      </c>
      <c r="K861" s="8">
        <f t="shared" si="13"/>
        <v>0</v>
      </c>
      <c r="L861" s="8">
        <f>+'[1]VENTAS(RESUMEN GLOBAL)'!J861</f>
        <v>0</v>
      </c>
      <c r="M861" s="8">
        <f>+Tabla1[[#This Row],[utilidad x dia]]*7</f>
        <v>0</v>
      </c>
    </row>
    <row r="862" spans="1:13" x14ac:dyDescent="0.3">
      <c r="A862" s="6">
        <f>+'[1]VENTAS(RESUMEN GLOBAL)'!L862</f>
        <v>0</v>
      </c>
      <c r="B862" s="6">
        <f>+'[1]VENTAS(RESUMEN GLOBAL)'!M862</f>
        <v>0</v>
      </c>
      <c r="C862">
        <f>+'[1]VENTAS(RESUMEN GLOBAL)'!B862</f>
        <v>0</v>
      </c>
      <c r="D862" t="e">
        <f>INDEX('[1]CÓDIGOS DE PRODUCTO'!$D$3:$D$1000,MATCH(C862,'[1]CÓDIGOS DE PRODUCTO'!$A$3:$A$1000,0))</f>
        <v>#N/A</v>
      </c>
      <c r="E862">
        <f>VLOOKUP(C862,'[1]CÓDIGOS DE PRODUCTO'!$A$4:$B$156,2,FALSE)</f>
        <v>0</v>
      </c>
      <c r="F862">
        <f>INDEX('[1]CÓDIGOS DE PRODUCTO'!$C$3:$C$1000,MATCH(C862,'[1]CÓDIGOS DE PRODUCTO'!$A$3:$A$1000,0))</f>
        <v>0</v>
      </c>
      <c r="G862">
        <f>+'[1]VENTAS(RESUMEN GLOBAL)'!D862-'[1]VENTAS(RESUMEN GLOBAL)'!E862</f>
        <v>0</v>
      </c>
      <c r="H862" s="9">
        <f>+'[1]VENTAS(RESUMEN GLOBAL)'!K862</f>
        <v>0</v>
      </c>
      <c r="I862" s="8">
        <f>+G862*'[1]VENTAS(RESUMEN GLOBAL)'!F862</f>
        <v>0</v>
      </c>
      <c r="J862" s="8">
        <f>'[1]VENTAS(RESUMEN GLOBAL)'!G862*(1-'[1]VENTAS(RESUMEN GLOBAL)'!H862)</f>
        <v>0</v>
      </c>
      <c r="K862" s="8">
        <f t="shared" si="13"/>
        <v>0</v>
      </c>
      <c r="L862" s="8">
        <f>+'[1]VENTAS(RESUMEN GLOBAL)'!J862</f>
        <v>0</v>
      </c>
      <c r="M862" s="8">
        <f>+Tabla1[[#This Row],[utilidad x dia]]*7</f>
        <v>0</v>
      </c>
    </row>
    <row r="863" spans="1:13" x14ac:dyDescent="0.3">
      <c r="A863" s="6">
        <f>+'[1]VENTAS(RESUMEN GLOBAL)'!L863</f>
        <v>0</v>
      </c>
      <c r="B863" s="6">
        <f>+'[1]VENTAS(RESUMEN GLOBAL)'!M863</f>
        <v>0</v>
      </c>
      <c r="C863">
        <f>+'[1]VENTAS(RESUMEN GLOBAL)'!B863</f>
        <v>0</v>
      </c>
      <c r="D863" t="e">
        <f>INDEX('[1]CÓDIGOS DE PRODUCTO'!$D$3:$D$1000,MATCH(C863,'[1]CÓDIGOS DE PRODUCTO'!$A$3:$A$1000,0))</f>
        <v>#N/A</v>
      </c>
      <c r="E863">
        <f>VLOOKUP(C863,'[1]CÓDIGOS DE PRODUCTO'!$A$4:$B$156,2,FALSE)</f>
        <v>0</v>
      </c>
      <c r="F863">
        <f>INDEX('[1]CÓDIGOS DE PRODUCTO'!$C$3:$C$1000,MATCH(C863,'[1]CÓDIGOS DE PRODUCTO'!$A$3:$A$1000,0))</f>
        <v>0</v>
      </c>
      <c r="G863">
        <f>+'[1]VENTAS(RESUMEN GLOBAL)'!D863-'[1]VENTAS(RESUMEN GLOBAL)'!E863</f>
        <v>0</v>
      </c>
      <c r="H863" s="9">
        <f>+'[1]VENTAS(RESUMEN GLOBAL)'!K863</f>
        <v>0</v>
      </c>
      <c r="I863" s="8">
        <f>+G863*'[1]VENTAS(RESUMEN GLOBAL)'!F863</f>
        <v>0</v>
      </c>
      <c r="J863" s="8">
        <f>'[1]VENTAS(RESUMEN GLOBAL)'!G863*(1-'[1]VENTAS(RESUMEN GLOBAL)'!H863)</f>
        <v>0</v>
      </c>
      <c r="K863" s="8">
        <f t="shared" si="13"/>
        <v>0</v>
      </c>
      <c r="L863" s="8">
        <f>+'[1]VENTAS(RESUMEN GLOBAL)'!J863</f>
        <v>0</v>
      </c>
      <c r="M863" s="8">
        <f>+Tabla1[[#This Row],[utilidad x dia]]*7</f>
        <v>0</v>
      </c>
    </row>
    <row r="864" spans="1:13" x14ac:dyDescent="0.3">
      <c r="A864" s="6">
        <f>+'[1]VENTAS(RESUMEN GLOBAL)'!L864</f>
        <v>0</v>
      </c>
      <c r="B864" s="6">
        <f>+'[1]VENTAS(RESUMEN GLOBAL)'!M864</f>
        <v>0</v>
      </c>
      <c r="C864">
        <f>+'[1]VENTAS(RESUMEN GLOBAL)'!B864</f>
        <v>0</v>
      </c>
      <c r="D864" t="e">
        <f>INDEX('[1]CÓDIGOS DE PRODUCTO'!$D$3:$D$1000,MATCH(C864,'[1]CÓDIGOS DE PRODUCTO'!$A$3:$A$1000,0))</f>
        <v>#N/A</v>
      </c>
      <c r="E864">
        <f>VLOOKUP(C864,'[1]CÓDIGOS DE PRODUCTO'!$A$4:$B$156,2,FALSE)</f>
        <v>0</v>
      </c>
      <c r="F864">
        <f>INDEX('[1]CÓDIGOS DE PRODUCTO'!$C$3:$C$1000,MATCH(C864,'[1]CÓDIGOS DE PRODUCTO'!$A$3:$A$1000,0))</f>
        <v>0</v>
      </c>
      <c r="G864">
        <f>+'[1]VENTAS(RESUMEN GLOBAL)'!D864-'[1]VENTAS(RESUMEN GLOBAL)'!E864</f>
        <v>0</v>
      </c>
      <c r="H864" s="9">
        <f>+'[1]VENTAS(RESUMEN GLOBAL)'!K864</f>
        <v>0</v>
      </c>
      <c r="I864" s="8">
        <f>+G864*'[1]VENTAS(RESUMEN GLOBAL)'!F864</f>
        <v>0</v>
      </c>
      <c r="J864" s="8">
        <f>'[1]VENTAS(RESUMEN GLOBAL)'!G864*(1-'[1]VENTAS(RESUMEN GLOBAL)'!H864)</f>
        <v>0</v>
      </c>
      <c r="K864" s="8">
        <f t="shared" si="13"/>
        <v>0</v>
      </c>
      <c r="L864" s="8">
        <f>+'[1]VENTAS(RESUMEN GLOBAL)'!J864</f>
        <v>0</v>
      </c>
      <c r="M864" s="8">
        <f>+Tabla1[[#This Row],[utilidad x dia]]*7</f>
        <v>0</v>
      </c>
    </row>
    <row r="865" spans="1:13" x14ac:dyDescent="0.3">
      <c r="A865" s="6">
        <f>+'[1]VENTAS(RESUMEN GLOBAL)'!L865</f>
        <v>0</v>
      </c>
      <c r="B865" s="6">
        <f>+'[1]VENTAS(RESUMEN GLOBAL)'!M865</f>
        <v>0</v>
      </c>
      <c r="C865">
        <f>+'[1]VENTAS(RESUMEN GLOBAL)'!B865</f>
        <v>0</v>
      </c>
      <c r="D865" t="e">
        <f>INDEX('[1]CÓDIGOS DE PRODUCTO'!$D$3:$D$1000,MATCH(C865,'[1]CÓDIGOS DE PRODUCTO'!$A$3:$A$1000,0))</f>
        <v>#N/A</v>
      </c>
      <c r="E865">
        <f>VLOOKUP(C865,'[1]CÓDIGOS DE PRODUCTO'!$A$4:$B$156,2,FALSE)</f>
        <v>0</v>
      </c>
      <c r="F865">
        <f>INDEX('[1]CÓDIGOS DE PRODUCTO'!$C$3:$C$1000,MATCH(C865,'[1]CÓDIGOS DE PRODUCTO'!$A$3:$A$1000,0))</f>
        <v>0</v>
      </c>
      <c r="G865">
        <f>+'[1]VENTAS(RESUMEN GLOBAL)'!D865-'[1]VENTAS(RESUMEN GLOBAL)'!E865</f>
        <v>0</v>
      </c>
      <c r="H865" s="9">
        <f>+'[1]VENTAS(RESUMEN GLOBAL)'!K865</f>
        <v>0</v>
      </c>
      <c r="I865" s="8">
        <f>+G865*'[1]VENTAS(RESUMEN GLOBAL)'!F865</f>
        <v>0</v>
      </c>
      <c r="J865" s="8">
        <f>'[1]VENTAS(RESUMEN GLOBAL)'!G865*(1-'[1]VENTAS(RESUMEN GLOBAL)'!H865)</f>
        <v>0</v>
      </c>
      <c r="K865" s="8">
        <f t="shared" si="13"/>
        <v>0</v>
      </c>
      <c r="L865" s="8">
        <f>+'[1]VENTAS(RESUMEN GLOBAL)'!J865</f>
        <v>0</v>
      </c>
      <c r="M865" s="8">
        <f>+Tabla1[[#This Row],[utilidad x dia]]*7</f>
        <v>0</v>
      </c>
    </row>
    <row r="866" spans="1:13" x14ac:dyDescent="0.3">
      <c r="A866" s="6">
        <f>+'[1]VENTAS(RESUMEN GLOBAL)'!L866</f>
        <v>0</v>
      </c>
      <c r="B866" s="6">
        <f>+'[1]VENTAS(RESUMEN GLOBAL)'!M866</f>
        <v>0</v>
      </c>
      <c r="C866">
        <f>+'[1]VENTAS(RESUMEN GLOBAL)'!B866</f>
        <v>0</v>
      </c>
      <c r="D866" t="e">
        <f>INDEX('[1]CÓDIGOS DE PRODUCTO'!$D$3:$D$1000,MATCH(C866,'[1]CÓDIGOS DE PRODUCTO'!$A$3:$A$1000,0))</f>
        <v>#N/A</v>
      </c>
      <c r="E866">
        <f>VLOOKUP(C866,'[1]CÓDIGOS DE PRODUCTO'!$A$4:$B$156,2,FALSE)</f>
        <v>0</v>
      </c>
      <c r="F866">
        <f>INDEX('[1]CÓDIGOS DE PRODUCTO'!$C$3:$C$1000,MATCH(C866,'[1]CÓDIGOS DE PRODUCTO'!$A$3:$A$1000,0))</f>
        <v>0</v>
      </c>
      <c r="G866">
        <f>+'[1]VENTAS(RESUMEN GLOBAL)'!D866-'[1]VENTAS(RESUMEN GLOBAL)'!E866</f>
        <v>0</v>
      </c>
      <c r="H866" s="9">
        <f>+'[1]VENTAS(RESUMEN GLOBAL)'!K866</f>
        <v>0</v>
      </c>
      <c r="I866" s="8">
        <f>+G866*'[1]VENTAS(RESUMEN GLOBAL)'!F866</f>
        <v>0</v>
      </c>
      <c r="J866" s="8">
        <f>'[1]VENTAS(RESUMEN GLOBAL)'!G866*(1-'[1]VENTAS(RESUMEN GLOBAL)'!H866)</f>
        <v>0</v>
      </c>
      <c r="K866" s="8">
        <f t="shared" si="13"/>
        <v>0</v>
      </c>
      <c r="L866" s="8">
        <f>+'[1]VENTAS(RESUMEN GLOBAL)'!J866</f>
        <v>0</v>
      </c>
      <c r="M866" s="8">
        <f>+Tabla1[[#This Row],[utilidad x dia]]*7</f>
        <v>0</v>
      </c>
    </row>
    <row r="867" spans="1:13" x14ac:dyDescent="0.3">
      <c r="A867" s="6">
        <f>+'[1]VENTAS(RESUMEN GLOBAL)'!L867</f>
        <v>0</v>
      </c>
      <c r="B867" s="6">
        <f>+'[1]VENTAS(RESUMEN GLOBAL)'!M867</f>
        <v>0</v>
      </c>
      <c r="C867">
        <f>+'[1]VENTAS(RESUMEN GLOBAL)'!B867</f>
        <v>0</v>
      </c>
      <c r="D867" t="e">
        <f>INDEX('[1]CÓDIGOS DE PRODUCTO'!$D$3:$D$1000,MATCH(C867,'[1]CÓDIGOS DE PRODUCTO'!$A$3:$A$1000,0))</f>
        <v>#N/A</v>
      </c>
      <c r="E867">
        <f>VLOOKUP(C867,'[1]CÓDIGOS DE PRODUCTO'!$A$4:$B$156,2,FALSE)</f>
        <v>0</v>
      </c>
      <c r="F867">
        <f>INDEX('[1]CÓDIGOS DE PRODUCTO'!$C$3:$C$1000,MATCH(C867,'[1]CÓDIGOS DE PRODUCTO'!$A$3:$A$1000,0))</f>
        <v>0</v>
      </c>
      <c r="G867">
        <f>+'[1]VENTAS(RESUMEN GLOBAL)'!D867-'[1]VENTAS(RESUMEN GLOBAL)'!E867</f>
        <v>0</v>
      </c>
      <c r="H867" s="9">
        <f>+'[1]VENTAS(RESUMEN GLOBAL)'!K867</f>
        <v>0</v>
      </c>
      <c r="I867" s="8">
        <f>+G867*'[1]VENTAS(RESUMEN GLOBAL)'!F867</f>
        <v>0</v>
      </c>
      <c r="J867" s="8">
        <f>'[1]VENTAS(RESUMEN GLOBAL)'!G867*(1-'[1]VENTAS(RESUMEN GLOBAL)'!H867)</f>
        <v>0</v>
      </c>
      <c r="K867" s="8">
        <f t="shared" si="13"/>
        <v>0</v>
      </c>
      <c r="L867" s="8">
        <f>+'[1]VENTAS(RESUMEN GLOBAL)'!J867</f>
        <v>0</v>
      </c>
      <c r="M867" s="8">
        <f>+Tabla1[[#This Row],[utilidad x dia]]*7</f>
        <v>0</v>
      </c>
    </row>
    <row r="868" spans="1:13" x14ac:dyDescent="0.3">
      <c r="A868" s="6">
        <f>+'[1]VENTAS(RESUMEN GLOBAL)'!L868</f>
        <v>0</v>
      </c>
      <c r="B868" s="6">
        <f>+'[1]VENTAS(RESUMEN GLOBAL)'!M868</f>
        <v>0</v>
      </c>
      <c r="C868">
        <f>+'[1]VENTAS(RESUMEN GLOBAL)'!B868</f>
        <v>0</v>
      </c>
      <c r="D868" t="e">
        <f>INDEX('[1]CÓDIGOS DE PRODUCTO'!$D$3:$D$1000,MATCH(C868,'[1]CÓDIGOS DE PRODUCTO'!$A$3:$A$1000,0))</f>
        <v>#N/A</v>
      </c>
      <c r="E868">
        <f>VLOOKUP(C868,'[1]CÓDIGOS DE PRODUCTO'!$A$4:$B$156,2,FALSE)</f>
        <v>0</v>
      </c>
      <c r="F868">
        <f>INDEX('[1]CÓDIGOS DE PRODUCTO'!$C$3:$C$1000,MATCH(C868,'[1]CÓDIGOS DE PRODUCTO'!$A$3:$A$1000,0))</f>
        <v>0</v>
      </c>
      <c r="G868">
        <f>+'[1]VENTAS(RESUMEN GLOBAL)'!D868-'[1]VENTAS(RESUMEN GLOBAL)'!E868</f>
        <v>0</v>
      </c>
      <c r="H868" s="9">
        <f>+'[1]VENTAS(RESUMEN GLOBAL)'!K868</f>
        <v>0</v>
      </c>
      <c r="I868" s="8">
        <f>+G868*'[1]VENTAS(RESUMEN GLOBAL)'!F868</f>
        <v>0</v>
      </c>
      <c r="J868" s="8">
        <f>'[1]VENTAS(RESUMEN GLOBAL)'!G868*(1-'[1]VENTAS(RESUMEN GLOBAL)'!H868)</f>
        <v>0</v>
      </c>
      <c r="K868" s="8">
        <f t="shared" si="13"/>
        <v>0</v>
      </c>
      <c r="L868" s="8">
        <f>+'[1]VENTAS(RESUMEN GLOBAL)'!J868</f>
        <v>0</v>
      </c>
      <c r="M868" s="8">
        <f>+Tabla1[[#This Row],[utilidad x dia]]*7</f>
        <v>0</v>
      </c>
    </row>
    <row r="869" spans="1:13" x14ac:dyDescent="0.3">
      <c r="A869" s="6">
        <f>+'[1]VENTAS(RESUMEN GLOBAL)'!L869</f>
        <v>0</v>
      </c>
      <c r="B869" s="6">
        <f>+'[1]VENTAS(RESUMEN GLOBAL)'!M869</f>
        <v>0</v>
      </c>
      <c r="C869">
        <f>+'[1]VENTAS(RESUMEN GLOBAL)'!B869</f>
        <v>0</v>
      </c>
      <c r="D869" t="e">
        <f>INDEX('[1]CÓDIGOS DE PRODUCTO'!$D$3:$D$1000,MATCH(C869,'[1]CÓDIGOS DE PRODUCTO'!$A$3:$A$1000,0))</f>
        <v>#N/A</v>
      </c>
      <c r="E869">
        <f>VLOOKUP(C869,'[1]CÓDIGOS DE PRODUCTO'!$A$4:$B$156,2,FALSE)</f>
        <v>0</v>
      </c>
      <c r="F869">
        <f>INDEX('[1]CÓDIGOS DE PRODUCTO'!$C$3:$C$1000,MATCH(C869,'[1]CÓDIGOS DE PRODUCTO'!$A$3:$A$1000,0))</f>
        <v>0</v>
      </c>
      <c r="G869">
        <f>+'[1]VENTAS(RESUMEN GLOBAL)'!D869-'[1]VENTAS(RESUMEN GLOBAL)'!E869</f>
        <v>0</v>
      </c>
      <c r="H869" s="9">
        <f>+'[1]VENTAS(RESUMEN GLOBAL)'!K869</f>
        <v>0</v>
      </c>
      <c r="I869" s="8">
        <f>+G869*'[1]VENTAS(RESUMEN GLOBAL)'!F869</f>
        <v>0</v>
      </c>
      <c r="J869" s="8">
        <f>'[1]VENTAS(RESUMEN GLOBAL)'!G869*(1-'[1]VENTAS(RESUMEN GLOBAL)'!H869)</f>
        <v>0</v>
      </c>
      <c r="K869" s="8">
        <f t="shared" si="13"/>
        <v>0</v>
      </c>
      <c r="L869" s="8">
        <f>+'[1]VENTAS(RESUMEN GLOBAL)'!J869</f>
        <v>0</v>
      </c>
      <c r="M869" s="8">
        <f>+Tabla1[[#This Row],[utilidad x dia]]*7</f>
        <v>0</v>
      </c>
    </row>
    <row r="870" spans="1:13" x14ac:dyDescent="0.3">
      <c r="A870" s="6">
        <f>+'[1]VENTAS(RESUMEN GLOBAL)'!L870</f>
        <v>0</v>
      </c>
      <c r="B870" s="6">
        <f>+'[1]VENTAS(RESUMEN GLOBAL)'!M870</f>
        <v>0</v>
      </c>
      <c r="C870">
        <f>+'[1]VENTAS(RESUMEN GLOBAL)'!B870</f>
        <v>0</v>
      </c>
      <c r="D870" t="e">
        <f>INDEX('[1]CÓDIGOS DE PRODUCTO'!$D$3:$D$1000,MATCH(C870,'[1]CÓDIGOS DE PRODUCTO'!$A$3:$A$1000,0))</f>
        <v>#N/A</v>
      </c>
      <c r="E870">
        <f>VLOOKUP(C870,'[1]CÓDIGOS DE PRODUCTO'!$A$4:$B$156,2,FALSE)</f>
        <v>0</v>
      </c>
      <c r="F870">
        <f>INDEX('[1]CÓDIGOS DE PRODUCTO'!$C$3:$C$1000,MATCH(C870,'[1]CÓDIGOS DE PRODUCTO'!$A$3:$A$1000,0))</f>
        <v>0</v>
      </c>
      <c r="G870">
        <f>+'[1]VENTAS(RESUMEN GLOBAL)'!D870-'[1]VENTAS(RESUMEN GLOBAL)'!E870</f>
        <v>0</v>
      </c>
      <c r="H870" s="9">
        <f>+'[1]VENTAS(RESUMEN GLOBAL)'!K870</f>
        <v>0</v>
      </c>
      <c r="I870" s="8">
        <f>+G870*'[1]VENTAS(RESUMEN GLOBAL)'!F870</f>
        <v>0</v>
      </c>
      <c r="J870" s="8">
        <f>'[1]VENTAS(RESUMEN GLOBAL)'!G870*(1-'[1]VENTAS(RESUMEN GLOBAL)'!H870)</f>
        <v>0</v>
      </c>
      <c r="K870" s="8">
        <f t="shared" si="13"/>
        <v>0</v>
      </c>
      <c r="L870" s="8">
        <f>+'[1]VENTAS(RESUMEN GLOBAL)'!J870</f>
        <v>0</v>
      </c>
      <c r="M870" s="8">
        <f>+Tabla1[[#This Row],[utilidad x dia]]*7</f>
        <v>0</v>
      </c>
    </row>
    <row r="871" spans="1:13" x14ac:dyDescent="0.3">
      <c r="A871" s="6">
        <f>+'[1]VENTAS(RESUMEN GLOBAL)'!L871</f>
        <v>0</v>
      </c>
      <c r="B871" s="6">
        <f>+'[1]VENTAS(RESUMEN GLOBAL)'!M871</f>
        <v>0</v>
      </c>
      <c r="C871">
        <f>+'[1]VENTAS(RESUMEN GLOBAL)'!B871</f>
        <v>0</v>
      </c>
      <c r="D871" t="e">
        <f>INDEX('[1]CÓDIGOS DE PRODUCTO'!$D$3:$D$1000,MATCH(C871,'[1]CÓDIGOS DE PRODUCTO'!$A$3:$A$1000,0))</f>
        <v>#N/A</v>
      </c>
      <c r="E871">
        <f>VLOOKUP(C871,'[1]CÓDIGOS DE PRODUCTO'!$A$4:$B$156,2,FALSE)</f>
        <v>0</v>
      </c>
      <c r="F871">
        <f>INDEX('[1]CÓDIGOS DE PRODUCTO'!$C$3:$C$1000,MATCH(C871,'[1]CÓDIGOS DE PRODUCTO'!$A$3:$A$1000,0))</f>
        <v>0</v>
      </c>
      <c r="G871">
        <f>+'[1]VENTAS(RESUMEN GLOBAL)'!D871-'[1]VENTAS(RESUMEN GLOBAL)'!E871</f>
        <v>0</v>
      </c>
      <c r="H871" s="9">
        <f>+'[1]VENTAS(RESUMEN GLOBAL)'!K871</f>
        <v>0</v>
      </c>
      <c r="I871" s="8">
        <f>+G871*'[1]VENTAS(RESUMEN GLOBAL)'!F871</f>
        <v>0</v>
      </c>
      <c r="J871" s="8">
        <f>'[1]VENTAS(RESUMEN GLOBAL)'!G871*(1-'[1]VENTAS(RESUMEN GLOBAL)'!H871)</f>
        <v>0</v>
      </c>
      <c r="K871" s="8">
        <f t="shared" si="13"/>
        <v>0</v>
      </c>
      <c r="L871" s="8">
        <f>+'[1]VENTAS(RESUMEN GLOBAL)'!J871</f>
        <v>0</v>
      </c>
      <c r="M871" s="8">
        <f>+Tabla1[[#This Row],[utilidad x dia]]*7</f>
        <v>0</v>
      </c>
    </row>
    <row r="872" spans="1:13" x14ac:dyDescent="0.3">
      <c r="A872" s="6">
        <f>+'[1]VENTAS(RESUMEN GLOBAL)'!L872</f>
        <v>0</v>
      </c>
      <c r="B872" s="6">
        <f>+'[1]VENTAS(RESUMEN GLOBAL)'!M872</f>
        <v>0</v>
      </c>
      <c r="C872">
        <f>+'[1]VENTAS(RESUMEN GLOBAL)'!B872</f>
        <v>0</v>
      </c>
      <c r="D872" t="e">
        <f>INDEX('[1]CÓDIGOS DE PRODUCTO'!$D$3:$D$1000,MATCH(C872,'[1]CÓDIGOS DE PRODUCTO'!$A$3:$A$1000,0))</f>
        <v>#N/A</v>
      </c>
      <c r="E872">
        <f>VLOOKUP(C872,'[1]CÓDIGOS DE PRODUCTO'!$A$4:$B$156,2,FALSE)</f>
        <v>0</v>
      </c>
      <c r="F872">
        <f>INDEX('[1]CÓDIGOS DE PRODUCTO'!$C$3:$C$1000,MATCH(C872,'[1]CÓDIGOS DE PRODUCTO'!$A$3:$A$1000,0))</f>
        <v>0</v>
      </c>
      <c r="G872">
        <f>+'[1]VENTAS(RESUMEN GLOBAL)'!D872-'[1]VENTAS(RESUMEN GLOBAL)'!E872</f>
        <v>0</v>
      </c>
      <c r="H872" s="9">
        <f>+'[1]VENTAS(RESUMEN GLOBAL)'!K872</f>
        <v>0</v>
      </c>
      <c r="I872" s="8">
        <f>+G872*'[1]VENTAS(RESUMEN GLOBAL)'!F872</f>
        <v>0</v>
      </c>
      <c r="J872" s="8">
        <f>'[1]VENTAS(RESUMEN GLOBAL)'!G872*(1-'[1]VENTAS(RESUMEN GLOBAL)'!H872)</f>
        <v>0</v>
      </c>
      <c r="K872" s="8">
        <f t="shared" si="13"/>
        <v>0</v>
      </c>
      <c r="L872" s="8">
        <f>+'[1]VENTAS(RESUMEN GLOBAL)'!J872</f>
        <v>0</v>
      </c>
      <c r="M872" s="8">
        <f>+Tabla1[[#This Row],[utilidad x dia]]*7</f>
        <v>0</v>
      </c>
    </row>
    <row r="873" spans="1:13" x14ac:dyDescent="0.3">
      <c r="A873" s="6">
        <f>+'[1]VENTAS(RESUMEN GLOBAL)'!L873</f>
        <v>0</v>
      </c>
      <c r="B873" s="6">
        <f>+'[1]VENTAS(RESUMEN GLOBAL)'!M873</f>
        <v>0</v>
      </c>
      <c r="C873">
        <f>+'[1]VENTAS(RESUMEN GLOBAL)'!B873</f>
        <v>0</v>
      </c>
      <c r="D873" t="e">
        <f>INDEX('[1]CÓDIGOS DE PRODUCTO'!$D$3:$D$1000,MATCH(C873,'[1]CÓDIGOS DE PRODUCTO'!$A$3:$A$1000,0))</f>
        <v>#N/A</v>
      </c>
      <c r="E873">
        <f>VLOOKUP(C873,'[1]CÓDIGOS DE PRODUCTO'!$A$4:$B$156,2,FALSE)</f>
        <v>0</v>
      </c>
      <c r="F873">
        <f>INDEX('[1]CÓDIGOS DE PRODUCTO'!$C$3:$C$1000,MATCH(C873,'[1]CÓDIGOS DE PRODUCTO'!$A$3:$A$1000,0))</f>
        <v>0</v>
      </c>
      <c r="G873">
        <f>+'[1]VENTAS(RESUMEN GLOBAL)'!D873-'[1]VENTAS(RESUMEN GLOBAL)'!E873</f>
        <v>0</v>
      </c>
      <c r="H873" s="9">
        <f>+'[1]VENTAS(RESUMEN GLOBAL)'!K873</f>
        <v>0</v>
      </c>
      <c r="I873" s="8">
        <f>+G873*'[1]VENTAS(RESUMEN GLOBAL)'!F873</f>
        <v>0</v>
      </c>
      <c r="J873" s="8">
        <f>'[1]VENTAS(RESUMEN GLOBAL)'!G873*(1-'[1]VENTAS(RESUMEN GLOBAL)'!H873)</f>
        <v>0</v>
      </c>
      <c r="K873" s="8">
        <f t="shared" si="13"/>
        <v>0</v>
      </c>
      <c r="L873" s="8">
        <f>+'[1]VENTAS(RESUMEN GLOBAL)'!J873</f>
        <v>0</v>
      </c>
      <c r="M873" s="8">
        <f>+Tabla1[[#This Row],[utilidad x dia]]*7</f>
        <v>0</v>
      </c>
    </row>
    <row r="874" spans="1:13" x14ac:dyDescent="0.3">
      <c r="A874" s="6">
        <f>+'[1]VENTAS(RESUMEN GLOBAL)'!L874</f>
        <v>0</v>
      </c>
      <c r="B874" s="6">
        <f>+'[1]VENTAS(RESUMEN GLOBAL)'!M874</f>
        <v>0</v>
      </c>
      <c r="C874">
        <f>+'[1]VENTAS(RESUMEN GLOBAL)'!B874</f>
        <v>0</v>
      </c>
      <c r="D874" t="e">
        <f>INDEX('[1]CÓDIGOS DE PRODUCTO'!$D$3:$D$1000,MATCH(C874,'[1]CÓDIGOS DE PRODUCTO'!$A$3:$A$1000,0))</f>
        <v>#N/A</v>
      </c>
      <c r="E874">
        <f>VLOOKUP(C874,'[1]CÓDIGOS DE PRODUCTO'!$A$4:$B$156,2,FALSE)</f>
        <v>0</v>
      </c>
      <c r="F874">
        <f>INDEX('[1]CÓDIGOS DE PRODUCTO'!$C$3:$C$1000,MATCH(C874,'[1]CÓDIGOS DE PRODUCTO'!$A$3:$A$1000,0))</f>
        <v>0</v>
      </c>
      <c r="G874">
        <f>+'[1]VENTAS(RESUMEN GLOBAL)'!D874-'[1]VENTAS(RESUMEN GLOBAL)'!E874</f>
        <v>0</v>
      </c>
      <c r="H874" s="9">
        <f>+'[1]VENTAS(RESUMEN GLOBAL)'!K874</f>
        <v>0</v>
      </c>
      <c r="I874" s="8">
        <f>+G874*'[1]VENTAS(RESUMEN GLOBAL)'!F874</f>
        <v>0</v>
      </c>
      <c r="J874" s="8">
        <f>'[1]VENTAS(RESUMEN GLOBAL)'!G874*(1-'[1]VENTAS(RESUMEN GLOBAL)'!H874)</f>
        <v>0</v>
      </c>
      <c r="K874" s="8">
        <f t="shared" si="13"/>
        <v>0</v>
      </c>
      <c r="L874" s="8">
        <f>+'[1]VENTAS(RESUMEN GLOBAL)'!J874</f>
        <v>0</v>
      </c>
      <c r="M874" s="8">
        <f>+Tabla1[[#This Row],[utilidad x dia]]*7</f>
        <v>0</v>
      </c>
    </row>
    <row r="875" spans="1:13" x14ac:dyDescent="0.3">
      <c r="A875" s="6">
        <f>+'[1]VENTAS(RESUMEN GLOBAL)'!L875</f>
        <v>0</v>
      </c>
      <c r="B875" s="6">
        <f>+'[1]VENTAS(RESUMEN GLOBAL)'!M875</f>
        <v>0</v>
      </c>
      <c r="C875">
        <f>+'[1]VENTAS(RESUMEN GLOBAL)'!B875</f>
        <v>0</v>
      </c>
      <c r="D875" t="e">
        <f>INDEX('[1]CÓDIGOS DE PRODUCTO'!$D$3:$D$1000,MATCH(C875,'[1]CÓDIGOS DE PRODUCTO'!$A$3:$A$1000,0))</f>
        <v>#N/A</v>
      </c>
      <c r="E875">
        <f>VLOOKUP(C875,'[1]CÓDIGOS DE PRODUCTO'!$A$4:$B$156,2,FALSE)</f>
        <v>0</v>
      </c>
      <c r="F875">
        <f>INDEX('[1]CÓDIGOS DE PRODUCTO'!$C$3:$C$1000,MATCH(C875,'[1]CÓDIGOS DE PRODUCTO'!$A$3:$A$1000,0))</f>
        <v>0</v>
      </c>
      <c r="G875">
        <f>+'[1]VENTAS(RESUMEN GLOBAL)'!D875-'[1]VENTAS(RESUMEN GLOBAL)'!E875</f>
        <v>0</v>
      </c>
      <c r="H875" s="9">
        <f>+'[1]VENTAS(RESUMEN GLOBAL)'!K875</f>
        <v>0</v>
      </c>
      <c r="I875" s="8">
        <f>+G875*'[1]VENTAS(RESUMEN GLOBAL)'!F875</f>
        <v>0</v>
      </c>
      <c r="J875" s="8">
        <f>'[1]VENTAS(RESUMEN GLOBAL)'!G875*(1-'[1]VENTAS(RESUMEN GLOBAL)'!H875)</f>
        <v>0</v>
      </c>
      <c r="K875" s="8">
        <f t="shared" si="13"/>
        <v>0</v>
      </c>
      <c r="L875" s="8">
        <f>+'[1]VENTAS(RESUMEN GLOBAL)'!J875</f>
        <v>0</v>
      </c>
      <c r="M875" s="8">
        <f>+Tabla1[[#This Row],[utilidad x dia]]*7</f>
        <v>0</v>
      </c>
    </row>
    <row r="876" spans="1:13" x14ac:dyDescent="0.3">
      <c r="A876" s="6">
        <f>+'[1]VENTAS(RESUMEN GLOBAL)'!L876</f>
        <v>0</v>
      </c>
      <c r="B876" s="6">
        <f>+'[1]VENTAS(RESUMEN GLOBAL)'!M876</f>
        <v>0</v>
      </c>
      <c r="C876">
        <f>+'[1]VENTAS(RESUMEN GLOBAL)'!B876</f>
        <v>0</v>
      </c>
      <c r="D876" t="e">
        <f>INDEX('[1]CÓDIGOS DE PRODUCTO'!$D$3:$D$1000,MATCH(C876,'[1]CÓDIGOS DE PRODUCTO'!$A$3:$A$1000,0))</f>
        <v>#N/A</v>
      </c>
      <c r="E876">
        <f>VLOOKUP(C876,'[1]CÓDIGOS DE PRODUCTO'!$A$4:$B$156,2,FALSE)</f>
        <v>0</v>
      </c>
      <c r="F876">
        <f>INDEX('[1]CÓDIGOS DE PRODUCTO'!$C$3:$C$1000,MATCH(C876,'[1]CÓDIGOS DE PRODUCTO'!$A$3:$A$1000,0))</f>
        <v>0</v>
      </c>
      <c r="G876">
        <f>+'[1]VENTAS(RESUMEN GLOBAL)'!D876-'[1]VENTAS(RESUMEN GLOBAL)'!E876</f>
        <v>0</v>
      </c>
      <c r="H876" s="9">
        <f>+'[1]VENTAS(RESUMEN GLOBAL)'!K876</f>
        <v>0</v>
      </c>
      <c r="I876" s="8">
        <f>+G876*'[1]VENTAS(RESUMEN GLOBAL)'!F876</f>
        <v>0</v>
      </c>
      <c r="J876" s="8">
        <f>'[1]VENTAS(RESUMEN GLOBAL)'!G876*(1-'[1]VENTAS(RESUMEN GLOBAL)'!H876)</f>
        <v>0</v>
      </c>
      <c r="K876" s="8">
        <f t="shared" si="13"/>
        <v>0</v>
      </c>
      <c r="L876" s="8">
        <f>+'[1]VENTAS(RESUMEN GLOBAL)'!J876</f>
        <v>0</v>
      </c>
      <c r="M876" s="8">
        <f>+Tabla1[[#This Row],[utilidad x dia]]*7</f>
        <v>0</v>
      </c>
    </row>
    <row r="877" spans="1:13" x14ac:dyDescent="0.3">
      <c r="A877" s="6">
        <f>+'[1]VENTAS(RESUMEN GLOBAL)'!L877</f>
        <v>0</v>
      </c>
      <c r="B877" s="6">
        <f>+'[1]VENTAS(RESUMEN GLOBAL)'!M877</f>
        <v>0</v>
      </c>
      <c r="C877">
        <f>+'[1]VENTAS(RESUMEN GLOBAL)'!B877</f>
        <v>0</v>
      </c>
      <c r="D877" t="e">
        <f>INDEX('[1]CÓDIGOS DE PRODUCTO'!$D$3:$D$1000,MATCH(C877,'[1]CÓDIGOS DE PRODUCTO'!$A$3:$A$1000,0))</f>
        <v>#N/A</v>
      </c>
      <c r="E877">
        <f>VLOOKUP(C877,'[1]CÓDIGOS DE PRODUCTO'!$A$4:$B$156,2,FALSE)</f>
        <v>0</v>
      </c>
      <c r="F877">
        <f>INDEX('[1]CÓDIGOS DE PRODUCTO'!$C$3:$C$1000,MATCH(C877,'[1]CÓDIGOS DE PRODUCTO'!$A$3:$A$1000,0))</f>
        <v>0</v>
      </c>
      <c r="G877">
        <f>+'[1]VENTAS(RESUMEN GLOBAL)'!D877-'[1]VENTAS(RESUMEN GLOBAL)'!E877</f>
        <v>0</v>
      </c>
      <c r="H877" s="9">
        <f>+'[1]VENTAS(RESUMEN GLOBAL)'!K877</f>
        <v>0</v>
      </c>
      <c r="I877" s="8">
        <f>+G877*'[1]VENTAS(RESUMEN GLOBAL)'!F877</f>
        <v>0</v>
      </c>
      <c r="J877" s="8">
        <f>'[1]VENTAS(RESUMEN GLOBAL)'!G877*(1-'[1]VENTAS(RESUMEN GLOBAL)'!H877)</f>
        <v>0</v>
      </c>
      <c r="K877" s="8">
        <f t="shared" si="13"/>
        <v>0</v>
      </c>
      <c r="L877" s="8">
        <f>+'[1]VENTAS(RESUMEN GLOBAL)'!J877</f>
        <v>0</v>
      </c>
      <c r="M877" s="8">
        <f>+Tabla1[[#This Row],[utilidad x dia]]*7</f>
        <v>0</v>
      </c>
    </row>
    <row r="878" spans="1:13" x14ac:dyDescent="0.3">
      <c r="A878" s="6">
        <f>+'[1]VENTAS(RESUMEN GLOBAL)'!L878</f>
        <v>0</v>
      </c>
      <c r="B878" s="6">
        <f>+'[1]VENTAS(RESUMEN GLOBAL)'!M878</f>
        <v>0</v>
      </c>
      <c r="C878">
        <f>+'[1]VENTAS(RESUMEN GLOBAL)'!B878</f>
        <v>0</v>
      </c>
      <c r="D878" t="e">
        <f>INDEX('[1]CÓDIGOS DE PRODUCTO'!$D$3:$D$1000,MATCH(C878,'[1]CÓDIGOS DE PRODUCTO'!$A$3:$A$1000,0))</f>
        <v>#N/A</v>
      </c>
      <c r="E878">
        <f>VLOOKUP(C878,'[1]CÓDIGOS DE PRODUCTO'!$A$4:$B$156,2,FALSE)</f>
        <v>0</v>
      </c>
      <c r="F878">
        <f>INDEX('[1]CÓDIGOS DE PRODUCTO'!$C$3:$C$1000,MATCH(C878,'[1]CÓDIGOS DE PRODUCTO'!$A$3:$A$1000,0))</f>
        <v>0</v>
      </c>
      <c r="G878">
        <f>+'[1]VENTAS(RESUMEN GLOBAL)'!D878-'[1]VENTAS(RESUMEN GLOBAL)'!E878</f>
        <v>0</v>
      </c>
      <c r="H878" s="9">
        <f>+'[1]VENTAS(RESUMEN GLOBAL)'!K878</f>
        <v>0</v>
      </c>
      <c r="I878" s="8">
        <f>+G878*'[1]VENTAS(RESUMEN GLOBAL)'!F878</f>
        <v>0</v>
      </c>
      <c r="J878" s="8">
        <f>'[1]VENTAS(RESUMEN GLOBAL)'!G878*(1-'[1]VENTAS(RESUMEN GLOBAL)'!H878)</f>
        <v>0</v>
      </c>
      <c r="K878" s="8">
        <f t="shared" si="13"/>
        <v>0</v>
      </c>
      <c r="L878" s="8">
        <f>+'[1]VENTAS(RESUMEN GLOBAL)'!J878</f>
        <v>0</v>
      </c>
      <c r="M878" s="8">
        <f>+Tabla1[[#This Row],[utilidad x dia]]*7</f>
        <v>0</v>
      </c>
    </row>
    <row r="879" spans="1:13" x14ac:dyDescent="0.3">
      <c r="A879" s="6">
        <f>+'[1]VENTAS(RESUMEN GLOBAL)'!L879</f>
        <v>0</v>
      </c>
      <c r="B879" s="6">
        <f>+'[1]VENTAS(RESUMEN GLOBAL)'!M879</f>
        <v>0</v>
      </c>
      <c r="C879">
        <f>+'[1]VENTAS(RESUMEN GLOBAL)'!B879</f>
        <v>0</v>
      </c>
      <c r="D879" t="e">
        <f>INDEX('[1]CÓDIGOS DE PRODUCTO'!$D$3:$D$1000,MATCH(C879,'[1]CÓDIGOS DE PRODUCTO'!$A$3:$A$1000,0))</f>
        <v>#N/A</v>
      </c>
      <c r="E879">
        <f>VLOOKUP(C879,'[1]CÓDIGOS DE PRODUCTO'!$A$4:$B$156,2,FALSE)</f>
        <v>0</v>
      </c>
      <c r="F879">
        <f>INDEX('[1]CÓDIGOS DE PRODUCTO'!$C$3:$C$1000,MATCH(C879,'[1]CÓDIGOS DE PRODUCTO'!$A$3:$A$1000,0))</f>
        <v>0</v>
      </c>
      <c r="G879">
        <f>+'[1]VENTAS(RESUMEN GLOBAL)'!D879-'[1]VENTAS(RESUMEN GLOBAL)'!E879</f>
        <v>0</v>
      </c>
      <c r="H879" s="9">
        <f>+'[1]VENTAS(RESUMEN GLOBAL)'!K879</f>
        <v>0</v>
      </c>
      <c r="I879" s="8">
        <f>+G879*'[1]VENTAS(RESUMEN GLOBAL)'!F879</f>
        <v>0</v>
      </c>
      <c r="J879" s="8">
        <f>'[1]VENTAS(RESUMEN GLOBAL)'!G879*(1-'[1]VENTAS(RESUMEN GLOBAL)'!H879)</f>
        <v>0</v>
      </c>
      <c r="K879" s="8">
        <f t="shared" si="13"/>
        <v>0</v>
      </c>
      <c r="L879" s="8">
        <f>+'[1]VENTAS(RESUMEN GLOBAL)'!J879</f>
        <v>0</v>
      </c>
      <c r="M879" s="8">
        <f>+Tabla1[[#This Row],[utilidad x dia]]*7</f>
        <v>0</v>
      </c>
    </row>
    <row r="880" spans="1:13" x14ac:dyDescent="0.3">
      <c r="A880" s="6">
        <f>+'[1]VENTAS(RESUMEN GLOBAL)'!L880</f>
        <v>0</v>
      </c>
      <c r="B880" s="6">
        <f>+'[1]VENTAS(RESUMEN GLOBAL)'!M880</f>
        <v>0</v>
      </c>
      <c r="C880">
        <f>+'[1]VENTAS(RESUMEN GLOBAL)'!B880</f>
        <v>0</v>
      </c>
      <c r="D880" t="e">
        <f>INDEX('[1]CÓDIGOS DE PRODUCTO'!$D$3:$D$1000,MATCH(C880,'[1]CÓDIGOS DE PRODUCTO'!$A$3:$A$1000,0))</f>
        <v>#N/A</v>
      </c>
      <c r="E880">
        <f>VLOOKUP(C880,'[1]CÓDIGOS DE PRODUCTO'!$A$4:$B$156,2,FALSE)</f>
        <v>0</v>
      </c>
      <c r="F880">
        <f>INDEX('[1]CÓDIGOS DE PRODUCTO'!$C$3:$C$1000,MATCH(C880,'[1]CÓDIGOS DE PRODUCTO'!$A$3:$A$1000,0))</f>
        <v>0</v>
      </c>
      <c r="G880">
        <f>+'[1]VENTAS(RESUMEN GLOBAL)'!D880-'[1]VENTAS(RESUMEN GLOBAL)'!E880</f>
        <v>0</v>
      </c>
      <c r="H880" s="9">
        <f>+'[1]VENTAS(RESUMEN GLOBAL)'!K880</f>
        <v>0</v>
      </c>
      <c r="I880" s="8">
        <f>+G880*'[1]VENTAS(RESUMEN GLOBAL)'!F880</f>
        <v>0</v>
      </c>
      <c r="J880" s="8">
        <f>'[1]VENTAS(RESUMEN GLOBAL)'!G880*(1-'[1]VENTAS(RESUMEN GLOBAL)'!H880)</f>
        <v>0</v>
      </c>
      <c r="K880" s="8">
        <f t="shared" si="13"/>
        <v>0</v>
      </c>
      <c r="L880" s="8">
        <f>+'[1]VENTAS(RESUMEN GLOBAL)'!J880</f>
        <v>0</v>
      </c>
      <c r="M880" s="8">
        <f>+Tabla1[[#This Row],[utilidad x dia]]*7</f>
        <v>0</v>
      </c>
    </row>
    <row r="881" spans="1:13" x14ac:dyDescent="0.3">
      <c r="A881" s="6">
        <f>+'[1]VENTAS(RESUMEN GLOBAL)'!L881</f>
        <v>0</v>
      </c>
      <c r="B881" s="6">
        <f>+'[1]VENTAS(RESUMEN GLOBAL)'!M881</f>
        <v>0</v>
      </c>
      <c r="C881">
        <f>+'[1]VENTAS(RESUMEN GLOBAL)'!B881</f>
        <v>0</v>
      </c>
      <c r="D881" t="e">
        <f>INDEX('[1]CÓDIGOS DE PRODUCTO'!$D$3:$D$1000,MATCH(C881,'[1]CÓDIGOS DE PRODUCTO'!$A$3:$A$1000,0))</f>
        <v>#N/A</v>
      </c>
      <c r="E881">
        <f>VLOOKUP(C881,'[1]CÓDIGOS DE PRODUCTO'!$A$4:$B$156,2,FALSE)</f>
        <v>0</v>
      </c>
      <c r="F881">
        <f>INDEX('[1]CÓDIGOS DE PRODUCTO'!$C$3:$C$1000,MATCH(C881,'[1]CÓDIGOS DE PRODUCTO'!$A$3:$A$1000,0))</f>
        <v>0</v>
      </c>
      <c r="G881">
        <f>+'[1]VENTAS(RESUMEN GLOBAL)'!D881-'[1]VENTAS(RESUMEN GLOBAL)'!E881</f>
        <v>0</v>
      </c>
      <c r="H881" s="9">
        <f>+'[1]VENTAS(RESUMEN GLOBAL)'!K881</f>
        <v>0</v>
      </c>
      <c r="I881" s="8">
        <f>+G881*'[1]VENTAS(RESUMEN GLOBAL)'!F881</f>
        <v>0</v>
      </c>
      <c r="J881" s="8">
        <f>'[1]VENTAS(RESUMEN GLOBAL)'!G881*(1-'[1]VENTAS(RESUMEN GLOBAL)'!H881)</f>
        <v>0</v>
      </c>
      <c r="K881" s="8">
        <f t="shared" si="13"/>
        <v>0</v>
      </c>
      <c r="L881" s="8">
        <f>+'[1]VENTAS(RESUMEN GLOBAL)'!J881</f>
        <v>0</v>
      </c>
      <c r="M881" s="8">
        <f>+Tabla1[[#This Row],[utilidad x dia]]*7</f>
        <v>0</v>
      </c>
    </row>
    <row r="882" spans="1:13" x14ac:dyDescent="0.3">
      <c r="A882" s="6">
        <f>+'[1]VENTAS(RESUMEN GLOBAL)'!L882</f>
        <v>0</v>
      </c>
      <c r="B882" s="6">
        <f>+'[1]VENTAS(RESUMEN GLOBAL)'!M882</f>
        <v>0</v>
      </c>
      <c r="C882">
        <f>+'[1]VENTAS(RESUMEN GLOBAL)'!B882</f>
        <v>0</v>
      </c>
      <c r="D882" t="e">
        <f>INDEX('[1]CÓDIGOS DE PRODUCTO'!$D$3:$D$1000,MATCH(C882,'[1]CÓDIGOS DE PRODUCTO'!$A$3:$A$1000,0))</f>
        <v>#N/A</v>
      </c>
      <c r="E882">
        <f>VLOOKUP(C882,'[1]CÓDIGOS DE PRODUCTO'!$A$4:$B$156,2,FALSE)</f>
        <v>0</v>
      </c>
      <c r="F882">
        <f>INDEX('[1]CÓDIGOS DE PRODUCTO'!$C$3:$C$1000,MATCH(C882,'[1]CÓDIGOS DE PRODUCTO'!$A$3:$A$1000,0))</f>
        <v>0</v>
      </c>
      <c r="G882">
        <f>+'[1]VENTAS(RESUMEN GLOBAL)'!D882-'[1]VENTAS(RESUMEN GLOBAL)'!E882</f>
        <v>0</v>
      </c>
      <c r="H882" s="9">
        <f>+'[1]VENTAS(RESUMEN GLOBAL)'!K882</f>
        <v>0</v>
      </c>
      <c r="I882" s="8">
        <f>+G882*'[1]VENTAS(RESUMEN GLOBAL)'!F882</f>
        <v>0</v>
      </c>
      <c r="J882" s="8">
        <f>'[1]VENTAS(RESUMEN GLOBAL)'!G882*(1-'[1]VENTAS(RESUMEN GLOBAL)'!H882)</f>
        <v>0</v>
      </c>
      <c r="K882" s="8">
        <f t="shared" si="13"/>
        <v>0</v>
      </c>
      <c r="L882" s="8">
        <f>+'[1]VENTAS(RESUMEN GLOBAL)'!J882</f>
        <v>0</v>
      </c>
      <c r="M882" s="8">
        <f>+Tabla1[[#This Row],[utilidad x dia]]*7</f>
        <v>0</v>
      </c>
    </row>
    <row r="883" spans="1:13" x14ac:dyDescent="0.3">
      <c r="A883" s="6">
        <f>+'[1]VENTAS(RESUMEN GLOBAL)'!L883</f>
        <v>0</v>
      </c>
      <c r="B883" s="6">
        <f>+'[1]VENTAS(RESUMEN GLOBAL)'!M883</f>
        <v>0</v>
      </c>
      <c r="C883">
        <f>+'[1]VENTAS(RESUMEN GLOBAL)'!B883</f>
        <v>0</v>
      </c>
      <c r="D883" t="e">
        <f>INDEX('[1]CÓDIGOS DE PRODUCTO'!$D$3:$D$1000,MATCH(C883,'[1]CÓDIGOS DE PRODUCTO'!$A$3:$A$1000,0))</f>
        <v>#N/A</v>
      </c>
      <c r="E883">
        <f>VLOOKUP(C883,'[1]CÓDIGOS DE PRODUCTO'!$A$4:$B$156,2,FALSE)</f>
        <v>0</v>
      </c>
      <c r="F883">
        <f>INDEX('[1]CÓDIGOS DE PRODUCTO'!$C$3:$C$1000,MATCH(C883,'[1]CÓDIGOS DE PRODUCTO'!$A$3:$A$1000,0))</f>
        <v>0</v>
      </c>
      <c r="G883">
        <f>+'[1]VENTAS(RESUMEN GLOBAL)'!D883-'[1]VENTAS(RESUMEN GLOBAL)'!E883</f>
        <v>0</v>
      </c>
      <c r="H883" s="9">
        <f>+'[1]VENTAS(RESUMEN GLOBAL)'!K883</f>
        <v>0</v>
      </c>
      <c r="I883" s="8">
        <f>+G883*'[1]VENTAS(RESUMEN GLOBAL)'!F883</f>
        <v>0</v>
      </c>
      <c r="J883" s="8">
        <f>'[1]VENTAS(RESUMEN GLOBAL)'!G883*(1-'[1]VENTAS(RESUMEN GLOBAL)'!H883)</f>
        <v>0</v>
      </c>
      <c r="K883" s="8">
        <f t="shared" si="13"/>
        <v>0</v>
      </c>
      <c r="L883" s="8">
        <f>+'[1]VENTAS(RESUMEN GLOBAL)'!J883</f>
        <v>0</v>
      </c>
      <c r="M883" s="8">
        <f>+Tabla1[[#This Row],[utilidad x dia]]*7</f>
        <v>0</v>
      </c>
    </row>
    <row r="884" spans="1:13" x14ac:dyDescent="0.3">
      <c r="A884" s="6">
        <f>+'[1]VENTAS(RESUMEN GLOBAL)'!L884</f>
        <v>0</v>
      </c>
      <c r="B884" s="6">
        <f>+'[1]VENTAS(RESUMEN GLOBAL)'!M884</f>
        <v>0</v>
      </c>
      <c r="C884">
        <f>+'[1]VENTAS(RESUMEN GLOBAL)'!B884</f>
        <v>0</v>
      </c>
      <c r="D884" t="e">
        <f>INDEX('[1]CÓDIGOS DE PRODUCTO'!$D$3:$D$1000,MATCH(C884,'[1]CÓDIGOS DE PRODUCTO'!$A$3:$A$1000,0))</f>
        <v>#N/A</v>
      </c>
      <c r="E884">
        <f>VLOOKUP(C884,'[1]CÓDIGOS DE PRODUCTO'!$A$4:$B$156,2,FALSE)</f>
        <v>0</v>
      </c>
      <c r="F884">
        <f>INDEX('[1]CÓDIGOS DE PRODUCTO'!$C$3:$C$1000,MATCH(C884,'[1]CÓDIGOS DE PRODUCTO'!$A$3:$A$1000,0))</f>
        <v>0</v>
      </c>
      <c r="G884">
        <f>+'[1]VENTAS(RESUMEN GLOBAL)'!D884-'[1]VENTAS(RESUMEN GLOBAL)'!E884</f>
        <v>0</v>
      </c>
      <c r="H884" s="9">
        <f>+'[1]VENTAS(RESUMEN GLOBAL)'!K884</f>
        <v>0</v>
      </c>
      <c r="I884" s="8">
        <f>+G884*'[1]VENTAS(RESUMEN GLOBAL)'!F884</f>
        <v>0</v>
      </c>
      <c r="J884" s="8">
        <f>'[1]VENTAS(RESUMEN GLOBAL)'!G884*(1-'[1]VENTAS(RESUMEN GLOBAL)'!H884)</f>
        <v>0</v>
      </c>
      <c r="K884" s="8">
        <f t="shared" si="13"/>
        <v>0</v>
      </c>
      <c r="L884" s="8">
        <f>+'[1]VENTAS(RESUMEN GLOBAL)'!J884</f>
        <v>0</v>
      </c>
      <c r="M884" s="8">
        <f>+Tabla1[[#This Row],[utilidad x dia]]*7</f>
        <v>0</v>
      </c>
    </row>
    <row r="885" spans="1:13" x14ac:dyDescent="0.3">
      <c r="A885" s="6">
        <f>+'[1]VENTAS(RESUMEN GLOBAL)'!L885</f>
        <v>0</v>
      </c>
      <c r="B885" s="6">
        <f>+'[1]VENTAS(RESUMEN GLOBAL)'!M885</f>
        <v>0</v>
      </c>
      <c r="C885">
        <f>+'[1]VENTAS(RESUMEN GLOBAL)'!B885</f>
        <v>0</v>
      </c>
      <c r="D885" t="e">
        <f>INDEX('[1]CÓDIGOS DE PRODUCTO'!$D$3:$D$1000,MATCH(C885,'[1]CÓDIGOS DE PRODUCTO'!$A$3:$A$1000,0))</f>
        <v>#N/A</v>
      </c>
      <c r="E885">
        <f>VLOOKUP(C885,'[1]CÓDIGOS DE PRODUCTO'!$A$4:$B$156,2,FALSE)</f>
        <v>0</v>
      </c>
      <c r="F885">
        <f>INDEX('[1]CÓDIGOS DE PRODUCTO'!$C$3:$C$1000,MATCH(C885,'[1]CÓDIGOS DE PRODUCTO'!$A$3:$A$1000,0))</f>
        <v>0</v>
      </c>
      <c r="G885">
        <f>+'[1]VENTAS(RESUMEN GLOBAL)'!D885-'[1]VENTAS(RESUMEN GLOBAL)'!E885</f>
        <v>0</v>
      </c>
      <c r="H885" s="9">
        <f>+'[1]VENTAS(RESUMEN GLOBAL)'!K885</f>
        <v>0</v>
      </c>
      <c r="I885" s="8">
        <f>+G885*'[1]VENTAS(RESUMEN GLOBAL)'!F885</f>
        <v>0</v>
      </c>
      <c r="J885" s="8">
        <f>'[1]VENTAS(RESUMEN GLOBAL)'!G885*(1-'[1]VENTAS(RESUMEN GLOBAL)'!H885)</f>
        <v>0</v>
      </c>
      <c r="K885" s="8">
        <f t="shared" si="13"/>
        <v>0</v>
      </c>
      <c r="L885" s="8">
        <f>+'[1]VENTAS(RESUMEN GLOBAL)'!J885</f>
        <v>0</v>
      </c>
      <c r="M885" s="8">
        <f>+Tabla1[[#This Row],[utilidad x dia]]*7</f>
        <v>0</v>
      </c>
    </row>
    <row r="886" spans="1:13" x14ac:dyDescent="0.3">
      <c r="A886" s="6">
        <f>+'[1]VENTAS(RESUMEN GLOBAL)'!L886</f>
        <v>0</v>
      </c>
      <c r="B886" s="6">
        <f>+'[1]VENTAS(RESUMEN GLOBAL)'!M886</f>
        <v>0</v>
      </c>
      <c r="C886">
        <f>+'[1]VENTAS(RESUMEN GLOBAL)'!B886</f>
        <v>0</v>
      </c>
      <c r="D886" t="e">
        <f>INDEX('[1]CÓDIGOS DE PRODUCTO'!$D$3:$D$1000,MATCH(C886,'[1]CÓDIGOS DE PRODUCTO'!$A$3:$A$1000,0))</f>
        <v>#N/A</v>
      </c>
      <c r="E886">
        <f>VLOOKUP(C886,'[1]CÓDIGOS DE PRODUCTO'!$A$4:$B$156,2,FALSE)</f>
        <v>0</v>
      </c>
      <c r="F886">
        <f>INDEX('[1]CÓDIGOS DE PRODUCTO'!$C$3:$C$1000,MATCH(C886,'[1]CÓDIGOS DE PRODUCTO'!$A$3:$A$1000,0))</f>
        <v>0</v>
      </c>
      <c r="G886">
        <f>+'[1]VENTAS(RESUMEN GLOBAL)'!D886-'[1]VENTAS(RESUMEN GLOBAL)'!E886</f>
        <v>0</v>
      </c>
      <c r="H886" s="9">
        <f>+'[1]VENTAS(RESUMEN GLOBAL)'!K886</f>
        <v>0</v>
      </c>
      <c r="I886" s="8">
        <f>+G886*'[1]VENTAS(RESUMEN GLOBAL)'!F886</f>
        <v>0</v>
      </c>
      <c r="J886" s="8">
        <f>'[1]VENTAS(RESUMEN GLOBAL)'!G886*(1-'[1]VENTAS(RESUMEN GLOBAL)'!H886)</f>
        <v>0</v>
      </c>
      <c r="K886" s="8">
        <f t="shared" si="13"/>
        <v>0</v>
      </c>
      <c r="L886" s="8">
        <f>+'[1]VENTAS(RESUMEN GLOBAL)'!J886</f>
        <v>0</v>
      </c>
      <c r="M886" s="8">
        <f>+Tabla1[[#This Row],[utilidad x dia]]*7</f>
        <v>0</v>
      </c>
    </row>
    <row r="887" spans="1:13" x14ac:dyDescent="0.3">
      <c r="A887" s="6">
        <f>+'[1]VENTAS(RESUMEN GLOBAL)'!L887</f>
        <v>0</v>
      </c>
      <c r="B887" s="6">
        <f>+'[1]VENTAS(RESUMEN GLOBAL)'!M887</f>
        <v>0</v>
      </c>
      <c r="C887">
        <f>+'[1]VENTAS(RESUMEN GLOBAL)'!B887</f>
        <v>0</v>
      </c>
      <c r="D887" t="e">
        <f>INDEX('[1]CÓDIGOS DE PRODUCTO'!$D$3:$D$1000,MATCH(C887,'[1]CÓDIGOS DE PRODUCTO'!$A$3:$A$1000,0))</f>
        <v>#N/A</v>
      </c>
      <c r="E887">
        <f>VLOOKUP(C887,'[1]CÓDIGOS DE PRODUCTO'!$A$4:$B$156,2,FALSE)</f>
        <v>0</v>
      </c>
      <c r="F887">
        <f>INDEX('[1]CÓDIGOS DE PRODUCTO'!$C$3:$C$1000,MATCH(C887,'[1]CÓDIGOS DE PRODUCTO'!$A$3:$A$1000,0))</f>
        <v>0</v>
      </c>
      <c r="G887">
        <f>+'[1]VENTAS(RESUMEN GLOBAL)'!D887-'[1]VENTAS(RESUMEN GLOBAL)'!E887</f>
        <v>0</v>
      </c>
      <c r="H887" s="9">
        <f>+'[1]VENTAS(RESUMEN GLOBAL)'!K887</f>
        <v>0</v>
      </c>
      <c r="I887" s="8">
        <f>+G887*'[1]VENTAS(RESUMEN GLOBAL)'!F887</f>
        <v>0</v>
      </c>
      <c r="J887" s="8">
        <f>'[1]VENTAS(RESUMEN GLOBAL)'!G887*(1-'[1]VENTAS(RESUMEN GLOBAL)'!H887)</f>
        <v>0</v>
      </c>
      <c r="K887" s="8">
        <f t="shared" si="13"/>
        <v>0</v>
      </c>
      <c r="L887" s="8">
        <f>+'[1]VENTAS(RESUMEN GLOBAL)'!J887</f>
        <v>0</v>
      </c>
      <c r="M887" s="8">
        <f>+Tabla1[[#This Row],[utilidad x dia]]*7</f>
        <v>0</v>
      </c>
    </row>
    <row r="888" spans="1:13" x14ac:dyDescent="0.3">
      <c r="A888" s="6">
        <f>+'[1]VENTAS(RESUMEN GLOBAL)'!L888</f>
        <v>0</v>
      </c>
      <c r="B888" s="6">
        <f>+'[1]VENTAS(RESUMEN GLOBAL)'!M888</f>
        <v>0</v>
      </c>
      <c r="C888">
        <f>+'[1]VENTAS(RESUMEN GLOBAL)'!B888</f>
        <v>0</v>
      </c>
      <c r="D888" t="e">
        <f>INDEX('[1]CÓDIGOS DE PRODUCTO'!$D$3:$D$1000,MATCH(C888,'[1]CÓDIGOS DE PRODUCTO'!$A$3:$A$1000,0))</f>
        <v>#N/A</v>
      </c>
      <c r="E888">
        <f>VLOOKUP(C888,'[1]CÓDIGOS DE PRODUCTO'!$A$4:$B$156,2,FALSE)</f>
        <v>0</v>
      </c>
      <c r="F888">
        <f>INDEX('[1]CÓDIGOS DE PRODUCTO'!$C$3:$C$1000,MATCH(C888,'[1]CÓDIGOS DE PRODUCTO'!$A$3:$A$1000,0))</f>
        <v>0</v>
      </c>
      <c r="G888">
        <f>+'[1]VENTAS(RESUMEN GLOBAL)'!D888-'[1]VENTAS(RESUMEN GLOBAL)'!E888</f>
        <v>0</v>
      </c>
      <c r="H888" s="9">
        <f>+'[1]VENTAS(RESUMEN GLOBAL)'!K888</f>
        <v>0</v>
      </c>
      <c r="I888" s="8">
        <f>+G888*'[1]VENTAS(RESUMEN GLOBAL)'!F888</f>
        <v>0</v>
      </c>
      <c r="J888" s="8">
        <f>'[1]VENTAS(RESUMEN GLOBAL)'!G888*(1-'[1]VENTAS(RESUMEN GLOBAL)'!H888)</f>
        <v>0</v>
      </c>
      <c r="K888" s="8">
        <f t="shared" si="13"/>
        <v>0</v>
      </c>
      <c r="L888" s="8">
        <f>+'[1]VENTAS(RESUMEN GLOBAL)'!J888</f>
        <v>0</v>
      </c>
      <c r="M888" s="8">
        <f>+Tabla1[[#This Row],[utilidad x dia]]*7</f>
        <v>0</v>
      </c>
    </row>
    <row r="889" spans="1:13" x14ac:dyDescent="0.3">
      <c r="A889" s="6">
        <f>+'[1]VENTAS(RESUMEN GLOBAL)'!L889</f>
        <v>0</v>
      </c>
      <c r="B889" s="6">
        <f>+'[1]VENTAS(RESUMEN GLOBAL)'!M889</f>
        <v>0</v>
      </c>
      <c r="C889">
        <f>+'[1]VENTAS(RESUMEN GLOBAL)'!B889</f>
        <v>0</v>
      </c>
      <c r="D889" t="e">
        <f>INDEX('[1]CÓDIGOS DE PRODUCTO'!$D$3:$D$1000,MATCH(C889,'[1]CÓDIGOS DE PRODUCTO'!$A$3:$A$1000,0))</f>
        <v>#N/A</v>
      </c>
      <c r="E889">
        <f>VLOOKUP(C889,'[1]CÓDIGOS DE PRODUCTO'!$A$4:$B$156,2,FALSE)</f>
        <v>0</v>
      </c>
      <c r="F889">
        <f>INDEX('[1]CÓDIGOS DE PRODUCTO'!$C$3:$C$1000,MATCH(C889,'[1]CÓDIGOS DE PRODUCTO'!$A$3:$A$1000,0))</f>
        <v>0</v>
      </c>
      <c r="G889">
        <f>+'[1]VENTAS(RESUMEN GLOBAL)'!D889-'[1]VENTAS(RESUMEN GLOBAL)'!E889</f>
        <v>0</v>
      </c>
      <c r="H889" s="9">
        <f>+'[1]VENTAS(RESUMEN GLOBAL)'!K889</f>
        <v>0</v>
      </c>
      <c r="I889" s="8">
        <f>+G889*'[1]VENTAS(RESUMEN GLOBAL)'!F889</f>
        <v>0</v>
      </c>
      <c r="J889" s="8">
        <f>'[1]VENTAS(RESUMEN GLOBAL)'!G889*(1-'[1]VENTAS(RESUMEN GLOBAL)'!H889)</f>
        <v>0</v>
      </c>
      <c r="K889" s="8">
        <f t="shared" si="13"/>
        <v>0</v>
      </c>
      <c r="L889" s="8">
        <f>+'[1]VENTAS(RESUMEN GLOBAL)'!J889</f>
        <v>0</v>
      </c>
      <c r="M889" s="8">
        <f>+Tabla1[[#This Row],[utilidad x dia]]*7</f>
        <v>0</v>
      </c>
    </row>
    <row r="890" spans="1:13" x14ac:dyDescent="0.3">
      <c r="A890" s="6">
        <f>+'[1]VENTAS(RESUMEN GLOBAL)'!L890</f>
        <v>0</v>
      </c>
      <c r="B890" s="6">
        <f>+'[1]VENTAS(RESUMEN GLOBAL)'!M890</f>
        <v>0</v>
      </c>
      <c r="C890">
        <f>+'[1]VENTAS(RESUMEN GLOBAL)'!B890</f>
        <v>0</v>
      </c>
      <c r="D890" t="e">
        <f>INDEX('[1]CÓDIGOS DE PRODUCTO'!$D$3:$D$1000,MATCH(C890,'[1]CÓDIGOS DE PRODUCTO'!$A$3:$A$1000,0))</f>
        <v>#N/A</v>
      </c>
      <c r="E890">
        <f>VLOOKUP(C890,'[1]CÓDIGOS DE PRODUCTO'!$A$4:$B$156,2,FALSE)</f>
        <v>0</v>
      </c>
      <c r="F890">
        <f>INDEX('[1]CÓDIGOS DE PRODUCTO'!$C$3:$C$1000,MATCH(C890,'[1]CÓDIGOS DE PRODUCTO'!$A$3:$A$1000,0))</f>
        <v>0</v>
      </c>
      <c r="G890">
        <f>+'[1]VENTAS(RESUMEN GLOBAL)'!D890-'[1]VENTAS(RESUMEN GLOBAL)'!E890</f>
        <v>0</v>
      </c>
      <c r="H890" s="9">
        <f>+'[1]VENTAS(RESUMEN GLOBAL)'!K890</f>
        <v>0</v>
      </c>
      <c r="I890" s="8">
        <f>+G890*'[1]VENTAS(RESUMEN GLOBAL)'!F890</f>
        <v>0</v>
      </c>
      <c r="J890" s="8">
        <f>'[1]VENTAS(RESUMEN GLOBAL)'!G890*(1-'[1]VENTAS(RESUMEN GLOBAL)'!H890)</f>
        <v>0</v>
      </c>
      <c r="K890" s="8">
        <f t="shared" si="13"/>
        <v>0</v>
      </c>
      <c r="L890" s="8">
        <f>+'[1]VENTAS(RESUMEN GLOBAL)'!J890</f>
        <v>0</v>
      </c>
      <c r="M890" s="8">
        <f>+Tabla1[[#This Row],[utilidad x dia]]*7</f>
        <v>0</v>
      </c>
    </row>
    <row r="891" spans="1:13" x14ac:dyDescent="0.3">
      <c r="A891" s="6">
        <f>+'[1]VENTAS(RESUMEN GLOBAL)'!L891</f>
        <v>0</v>
      </c>
      <c r="B891" s="6">
        <f>+'[1]VENTAS(RESUMEN GLOBAL)'!M891</f>
        <v>0</v>
      </c>
      <c r="C891">
        <f>+'[1]VENTAS(RESUMEN GLOBAL)'!B891</f>
        <v>0</v>
      </c>
      <c r="D891" t="e">
        <f>INDEX('[1]CÓDIGOS DE PRODUCTO'!$D$3:$D$1000,MATCH(C891,'[1]CÓDIGOS DE PRODUCTO'!$A$3:$A$1000,0))</f>
        <v>#N/A</v>
      </c>
      <c r="E891">
        <f>VLOOKUP(C891,'[1]CÓDIGOS DE PRODUCTO'!$A$4:$B$156,2,FALSE)</f>
        <v>0</v>
      </c>
      <c r="F891">
        <f>INDEX('[1]CÓDIGOS DE PRODUCTO'!$C$3:$C$1000,MATCH(C891,'[1]CÓDIGOS DE PRODUCTO'!$A$3:$A$1000,0))</f>
        <v>0</v>
      </c>
      <c r="G891">
        <f>+'[1]VENTAS(RESUMEN GLOBAL)'!D891-'[1]VENTAS(RESUMEN GLOBAL)'!E891</f>
        <v>0</v>
      </c>
      <c r="H891" s="9">
        <f>+'[1]VENTAS(RESUMEN GLOBAL)'!K891</f>
        <v>0</v>
      </c>
      <c r="I891" s="8">
        <f>+G891*'[1]VENTAS(RESUMEN GLOBAL)'!F891</f>
        <v>0</v>
      </c>
      <c r="J891" s="8">
        <f>'[1]VENTAS(RESUMEN GLOBAL)'!G891*(1-'[1]VENTAS(RESUMEN GLOBAL)'!H891)</f>
        <v>0</v>
      </c>
      <c r="K891" s="8">
        <f t="shared" si="13"/>
        <v>0</v>
      </c>
      <c r="L891" s="8">
        <f>+'[1]VENTAS(RESUMEN GLOBAL)'!J891</f>
        <v>0</v>
      </c>
      <c r="M891" s="8">
        <f>+Tabla1[[#This Row],[utilidad x dia]]*7</f>
        <v>0</v>
      </c>
    </row>
    <row r="892" spans="1:13" x14ac:dyDescent="0.3">
      <c r="A892" s="6">
        <f>+'[1]VENTAS(RESUMEN GLOBAL)'!L892</f>
        <v>0</v>
      </c>
      <c r="B892" s="6">
        <f>+'[1]VENTAS(RESUMEN GLOBAL)'!M892</f>
        <v>0</v>
      </c>
      <c r="C892">
        <f>+'[1]VENTAS(RESUMEN GLOBAL)'!B892</f>
        <v>0</v>
      </c>
      <c r="D892" t="e">
        <f>INDEX('[1]CÓDIGOS DE PRODUCTO'!$D$3:$D$1000,MATCH(C892,'[1]CÓDIGOS DE PRODUCTO'!$A$3:$A$1000,0))</f>
        <v>#N/A</v>
      </c>
      <c r="E892">
        <f>VLOOKUP(C892,'[1]CÓDIGOS DE PRODUCTO'!$A$4:$B$156,2,FALSE)</f>
        <v>0</v>
      </c>
      <c r="F892">
        <f>INDEX('[1]CÓDIGOS DE PRODUCTO'!$C$3:$C$1000,MATCH(C892,'[1]CÓDIGOS DE PRODUCTO'!$A$3:$A$1000,0))</f>
        <v>0</v>
      </c>
      <c r="G892">
        <f>+'[1]VENTAS(RESUMEN GLOBAL)'!D892-'[1]VENTAS(RESUMEN GLOBAL)'!E892</f>
        <v>0</v>
      </c>
      <c r="H892" s="9">
        <f>+'[1]VENTAS(RESUMEN GLOBAL)'!K892</f>
        <v>0</v>
      </c>
      <c r="I892" s="8">
        <f>+G892*'[1]VENTAS(RESUMEN GLOBAL)'!F892</f>
        <v>0</v>
      </c>
      <c r="J892" s="8">
        <f>'[1]VENTAS(RESUMEN GLOBAL)'!G892*(1-'[1]VENTAS(RESUMEN GLOBAL)'!H892)</f>
        <v>0</v>
      </c>
      <c r="K892" s="8">
        <f t="shared" si="13"/>
        <v>0</v>
      </c>
      <c r="L892" s="8">
        <f>+'[1]VENTAS(RESUMEN GLOBAL)'!J892</f>
        <v>0</v>
      </c>
      <c r="M892" s="8">
        <f>+Tabla1[[#This Row],[utilidad x dia]]*7</f>
        <v>0</v>
      </c>
    </row>
    <row r="893" spans="1:13" x14ac:dyDescent="0.3">
      <c r="A893" s="6">
        <f>+'[1]VENTAS(RESUMEN GLOBAL)'!L893</f>
        <v>0</v>
      </c>
      <c r="B893" s="6">
        <f>+'[1]VENTAS(RESUMEN GLOBAL)'!M893</f>
        <v>0</v>
      </c>
      <c r="C893">
        <f>+'[1]VENTAS(RESUMEN GLOBAL)'!B893</f>
        <v>0</v>
      </c>
      <c r="D893" t="e">
        <f>INDEX('[1]CÓDIGOS DE PRODUCTO'!$D$3:$D$1000,MATCH(C893,'[1]CÓDIGOS DE PRODUCTO'!$A$3:$A$1000,0))</f>
        <v>#N/A</v>
      </c>
      <c r="E893">
        <f>VLOOKUP(C893,'[1]CÓDIGOS DE PRODUCTO'!$A$4:$B$156,2,FALSE)</f>
        <v>0</v>
      </c>
      <c r="F893">
        <f>INDEX('[1]CÓDIGOS DE PRODUCTO'!$C$3:$C$1000,MATCH(C893,'[1]CÓDIGOS DE PRODUCTO'!$A$3:$A$1000,0))</f>
        <v>0</v>
      </c>
      <c r="G893">
        <f>+'[1]VENTAS(RESUMEN GLOBAL)'!D893-'[1]VENTAS(RESUMEN GLOBAL)'!E893</f>
        <v>0</v>
      </c>
      <c r="H893" s="9">
        <f>+'[1]VENTAS(RESUMEN GLOBAL)'!K893</f>
        <v>0</v>
      </c>
      <c r="I893" s="8">
        <f>+G893*'[1]VENTAS(RESUMEN GLOBAL)'!F893</f>
        <v>0</v>
      </c>
      <c r="J893" s="8">
        <f>'[1]VENTAS(RESUMEN GLOBAL)'!G893*(1-'[1]VENTAS(RESUMEN GLOBAL)'!H893)</f>
        <v>0</v>
      </c>
      <c r="K893" s="8">
        <f t="shared" si="13"/>
        <v>0</v>
      </c>
      <c r="L893" s="8">
        <f>+'[1]VENTAS(RESUMEN GLOBAL)'!J893</f>
        <v>0</v>
      </c>
      <c r="M893" s="8">
        <f>+Tabla1[[#This Row],[utilidad x dia]]*7</f>
        <v>0</v>
      </c>
    </row>
    <row r="894" spans="1:13" x14ac:dyDescent="0.3">
      <c r="A894" s="6">
        <f>+'[1]VENTAS(RESUMEN GLOBAL)'!L894</f>
        <v>0</v>
      </c>
      <c r="B894" s="6">
        <f>+'[1]VENTAS(RESUMEN GLOBAL)'!M894</f>
        <v>0</v>
      </c>
      <c r="C894">
        <f>+'[1]VENTAS(RESUMEN GLOBAL)'!B894</f>
        <v>0</v>
      </c>
      <c r="D894" t="e">
        <f>INDEX('[1]CÓDIGOS DE PRODUCTO'!$D$3:$D$1000,MATCH(C894,'[1]CÓDIGOS DE PRODUCTO'!$A$3:$A$1000,0))</f>
        <v>#N/A</v>
      </c>
      <c r="E894">
        <f>VLOOKUP(C894,'[1]CÓDIGOS DE PRODUCTO'!$A$4:$B$156,2,FALSE)</f>
        <v>0</v>
      </c>
      <c r="F894">
        <f>INDEX('[1]CÓDIGOS DE PRODUCTO'!$C$3:$C$1000,MATCH(C894,'[1]CÓDIGOS DE PRODUCTO'!$A$3:$A$1000,0))</f>
        <v>0</v>
      </c>
      <c r="G894">
        <f>+'[1]VENTAS(RESUMEN GLOBAL)'!D894-'[1]VENTAS(RESUMEN GLOBAL)'!E894</f>
        <v>0</v>
      </c>
      <c r="H894" s="9">
        <f>+'[1]VENTAS(RESUMEN GLOBAL)'!K894</f>
        <v>0</v>
      </c>
      <c r="I894" s="8">
        <f>+G894*'[1]VENTAS(RESUMEN GLOBAL)'!F894</f>
        <v>0</v>
      </c>
      <c r="J894" s="8">
        <f>'[1]VENTAS(RESUMEN GLOBAL)'!G894*(1-'[1]VENTAS(RESUMEN GLOBAL)'!H894)</f>
        <v>0</v>
      </c>
      <c r="K894" s="8">
        <f t="shared" si="13"/>
        <v>0</v>
      </c>
      <c r="L894" s="8">
        <f>+'[1]VENTAS(RESUMEN GLOBAL)'!J894</f>
        <v>0</v>
      </c>
      <c r="M894" s="8">
        <f>+Tabla1[[#This Row],[utilidad x dia]]*7</f>
        <v>0</v>
      </c>
    </row>
    <row r="895" spans="1:13" x14ac:dyDescent="0.3">
      <c r="A895" s="6">
        <f>+'[1]VENTAS(RESUMEN GLOBAL)'!L895</f>
        <v>0</v>
      </c>
      <c r="B895" s="6">
        <f>+'[1]VENTAS(RESUMEN GLOBAL)'!M895</f>
        <v>0</v>
      </c>
      <c r="C895">
        <f>+'[1]VENTAS(RESUMEN GLOBAL)'!B895</f>
        <v>0</v>
      </c>
      <c r="D895" t="e">
        <f>INDEX('[1]CÓDIGOS DE PRODUCTO'!$D$3:$D$1000,MATCH(C895,'[1]CÓDIGOS DE PRODUCTO'!$A$3:$A$1000,0))</f>
        <v>#N/A</v>
      </c>
      <c r="E895">
        <f>VLOOKUP(C895,'[1]CÓDIGOS DE PRODUCTO'!$A$4:$B$156,2,FALSE)</f>
        <v>0</v>
      </c>
      <c r="F895">
        <f>INDEX('[1]CÓDIGOS DE PRODUCTO'!$C$3:$C$1000,MATCH(C895,'[1]CÓDIGOS DE PRODUCTO'!$A$3:$A$1000,0))</f>
        <v>0</v>
      </c>
      <c r="G895">
        <f>+'[1]VENTAS(RESUMEN GLOBAL)'!D895-'[1]VENTAS(RESUMEN GLOBAL)'!E895</f>
        <v>0</v>
      </c>
      <c r="H895" s="9">
        <f>+'[1]VENTAS(RESUMEN GLOBAL)'!K895</f>
        <v>0</v>
      </c>
      <c r="I895" s="8">
        <f>+G895*'[1]VENTAS(RESUMEN GLOBAL)'!F895</f>
        <v>0</v>
      </c>
      <c r="J895" s="8">
        <f>'[1]VENTAS(RESUMEN GLOBAL)'!G895*(1-'[1]VENTAS(RESUMEN GLOBAL)'!H895)</f>
        <v>0</v>
      </c>
      <c r="K895" s="8">
        <f t="shared" si="13"/>
        <v>0</v>
      </c>
      <c r="L895" s="8">
        <f>+'[1]VENTAS(RESUMEN GLOBAL)'!J895</f>
        <v>0</v>
      </c>
      <c r="M895" s="8">
        <f>+Tabla1[[#This Row],[utilidad x dia]]*7</f>
        <v>0</v>
      </c>
    </row>
    <row r="896" spans="1:13" x14ac:dyDescent="0.3">
      <c r="A896" s="6">
        <f>+'[1]VENTAS(RESUMEN GLOBAL)'!L896</f>
        <v>0</v>
      </c>
      <c r="B896" s="6">
        <f>+'[1]VENTAS(RESUMEN GLOBAL)'!M896</f>
        <v>0</v>
      </c>
      <c r="C896">
        <f>+'[1]VENTAS(RESUMEN GLOBAL)'!B896</f>
        <v>0</v>
      </c>
      <c r="D896" t="e">
        <f>INDEX('[1]CÓDIGOS DE PRODUCTO'!$D$3:$D$1000,MATCH(C896,'[1]CÓDIGOS DE PRODUCTO'!$A$3:$A$1000,0))</f>
        <v>#N/A</v>
      </c>
      <c r="E896">
        <f>VLOOKUP(C896,'[1]CÓDIGOS DE PRODUCTO'!$A$4:$B$156,2,FALSE)</f>
        <v>0</v>
      </c>
      <c r="F896">
        <f>INDEX('[1]CÓDIGOS DE PRODUCTO'!$C$3:$C$1000,MATCH(C896,'[1]CÓDIGOS DE PRODUCTO'!$A$3:$A$1000,0))</f>
        <v>0</v>
      </c>
      <c r="G896">
        <f>+'[1]VENTAS(RESUMEN GLOBAL)'!D896-'[1]VENTAS(RESUMEN GLOBAL)'!E896</f>
        <v>0</v>
      </c>
      <c r="H896" s="9">
        <f>+'[1]VENTAS(RESUMEN GLOBAL)'!K896</f>
        <v>0</v>
      </c>
      <c r="I896" s="8">
        <f>+G896*'[1]VENTAS(RESUMEN GLOBAL)'!F896</f>
        <v>0</v>
      </c>
      <c r="J896" s="8">
        <f>'[1]VENTAS(RESUMEN GLOBAL)'!G896*(1-'[1]VENTAS(RESUMEN GLOBAL)'!H896)</f>
        <v>0</v>
      </c>
      <c r="K896" s="8">
        <f t="shared" si="13"/>
        <v>0</v>
      </c>
      <c r="L896" s="8">
        <f>+'[1]VENTAS(RESUMEN GLOBAL)'!J896</f>
        <v>0</v>
      </c>
      <c r="M896" s="8">
        <f>+Tabla1[[#This Row],[utilidad x dia]]*7</f>
        <v>0</v>
      </c>
    </row>
    <row r="897" spans="1:13" x14ac:dyDescent="0.3">
      <c r="A897" s="6">
        <f>+'[1]VENTAS(RESUMEN GLOBAL)'!L897</f>
        <v>0</v>
      </c>
      <c r="B897" s="6">
        <f>+'[1]VENTAS(RESUMEN GLOBAL)'!M897</f>
        <v>0</v>
      </c>
      <c r="C897">
        <f>+'[1]VENTAS(RESUMEN GLOBAL)'!B897</f>
        <v>0</v>
      </c>
      <c r="D897" t="e">
        <f>INDEX('[1]CÓDIGOS DE PRODUCTO'!$D$3:$D$1000,MATCH(C897,'[1]CÓDIGOS DE PRODUCTO'!$A$3:$A$1000,0))</f>
        <v>#N/A</v>
      </c>
      <c r="E897">
        <f>VLOOKUP(C897,'[1]CÓDIGOS DE PRODUCTO'!$A$4:$B$156,2,FALSE)</f>
        <v>0</v>
      </c>
      <c r="F897">
        <f>INDEX('[1]CÓDIGOS DE PRODUCTO'!$C$3:$C$1000,MATCH(C897,'[1]CÓDIGOS DE PRODUCTO'!$A$3:$A$1000,0))</f>
        <v>0</v>
      </c>
      <c r="G897">
        <f>+'[1]VENTAS(RESUMEN GLOBAL)'!D897-'[1]VENTAS(RESUMEN GLOBAL)'!E897</f>
        <v>0</v>
      </c>
      <c r="H897" s="9">
        <f>+'[1]VENTAS(RESUMEN GLOBAL)'!K897</f>
        <v>0</v>
      </c>
      <c r="I897" s="8">
        <f>+G897*'[1]VENTAS(RESUMEN GLOBAL)'!F897</f>
        <v>0</v>
      </c>
      <c r="J897" s="8">
        <f>'[1]VENTAS(RESUMEN GLOBAL)'!G897*(1-'[1]VENTAS(RESUMEN GLOBAL)'!H897)</f>
        <v>0</v>
      </c>
      <c r="K897" s="8">
        <f t="shared" si="13"/>
        <v>0</v>
      </c>
      <c r="L897" s="8">
        <f>+'[1]VENTAS(RESUMEN GLOBAL)'!J897</f>
        <v>0</v>
      </c>
      <c r="M897" s="8">
        <f>+Tabla1[[#This Row],[utilidad x dia]]*7</f>
        <v>0</v>
      </c>
    </row>
    <row r="898" spans="1:13" x14ac:dyDescent="0.3">
      <c r="A898" s="6">
        <f>+'[1]VENTAS(RESUMEN GLOBAL)'!L898</f>
        <v>0</v>
      </c>
      <c r="B898" s="6">
        <f>+'[1]VENTAS(RESUMEN GLOBAL)'!M898</f>
        <v>0</v>
      </c>
      <c r="C898">
        <f>+'[1]VENTAS(RESUMEN GLOBAL)'!B898</f>
        <v>0</v>
      </c>
      <c r="D898" t="e">
        <f>INDEX('[1]CÓDIGOS DE PRODUCTO'!$D$3:$D$1000,MATCH(C898,'[1]CÓDIGOS DE PRODUCTO'!$A$3:$A$1000,0))</f>
        <v>#N/A</v>
      </c>
      <c r="E898">
        <f>VLOOKUP(C898,'[1]CÓDIGOS DE PRODUCTO'!$A$4:$B$156,2,FALSE)</f>
        <v>0</v>
      </c>
      <c r="F898">
        <f>INDEX('[1]CÓDIGOS DE PRODUCTO'!$C$3:$C$1000,MATCH(C898,'[1]CÓDIGOS DE PRODUCTO'!$A$3:$A$1000,0))</f>
        <v>0</v>
      </c>
      <c r="G898">
        <f>+'[1]VENTAS(RESUMEN GLOBAL)'!D898-'[1]VENTAS(RESUMEN GLOBAL)'!E898</f>
        <v>0</v>
      </c>
      <c r="H898" s="9">
        <f>+'[1]VENTAS(RESUMEN GLOBAL)'!K898</f>
        <v>0</v>
      </c>
      <c r="I898" s="8">
        <f>+G898*'[1]VENTAS(RESUMEN GLOBAL)'!F898</f>
        <v>0</v>
      </c>
      <c r="J898" s="8">
        <f>'[1]VENTAS(RESUMEN GLOBAL)'!G898*(1-'[1]VENTAS(RESUMEN GLOBAL)'!H898)</f>
        <v>0</v>
      </c>
      <c r="K898" s="8">
        <f t="shared" si="13"/>
        <v>0</v>
      </c>
      <c r="L898" s="8">
        <f>+'[1]VENTAS(RESUMEN GLOBAL)'!J898</f>
        <v>0</v>
      </c>
      <c r="M898" s="8">
        <f>+Tabla1[[#This Row],[utilidad x dia]]*7</f>
        <v>0</v>
      </c>
    </row>
    <row r="899" spans="1:13" x14ac:dyDescent="0.3">
      <c r="A899" s="6">
        <f>+'[1]VENTAS(RESUMEN GLOBAL)'!L899</f>
        <v>0</v>
      </c>
      <c r="B899" s="6">
        <f>+'[1]VENTAS(RESUMEN GLOBAL)'!M899</f>
        <v>0</v>
      </c>
      <c r="C899">
        <f>+'[1]VENTAS(RESUMEN GLOBAL)'!B899</f>
        <v>0</v>
      </c>
      <c r="D899" t="e">
        <f>INDEX('[1]CÓDIGOS DE PRODUCTO'!$D$3:$D$1000,MATCH(C899,'[1]CÓDIGOS DE PRODUCTO'!$A$3:$A$1000,0))</f>
        <v>#N/A</v>
      </c>
      <c r="E899">
        <f>VLOOKUP(C899,'[1]CÓDIGOS DE PRODUCTO'!$A$4:$B$156,2,FALSE)</f>
        <v>0</v>
      </c>
      <c r="F899">
        <f>INDEX('[1]CÓDIGOS DE PRODUCTO'!$C$3:$C$1000,MATCH(C899,'[1]CÓDIGOS DE PRODUCTO'!$A$3:$A$1000,0))</f>
        <v>0</v>
      </c>
      <c r="G899">
        <f>+'[1]VENTAS(RESUMEN GLOBAL)'!D899-'[1]VENTAS(RESUMEN GLOBAL)'!E899</f>
        <v>0</v>
      </c>
      <c r="H899" s="9">
        <f>+'[1]VENTAS(RESUMEN GLOBAL)'!K899</f>
        <v>0</v>
      </c>
      <c r="I899" s="8">
        <f>+G899*'[1]VENTAS(RESUMEN GLOBAL)'!F899</f>
        <v>0</v>
      </c>
      <c r="J899" s="8">
        <f>'[1]VENTAS(RESUMEN GLOBAL)'!G899*(1-'[1]VENTAS(RESUMEN GLOBAL)'!H899)</f>
        <v>0</v>
      </c>
      <c r="K899" s="8">
        <f t="shared" ref="K899:K962" si="14">+I899-J899</f>
        <v>0</v>
      </c>
      <c r="L899" s="8">
        <f>+'[1]VENTAS(RESUMEN GLOBAL)'!J899</f>
        <v>0</v>
      </c>
      <c r="M899" s="8">
        <f>+Tabla1[[#This Row],[utilidad x dia]]*7</f>
        <v>0</v>
      </c>
    </row>
    <row r="900" spans="1:13" x14ac:dyDescent="0.3">
      <c r="A900" s="6">
        <f>+'[1]VENTAS(RESUMEN GLOBAL)'!L900</f>
        <v>0</v>
      </c>
      <c r="B900" s="6">
        <f>+'[1]VENTAS(RESUMEN GLOBAL)'!M900</f>
        <v>0</v>
      </c>
      <c r="C900">
        <f>+'[1]VENTAS(RESUMEN GLOBAL)'!B900</f>
        <v>0</v>
      </c>
      <c r="D900" t="e">
        <f>INDEX('[1]CÓDIGOS DE PRODUCTO'!$D$3:$D$1000,MATCH(C900,'[1]CÓDIGOS DE PRODUCTO'!$A$3:$A$1000,0))</f>
        <v>#N/A</v>
      </c>
      <c r="E900">
        <f>VLOOKUP(C900,'[1]CÓDIGOS DE PRODUCTO'!$A$4:$B$156,2,FALSE)</f>
        <v>0</v>
      </c>
      <c r="F900">
        <f>INDEX('[1]CÓDIGOS DE PRODUCTO'!$C$3:$C$1000,MATCH(C900,'[1]CÓDIGOS DE PRODUCTO'!$A$3:$A$1000,0))</f>
        <v>0</v>
      </c>
      <c r="G900">
        <f>+'[1]VENTAS(RESUMEN GLOBAL)'!D900-'[1]VENTAS(RESUMEN GLOBAL)'!E900</f>
        <v>0</v>
      </c>
      <c r="H900" s="9">
        <f>+'[1]VENTAS(RESUMEN GLOBAL)'!K900</f>
        <v>0</v>
      </c>
      <c r="I900" s="8">
        <f>+G900*'[1]VENTAS(RESUMEN GLOBAL)'!F900</f>
        <v>0</v>
      </c>
      <c r="J900" s="8">
        <f>'[1]VENTAS(RESUMEN GLOBAL)'!G900*(1-'[1]VENTAS(RESUMEN GLOBAL)'!H900)</f>
        <v>0</v>
      </c>
      <c r="K900" s="8">
        <f t="shared" si="14"/>
        <v>0</v>
      </c>
      <c r="L900" s="8">
        <f>+'[1]VENTAS(RESUMEN GLOBAL)'!J900</f>
        <v>0</v>
      </c>
      <c r="M900" s="8">
        <f>+Tabla1[[#This Row],[utilidad x dia]]*7</f>
        <v>0</v>
      </c>
    </row>
    <row r="901" spans="1:13" x14ac:dyDescent="0.3">
      <c r="A901" s="6">
        <f>+'[1]VENTAS(RESUMEN GLOBAL)'!L901</f>
        <v>0</v>
      </c>
      <c r="B901" s="6">
        <f>+'[1]VENTAS(RESUMEN GLOBAL)'!M901</f>
        <v>0</v>
      </c>
      <c r="C901">
        <f>+'[1]VENTAS(RESUMEN GLOBAL)'!B901</f>
        <v>0</v>
      </c>
      <c r="D901" t="e">
        <f>INDEX('[1]CÓDIGOS DE PRODUCTO'!$D$3:$D$1000,MATCH(C901,'[1]CÓDIGOS DE PRODUCTO'!$A$3:$A$1000,0))</f>
        <v>#N/A</v>
      </c>
      <c r="E901">
        <f>VLOOKUP(C901,'[1]CÓDIGOS DE PRODUCTO'!$A$4:$B$156,2,FALSE)</f>
        <v>0</v>
      </c>
      <c r="F901">
        <f>INDEX('[1]CÓDIGOS DE PRODUCTO'!$C$3:$C$1000,MATCH(C901,'[1]CÓDIGOS DE PRODUCTO'!$A$3:$A$1000,0))</f>
        <v>0</v>
      </c>
      <c r="G901">
        <f>+'[1]VENTAS(RESUMEN GLOBAL)'!D901-'[1]VENTAS(RESUMEN GLOBAL)'!E901</f>
        <v>0</v>
      </c>
      <c r="H901" s="9">
        <f>+'[1]VENTAS(RESUMEN GLOBAL)'!K901</f>
        <v>0</v>
      </c>
      <c r="I901" s="8">
        <f>+G901*'[1]VENTAS(RESUMEN GLOBAL)'!F901</f>
        <v>0</v>
      </c>
      <c r="J901" s="8">
        <f>'[1]VENTAS(RESUMEN GLOBAL)'!G901*(1-'[1]VENTAS(RESUMEN GLOBAL)'!H901)</f>
        <v>0</v>
      </c>
      <c r="K901" s="8">
        <f t="shared" si="14"/>
        <v>0</v>
      </c>
      <c r="L901" s="8">
        <f>+'[1]VENTAS(RESUMEN GLOBAL)'!J901</f>
        <v>0</v>
      </c>
      <c r="M901" s="8">
        <f>+Tabla1[[#This Row],[utilidad x dia]]*7</f>
        <v>0</v>
      </c>
    </row>
    <row r="902" spans="1:13" x14ac:dyDescent="0.3">
      <c r="A902" s="6">
        <f>+'[1]VENTAS(RESUMEN GLOBAL)'!L902</f>
        <v>0</v>
      </c>
      <c r="B902" s="6">
        <f>+'[1]VENTAS(RESUMEN GLOBAL)'!M902</f>
        <v>0</v>
      </c>
      <c r="C902">
        <f>+'[1]VENTAS(RESUMEN GLOBAL)'!B902</f>
        <v>0</v>
      </c>
      <c r="D902" t="e">
        <f>INDEX('[1]CÓDIGOS DE PRODUCTO'!$D$3:$D$1000,MATCH(C902,'[1]CÓDIGOS DE PRODUCTO'!$A$3:$A$1000,0))</f>
        <v>#N/A</v>
      </c>
      <c r="E902">
        <f>VLOOKUP(C902,'[1]CÓDIGOS DE PRODUCTO'!$A$4:$B$156,2,FALSE)</f>
        <v>0</v>
      </c>
      <c r="F902">
        <f>INDEX('[1]CÓDIGOS DE PRODUCTO'!$C$3:$C$1000,MATCH(C902,'[1]CÓDIGOS DE PRODUCTO'!$A$3:$A$1000,0))</f>
        <v>0</v>
      </c>
      <c r="G902">
        <f>+'[1]VENTAS(RESUMEN GLOBAL)'!D902-'[1]VENTAS(RESUMEN GLOBAL)'!E902</f>
        <v>0</v>
      </c>
      <c r="H902" s="9">
        <f>+'[1]VENTAS(RESUMEN GLOBAL)'!K902</f>
        <v>0</v>
      </c>
      <c r="I902" s="8">
        <f>+G902*'[1]VENTAS(RESUMEN GLOBAL)'!F902</f>
        <v>0</v>
      </c>
      <c r="J902" s="8">
        <f>'[1]VENTAS(RESUMEN GLOBAL)'!G902*(1-'[1]VENTAS(RESUMEN GLOBAL)'!H902)</f>
        <v>0</v>
      </c>
      <c r="K902" s="8">
        <f t="shared" si="14"/>
        <v>0</v>
      </c>
      <c r="L902" s="8">
        <f>+'[1]VENTAS(RESUMEN GLOBAL)'!J902</f>
        <v>0</v>
      </c>
      <c r="M902" s="8">
        <f>+Tabla1[[#This Row],[utilidad x dia]]*7</f>
        <v>0</v>
      </c>
    </row>
    <row r="903" spans="1:13" x14ac:dyDescent="0.3">
      <c r="A903" s="6">
        <f>+'[1]VENTAS(RESUMEN GLOBAL)'!L903</f>
        <v>0</v>
      </c>
      <c r="B903" s="6">
        <f>+'[1]VENTAS(RESUMEN GLOBAL)'!M903</f>
        <v>0</v>
      </c>
      <c r="C903">
        <f>+'[1]VENTAS(RESUMEN GLOBAL)'!B903</f>
        <v>0</v>
      </c>
      <c r="D903" t="e">
        <f>INDEX('[1]CÓDIGOS DE PRODUCTO'!$D$3:$D$1000,MATCH(C903,'[1]CÓDIGOS DE PRODUCTO'!$A$3:$A$1000,0))</f>
        <v>#N/A</v>
      </c>
      <c r="E903">
        <f>VLOOKUP(C903,'[1]CÓDIGOS DE PRODUCTO'!$A$4:$B$156,2,FALSE)</f>
        <v>0</v>
      </c>
      <c r="F903">
        <f>INDEX('[1]CÓDIGOS DE PRODUCTO'!$C$3:$C$1000,MATCH(C903,'[1]CÓDIGOS DE PRODUCTO'!$A$3:$A$1000,0))</f>
        <v>0</v>
      </c>
      <c r="G903">
        <f>+'[1]VENTAS(RESUMEN GLOBAL)'!D903-'[1]VENTAS(RESUMEN GLOBAL)'!E903</f>
        <v>0</v>
      </c>
      <c r="H903" s="9">
        <f>+'[1]VENTAS(RESUMEN GLOBAL)'!K903</f>
        <v>0</v>
      </c>
      <c r="I903" s="8">
        <f>+G903*'[1]VENTAS(RESUMEN GLOBAL)'!F903</f>
        <v>0</v>
      </c>
      <c r="J903" s="8">
        <f>'[1]VENTAS(RESUMEN GLOBAL)'!G903*(1-'[1]VENTAS(RESUMEN GLOBAL)'!H903)</f>
        <v>0</v>
      </c>
      <c r="K903" s="8">
        <f t="shared" si="14"/>
        <v>0</v>
      </c>
      <c r="L903" s="8">
        <f>+'[1]VENTAS(RESUMEN GLOBAL)'!J903</f>
        <v>0</v>
      </c>
      <c r="M903" s="8">
        <f>+Tabla1[[#This Row],[utilidad x dia]]*7</f>
        <v>0</v>
      </c>
    </row>
    <row r="904" spans="1:13" x14ac:dyDescent="0.3">
      <c r="A904" s="6">
        <f>+'[1]VENTAS(RESUMEN GLOBAL)'!L904</f>
        <v>0</v>
      </c>
      <c r="B904" s="6">
        <f>+'[1]VENTAS(RESUMEN GLOBAL)'!M904</f>
        <v>0</v>
      </c>
      <c r="C904">
        <f>+'[1]VENTAS(RESUMEN GLOBAL)'!B904</f>
        <v>0</v>
      </c>
      <c r="D904" t="e">
        <f>INDEX('[1]CÓDIGOS DE PRODUCTO'!$D$3:$D$1000,MATCH(C904,'[1]CÓDIGOS DE PRODUCTO'!$A$3:$A$1000,0))</f>
        <v>#N/A</v>
      </c>
      <c r="E904">
        <f>VLOOKUP(C904,'[1]CÓDIGOS DE PRODUCTO'!$A$4:$B$156,2,FALSE)</f>
        <v>0</v>
      </c>
      <c r="F904">
        <f>INDEX('[1]CÓDIGOS DE PRODUCTO'!$C$3:$C$1000,MATCH(C904,'[1]CÓDIGOS DE PRODUCTO'!$A$3:$A$1000,0))</f>
        <v>0</v>
      </c>
      <c r="G904">
        <f>+'[1]VENTAS(RESUMEN GLOBAL)'!D904-'[1]VENTAS(RESUMEN GLOBAL)'!E904</f>
        <v>0</v>
      </c>
      <c r="H904" s="9">
        <f>+'[1]VENTAS(RESUMEN GLOBAL)'!K904</f>
        <v>0</v>
      </c>
      <c r="I904" s="8">
        <f>+G904*'[1]VENTAS(RESUMEN GLOBAL)'!F904</f>
        <v>0</v>
      </c>
      <c r="J904" s="8">
        <f>'[1]VENTAS(RESUMEN GLOBAL)'!G904*(1-'[1]VENTAS(RESUMEN GLOBAL)'!H904)</f>
        <v>0</v>
      </c>
      <c r="K904" s="8">
        <f t="shared" si="14"/>
        <v>0</v>
      </c>
      <c r="L904" s="8">
        <f>+'[1]VENTAS(RESUMEN GLOBAL)'!J904</f>
        <v>0</v>
      </c>
      <c r="M904" s="8">
        <f>+Tabla1[[#This Row],[utilidad x dia]]*7</f>
        <v>0</v>
      </c>
    </row>
    <row r="905" spans="1:13" x14ac:dyDescent="0.3">
      <c r="A905" s="6">
        <f>+'[1]VENTAS(RESUMEN GLOBAL)'!L905</f>
        <v>0</v>
      </c>
      <c r="B905" s="6">
        <f>+'[1]VENTAS(RESUMEN GLOBAL)'!M905</f>
        <v>0</v>
      </c>
      <c r="C905">
        <f>+'[1]VENTAS(RESUMEN GLOBAL)'!B905</f>
        <v>0</v>
      </c>
      <c r="D905" t="e">
        <f>INDEX('[1]CÓDIGOS DE PRODUCTO'!$D$3:$D$1000,MATCH(C905,'[1]CÓDIGOS DE PRODUCTO'!$A$3:$A$1000,0))</f>
        <v>#N/A</v>
      </c>
      <c r="E905">
        <f>VLOOKUP(C905,'[1]CÓDIGOS DE PRODUCTO'!$A$4:$B$156,2,FALSE)</f>
        <v>0</v>
      </c>
      <c r="F905">
        <f>INDEX('[1]CÓDIGOS DE PRODUCTO'!$C$3:$C$1000,MATCH(C905,'[1]CÓDIGOS DE PRODUCTO'!$A$3:$A$1000,0))</f>
        <v>0</v>
      </c>
      <c r="G905">
        <f>+'[1]VENTAS(RESUMEN GLOBAL)'!D905-'[1]VENTAS(RESUMEN GLOBAL)'!E905</f>
        <v>0</v>
      </c>
      <c r="H905" s="9">
        <f>+'[1]VENTAS(RESUMEN GLOBAL)'!K905</f>
        <v>0</v>
      </c>
      <c r="I905" s="8">
        <f>+G905*'[1]VENTAS(RESUMEN GLOBAL)'!F905</f>
        <v>0</v>
      </c>
      <c r="J905" s="8">
        <f>'[1]VENTAS(RESUMEN GLOBAL)'!G905*(1-'[1]VENTAS(RESUMEN GLOBAL)'!H905)</f>
        <v>0</v>
      </c>
      <c r="K905" s="8">
        <f t="shared" si="14"/>
        <v>0</v>
      </c>
      <c r="L905" s="8">
        <f>+'[1]VENTAS(RESUMEN GLOBAL)'!J905</f>
        <v>0</v>
      </c>
      <c r="M905" s="8">
        <f>+Tabla1[[#This Row],[utilidad x dia]]*7</f>
        <v>0</v>
      </c>
    </row>
    <row r="906" spans="1:13" x14ac:dyDescent="0.3">
      <c r="A906" s="6">
        <f>+'[1]VENTAS(RESUMEN GLOBAL)'!L906</f>
        <v>0</v>
      </c>
      <c r="B906" s="6">
        <f>+'[1]VENTAS(RESUMEN GLOBAL)'!M906</f>
        <v>0</v>
      </c>
      <c r="C906">
        <f>+'[1]VENTAS(RESUMEN GLOBAL)'!B906</f>
        <v>0</v>
      </c>
      <c r="D906" t="e">
        <f>INDEX('[1]CÓDIGOS DE PRODUCTO'!$D$3:$D$1000,MATCH(C906,'[1]CÓDIGOS DE PRODUCTO'!$A$3:$A$1000,0))</f>
        <v>#N/A</v>
      </c>
      <c r="E906">
        <f>VLOOKUP(C906,'[1]CÓDIGOS DE PRODUCTO'!$A$4:$B$156,2,FALSE)</f>
        <v>0</v>
      </c>
      <c r="F906">
        <f>INDEX('[1]CÓDIGOS DE PRODUCTO'!$C$3:$C$1000,MATCH(C906,'[1]CÓDIGOS DE PRODUCTO'!$A$3:$A$1000,0))</f>
        <v>0</v>
      </c>
      <c r="G906">
        <f>+'[1]VENTAS(RESUMEN GLOBAL)'!D906-'[1]VENTAS(RESUMEN GLOBAL)'!E906</f>
        <v>0</v>
      </c>
      <c r="H906" s="9">
        <f>+'[1]VENTAS(RESUMEN GLOBAL)'!K906</f>
        <v>0</v>
      </c>
      <c r="I906" s="8">
        <f>+G906*'[1]VENTAS(RESUMEN GLOBAL)'!F906</f>
        <v>0</v>
      </c>
      <c r="J906" s="8">
        <f>'[1]VENTAS(RESUMEN GLOBAL)'!G906*(1-'[1]VENTAS(RESUMEN GLOBAL)'!H906)</f>
        <v>0</v>
      </c>
      <c r="K906" s="8">
        <f t="shared" si="14"/>
        <v>0</v>
      </c>
      <c r="L906" s="8">
        <f>+'[1]VENTAS(RESUMEN GLOBAL)'!J906</f>
        <v>0</v>
      </c>
      <c r="M906" s="8">
        <f>+Tabla1[[#This Row],[utilidad x dia]]*7</f>
        <v>0</v>
      </c>
    </row>
    <row r="907" spans="1:13" x14ac:dyDescent="0.3">
      <c r="A907" s="6">
        <f>+'[1]VENTAS(RESUMEN GLOBAL)'!L907</f>
        <v>0</v>
      </c>
      <c r="B907" s="6">
        <f>+'[1]VENTAS(RESUMEN GLOBAL)'!M907</f>
        <v>0</v>
      </c>
      <c r="C907">
        <f>+'[1]VENTAS(RESUMEN GLOBAL)'!B907</f>
        <v>0</v>
      </c>
      <c r="D907" t="e">
        <f>INDEX('[1]CÓDIGOS DE PRODUCTO'!$D$3:$D$1000,MATCH(C907,'[1]CÓDIGOS DE PRODUCTO'!$A$3:$A$1000,0))</f>
        <v>#N/A</v>
      </c>
      <c r="E907">
        <f>VLOOKUP(C907,'[1]CÓDIGOS DE PRODUCTO'!$A$4:$B$156,2,FALSE)</f>
        <v>0</v>
      </c>
      <c r="F907">
        <f>INDEX('[1]CÓDIGOS DE PRODUCTO'!$C$3:$C$1000,MATCH(C907,'[1]CÓDIGOS DE PRODUCTO'!$A$3:$A$1000,0))</f>
        <v>0</v>
      </c>
      <c r="G907">
        <f>+'[1]VENTAS(RESUMEN GLOBAL)'!D907-'[1]VENTAS(RESUMEN GLOBAL)'!E907</f>
        <v>0</v>
      </c>
      <c r="H907" s="9">
        <f>+'[1]VENTAS(RESUMEN GLOBAL)'!K907</f>
        <v>0</v>
      </c>
      <c r="I907" s="8">
        <f>+G907*'[1]VENTAS(RESUMEN GLOBAL)'!F907</f>
        <v>0</v>
      </c>
      <c r="J907" s="8">
        <f>'[1]VENTAS(RESUMEN GLOBAL)'!G907*(1-'[1]VENTAS(RESUMEN GLOBAL)'!H907)</f>
        <v>0</v>
      </c>
      <c r="K907" s="8">
        <f t="shared" si="14"/>
        <v>0</v>
      </c>
      <c r="L907" s="8">
        <f>+'[1]VENTAS(RESUMEN GLOBAL)'!J907</f>
        <v>0</v>
      </c>
      <c r="M907" s="8">
        <f>+Tabla1[[#This Row],[utilidad x dia]]*7</f>
        <v>0</v>
      </c>
    </row>
    <row r="908" spans="1:13" x14ac:dyDescent="0.3">
      <c r="A908" s="6">
        <f>+'[1]VENTAS(RESUMEN GLOBAL)'!L908</f>
        <v>0</v>
      </c>
      <c r="B908" s="6">
        <f>+'[1]VENTAS(RESUMEN GLOBAL)'!M908</f>
        <v>0</v>
      </c>
      <c r="C908">
        <f>+'[1]VENTAS(RESUMEN GLOBAL)'!B908</f>
        <v>0</v>
      </c>
      <c r="D908" t="e">
        <f>INDEX('[1]CÓDIGOS DE PRODUCTO'!$D$3:$D$1000,MATCH(C908,'[1]CÓDIGOS DE PRODUCTO'!$A$3:$A$1000,0))</f>
        <v>#N/A</v>
      </c>
      <c r="E908">
        <f>VLOOKUP(C908,'[1]CÓDIGOS DE PRODUCTO'!$A$4:$B$156,2,FALSE)</f>
        <v>0</v>
      </c>
      <c r="F908">
        <f>INDEX('[1]CÓDIGOS DE PRODUCTO'!$C$3:$C$1000,MATCH(C908,'[1]CÓDIGOS DE PRODUCTO'!$A$3:$A$1000,0))</f>
        <v>0</v>
      </c>
      <c r="G908">
        <f>+'[1]VENTAS(RESUMEN GLOBAL)'!D908-'[1]VENTAS(RESUMEN GLOBAL)'!E908</f>
        <v>0</v>
      </c>
      <c r="H908" s="9">
        <f>+'[1]VENTAS(RESUMEN GLOBAL)'!K908</f>
        <v>0</v>
      </c>
      <c r="I908" s="8">
        <f>+G908*'[1]VENTAS(RESUMEN GLOBAL)'!F908</f>
        <v>0</v>
      </c>
      <c r="J908" s="8">
        <f>'[1]VENTAS(RESUMEN GLOBAL)'!G908*(1-'[1]VENTAS(RESUMEN GLOBAL)'!H908)</f>
        <v>0</v>
      </c>
      <c r="K908" s="8">
        <f t="shared" si="14"/>
        <v>0</v>
      </c>
      <c r="L908" s="8">
        <f>+'[1]VENTAS(RESUMEN GLOBAL)'!J908</f>
        <v>0</v>
      </c>
      <c r="M908" s="8">
        <f>+Tabla1[[#This Row],[utilidad x dia]]*7</f>
        <v>0</v>
      </c>
    </row>
    <row r="909" spans="1:13" x14ac:dyDescent="0.3">
      <c r="A909" s="6">
        <f>+'[1]VENTAS(RESUMEN GLOBAL)'!L909</f>
        <v>0</v>
      </c>
      <c r="B909" s="6">
        <f>+'[1]VENTAS(RESUMEN GLOBAL)'!M909</f>
        <v>0</v>
      </c>
      <c r="C909">
        <f>+'[1]VENTAS(RESUMEN GLOBAL)'!B909</f>
        <v>0</v>
      </c>
      <c r="D909" t="e">
        <f>INDEX('[1]CÓDIGOS DE PRODUCTO'!$D$3:$D$1000,MATCH(C909,'[1]CÓDIGOS DE PRODUCTO'!$A$3:$A$1000,0))</f>
        <v>#N/A</v>
      </c>
      <c r="E909">
        <f>VLOOKUP(C909,'[1]CÓDIGOS DE PRODUCTO'!$A$4:$B$156,2,FALSE)</f>
        <v>0</v>
      </c>
      <c r="F909">
        <f>INDEX('[1]CÓDIGOS DE PRODUCTO'!$C$3:$C$1000,MATCH(C909,'[1]CÓDIGOS DE PRODUCTO'!$A$3:$A$1000,0))</f>
        <v>0</v>
      </c>
      <c r="G909">
        <f>+'[1]VENTAS(RESUMEN GLOBAL)'!D909-'[1]VENTAS(RESUMEN GLOBAL)'!E909</f>
        <v>0</v>
      </c>
      <c r="H909" s="9">
        <f>+'[1]VENTAS(RESUMEN GLOBAL)'!K909</f>
        <v>0</v>
      </c>
      <c r="I909" s="8">
        <f>+G909*'[1]VENTAS(RESUMEN GLOBAL)'!F909</f>
        <v>0</v>
      </c>
      <c r="J909" s="8">
        <f>'[1]VENTAS(RESUMEN GLOBAL)'!G909*(1-'[1]VENTAS(RESUMEN GLOBAL)'!H909)</f>
        <v>0</v>
      </c>
      <c r="K909" s="8">
        <f t="shared" si="14"/>
        <v>0</v>
      </c>
      <c r="L909" s="8">
        <f>+'[1]VENTAS(RESUMEN GLOBAL)'!J909</f>
        <v>0</v>
      </c>
      <c r="M909" s="8">
        <f>+Tabla1[[#This Row],[utilidad x dia]]*7</f>
        <v>0</v>
      </c>
    </row>
    <row r="910" spans="1:13" x14ac:dyDescent="0.3">
      <c r="A910" s="6">
        <f>+'[1]VENTAS(RESUMEN GLOBAL)'!L910</f>
        <v>0</v>
      </c>
      <c r="B910" s="6">
        <f>+'[1]VENTAS(RESUMEN GLOBAL)'!M910</f>
        <v>0</v>
      </c>
      <c r="C910">
        <f>+'[1]VENTAS(RESUMEN GLOBAL)'!B910</f>
        <v>0</v>
      </c>
      <c r="D910" t="e">
        <f>INDEX('[1]CÓDIGOS DE PRODUCTO'!$D$3:$D$1000,MATCH(C910,'[1]CÓDIGOS DE PRODUCTO'!$A$3:$A$1000,0))</f>
        <v>#N/A</v>
      </c>
      <c r="E910">
        <f>VLOOKUP(C910,'[1]CÓDIGOS DE PRODUCTO'!$A$4:$B$156,2,FALSE)</f>
        <v>0</v>
      </c>
      <c r="F910">
        <f>INDEX('[1]CÓDIGOS DE PRODUCTO'!$C$3:$C$1000,MATCH(C910,'[1]CÓDIGOS DE PRODUCTO'!$A$3:$A$1000,0))</f>
        <v>0</v>
      </c>
      <c r="G910">
        <f>+'[1]VENTAS(RESUMEN GLOBAL)'!D910-'[1]VENTAS(RESUMEN GLOBAL)'!E910</f>
        <v>0</v>
      </c>
      <c r="H910" s="9">
        <f>+'[1]VENTAS(RESUMEN GLOBAL)'!K910</f>
        <v>0</v>
      </c>
      <c r="I910" s="8">
        <f>+G910*'[1]VENTAS(RESUMEN GLOBAL)'!F910</f>
        <v>0</v>
      </c>
      <c r="J910" s="8">
        <f>'[1]VENTAS(RESUMEN GLOBAL)'!G910*(1-'[1]VENTAS(RESUMEN GLOBAL)'!H910)</f>
        <v>0</v>
      </c>
      <c r="K910" s="8">
        <f t="shared" si="14"/>
        <v>0</v>
      </c>
      <c r="L910" s="8">
        <f>+'[1]VENTAS(RESUMEN GLOBAL)'!J910</f>
        <v>0</v>
      </c>
      <c r="M910" s="8">
        <f>+Tabla1[[#This Row],[utilidad x dia]]*7</f>
        <v>0</v>
      </c>
    </row>
    <row r="911" spans="1:13" x14ac:dyDescent="0.3">
      <c r="A911" s="6">
        <f>+'[1]VENTAS(RESUMEN GLOBAL)'!L911</f>
        <v>0</v>
      </c>
      <c r="B911" s="6">
        <f>+'[1]VENTAS(RESUMEN GLOBAL)'!M911</f>
        <v>0</v>
      </c>
      <c r="C911">
        <f>+'[1]VENTAS(RESUMEN GLOBAL)'!B911</f>
        <v>0</v>
      </c>
      <c r="D911" t="e">
        <f>INDEX('[1]CÓDIGOS DE PRODUCTO'!$D$3:$D$1000,MATCH(C911,'[1]CÓDIGOS DE PRODUCTO'!$A$3:$A$1000,0))</f>
        <v>#N/A</v>
      </c>
      <c r="E911">
        <f>VLOOKUP(C911,'[1]CÓDIGOS DE PRODUCTO'!$A$4:$B$156,2,FALSE)</f>
        <v>0</v>
      </c>
      <c r="F911">
        <f>INDEX('[1]CÓDIGOS DE PRODUCTO'!$C$3:$C$1000,MATCH(C911,'[1]CÓDIGOS DE PRODUCTO'!$A$3:$A$1000,0))</f>
        <v>0</v>
      </c>
      <c r="G911">
        <f>+'[1]VENTAS(RESUMEN GLOBAL)'!D911-'[1]VENTAS(RESUMEN GLOBAL)'!E911</f>
        <v>0</v>
      </c>
      <c r="H911" s="9">
        <f>+'[1]VENTAS(RESUMEN GLOBAL)'!K911</f>
        <v>0</v>
      </c>
      <c r="I911" s="8">
        <f>+G911*'[1]VENTAS(RESUMEN GLOBAL)'!F911</f>
        <v>0</v>
      </c>
      <c r="J911" s="8">
        <f>'[1]VENTAS(RESUMEN GLOBAL)'!G911*(1-'[1]VENTAS(RESUMEN GLOBAL)'!H911)</f>
        <v>0</v>
      </c>
      <c r="K911" s="8">
        <f t="shared" si="14"/>
        <v>0</v>
      </c>
      <c r="L911" s="8">
        <f>+'[1]VENTAS(RESUMEN GLOBAL)'!J911</f>
        <v>0</v>
      </c>
      <c r="M911" s="8">
        <f>+Tabla1[[#This Row],[utilidad x dia]]*7</f>
        <v>0</v>
      </c>
    </row>
    <row r="912" spans="1:13" x14ac:dyDescent="0.3">
      <c r="A912" s="6">
        <f>+'[1]VENTAS(RESUMEN GLOBAL)'!L912</f>
        <v>0</v>
      </c>
      <c r="B912" s="6">
        <f>+'[1]VENTAS(RESUMEN GLOBAL)'!M912</f>
        <v>0</v>
      </c>
      <c r="C912">
        <f>+'[1]VENTAS(RESUMEN GLOBAL)'!B912</f>
        <v>0</v>
      </c>
      <c r="D912" t="e">
        <f>INDEX('[1]CÓDIGOS DE PRODUCTO'!$D$3:$D$1000,MATCH(C912,'[1]CÓDIGOS DE PRODUCTO'!$A$3:$A$1000,0))</f>
        <v>#N/A</v>
      </c>
      <c r="E912">
        <f>VLOOKUP(C912,'[1]CÓDIGOS DE PRODUCTO'!$A$4:$B$156,2,FALSE)</f>
        <v>0</v>
      </c>
      <c r="F912">
        <f>INDEX('[1]CÓDIGOS DE PRODUCTO'!$C$3:$C$1000,MATCH(C912,'[1]CÓDIGOS DE PRODUCTO'!$A$3:$A$1000,0))</f>
        <v>0</v>
      </c>
      <c r="G912">
        <f>+'[1]VENTAS(RESUMEN GLOBAL)'!D912-'[1]VENTAS(RESUMEN GLOBAL)'!E912</f>
        <v>0</v>
      </c>
      <c r="H912" s="9">
        <f>+'[1]VENTAS(RESUMEN GLOBAL)'!K912</f>
        <v>0</v>
      </c>
      <c r="I912" s="8">
        <f>+G912*'[1]VENTAS(RESUMEN GLOBAL)'!F912</f>
        <v>0</v>
      </c>
      <c r="J912" s="8">
        <f>'[1]VENTAS(RESUMEN GLOBAL)'!G912*(1-'[1]VENTAS(RESUMEN GLOBAL)'!H912)</f>
        <v>0</v>
      </c>
      <c r="K912" s="8">
        <f t="shared" si="14"/>
        <v>0</v>
      </c>
      <c r="L912" s="8">
        <f>+'[1]VENTAS(RESUMEN GLOBAL)'!J912</f>
        <v>0</v>
      </c>
      <c r="M912" s="8">
        <f>+Tabla1[[#This Row],[utilidad x dia]]*7</f>
        <v>0</v>
      </c>
    </row>
    <row r="913" spans="1:13" x14ac:dyDescent="0.3">
      <c r="A913" s="6">
        <f>+'[1]VENTAS(RESUMEN GLOBAL)'!L913</f>
        <v>0</v>
      </c>
      <c r="B913" s="6">
        <f>+'[1]VENTAS(RESUMEN GLOBAL)'!M913</f>
        <v>0</v>
      </c>
      <c r="C913">
        <f>+'[1]VENTAS(RESUMEN GLOBAL)'!B913</f>
        <v>0</v>
      </c>
      <c r="D913" t="e">
        <f>INDEX('[1]CÓDIGOS DE PRODUCTO'!$D$3:$D$1000,MATCH(C913,'[1]CÓDIGOS DE PRODUCTO'!$A$3:$A$1000,0))</f>
        <v>#N/A</v>
      </c>
      <c r="E913">
        <f>VLOOKUP(C913,'[1]CÓDIGOS DE PRODUCTO'!$A$4:$B$156,2,FALSE)</f>
        <v>0</v>
      </c>
      <c r="F913">
        <f>INDEX('[1]CÓDIGOS DE PRODUCTO'!$C$3:$C$1000,MATCH(C913,'[1]CÓDIGOS DE PRODUCTO'!$A$3:$A$1000,0))</f>
        <v>0</v>
      </c>
      <c r="G913">
        <f>+'[1]VENTAS(RESUMEN GLOBAL)'!D913-'[1]VENTAS(RESUMEN GLOBAL)'!E913</f>
        <v>0</v>
      </c>
      <c r="H913" s="9">
        <f>+'[1]VENTAS(RESUMEN GLOBAL)'!K913</f>
        <v>0</v>
      </c>
      <c r="I913" s="8">
        <f>+G913*'[1]VENTAS(RESUMEN GLOBAL)'!F913</f>
        <v>0</v>
      </c>
      <c r="J913" s="8">
        <f>'[1]VENTAS(RESUMEN GLOBAL)'!G913*(1-'[1]VENTAS(RESUMEN GLOBAL)'!H913)</f>
        <v>0</v>
      </c>
      <c r="K913" s="8">
        <f t="shared" si="14"/>
        <v>0</v>
      </c>
      <c r="L913" s="8">
        <f>+'[1]VENTAS(RESUMEN GLOBAL)'!J913</f>
        <v>0</v>
      </c>
      <c r="M913" s="8">
        <f>+Tabla1[[#This Row],[utilidad x dia]]*7</f>
        <v>0</v>
      </c>
    </row>
    <row r="914" spans="1:13" x14ac:dyDescent="0.3">
      <c r="A914" s="6">
        <f>+'[1]VENTAS(RESUMEN GLOBAL)'!L914</f>
        <v>0</v>
      </c>
      <c r="B914" s="6">
        <f>+'[1]VENTAS(RESUMEN GLOBAL)'!M914</f>
        <v>0</v>
      </c>
      <c r="C914">
        <f>+'[1]VENTAS(RESUMEN GLOBAL)'!B914</f>
        <v>0</v>
      </c>
      <c r="D914" t="e">
        <f>INDEX('[1]CÓDIGOS DE PRODUCTO'!$D$3:$D$1000,MATCH(C914,'[1]CÓDIGOS DE PRODUCTO'!$A$3:$A$1000,0))</f>
        <v>#N/A</v>
      </c>
      <c r="E914">
        <f>VLOOKUP(C914,'[1]CÓDIGOS DE PRODUCTO'!$A$4:$B$156,2,FALSE)</f>
        <v>0</v>
      </c>
      <c r="F914">
        <f>INDEX('[1]CÓDIGOS DE PRODUCTO'!$C$3:$C$1000,MATCH(C914,'[1]CÓDIGOS DE PRODUCTO'!$A$3:$A$1000,0))</f>
        <v>0</v>
      </c>
      <c r="G914">
        <f>+'[1]VENTAS(RESUMEN GLOBAL)'!D914-'[1]VENTAS(RESUMEN GLOBAL)'!E914</f>
        <v>0</v>
      </c>
      <c r="H914" s="9">
        <f>+'[1]VENTAS(RESUMEN GLOBAL)'!K914</f>
        <v>0</v>
      </c>
      <c r="I914" s="8">
        <f>+G914*'[1]VENTAS(RESUMEN GLOBAL)'!F914</f>
        <v>0</v>
      </c>
      <c r="J914" s="8">
        <f>'[1]VENTAS(RESUMEN GLOBAL)'!G914*(1-'[1]VENTAS(RESUMEN GLOBAL)'!H914)</f>
        <v>0</v>
      </c>
      <c r="K914" s="8">
        <f t="shared" si="14"/>
        <v>0</v>
      </c>
      <c r="L914" s="8">
        <f>+'[1]VENTAS(RESUMEN GLOBAL)'!J914</f>
        <v>0</v>
      </c>
      <c r="M914" s="8">
        <f>+Tabla1[[#This Row],[utilidad x dia]]*7</f>
        <v>0</v>
      </c>
    </row>
    <row r="915" spans="1:13" x14ac:dyDescent="0.3">
      <c r="A915" s="6">
        <f>+'[1]VENTAS(RESUMEN GLOBAL)'!L915</f>
        <v>0</v>
      </c>
      <c r="B915" s="6">
        <f>+'[1]VENTAS(RESUMEN GLOBAL)'!M915</f>
        <v>0</v>
      </c>
      <c r="C915">
        <f>+'[1]VENTAS(RESUMEN GLOBAL)'!B915</f>
        <v>0</v>
      </c>
      <c r="D915" t="e">
        <f>INDEX('[1]CÓDIGOS DE PRODUCTO'!$D$3:$D$1000,MATCH(C915,'[1]CÓDIGOS DE PRODUCTO'!$A$3:$A$1000,0))</f>
        <v>#N/A</v>
      </c>
      <c r="E915">
        <f>VLOOKUP(C915,'[1]CÓDIGOS DE PRODUCTO'!$A$4:$B$156,2,FALSE)</f>
        <v>0</v>
      </c>
      <c r="F915">
        <f>INDEX('[1]CÓDIGOS DE PRODUCTO'!$C$3:$C$1000,MATCH(C915,'[1]CÓDIGOS DE PRODUCTO'!$A$3:$A$1000,0))</f>
        <v>0</v>
      </c>
      <c r="G915">
        <f>+'[1]VENTAS(RESUMEN GLOBAL)'!D915-'[1]VENTAS(RESUMEN GLOBAL)'!E915</f>
        <v>0</v>
      </c>
      <c r="H915" s="9">
        <f>+'[1]VENTAS(RESUMEN GLOBAL)'!K915</f>
        <v>0</v>
      </c>
      <c r="I915" s="8">
        <f>+G915*'[1]VENTAS(RESUMEN GLOBAL)'!F915</f>
        <v>0</v>
      </c>
      <c r="J915" s="8">
        <f>'[1]VENTAS(RESUMEN GLOBAL)'!G915*(1-'[1]VENTAS(RESUMEN GLOBAL)'!H915)</f>
        <v>0</v>
      </c>
      <c r="K915" s="8">
        <f t="shared" si="14"/>
        <v>0</v>
      </c>
      <c r="L915" s="8">
        <f>+'[1]VENTAS(RESUMEN GLOBAL)'!J915</f>
        <v>0</v>
      </c>
      <c r="M915" s="8">
        <f>+Tabla1[[#This Row],[utilidad x dia]]*7</f>
        <v>0</v>
      </c>
    </row>
    <row r="916" spans="1:13" x14ac:dyDescent="0.3">
      <c r="A916" s="6">
        <f>+'[1]VENTAS(RESUMEN GLOBAL)'!L916</f>
        <v>0</v>
      </c>
      <c r="B916" s="6">
        <f>+'[1]VENTAS(RESUMEN GLOBAL)'!M916</f>
        <v>0</v>
      </c>
      <c r="C916">
        <f>+'[1]VENTAS(RESUMEN GLOBAL)'!B916</f>
        <v>0</v>
      </c>
      <c r="D916" t="e">
        <f>INDEX('[1]CÓDIGOS DE PRODUCTO'!$D$3:$D$1000,MATCH(C916,'[1]CÓDIGOS DE PRODUCTO'!$A$3:$A$1000,0))</f>
        <v>#N/A</v>
      </c>
      <c r="E916">
        <f>VLOOKUP(C916,'[1]CÓDIGOS DE PRODUCTO'!$A$4:$B$156,2,FALSE)</f>
        <v>0</v>
      </c>
      <c r="F916">
        <f>INDEX('[1]CÓDIGOS DE PRODUCTO'!$C$3:$C$1000,MATCH(C916,'[1]CÓDIGOS DE PRODUCTO'!$A$3:$A$1000,0))</f>
        <v>0</v>
      </c>
      <c r="G916">
        <f>+'[1]VENTAS(RESUMEN GLOBAL)'!D916-'[1]VENTAS(RESUMEN GLOBAL)'!E916</f>
        <v>0</v>
      </c>
      <c r="H916" s="9">
        <f>+'[1]VENTAS(RESUMEN GLOBAL)'!K916</f>
        <v>0</v>
      </c>
      <c r="I916" s="8">
        <f>+G916*'[1]VENTAS(RESUMEN GLOBAL)'!F916</f>
        <v>0</v>
      </c>
      <c r="J916" s="8">
        <f>'[1]VENTAS(RESUMEN GLOBAL)'!G916*(1-'[1]VENTAS(RESUMEN GLOBAL)'!H916)</f>
        <v>0</v>
      </c>
      <c r="K916" s="8">
        <f t="shared" si="14"/>
        <v>0</v>
      </c>
      <c r="L916" s="8">
        <f>+'[1]VENTAS(RESUMEN GLOBAL)'!J916</f>
        <v>0</v>
      </c>
      <c r="M916" s="8">
        <f>+Tabla1[[#This Row],[utilidad x dia]]*7</f>
        <v>0</v>
      </c>
    </row>
    <row r="917" spans="1:13" x14ac:dyDescent="0.3">
      <c r="A917" s="6">
        <f>+'[1]VENTAS(RESUMEN GLOBAL)'!L917</f>
        <v>0</v>
      </c>
      <c r="B917" s="6">
        <f>+'[1]VENTAS(RESUMEN GLOBAL)'!M917</f>
        <v>0</v>
      </c>
      <c r="C917">
        <f>+'[1]VENTAS(RESUMEN GLOBAL)'!B917</f>
        <v>0</v>
      </c>
      <c r="D917" t="e">
        <f>INDEX('[1]CÓDIGOS DE PRODUCTO'!$D$3:$D$1000,MATCH(C917,'[1]CÓDIGOS DE PRODUCTO'!$A$3:$A$1000,0))</f>
        <v>#N/A</v>
      </c>
      <c r="E917">
        <f>VLOOKUP(C917,'[1]CÓDIGOS DE PRODUCTO'!$A$4:$B$156,2,FALSE)</f>
        <v>0</v>
      </c>
      <c r="F917">
        <f>INDEX('[1]CÓDIGOS DE PRODUCTO'!$C$3:$C$1000,MATCH(C917,'[1]CÓDIGOS DE PRODUCTO'!$A$3:$A$1000,0))</f>
        <v>0</v>
      </c>
      <c r="G917">
        <f>+'[1]VENTAS(RESUMEN GLOBAL)'!D917-'[1]VENTAS(RESUMEN GLOBAL)'!E917</f>
        <v>0</v>
      </c>
      <c r="H917" s="9">
        <f>+'[1]VENTAS(RESUMEN GLOBAL)'!K917</f>
        <v>0</v>
      </c>
      <c r="I917" s="8">
        <f>+G917*'[1]VENTAS(RESUMEN GLOBAL)'!F917</f>
        <v>0</v>
      </c>
      <c r="J917" s="8">
        <f>'[1]VENTAS(RESUMEN GLOBAL)'!G917*(1-'[1]VENTAS(RESUMEN GLOBAL)'!H917)</f>
        <v>0</v>
      </c>
      <c r="K917" s="8">
        <f t="shared" si="14"/>
        <v>0</v>
      </c>
      <c r="L917" s="8">
        <f>+'[1]VENTAS(RESUMEN GLOBAL)'!J917</f>
        <v>0</v>
      </c>
      <c r="M917" s="8">
        <f>+Tabla1[[#This Row],[utilidad x dia]]*7</f>
        <v>0</v>
      </c>
    </row>
    <row r="918" spans="1:13" x14ac:dyDescent="0.3">
      <c r="A918" s="6">
        <f>+'[1]VENTAS(RESUMEN GLOBAL)'!L918</f>
        <v>0</v>
      </c>
      <c r="B918" s="6">
        <f>+'[1]VENTAS(RESUMEN GLOBAL)'!M918</f>
        <v>0</v>
      </c>
      <c r="C918">
        <f>+'[1]VENTAS(RESUMEN GLOBAL)'!B918</f>
        <v>0</v>
      </c>
      <c r="D918" t="e">
        <f>INDEX('[1]CÓDIGOS DE PRODUCTO'!$D$3:$D$1000,MATCH(C918,'[1]CÓDIGOS DE PRODUCTO'!$A$3:$A$1000,0))</f>
        <v>#N/A</v>
      </c>
      <c r="E918">
        <f>VLOOKUP(C918,'[1]CÓDIGOS DE PRODUCTO'!$A$4:$B$156,2,FALSE)</f>
        <v>0</v>
      </c>
      <c r="F918">
        <f>INDEX('[1]CÓDIGOS DE PRODUCTO'!$C$3:$C$1000,MATCH(C918,'[1]CÓDIGOS DE PRODUCTO'!$A$3:$A$1000,0))</f>
        <v>0</v>
      </c>
      <c r="G918">
        <f>+'[1]VENTAS(RESUMEN GLOBAL)'!D918-'[1]VENTAS(RESUMEN GLOBAL)'!E918</f>
        <v>0</v>
      </c>
      <c r="H918" s="9">
        <f>+'[1]VENTAS(RESUMEN GLOBAL)'!K918</f>
        <v>0</v>
      </c>
      <c r="I918" s="8">
        <f>+G918*'[1]VENTAS(RESUMEN GLOBAL)'!F918</f>
        <v>0</v>
      </c>
      <c r="J918" s="8">
        <f>'[1]VENTAS(RESUMEN GLOBAL)'!G918*(1-'[1]VENTAS(RESUMEN GLOBAL)'!H918)</f>
        <v>0</v>
      </c>
      <c r="K918" s="8">
        <f t="shared" si="14"/>
        <v>0</v>
      </c>
      <c r="L918" s="8">
        <f>+'[1]VENTAS(RESUMEN GLOBAL)'!J918</f>
        <v>0</v>
      </c>
      <c r="M918" s="8">
        <f>+Tabla1[[#This Row],[utilidad x dia]]*7</f>
        <v>0</v>
      </c>
    </row>
    <row r="919" spans="1:13" x14ac:dyDescent="0.3">
      <c r="A919" s="6">
        <f>+'[1]VENTAS(RESUMEN GLOBAL)'!L919</f>
        <v>0</v>
      </c>
      <c r="B919" s="6">
        <f>+'[1]VENTAS(RESUMEN GLOBAL)'!M919</f>
        <v>0</v>
      </c>
      <c r="C919">
        <f>+'[1]VENTAS(RESUMEN GLOBAL)'!B919</f>
        <v>0</v>
      </c>
      <c r="D919" t="e">
        <f>INDEX('[1]CÓDIGOS DE PRODUCTO'!$D$3:$D$1000,MATCH(C919,'[1]CÓDIGOS DE PRODUCTO'!$A$3:$A$1000,0))</f>
        <v>#N/A</v>
      </c>
      <c r="E919">
        <f>VLOOKUP(C919,'[1]CÓDIGOS DE PRODUCTO'!$A$4:$B$156,2,FALSE)</f>
        <v>0</v>
      </c>
      <c r="F919">
        <f>INDEX('[1]CÓDIGOS DE PRODUCTO'!$C$3:$C$1000,MATCH(C919,'[1]CÓDIGOS DE PRODUCTO'!$A$3:$A$1000,0))</f>
        <v>0</v>
      </c>
      <c r="G919">
        <f>+'[1]VENTAS(RESUMEN GLOBAL)'!D919-'[1]VENTAS(RESUMEN GLOBAL)'!E919</f>
        <v>0</v>
      </c>
      <c r="H919" s="9">
        <f>+'[1]VENTAS(RESUMEN GLOBAL)'!K919</f>
        <v>0</v>
      </c>
      <c r="I919" s="8">
        <f>+G919*'[1]VENTAS(RESUMEN GLOBAL)'!F919</f>
        <v>0</v>
      </c>
      <c r="J919" s="8">
        <f>'[1]VENTAS(RESUMEN GLOBAL)'!G919*(1-'[1]VENTAS(RESUMEN GLOBAL)'!H919)</f>
        <v>0</v>
      </c>
      <c r="K919" s="8">
        <f t="shared" si="14"/>
        <v>0</v>
      </c>
      <c r="L919" s="8">
        <f>+'[1]VENTAS(RESUMEN GLOBAL)'!J919</f>
        <v>0</v>
      </c>
      <c r="M919" s="8">
        <f>+Tabla1[[#This Row],[utilidad x dia]]*7</f>
        <v>0</v>
      </c>
    </row>
    <row r="920" spans="1:13" x14ac:dyDescent="0.3">
      <c r="A920" s="6">
        <f>+'[1]VENTAS(RESUMEN GLOBAL)'!L920</f>
        <v>0</v>
      </c>
      <c r="B920" s="6">
        <f>+'[1]VENTAS(RESUMEN GLOBAL)'!M920</f>
        <v>0</v>
      </c>
      <c r="C920">
        <f>+'[1]VENTAS(RESUMEN GLOBAL)'!B920</f>
        <v>0</v>
      </c>
      <c r="D920" t="e">
        <f>INDEX('[1]CÓDIGOS DE PRODUCTO'!$D$3:$D$1000,MATCH(C920,'[1]CÓDIGOS DE PRODUCTO'!$A$3:$A$1000,0))</f>
        <v>#N/A</v>
      </c>
      <c r="E920">
        <f>VLOOKUP(C920,'[1]CÓDIGOS DE PRODUCTO'!$A$4:$B$156,2,FALSE)</f>
        <v>0</v>
      </c>
      <c r="F920">
        <f>INDEX('[1]CÓDIGOS DE PRODUCTO'!$C$3:$C$1000,MATCH(C920,'[1]CÓDIGOS DE PRODUCTO'!$A$3:$A$1000,0))</f>
        <v>0</v>
      </c>
      <c r="G920">
        <f>+'[1]VENTAS(RESUMEN GLOBAL)'!D920-'[1]VENTAS(RESUMEN GLOBAL)'!E920</f>
        <v>0</v>
      </c>
      <c r="H920" s="9">
        <f>+'[1]VENTAS(RESUMEN GLOBAL)'!K920</f>
        <v>0</v>
      </c>
      <c r="I920" s="8">
        <f>+G920*'[1]VENTAS(RESUMEN GLOBAL)'!F920</f>
        <v>0</v>
      </c>
      <c r="J920" s="8">
        <f>'[1]VENTAS(RESUMEN GLOBAL)'!G920*(1-'[1]VENTAS(RESUMEN GLOBAL)'!H920)</f>
        <v>0</v>
      </c>
      <c r="K920" s="8">
        <f t="shared" si="14"/>
        <v>0</v>
      </c>
      <c r="L920" s="8">
        <f>+'[1]VENTAS(RESUMEN GLOBAL)'!J920</f>
        <v>0</v>
      </c>
      <c r="M920" s="8">
        <f>+Tabla1[[#This Row],[utilidad x dia]]*7</f>
        <v>0</v>
      </c>
    </row>
    <row r="921" spans="1:13" x14ac:dyDescent="0.3">
      <c r="A921" s="6">
        <f>+'[1]VENTAS(RESUMEN GLOBAL)'!L921</f>
        <v>0</v>
      </c>
      <c r="B921" s="6">
        <f>+'[1]VENTAS(RESUMEN GLOBAL)'!M921</f>
        <v>0</v>
      </c>
      <c r="C921">
        <f>+'[1]VENTAS(RESUMEN GLOBAL)'!B921</f>
        <v>0</v>
      </c>
      <c r="D921" t="e">
        <f>INDEX('[1]CÓDIGOS DE PRODUCTO'!$D$3:$D$1000,MATCH(C921,'[1]CÓDIGOS DE PRODUCTO'!$A$3:$A$1000,0))</f>
        <v>#N/A</v>
      </c>
      <c r="E921">
        <f>VLOOKUP(C921,'[1]CÓDIGOS DE PRODUCTO'!$A$4:$B$156,2,FALSE)</f>
        <v>0</v>
      </c>
      <c r="F921">
        <f>INDEX('[1]CÓDIGOS DE PRODUCTO'!$C$3:$C$1000,MATCH(C921,'[1]CÓDIGOS DE PRODUCTO'!$A$3:$A$1000,0))</f>
        <v>0</v>
      </c>
      <c r="G921">
        <f>+'[1]VENTAS(RESUMEN GLOBAL)'!D921-'[1]VENTAS(RESUMEN GLOBAL)'!E921</f>
        <v>0</v>
      </c>
      <c r="H921" s="9">
        <f>+'[1]VENTAS(RESUMEN GLOBAL)'!K921</f>
        <v>0</v>
      </c>
      <c r="I921" s="8">
        <f>+G921*'[1]VENTAS(RESUMEN GLOBAL)'!F921</f>
        <v>0</v>
      </c>
      <c r="J921" s="8">
        <f>'[1]VENTAS(RESUMEN GLOBAL)'!G921*(1-'[1]VENTAS(RESUMEN GLOBAL)'!H921)</f>
        <v>0</v>
      </c>
      <c r="K921" s="8">
        <f t="shared" si="14"/>
        <v>0</v>
      </c>
      <c r="L921" s="8">
        <f>+'[1]VENTAS(RESUMEN GLOBAL)'!J921</f>
        <v>0</v>
      </c>
      <c r="M921" s="8">
        <f>+Tabla1[[#This Row],[utilidad x dia]]*7</f>
        <v>0</v>
      </c>
    </row>
    <row r="922" spans="1:13" x14ac:dyDescent="0.3">
      <c r="A922" s="6">
        <f>+'[1]VENTAS(RESUMEN GLOBAL)'!L922</f>
        <v>0</v>
      </c>
      <c r="B922" s="6">
        <f>+'[1]VENTAS(RESUMEN GLOBAL)'!M922</f>
        <v>0</v>
      </c>
      <c r="C922">
        <f>+'[1]VENTAS(RESUMEN GLOBAL)'!B922</f>
        <v>0</v>
      </c>
      <c r="D922" t="e">
        <f>INDEX('[1]CÓDIGOS DE PRODUCTO'!$D$3:$D$1000,MATCH(C922,'[1]CÓDIGOS DE PRODUCTO'!$A$3:$A$1000,0))</f>
        <v>#N/A</v>
      </c>
      <c r="E922">
        <f>VLOOKUP(C922,'[1]CÓDIGOS DE PRODUCTO'!$A$4:$B$156,2,FALSE)</f>
        <v>0</v>
      </c>
      <c r="F922">
        <f>INDEX('[1]CÓDIGOS DE PRODUCTO'!$C$3:$C$1000,MATCH(C922,'[1]CÓDIGOS DE PRODUCTO'!$A$3:$A$1000,0))</f>
        <v>0</v>
      </c>
      <c r="G922">
        <f>+'[1]VENTAS(RESUMEN GLOBAL)'!D922-'[1]VENTAS(RESUMEN GLOBAL)'!E922</f>
        <v>0</v>
      </c>
      <c r="H922" s="9">
        <f>+'[1]VENTAS(RESUMEN GLOBAL)'!K922</f>
        <v>0</v>
      </c>
      <c r="I922" s="8">
        <f>+G922*'[1]VENTAS(RESUMEN GLOBAL)'!F922</f>
        <v>0</v>
      </c>
      <c r="J922" s="8">
        <f>'[1]VENTAS(RESUMEN GLOBAL)'!G922*(1-'[1]VENTAS(RESUMEN GLOBAL)'!H922)</f>
        <v>0</v>
      </c>
      <c r="K922" s="8">
        <f t="shared" si="14"/>
        <v>0</v>
      </c>
      <c r="L922" s="8">
        <f>+'[1]VENTAS(RESUMEN GLOBAL)'!J922</f>
        <v>0</v>
      </c>
      <c r="M922" s="8">
        <f>+Tabla1[[#This Row],[utilidad x dia]]*7</f>
        <v>0</v>
      </c>
    </row>
    <row r="923" spans="1:13" x14ac:dyDescent="0.3">
      <c r="A923" s="6">
        <f>+'[1]VENTAS(RESUMEN GLOBAL)'!L923</f>
        <v>0</v>
      </c>
      <c r="B923" s="6">
        <f>+'[1]VENTAS(RESUMEN GLOBAL)'!M923</f>
        <v>0</v>
      </c>
      <c r="C923">
        <f>+'[1]VENTAS(RESUMEN GLOBAL)'!B923</f>
        <v>0</v>
      </c>
      <c r="D923" t="e">
        <f>INDEX('[1]CÓDIGOS DE PRODUCTO'!$D$3:$D$1000,MATCH(C923,'[1]CÓDIGOS DE PRODUCTO'!$A$3:$A$1000,0))</f>
        <v>#N/A</v>
      </c>
      <c r="E923">
        <f>VLOOKUP(C923,'[1]CÓDIGOS DE PRODUCTO'!$A$4:$B$156,2,FALSE)</f>
        <v>0</v>
      </c>
      <c r="F923">
        <f>INDEX('[1]CÓDIGOS DE PRODUCTO'!$C$3:$C$1000,MATCH(C923,'[1]CÓDIGOS DE PRODUCTO'!$A$3:$A$1000,0))</f>
        <v>0</v>
      </c>
      <c r="G923">
        <f>+'[1]VENTAS(RESUMEN GLOBAL)'!D923-'[1]VENTAS(RESUMEN GLOBAL)'!E923</f>
        <v>0</v>
      </c>
      <c r="H923" s="9">
        <f>+'[1]VENTAS(RESUMEN GLOBAL)'!K923</f>
        <v>0</v>
      </c>
      <c r="I923" s="8">
        <f>+G923*'[1]VENTAS(RESUMEN GLOBAL)'!F923</f>
        <v>0</v>
      </c>
      <c r="J923" s="8">
        <f>'[1]VENTAS(RESUMEN GLOBAL)'!G923*(1-'[1]VENTAS(RESUMEN GLOBAL)'!H923)</f>
        <v>0</v>
      </c>
      <c r="K923" s="8">
        <f t="shared" si="14"/>
        <v>0</v>
      </c>
      <c r="L923" s="8">
        <f>+'[1]VENTAS(RESUMEN GLOBAL)'!J923</f>
        <v>0</v>
      </c>
      <c r="M923" s="8">
        <f>+Tabla1[[#This Row],[utilidad x dia]]*7</f>
        <v>0</v>
      </c>
    </row>
    <row r="924" spans="1:13" x14ac:dyDescent="0.3">
      <c r="A924" s="6">
        <f>+'[1]VENTAS(RESUMEN GLOBAL)'!L924</f>
        <v>0</v>
      </c>
      <c r="B924" s="6">
        <f>+'[1]VENTAS(RESUMEN GLOBAL)'!M924</f>
        <v>0</v>
      </c>
      <c r="C924">
        <f>+'[1]VENTAS(RESUMEN GLOBAL)'!B924</f>
        <v>0</v>
      </c>
      <c r="D924" t="e">
        <f>INDEX('[1]CÓDIGOS DE PRODUCTO'!$D$3:$D$1000,MATCH(C924,'[1]CÓDIGOS DE PRODUCTO'!$A$3:$A$1000,0))</f>
        <v>#N/A</v>
      </c>
      <c r="E924">
        <f>VLOOKUP(C924,'[1]CÓDIGOS DE PRODUCTO'!$A$4:$B$156,2,FALSE)</f>
        <v>0</v>
      </c>
      <c r="F924">
        <f>INDEX('[1]CÓDIGOS DE PRODUCTO'!$C$3:$C$1000,MATCH(C924,'[1]CÓDIGOS DE PRODUCTO'!$A$3:$A$1000,0))</f>
        <v>0</v>
      </c>
      <c r="G924">
        <f>+'[1]VENTAS(RESUMEN GLOBAL)'!D924-'[1]VENTAS(RESUMEN GLOBAL)'!E924</f>
        <v>0</v>
      </c>
      <c r="H924" s="9">
        <f>+'[1]VENTAS(RESUMEN GLOBAL)'!K924</f>
        <v>0</v>
      </c>
      <c r="I924" s="8">
        <f>+G924*'[1]VENTAS(RESUMEN GLOBAL)'!F924</f>
        <v>0</v>
      </c>
      <c r="J924" s="8">
        <f>'[1]VENTAS(RESUMEN GLOBAL)'!G924*(1-'[1]VENTAS(RESUMEN GLOBAL)'!H924)</f>
        <v>0</v>
      </c>
      <c r="K924" s="8">
        <f t="shared" si="14"/>
        <v>0</v>
      </c>
      <c r="L924" s="8">
        <f>+'[1]VENTAS(RESUMEN GLOBAL)'!J924</f>
        <v>0</v>
      </c>
      <c r="M924" s="8">
        <f>+Tabla1[[#This Row],[utilidad x dia]]*7</f>
        <v>0</v>
      </c>
    </row>
    <row r="925" spans="1:13" x14ac:dyDescent="0.3">
      <c r="A925" s="6">
        <f>+'[1]VENTAS(RESUMEN GLOBAL)'!L925</f>
        <v>0</v>
      </c>
      <c r="B925" s="6">
        <f>+'[1]VENTAS(RESUMEN GLOBAL)'!M925</f>
        <v>0</v>
      </c>
      <c r="C925">
        <f>+'[1]VENTAS(RESUMEN GLOBAL)'!B925</f>
        <v>0</v>
      </c>
      <c r="D925" t="e">
        <f>INDEX('[1]CÓDIGOS DE PRODUCTO'!$D$3:$D$1000,MATCH(C925,'[1]CÓDIGOS DE PRODUCTO'!$A$3:$A$1000,0))</f>
        <v>#N/A</v>
      </c>
      <c r="E925">
        <f>VLOOKUP(C925,'[1]CÓDIGOS DE PRODUCTO'!$A$4:$B$156,2,FALSE)</f>
        <v>0</v>
      </c>
      <c r="F925">
        <f>INDEX('[1]CÓDIGOS DE PRODUCTO'!$C$3:$C$1000,MATCH(C925,'[1]CÓDIGOS DE PRODUCTO'!$A$3:$A$1000,0))</f>
        <v>0</v>
      </c>
      <c r="G925">
        <f>+'[1]VENTAS(RESUMEN GLOBAL)'!D925-'[1]VENTAS(RESUMEN GLOBAL)'!E925</f>
        <v>0</v>
      </c>
      <c r="H925" s="9">
        <f>+'[1]VENTAS(RESUMEN GLOBAL)'!K925</f>
        <v>0</v>
      </c>
      <c r="I925" s="8">
        <f>+G925*'[1]VENTAS(RESUMEN GLOBAL)'!F925</f>
        <v>0</v>
      </c>
      <c r="J925" s="8">
        <f>'[1]VENTAS(RESUMEN GLOBAL)'!G925*(1-'[1]VENTAS(RESUMEN GLOBAL)'!H925)</f>
        <v>0</v>
      </c>
      <c r="K925" s="8">
        <f t="shared" si="14"/>
        <v>0</v>
      </c>
      <c r="L925" s="8">
        <f>+'[1]VENTAS(RESUMEN GLOBAL)'!J925</f>
        <v>0</v>
      </c>
      <c r="M925" s="8">
        <f>+Tabla1[[#This Row],[utilidad x dia]]*7</f>
        <v>0</v>
      </c>
    </row>
    <row r="926" spans="1:13" x14ac:dyDescent="0.3">
      <c r="A926" s="6">
        <f>+'[1]VENTAS(RESUMEN GLOBAL)'!L926</f>
        <v>0</v>
      </c>
      <c r="B926" s="6">
        <f>+'[1]VENTAS(RESUMEN GLOBAL)'!M926</f>
        <v>0</v>
      </c>
      <c r="C926">
        <f>+'[1]VENTAS(RESUMEN GLOBAL)'!B926</f>
        <v>0</v>
      </c>
      <c r="D926" t="e">
        <f>INDEX('[1]CÓDIGOS DE PRODUCTO'!$D$3:$D$1000,MATCH(C926,'[1]CÓDIGOS DE PRODUCTO'!$A$3:$A$1000,0))</f>
        <v>#N/A</v>
      </c>
      <c r="E926">
        <f>VLOOKUP(C926,'[1]CÓDIGOS DE PRODUCTO'!$A$4:$B$156,2,FALSE)</f>
        <v>0</v>
      </c>
      <c r="F926">
        <f>INDEX('[1]CÓDIGOS DE PRODUCTO'!$C$3:$C$1000,MATCH(C926,'[1]CÓDIGOS DE PRODUCTO'!$A$3:$A$1000,0))</f>
        <v>0</v>
      </c>
      <c r="G926">
        <f>+'[1]VENTAS(RESUMEN GLOBAL)'!D926-'[1]VENTAS(RESUMEN GLOBAL)'!E926</f>
        <v>0</v>
      </c>
      <c r="H926" s="9">
        <f>+'[1]VENTAS(RESUMEN GLOBAL)'!K926</f>
        <v>0</v>
      </c>
      <c r="I926" s="8">
        <f>+G926*'[1]VENTAS(RESUMEN GLOBAL)'!F926</f>
        <v>0</v>
      </c>
      <c r="J926" s="8">
        <f>'[1]VENTAS(RESUMEN GLOBAL)'!G926*(1-'[1]VENTAS(RESUMEN GLOBAL)'!H926)</f>
        <v>0</v>
      </c>
      <c r="K926" s="8">
        <f t="shared" si="14"/>
        <v>0</v>
      </c>
      <c r="L926" s="8">
        <f>+'[1]VENTAS(RESUMEN GLOBAL)'!J926</f>
        <v>0</v>
      </c>
      <c r="M926" s="8">
        <f>+Tabla1[[#This Row],[utilidad x dia]]*7</f>
        <v>0</v>
      </c>
    </row>
    <row r="927" spans="1:13" x14ac:dyDescent="0.3">
      <c r="A927" s="6">
        <f>+'[1]VENTAS(RESUMEN GLOBAL)'!L927</f>
        <v>0</v>
      </c>
      <c r="B927" s="6">
        <f>+'[1]VENTAS(RESUMEN GLOBAL)'!M927</f>
        <v>0</v>
      </c>
      <c r="C927">
        <f>+'[1]VENTAS(RESUMEN GLOBAL)'!B927</f>
        <v>0</v>
      </c>
      <c r="D927" t="e">
        <f>INDEX('[1]CÓDIGOS DE PRODUCTO'!$D$3:$D$1000,MATCH(C927,'[1]CÓDIGOS DE PRODUCTO'!$A$3:$A$1000,0))</f>
        <v>#N/A</v>
      </c>
      <c r="E927">
        <f>VLOOKUP(C927,'[1]CÓDIGOS DE PRODUCTO'!$A$4:$B$156,2,FALSE)</f>
        <v>0</v>
      </c>
      <c r="F927">
        <f>INDEX('[1]CÓDIGOS DE PRODUCTO'!$C$3:$C$1000,MATCH(C927,'[1]CÓDIGOS DE PRODUCTO'!$A$3:$A$1000,0))</f>
        <v>0</v>
      </c>
      <c r="G927">
        <f>+'[1]VENTAS(RESUMEN GLOBAL)'!D927-'[1]VENTAS(RESUMEN GLOBAL)'!E927</f>
        <v>0</v>
      </c>
      <c r="H927" s="9">
        <f>+'[1]VENTAS(RESUMEN GLOBAL)'!K927</f>
        <v>0</v>
      </c>
      <c r="I927" s="8">
        <f>+G927*'[1]VENTAS(RESUMEN GLOBAL)'!F927</f>
        <v>0</v>
      </c>
      <c r="J927" s="8">
        <f>'[1]VENTAS(RESUMEN GLOBAL)'!G927*(1-'[1]VENTAS(RESUMEN GLOBAL)'!H927)</f>
        <v>0</v>
      </c>
      <c r="K927" s="8">
        <f t="shared" si="14"/>
        <v>0</v>
      </c>
      <c r="L927" s="8">
        <f>+'[1]VENTAS(RESUMEN GLOBAL)'!J927</f>
        <v>0</v>
      </c>
      <c r="M927" s="8">
        <f>+Tabla1[[#This Row],[utilidad x dia]]*7</f>
        <v>0</v>
      </c>
    </row>
    <row r="928" spans="1:13" x14ac:dyDescent="0.3">
      <c r="A928" s="6">
        <f>+'[1]VENTAS(RESUMEN GLOBAL)'!L928</f>
        <v>0</v>
      </c>
      <c r="B928" s="6">
        <f>+'[1]VENTAS(RESUMEN GLOBAL)'!M928</f>
        <v>0</v>
      </c>
      <c r="C928">
        <f>+'[1]VENTAS(RESUMEN GLOBAL)'!B928</f>
        <v>0</v>
      </c>
      <c r="D928" t="e">
        <f>INDEX('[1]CÓDIGOS DE PRODUCTO'!$D$3:$D$1000,MATCH(C928,'[1]CÓDIGOS DE PRODUCTO'!$A$3:$A$1000,0))</f>
        <v>#N/A</v>
      </c>
      <c r="E928">
        <f>VLOOKUP(C928,'[1]CÓDIGOS DE PRODUCTO'!$A$4:$B$156,2,FALSE)</f>
        <v>0</v>
      </c>
      <c r="F928">
        <f>INDEX('[1]CÓDIGOS DE PRODUCTO'!$C$3:$C$1000,MATCH(C928,'[1]CÓDIGOS DE PRODUCTO'!$A$3:$A$1000,0))</f>
        <v>0</v>
      </c>
      <c r="G928">
        <f>+'[1]VENTAS(RESUMEN GLOBAL)'!D928-'[1]VENTAS(RESUMEN GLOBAL)'!E928</f>
        <v>0</v>
      </c>
      <c r="H928" s="9">
        <f>+'[1]VENTAS(RESUMEN GLOBAL)'!K928</f>
        <v>0</v>
      </c>
      <c r="I928" s="8">
        <f>+G928*'[1]VENTAS(RESUMEN GLOBAL)'!F928</f>
        <v>0</v>
      </c>
      <c r="J928" s="8">
        <f>'[1]VENTAS(RESUMEN GLOBAL)'!G928*(1-'[1]VENTAS(RESUMEN GLOBAL)'!H928)</f>
        <v>0</v>
      </c>
      <c r="K928" s="8">
        <f t="shared" si="14"/>
        <v>0</v>
      </c>
      <c r="L928" s="8">
        <f>+'[1]VENTAS(RESUMEN GLOBAL)'!J928</f>
        <v>0</v>
      </c>
      <c r="M928" s="8">
        <f>+Tabla1[[#This Row],[utilidad x dia]]*7</f>
        <v>0</v>
      </c>
    </row>
    <row r="929" spans="1:13" x14ac:dyDescent="0.3">
      <c r="A929" s="6">
        <f>+'[1]VENTAS(RESUMEN GLOBAL)'!L929</f>
        <v>0</v>
      </c>
      <c r="B929" s="6">
        <f>+'[1]VENTAS(RESUMEN GLOBAL)'!M929</f>
        <v>0</v>
      </c>
      <c r="C929">
        <f>+'[1]VENTAS(RESUMEN GLOBAL)'!B929</f>
        <v>0</v>
      </c>
      <c r="D929" t="e">
        <f>INDEX('[1]CÓDIGOS DE PRODUCTO'!$D$3:$D$1000,MATCH(C929,'[1]CÓDIGOS DE PRODUCTO'!$A$3:$A$1000,0))</f>
        <v>#N/A</v>
      </c>
      <c r="E929">
        <f>VLOOKUP(C929,'[1]CÓDIGOS DE PRODUCTO'!$A$4:$B$156,2,FALSE)</f>
        <v>0</v>
      </c>
      <c r="F929">
        <f>INDEX('[1]CÓDIGOS DE PRODUCTO'!$C$3:$C$1000,MATCH(C929,'[1]CÓDIGOS DE PRODUCTO'!$A$3:$A$1000,0))</f>
        <v>0</v>
      </c>
      <c r="G929">
        <f>+'[1]VENTAS(RESUMEN GLOBAL)'!D929-'[1]VENTAS(RESUMEN GLOBAL)'!E929</f>
        <v>0</v>
      </c>
      <c r="H929" s="9">
        <f>+'[1]VENTAS(RESUMEN GLOBAL)'!K929</f>
        <v>0</v>
      </c>
      <c r="I929" s="8">
        <f>+G929*'[1]VENTAS(RESUMEN GLOBAL)'!F929</f>
        <v>0</v>
      </c>
      <c r="J929" s="8">
        <f>'[1]VENTAS(RESUMEN GLOBAL)'!G929*(1-'[1]VENTAS(RESUMEN GLOBAL)'!H929)</f>
        <v>0</v>
      </c>
      <c r="K929" s="8">
        <f t="shared" si="14"/>
        <v>0</v>
      </c>
      <c r="L929" s="8">
        <f>+'[1]VENTAS(RESUMEN GLOBAL)'!J929</f>
        <v>0</v>
      </c>
      <c r="M929" s="8">
        <f>+Tabla1[[#This Row],[utilidad x dia]]*7</f>
        <v>0</v>
      </c>
    </row>
    <row r="930" spans="1:13" x14ac:dyDescent="0.3">
      <c r="A930" s="6">
        <f>+'[1]VENTAS(RESUMEN GLOBAL)'!L930</f>
        <v>0</v>
      </c>
      <c r="B930" s="6">
        <f>+'[1]VENTAS(RESUMEN GLOBAL)'!M930</f>
        <v>0</v>
      </c>
      <c r="C930">
        <f>+'[1]VENTAS(RESUMEN GLOBAL)'!B930</f>
        <v>0</v>
      </c>
      <c r="D930" t="e">
        <f>INDEX('[1]CÓDIGOS DE PRODUCTO'!$D$3:$D$1000,MATCH(C930,'[1]CÓDIGOS DE PRODUCTO'!$A$3:$A$1000,0))</f>
        <v>#N/A</v>
      </c>
      <c r="E930">
        <f>VLOOKUP(C930,'[1]CÓDIGOS DE PRODUCTO'!$A$4:$B$156,2,FALSE)</f>
        <v>0</v>
      </c>
      <c r="F930">
        <f>INDEX('[1]CÓDIGOS DE PRODUCTO'!$C$3:$C$1000,MATCH(C930,'[1]CÓDIGOS DE PRODUCTO'!$A$3:$A$1000,0))</f>
        <v>0</v>
      </c>
      <c r="G930">
        <f>+'[1]VENTAS(RESUMEN GLOBAL)'!D930-'[1]VENTAS(RESUMEN GLOBAL)'!E930</f>
        <v>0</v>
      </c>
      <c r="H930" s="9">
        <f>+'[1]VENTAS(RESUMEN GLOBAL)'!K930</f>
        <v>0</v>
      </c>
      <c r="I930" s="8">
        <f>+G930*'[1]VENTAS(RESUMEN GLOBAL)'!F930</f>
        <v>0</v>
      </c>
      <c r="J930" s="8">
        <f>'[1]VENTAS(RESUMEN GLOBAL)'!G930*(1-'[1]VENTAS(RESUMEN GLOBAL)'!H930)</f>
        <v>0</v>
      </c>
      <c r="K930" s="8">
        <f t="shared" si="14"/>
        <v>0</v>
      </c>
      <c r="L930" s="8">
        <f>+'[1]VENTAS(RESUMEN GLOBAL)'!J930</f>
        <v>0</v>
      </c>
      <c r="M930" s="8">
        <f>+Tabla1[[#This Row],[utilidad x dia]]*7</f>
        <v>0</v>
      </c>
    </row>
    <row r="931" spans="1:13" x14ac:dyDescent="0.3">
      <c r="A931" s="6">
        <f>+'[1]VENTAS(RESUMEN GLOBAL)'!L931</f>
        <v>0</v>
      </c>
      <c r="B931" s="6">
        <f>+'[1]VENTAS(RESUMEN GLOBAL)'!M931</f>
        <v>0</v>
      </c>
      <c r="C931">
        <f>+'[1]VENTAS(RESUMEN GLOBAL)'!B931</f>
        <v>0</v>
      </c>
      <c r="D931" t="e">
        <f>INDEX('[1]CÓDIGOS DE PRODUCTO'!$D$3:$D$1000,MATCH(C931,'[1]CÓDIGOS DE PRODUCTO'!$A$3:$A$1000,0))</f>
        <v>#N/A</v>
      </c>
      <c r="E931">
        <f>VLOOKUP(C931,'[1]CÓDIGOS DE PRODUCTO'!$A$4:$B$156,2,FALSE)</f>
        <v>0</v>
      </c>
      <c r="F931">
        <f>INDEX('[1]CÓDIGOS DE PRODUCTO'!$C$3:$C$1000,MATCH(C931,'[1]CÓDIGOS DE PRODUCTO'!$A$3:$A$1000,0))</f>
        <v>0</v>
      </c>
      <c r="G931">
        <f>+'[1]VENTAS(RESUMEN GLOBAL)'!D931-'[1]VENTAS(RESUMEN GLOBAL)'!E931</f>
        <v>0</v>
      </c>
      <c r="H931" s="9">
        <f>+'[1]VENTAS(RESUMEN GLOBAL)'!K931</f>
        <v>0</v>
      </c>
      <c r="I931" s="8">
        <f>+G931*'[1]VENTAS(RESUMEN GLOBAL)'!F931</f>
        <v>0</v>
      </c>
      <c r="J931" s="8">
        <f>'[1]VENTAS(RESUMEN GLOBAL)'!G931*(1-'[1]VENTAS(RESUMEN GLOBAL)'!H931)</f>
        <v>0</v>
      </c>
      <c r="K931" s="8">
        <f t="shared" si="14"/>
        <v>0</v>
      </c>
      <c r="L931" s="8">
        <f>+'[1]VENTAS(RESUMEN GLOBAL)'!J931</f>
        <v>0</v>
      </c>
      <c r="M931" s="8">
        <f>+Tabla1[[#This Row],[utilidad x dia]]*7</f>
        <v>0</v>
      </c>
    </row>
    <row r="932" spans="1:13" x14ac:dyDescent="0.3">
      <c r="A932" s="6">
        <f>+'[1]VENTAS(RESUMEN GLOBAL)'!L932</f>
        <v>0</v>
      </c>
      <c r="B932" s="6">
        <f>+'[1]VENTAS(RESUMEN GLOBAL)'!M932</f>
        <v>0</v>
      </c>
      <c r="C932">
        <f>+'[1]VENTAS(RESUMEN GLOBAL)'!B932</f>
        <v>0</v>
      </c>
      <c r="D932" t="e">
        <f>INDEX('[1]CÓDIGOS DE PRODUCTO'!$D$3:$D$1000,MATCH(C932,'[1]CÓDIGOS DE PRODUCTO'!$A$3:$A$1000,0))</f>
        <v>#N/A</v>
      </c>
      <c r="E932">
        <f>VLOOKUP(C932,'[1]CÓDIGOS DE PRODUCTO'!$A$4:$B$156,2,FALSE)</f>
        <v>0</v>
      </c>
      <c r="F932">
        <f>INDEX('[1]CÓDIGOS DE PRODUCTO'!$C$3:$C$1000,MATCH(C932,'[1]CÓDIGOS DE PRODUCTO'!$A$3:$A$1000,0))</f>
        <v>0</v>
      </c>
      <c r="G932">
        <f>+'[1]VENTAS(RESUMEN GLOBAL)'!D932-'[1]VENTAS(RESUMEN GLOBAL)'!E932</f>
        <v>0</v>
      </c>
      <c r="H932" s="9">
        <f>+'[1]VENTAS(RESUMEN GLOBAL)'!K932</f>
        <v>0</v>
      </c>
      <c r="I932" s="8">
        <f>+G932*'[1]VENTAS(RESUMEN GLOBAL)'!F932</f>
        <v>0</v>
      </c>
      <c r="J932" s="8">
        <f>'[1]VENTAS(RESUMEN GLOBAL)'!G932*(1-'[1]VENTAS(RESUMEN GLOBAL)'!H932)</f>
        <v>0</v>
      </c>
      <c r="K932" s="8">
        <f t="shared" si="14"/>
        <v>0</v>
      </c>
      <c r="L932" s="8">
        <f>+'[1]VENTAS(RESUMEN GLOBAL)'!J932</f>
        <v>0</v>
      </c>
      <c r="M932" s="8">
        <f>+Tabla1[[#This Row],[utilidad x dia]]*7</f>
        <v>0</v>
      </c>
    </row>
    <row r="933" spans="1:13" x14ac:dyDescent="0.3">
      <c r="A933" s="6">
        <f>+'[1]VENTAS(RESUMEN GLOBAL)'!L933</f>
        <v>0</v>
      </c>
      <c r="B933" s="6">
        <f>+'[1]VENTAS(RESUMEN GLOBAL)'!M933</f>
        <v>0</v>
      </c>
      <c r="C933">
        <f>+'[1]VENTAS(RESUMEN GLOBAL)'!B933</f>
        <v>0</v>
      </c>
      <c r="D933" t="e">
        <f>INDEX('[1]CÓDIGOS DE PRODUCTO'!$D$3:$D$1000,MATCH(C933,'[1]CÓDIGOS DE PRODUCTO'!$A$3:$A$1000,0))</f>
        <v>#N/A</v>
      </c>
      <c r="E933">
        <f>VLOOKUP(C933,'[1]CÓDIGOS DE PRODUCTO'!$A$4:$B$156,2,FALSE)</f>
        <v>0</v>
      </c>
      <c r="F933">
        <f>INDEX('[1]CÓDIGOS DE PRODUCTO'!$C$3:$C$1000,MATCH(C933,'[1]CÓDIGOS DE PRODUCTO'!$A$3:$A$1000,0))</f>
        <v>0</v>
      </c>
      <c r="G933">
        <f>+'[1]VENTAS(RESUMEN GLOBAL)'!D933-'[1]VENTAS(RESUMEN GLOBAL)'!E933</f>
        <v>0</v>
      </c>
      <c r="H933" s="9">
        <f>+'[1]VENTAS(RESUMEN GLOBAL)'!K933</f>
        <v>0</v>
      </c>
      <c r="I933" s="8">
        <f>+G933*'[1]VENTAS(RESUMEN GLOBAL)'!F933</f>
        <v>0</v>
      </c>
      <c r="J933" s="8">
        <f>'[1]VENTAS(RESUMEN GLOBAL)'!G933*(1-'[1]VENTAS(RESUMEN GLOBAL)'!H933)</f>
        <v>0</v>
      </c>
      <c r="K933" s="8">
        <f t="shared" si="14"/>
        <v>0</v>
      </c>
      <c r="L933" s="8">
        <f>+'[1]VENTAS(RESUMEN GLOBAL)'!J933</f>
        <v>0</v>
      </c>
      <c r="M933" s="8">
        <f>+Tabla1[[#This Row],[utilidad x dia]]*7</f>
        <v>0</v>
      </c>
    </row>
    <row r="934" spans="1:13" x14ac:dyDescent="0.3">
      <c r="A934" s="6">
        <f>+'[1]VENTAS(RESUMEN GLOBAL)'!L934</f>
        <v>0</v>
      </c>
      <c r="B934" s="6">
        <f>+'[1]VENTAS(RESUMEN GLOBAL)'!M934</f>
        <v>0</v>
      </c>
      <c r="C934">
        <f>+'[1]VENTAS(RESUMEN GLOBAL)'!B934</f>
        <v>0</v>
      </c>
      <c r="D934" t="e">
        <f>INDEX('[1]CÓDIGOS DE PRODUCTO'!$D$3:$D$1000,MATCH(C934,'[1]CÓDIGOS DE PRODUCTO'!$A$3:$A$1000,0))</f>
        <v>#N/A</v>
      </c>
      <c r="E934">
        <f>VLOOKUP(C934,'[1]CÓDIGOS DE PRODUCTO'!$A$4:$B$156,2,FALSE)</f>
        <v>0</v>
      </c>
      <c r="F934">
        <f>INDEX('[1]CÓDIGOS DE PRODUCTO'!$C$3:$C$1000,MATCH(C934,'[1]CÓDIGOS DE PRODUCTO'!$A$3:$A$1000,0))</f>
        <v>0</v>
      </c>
      <c r="G934">
        <f>+'[1]VENTAS(RESUMEN GLOBAL)'!D934-'[1]VENTAS(RESUMEN GLOBAL)'!E934</f>
        <v>0</v>
      </c>
      <c r="H934" s="9">
        <f>+'[1]VENTAS(RESUMEN GLOBAL)'!K934</f>
        <v>0</v>
      </c>
      <c r="I934" s="8">
        <f>+G934*'[1]VENTAS(RESUMEN GLOBAL)'!F934</f>
        <v>0</v>
      </c>
      <c r="J934" s="8">
        <f>'[1]VENTAS(RESUMEN GLOBAL)'!G934*(1-'[1]VENTAS(RESUMEN GLOBAL)'!H934)</f>
        <v>0</v>
      </c>
      <c r="K934" s="8">
        <f t="shared" si="14"/>
        <v>0</v>
      </c>
      <c r="L934" s="8">
        <f>+'[1]VENTAS(RESUMEN GLOBAL)'!J934</f>
        <v>0</v>
      </c>
      <c r="M934" s="8">
        <f>+Tabla1[[#This Row],[utilidad x dia]]*7</f>
        <v>0</v>
      </c>
    </row>
    <row r="935" spans="1:13" x14ac:dyDescent="0.3">
      <c r="A935" s="6">
        <f>+'[1]VENTAS(RESUMEN GLOBAL)'!L935</f>
        <v>0</v>
      </c>
      <c r="B935" s="6">
        <f>+'[1]VENTAS(RESUMEN GLOBAL)'!M935</f>
        <v>0</v>
      </c>
      <c r="C935">
        <f>+'[1]VENTAS(RESUMEN GLOBAL)'!B935</f>
        <v>0</v>
      </c>
      <c r="D935" t="e">
        <f>INDEX('[1]CÓDIGOS DE PRODUCTO'!$D$3:$D$1000,MATCH(C935,'[1]CÓDIGOS DE PRODUCTO'!$A$3:$A$1000,0))</f>
        <v>#N/A</v>
      </c>
      <c r="E935">
        <f>VLOOKUP(C935,'[1]CÓDIGOS DE PRODUCTO'!$A$4:$B$156,2,FALSE)</f>
        <v>0</v>
      </c>
      <c r="F935">
        <f>INDEX('[1]CÓDIGOS DE PRODUCTO'!$C$3:$C$1000,MATCH(C935,'[1]CÓDIGOS DE PRODUCTO'!$A$3:$A$1000,0))</f>
        <v>0</v>
      </c>
      <c r="G935">
        <f>+'[1]VENTAS(RESUMEN GLOBAL)'!D935-'[1]VENTAS(RESUMEN GLOBAL)'!E935</f>
        <v>0</v>
      </c>
      <c r="H935" s="9">
        <f>+'[1]VENTAS(RESUMEN GLOBAL)'!K935</f>
        <v>0</v>
      </c>
      <c r="I935" s="8">
        <f>+G935*'[1]VENTAS(RESUMEN GLOBAL)'!F935</f>
        <v>0</v>
      </c>
      <c r="J935" s="8">
        <f>'[1]VENTAS(RESUMEN GLOBAL)'!G935*(1-'[1]VENTAS(RESUMEN GLOBAL)'!H935)</f>
        <v>0</v>
      </c>
      <c r="K935" s="8">
        <f t="shared" si="14"/>
        <v>0</v>
      </c>
      <c r="L935" s="8">
        <f>+'[1]VENTAS(RESUMEN GLOBAL)'!J935</f>
        <v>0</v>
      </c>
      <c r="M935" s="8">
        <f>+Tabla1[[#This Row],[utilidad x dia]]*7</f>
        <v>0</v>
      </c>
    </row>
    <row r="936" spans="1:13" x14ac:dyDescent="0.3">
      <c r="A936" s="6">
        <f>+'[1]VENTAS(RESUMEN GLOBAL)'!L936</f>
        <v>0</v>
      </c>
      <c r="B936" s="6">
        <f>+'[1]VENTAS(RESUMEN GLOBAL)'!M936</f>
        <v>0</v>
      </c>
      <c r="C936">
        <f>+'[1]VENTAS(RESUMEN GLOBAL)'!B936</f>
        <v>0</v>
      </c>
      <c r="D936" t="e">
        <f>INDEX('[1]CÓDIGOS DE PRODUCTO'!$D$3:$D$1000,MATCH(C936,'[1]CÓDIGOS DE PRODUCTO'!$A$3:$A$1000,0))</f>
        <v>#N/A</v>
      </c>
      <c r="E936">
        <f>VLOOKUP(C936,'[1]CÓDIGOS DE PRODUCTO'!$A$4:$B$156,2,FALSE)</f>
        <v>0</v>
      </c>
      <c r="F936">
        <f>INDEX('[1]CÓDIGOS DE PRODUCTO'!$C$3:$C$1000,MATCH(C936,'[1]CÓDIGOS DE PRODUCTO'!$A$3:$A$1000,0))</f>
        <v>0</v>
      </c>
      <c r="G936">
        <f>+'[1]VENTAS(RESUMEN GLOBAL)'!D936-'[1]VENTAS(RESUMEN GLOBAL)'!E936</f>
        <v>0</v>
      </c>
      <c r="H936" s="9">
        <f>+'[1]VENTAS(RESUMEN GLOBAL)'!K936</f>
        <v>0</v>
      </c>
      <c r="I936" s="8">
        <f>+G936*'[1]VENTAS(RESUMEN GLOBAL)'!F936</f>
        <v>0</v>
      </c>
      <c r="J936" s="8">
        <f>'[1]VENTAS(RESUMEN GLOBAL)'!G936*(1-'[1]VENTAS(RESUMEN GLOBAL)'!H936)</f>
        <v>0</v>
      </c>
      <c r="K936" s="8">
        <f t="shared" si="14"/>
        <v>0</v>
      </c>
      <c r="L936" s="8">
        <f>+'[1]VENTAS(RESUMEN GLOBAL)'!J936</f>
        <v>0</v>
      </c>
      <c r="M936" s="8">
        <f>+Tabla1[[#This Row],[utilidad x dia]]*7</f>
        <v>0</v>
      </c>
    </row>
    <row r="937" spans="1:13" x14ac:dyDescent="0.3">
      <c r="A937" s="6">
        <f>+'[1]VENTAS(RESUMEN GLOBAL)'!L937</f>
        <v>0</v>
      </c>
      <c r="B937" s="6">
        <f>+'[1]VENTAS(RESUMEN GLOBAL)'!M937</f>
        <v>0</v>
      </c>
      <c r="C937">
        <f>+'[1]VENTAS(RESUMEN GLOBAL)'!B937</f>
        <v>0</v>
      </c>
      <c r="D937" t="e">
        <f>INDEX('[1]CÓDIGOS DE PRODUCTO'!$D$3:$D$1000,MATCH(C937,'[1]CÓDIGOS DE PRODUCTO'!$A$3:$A$1000,0))</f>
        <v>#N/A</v>
      </c>
      <c r="E937">
        <f>VLOOKUP(C937,'[1]CÓDIGOS DE PRODUCTO'!$A$4:$B$156,2,FALSE)</f>
        <v>0</v>
      </c>
      <c r="F937">
        <f>INDEX('[1]CÓDIGOS DE PRODUCTO'!$C$3:$C$1000,MATCH(C937,'[1]CÓDIGOS DE PRODUCTO'!$A$3:$A$1000,0))</f>
        <v>0</v>
      </c>
      <c r="G937">
        <f>+'[1]VENTAS(RESUMEN GLOBAL)'!D937-'[1]VENTAS(RESUMEN GLOBAL)'!E937</f>
        <v>0</v>
      </c>
      <c r="H937" s="9">
        <f>+'[1]VENTAS(RESUMEN GLOBAL)'!K937</f>
        <v>0</v>
      </c>
      <c r="I937" s="8">
        <f>+G937*'[1]VENTAS(RESUMEN GLOBAL)'!F937</f>
        <v>0</v>
      </c>
      <c r="J937" s="8">
        <f>'[1]VENTAS(RESUMEN GLOBAL)'!G937*(1-'[1]VENTAS(RESUMEN GLOBAL)'!H937)</f>
        <v>0</v>
      </c>
      <c r="K937" s="8">
        <f t="shared" si="14"/>
        <v>0</v>
      </c>
      <c r="L937" s="8">
        <f>+'[1]VENTAS(RESUMEN GLOBAL)'!J937</f>
        <v>0</v>
      </c>
      <c r="M937" s="8">
        <f>+Tabla1[[#This Row],[utilidad x dia]]*7</f>
        <v>0</v>
      </c>
    </row>
    <row r="938" spans="1:13" x14ac:dyDescent="0.3">
      <c r="A938" s="6">
        <f>+'[1]VENTAS(RESUMEN GLOBAL)'!L938</f>
        <v>0</v>
      </c>
      <c r="B938" s="6">
        <f>+'[1]VENTAS(RESUMEN GLOBAL)'!M938</f>
        <v>0</v>
      </c>
      <c r="C938">
        <f>+'[1]VENTAS(RESUMEN GLOBAL)'!B938</f>
        <v>0</v>
      </c>
      <c r="D938" t="e">
        <f>INDEX('[1]CÓDIGOS DE PRODUCTO'!$D$3:$D$1000,MATCH(C938,'[1]CÓDIGOS DE PRODUCTO'!$A$3:$A$1000,0))</f>
        <v>#N/A</v>
      </c>
      <c r="E938">
        <f>VLOOKUP(C938,'[1]CÓDIGOS DE PRODUCTO'!$A$4:$B$156,2,FALSE)</f>
        <v>0</v>
      </c>
      <c r="F938">
        <f>INDEX('[1]CÓDIGOS DE PRODUCTO'!$C$3:$C$1000,MATCH(C938,'[1]CÓDIGOS DE PRODUCTO'!$A$3:$A$1000,0))</f>
        <v>0</v>
      </c>
      <c r="G938">
        <f>+'[1]VENTAS(RESUMEN GLOBAL)'!D938-'[1]VENTAS(RESUMEN GLOBAL)'!E938</f>
        <v>0</v>
      </c>
      <c r="H938" s="9">
        <f>+'[1]VENTAS(RESUMEN GLOBAL)'!K938</f>
        <v>0</v>
      </c>
      <c r="I938" s="8">
        <f>+G938*'[1]VENTAS(RESUMEN GLOBAL)'!F938</f>
        <v>0</v>
      </c>
      <c r="J938" s="8">
        <f>'[1]VENTAS(RESUMEN GLOBAL)'!G938*(1-'[1]VENTAS(RESUMEN GLOBAL)'!H938)</f>
        <v>0</v>
      </c>
      <c r="K938" s="8">
        <f t="shared" si="14"/>
        <v>0</v>
      </c>
      <c r="L938" s="8">
        <f>+'[1]VENTAS(RESUMEN GLOBAL)'!J938</f>
        <v>0</v>
      </c>
      <c r="M938" s="8">
        <f>+Tabla1[[#This Row],[utilidad x dia]]*7</f>
        <v>0</v>
      </c>
    </row>
    <row r="939" spans="1:13" x14ac:dyDescent="0.3">
      <c r="A939" s="6">
        <f>+'[1]VENTAS(RESUMEN GLOBAL)'!L939</f>
        <v>0</v>
      </c>
      <c r="B939" s="6">
        <f>+'[1]VENTAS(RESUMEN GLOBAL)'!M939</f>
        <v>0</v>
      </c>
      <c r="C939">
        <f>+'[1]VENTAS(RESUMEN GLOBAL)'!B939</f>
        <v>0</v>
      </c>
      <c r="D939" t="e">
        <f>INDEX('[1]CÓDIGOS DE PRODUCTO'!$D$3:$D$1000,MATCH(C939,'[1]CÓDIGOS DE PRODUCTO'!$A$3:$A$1000,0))</f>
        <v>#N/A</v>
      </c>
      <c r="E939">
        <f>VLOOKUP(C939,'[1]CÓDIGOS DE PRODUCTO'!$A$4:$B$156,2,FALSE)</f>
        <v>0</v>
      </c>
      <c r="F939">
        <f>INDEX('[1]CÓDIGOS DE PRODUCTO'!$C$3:$C$1000,MATCH(C939,'[1]CÓDIGOS DE PRODUCTO'!$A$3:$A$1000,0))</f>
        <v>0</v>
      </c>
      <c r="G939">
        <f>+'[1]VENTAS(RESUMEN GLOBAL)'!D939-'[1]VENTAS(RESUMEN GLOBAL)'!E939</f>
        <v>0</v>
      </c>
      <c r="H939" s="9">
        <f>+'[1]VENTAS(RESUMEN GLOBAL)'!K939</f>
        <v>0</v>
      </c>
      <c r="I939" s="8">
        <f>+G939*'[1]VENTAS(RESUMEN GLOBAL)'!F939</f>
        <v>0</v>
      </c>
      <c r="J939" s="8">
        <f>'[1]VENTAS(RESUMEN GLOBAL)'!G939*(1-'[1]VENTAS(RESUMEN GLOBAL)'!H939)</f>
        <v>0</v>
      </c>
      <c r="K939" s="8">
        <f t="shared" si="14"/>
        <v>0</v>
      </c>
      <c r="L939" s="8">
        <f>+'[1]VENTAS(RESUMEN GLOBAL)'!J939</f>
        <v>0</v>
      </c>
      <c r="M939" s="8">
        <f>+Tabla1[[#This Row],[utilidad x dia]]*7</f>
        <v>0</v>
      </c>
    </row>
    <row r="940" spans="1:13" x14ac:dyDescent="0.3">
      <c r="A940" s="6">
        <f>+'[1]VENTAS(RESUMEN GLOBAL)'!L940</f>
        <v>0</v>
      </c>
      <c r="B940" s="6">
        <f>+'[1]VENTAS(RESUMEN GLOBAL)'!M940</f>
        <v>0</v>
      </c>
      <c r="C940">
        <f>+'[1]VENTAS(RESUMEN GLOBAL)'!B940</f>
        <v>0</v>
      </c>
      <c r="D940" t="e">
        <f>INDEX('[1]CÓDIGOS DE PRODUCTO'!$D$3:$D$1000,MATCH(C940,'[1]CÓDIGOS DE PRODUCTO'!$A$3:$A$1000,0))</f>
        <v>#N/A</v>
      </c>
      <c r="E940">
        <f>VLOOKUP(C940,'[1]CÓDIGOS DE PRODUCTO'!$A$4:$B$156,2,FALSE)</f>
        <v>0</v>
      </c>
      <c r="F940">
        <f>INDEX('[1]CÓDIGOS DE PRODUCTO'!$C$3:$C$1000,MATCH(C940,'[1]CÓDIGOS DE PRODUCTO'!$A$3:$A$1000,0))</f>
        <v>0</v>
      </c>
      <c r="G940">
        <f>+'[1]VENTAS(RESUMEN GLOBAL)'!D940-'[1]VENTAS(RESUMEN GLOBAL)'!E940</f>
        <v>0</v>
      </c>
      <c r="H940" s="9">
        <f>+'[1]VENTAS(RESUMEN GLOBAL)'!K940</f>
        <v>0</v>
      </c>
      <c r="I940" s="8">
        <f>+G940*'[1]VENTAS(RESUMEN GLOBAL)'!F940</f>
        <v>0</v>
      </c>
      <c r="J940" s="8">
        <f>'[1]VENTAS(RESUMEN GLOBAL)'!G940*(1-'[1]VENTAS(RESUMEN GLOBAL)'!H940)</f>
        <v>0</v>
      </c>
      <c r="K940" s="8">
        <f t="shared" si="14"/>
        <v>0</v>
      </c>
      <c r="L940" s="8">
        <f>+'[1]VENTAS(RESUMEN GLOBAL)'!J940</f>
        <v>0</v>
      </c>
      <c r="M940" s="8">
        <f>+Tabla1[[#This Row],[utilidad x dia]]*7</f>
        <v>0</v>
      </c>
    </row>
    <row r="941" spans="1:13" x14ac:dyDescent="0.3">
      <c r="A941" s="6">
        <f>+'[1]VENTAS(RESUMEN GLOBAL)'!L941</f>
        <v>0</v>
      </c>
      <c r="B941" s="6">
        <f>+'[1]VENTAS(RESUMEN GLOBAL)'!M941</f>
        <v>0</v>
      </c>
      <c r="C941">
        <f>+'[1]VENTAS(RESUMEN GLOBAL)'!B941</f>
        <v>0</v>
      </c>
      <c r="D941" t="e">
        <f>INDEX('[1]CÓDIGOS DE PRODUCTO'!$D$3:$D$1000,MATCH(C941,'[1]CÓDIGOS DE PRODUCTO'!$A$3:$A$1000,0))</f>
        <v>#N/A</v>
      </c>
      <c r="E941">
        <f>VLOOKUP(C941,'[1]CÓDIGOS DE PRODUCTO'!$A$4:$B$156,2,FALSE)</f>
        <v>0</v>
      </c>
      <c r="F941">
        <f>INDEX('[1]CÓDIGOS DE PRODUCTO'!$C$3:$C$1000,MATCH(C941,'[1]CÓDIGOS DE PRODUCTO'!$A$3:$A$1000,0))</f>
        <v>0</v>
      </c>
      <c r="G941">
        <f>+'[1]VENTAS(RESUMEN GLOBAL)'!D941-'[1]VENTAS(RESUMEN GLOBAL)'!E941</f>
        <v>0</v>
      </c>
      <c r="H941" s="9">
        <f>+'[1]VENTAS(RESUMEN GLOBAL)'!K941</f>
        <v>0</v>
      </c>
      <c r="I941" s="8">
        <f>+G941*'[1]VENTAS(RESUMEN GLOBAL)'!F941</f>
        <v>0</v>
      </c>
      <c r="J941" s="8">
        <f>'[1]VENTAS(RESUMEN GLOBAL)'!G941*(1-'[1]VENTAS(RESUMEN GLOBAL)'!H941)</f>
        <v>0</v>
      </c>
      <c r="K941" s="8">
        <f t="shared" si="14"/>
        <v>0</v>
      </c>
      <c r="L941" s="8">
        <f>+'[1]VENTAS(RESUMEN GLOBAL)'!J941</f>
        <v>0</v>
      </c>
      <c r="M941" s="8">
        <f>+Tabla1[[#This Row],[utilidad x dia]]*7</f>
        <v>0</v>
      </c>
    </row>
    <row r="942" spans="1:13" x14ac:dyDescent="0.3">
      <c r="A942" s="6">
        <f>+'[1]VENTAS(RESUMEN GLOBAL)'!L942</f>
        <v>0</v>
      </c>
      <c r="B942" s="6">
        <f>+'[1]VENTAS(RESUMEN GLOBAL)'!M942</f>
        <v>0</v>
      </c>
      <c r="C942">
        <f>+'[1]VENTAS(RESUMEN GLOBAL)'!B942</f>
        <v>0</v>
      </c>
      <c r="D942" t="e">
        <f>INDEX('[1]CÓDIGOS DE PRODUCTO'!$D$3:$D$1000,MATCH(C942,'[1]CÓDIGOS DE PRODUCTO'!$A$3:$A$1000,0))</f>
        <v>#N/A</v>
      </c>
      <c r="E942">
        <f>VLOOKUP(C942,'[1]CÓDIGOS DE PRODUCTO'!$A$4:$B$156,2,FALSE)</f>
        <v>0</v>
      </c>
      <c r="F942">
        <f>INDEX('[1]CÓDIGOS DE PRODUCTO'!$C$3:$C$1000,MATCH(C942,'[1]CÓDIGOS DE PRODUCTO'!$A$3:$A$1000,0))</f>
        <v>0</v>
      </c>
      <c r="G942">
        <f>+'[1]VENTAS(RESUMEN GLOBAL)'!D942-'[1]VENTAS(RESUMEN GLOBAL)'!E942</f>
        <v>0</v>
      </c>
      <c r="H942" s="9">
        <f>+'[1]VENTAS(RESUMEN GLOBAL)'!K942</f>
        <v>0</v>
      </c>
      <c r="I942" s="8">
        <f>+G942*'[1]VENTAS(RESUMEN GLOBAL)'!F942</f>
        <v>0</v>
      </c>
      <c r="J942" s="8">
        <f>'[1]VENTAS(RESUMEN GLOBAL)'!G942*(1-'[1]VENTAS(RESUMEN GLOBAL)'!H942)</f>
        <v>0</v>
      </c>
      <c r="K942" s="8">
        <f t="shared" si="14"/>
        <v>0</v>
      </c>
      <c r="L942" s="8">
        <f>+'[1]VENTAS(RESUMEN GLOBAL)'!J942</f>
        <v>0</v>
      </c>
      <c r="M942" s="8">
        <f>+Tabla1[[#This Row],[utilidad x dia]]*7</f>
        <v>0</v>
      </c>
    </row>
    <row r="943" spans="1:13" x14ac:dyDescent="0.3">
      <c r="A943" s="6">
        <f>+'[1]VENTAS(RESUMEN GLOBAL)'!L943</f>
        <v>0</v>
      </c>
      <c r="B943" s="6">
        <f>+'[1]VENTAS(RESUMEN GLOBAL)'!M943</f>
        <v>0</v>
      </c>
      <c r="C943">
        <f>+'[1]VENTAS(RESUMEN GLOBAL)'!B943</f>
        <v>0</v>
      </c>
      <c r="D943" t="e">
        <f>INDEX('[1]CÓDIGOS DE PRODUCTO'!$D$3:$D$1000,MATCH(C943,'[1]CÓDIGOS DE PRODUCTO'!$A$3:$A$1000,0))</f>
        <v>#N/A</v>
      </c>
      <c r="E943">
        <f>VLOOKUP(C943,'[1]CÓDIGOS DE PRODUCTO'!$A$4:$B$156,2,FALSE)</f>
        <v>0</v>
      </c>
      <c r="F943">
        <f>INDEX('[1]CÓDIGOS DE PRODUCTO'!$C$3:$C$1000,MATCH(C943,'[1]CÓDIGOS DE PRODUCTO'!$A$3:$A$1000,0))</f>
        <v>0</v>
      </c>
      <c r="G943">
        <f>+'[1]VENTAS(RESUMEN GLOBAL)'!D943-'[1]VENTAS(RESUMEN GLOBAL)'!E943</f>
        <v>0</v>
      </c>
      <c r="H943" s="9">
        <f>+'[1]VENTAS(RESUMEN GLOBAL)'!K943</f>
        <v>0</v>
      </c>
      <c r="I943" s="8">
        <f>+G943*'[1]VENTAS(RESUMEN GLOBAL)'!F943</f>
        <v>0</v>
      </c>
      <c r="J943" s="8">
        <f>'[1]VENTAS(RESUMEN GLOBAL)'!G943*(1-'[1]VENTAS(RESUMEN GLOBAL)'!H943)</f>
        <v>0</v>
      </c>
      <c r="K943" s="8">
        <f t="shared" si="14"/>
        <v>0</v>
      </c>
      <c r="L943" s="8">
        <f>+'[1]VENTAS(RESUMEN GLOBAL)'!J943</f>
        <v>0</v>
      </c>
      <c r="M943" s="8">
        <f>+Tabla1[[#This Row],[utilidad x dia]]*7</f>
        <v>0</v>
      </c>
    </row>
    <row r="944" spans="1:13" x14ac:dyDescent="0.3">
      <c r="A944" s="6">
        <f>+'[1]VENTAS(RESUMEN GLOBAL)'!L944</f>
        <v>0</v>
      </c>
      <c r="B944" s="6">
        <f>+'[1]VENTAS(RESUMEN GLOBAL)'!M944</f>
        <v>0</v>
      </c>
      <c r="C944">
        <f>+'[1]VENTAS(RESUMEN GLOBAL)'!B944</f>
        <v>0</v>
      </c>
      <c r="D944" t="e">
        <f>INDEX('[1]CÓDIGOS DE PRODUCTO'!$D$3:$D$1000,MATCH(C944,'[1]CÓDIGOS DE PRODUCTO'!$A$3:$A$1000,0))</f>
        <v>#N/A</v>
      </c>
      <c r="E944">
        <f>VLOOKUP(C944,'[1]CÓDIGOS DE PRODUCTO'!$A$4:$B$156,2,FALSE)</f>
        <v>0</v>
      </c>
      <c r="F944">
        <f>INDEX('[1]CÓDIGOS DE PRODUCTO'!$C$3:$C$1000,MATCH(C944,'[1]CÓDIGOS DE PRODUCTO'!$A$3:$A$1000,0))</f>
        <v>0</v>
      </c>
      <c r="G944">
        <f>+'[1]VENTAS(RESUMEN GLOBAL)'!D944-'[1]VENTAS(RESUMEN GLOBAL)'!E944</f>
        <v>0</v>
      </c>
      <c r="H944" s="9">
        <f>+'[1]VENTAS(RESUMEN GLOBAL)'!K944</f>
        <v>0</v>
      </c>
      <c r="I944" s="8">
        <f>+G944*'[1]VENTAS(RESUMEN GLOBAL)'!F944</f>
        <v>0</v>
      </c>
      <c r="J944" s="8">
        <f>'[1]VENTAS(RESUMEN GLOBAL)'!G944*(1-'[1]VENTAS(RESUMEN GLOBAL)'!H944)</f>
        <v>0</v>
      </c>
      <c r="K944" s="8">
        <f t="shared" si="14"/>
        <v>0</v>
      </c>
      <c r="L944" s="8">
        <f>+'[1]VENTAS(RESUMEN GLOBAL)'!J944</f>
        <v>0</v>
      </c>
      <c r="M944" s="8">
        <f>+Tabla1[[#This Row],[utilidad x dia]]*7</f>
        <v>0</v>
      </c>
    </row>
    <row r="945" spans="1:13" x14ac:dyDescent="0.3">
      <c r="A945" s="6">
        <f>+'[1]VENTAS(RESUMEN GLOBAL)'!L945</f>
        <v>0</v>
      </c>
      <c r="B945" s="6">
        <f>+'[1]VENTAS(RESUMEN GLOBAL)'!M945</f>
        <v>0</v>
      </c>
      <c r="C945">
        <f>+'[1]VENTAS(RESUMEN GLOBAL)'!B945</f>
        <v>0</v>
      </c>
      <c r="D945" t="e">
        <f>INDEX('[1]CÓDIGOS DE PRODUCTO'!$D$3:$D$1000,MATCH(C945,'[1]CÓDIGOS DE PRODUCTO'!$A$3:$A$1000,0))</f>
        <v>#N/A</v>
      </c>
      <c r="E945">
        <f>VLOOKUP(C945,'[1]CÓDIGOS DE PRODUCTO'!$A$4:$B$156,2,FALSE)</f>
        <v>0</v>
      </c>
      <c r="F945">
        <f>INDEX('[1]CÓDIGOS DE PRODUCTO'!$C$3:$C$1000,MATCH(C945,'[1]CÓDIGOS DE PRODUCTO'!$A$3:$A$1000,0))</f>
        <v>0</v>
      </c>
      <c r="G945">
        <f>+'[1]VENTAS(RESUMEN GLOBAL)'!D945-'[1]VENTAS(RESUMEN GLOBAL)'!E945</f>
        <v>0</v>
      </c>
      <c r="H945" s="9">
        <f>+'[1]VENTAS(RESUMEN GLOBAL)'!K945</f>
        <v>0</v>
      </c>
      <c r="I945" s="8">
        <f>+G945*'[1]VENTAS(RESUMEN GLOBAL)'!F945</f>
        <v>0</v>
      </c>
      <c r="J945" s="8">
        <f>'[1]VENTAS(RESUMEN GLOBAL)'!G945*(1-'[1]VENTAS(RESUMEN GLOBAL)'!H945)</f>
        <v>0</v>
      </c>
      <c r="K945" s="8">
        <f t="shared" si="14"/>
        <v>0</v>
      </c>
      <c r="L945" s="8">
        <f>+'[1]VENTAS(RESUMEN GLOBAL)'!J945</f>
        <v>0</v>
      </c>
      <c r="M945" s="8">
        <f>+Tabla1[[#This Row],[utilidad x dia]]*7</f>
        <v>0</v>
      </c>
    </row>
    <row r="946" spans="1:13" x14ac:dyDescent="0.3">
      <c r="A946" s="6">
        <f>+'[1]VENTAS(RESUMEN GLOBAL)'!L946</f>
        <v>0</v>
      </c>
      <c r="B946" s="6">
        <f>+'[1]VENTAS(RESUMEN GLOBAL)'!M946</f>
        <v>0</v>
      </c>
      <c r="C946">
        <f>+'[1]VENTAS(RESUMEN GLOBAL)'!B946</f>
        <v>0</v>
      </c>
      <c r="D946" t="e">
        <f>INDEX('[1]CÓDIGOS DE PRODUCTO'!$D$3:$D$1000,MATCH(C946,'[1]CÓDIGOS DE PRODUCTO'!$A$3:$A$1000,0))</f>
        <v>#N/A</v>
      </c>
      <c r="E946">
        <f>VLOOKUP(C946,'[1]CÓDIGOS DE PRODUCTO'!$A$4:$B$156,2,FALSE)</f>
        <v>0</v>
      </c>
      <c r="F946">
        <f>INDEX('[1]CÓDIGOS DE PRODUCTO'!$C$3:$C$1000,MATCH(C946,'[1]CÓDIGOS DE PRODUCTO'!$A$3:$A$1000,0))</f>
        <v>0</v>
      </c>
      <c r="G946">
        <f>+'[1]VENTAS(RESUMEN GLOBAL)'!D946-'[1]VENTAS(RESUMEN GLOBAL)'!E946</f>
        <v>0</v>
      </c>
      <c r="H946" s="9">
        <f>+'[1]VENTAS(RESUMEN GLOBAL)'!K946</f>
        <v>0</v>
      </c>
      <c r="I946" s="8">
        <f>+G946*'[1]VENTAS(RESUMEN GLOBAL)'!F946</f>
        <v>0</v>
      </c>
      <c r="J946" s="8">
        <f>'[1]VENTAS(RESUMEN GLOBAL)'!G946*(1-'[1]VENTAS(RESUMEN GLOBAL)'!H946)</f>
        <v>0</v>
      </c>
      <c r="K946" s="8">
        <f t="shared" si="14"/>
        <v>0</v>
      </c>
      <c r="L946" s="8">
        <f>+'[1]VENTAS(RESUMEN GLOBAL)'!J946</f>
        <v>0</v>
      </c>
      <c r="M946" s="8">
        <f>+Tabla1[[#This Row],[utilidad x dia]]*7</f>
        <v>0</v>
      </c>
    </row>
    <row r="947" spans="1:13" x14ac:dyDescent="0.3">
      <c r="A947" s="6">
        <f>+'[1]VENTAS(RESUMEN GLOBAL)'!L947</f>
        <v>0</v>
      </c>
      <c r="B947" s="6">
        <f>+'[1]VENTAS(RESUMEN GLOBAL)'!M947</f>
        <v>0</v>
      </c>
      <c r="C947">
        <f>+'[1]VENTAS(RESUMEN GLOBAL)'!B947</f>
        <v>0</v>
      </c>
      <c r="D947" t="e">
        <f>INDEX('[1]CÓDIGOS DE PRODUCTO'!$D$3:$D$1000,MATCH(C947,'[1]CÓDIGOS DE PRODUCTO'!$A$3:$A$1000,0))</f>
        <v>#N/A</v>
      </c>
      <c r="E947">
        <f>VLOOKUP(C947,'[1]CÓDIGOS DE PRODUCTO'!$A$4:$B$156,2,FALSE)</f>
        <v>0</v>
      </c>
      <c r="F947">
        <f>INDEX('[1]CÓDIGOS DE PRODUCTO'!$C$3:$C$1000,MATCH(C947,'[1]CÓDIGOS DE PRODUCTO'!$A$3:$A$1000,0))</f>
        <v>0</v>
      </c>
      <c r="G947">
        <f>+'[1]VENTAS(RESUMEN GLOBAL)'!D947-'[1]VENTAS(RESUMEN GLOBAL)'!E947</f>
        <v>0</v>
      </c>
      <c r="H947" s="9">
        <f>+'[1]VENTAS(RESUMEN GLOBAL)'!K947</f>
        <v>0</v>
      </c>
      <c r="I947" s="8">
        <f>+G947*'[1]VENTAS(RESUMEN GLOBAL)'!F947</f>
        <v>0</v>
      </c>
      <c r="J947" s="8">
        <f>'[1]VENTAS(RESUMEN GLOBAL)'!G947*(1-'[1]VENTAS(RESUMEN GLOBAL)'!H947)</f>
        <v>0</v>
      </c>
      <c r="K947" s="8">
        <f t="shared" si="14"/>
        <v>0</v>
      </c>
      <c r="L947" s="8">
        <f>+'[1]VENTAS(RESUMEN GLOBAL)'!J947</f>
        <v>0</v>
      </c>
      <c r="M947" s="8">
        <f>+Tabla1[[#This Row],[utilidad x dia]]*7</f>
        <v>0</v>
      </c>
    </row>
    <row r="948" spans="1:13" x14ac:dyDescent="0.3">
      <c r="A948" s="6">
        <f>+'[1]VENTAS(RESUMEN GLOBAL)'!L948</f>
        <v>0</v>
      </c>
      <c r="B948" s="6">
        <f>+'[1]VENTAS(RESUMEN GLOBAL)'!M948</f>
        <v>0</v>
      </c>
      <c r="C948">
        <f>+'[1]VENTAS(RESUMEN GLOBAL)'!B948</f>
        <v>0</v>
      </c>
      <c r="D948" t="e">
        <f>INDEX('[1]CÓDIGOS DE PRODUCTO'!$D$3:$D$1000,MATCH(C948,'[1]CÓDIGOS DE PRODUCTO'!$A$3:$A$1000,0))</f>
        <v>#N/A</v>
      </c>
      <c r="E948">
        <f>VLOOKUP(C948,'[1]CÓDIGOS DE PRODUCTO'!$A$4:$B$156,2,FALSE)</f>
        <v>0</v>
      </c>
      <c r="F948">
        <f>INDEX('[1]CÓDIGOS DE PRODUCTO'!$C$3:$C$1000,MATCH(C948,'[1]CÓDIGOS DE PRODUCTO'!$A$3:$A$1000,0))</f>
        <v>0</v>
      </c>
      <c r="G948">
        <f>+'[1]VENTAS(RESUMEN GLOBAL)'!D948-'[1]VENTAS(RESUMEN GLOBAL)'!E948</f>
        <v>0</v>
      </c>
      <c r="H948" s="9">
        <f>+'[1]VENTAS(RESUMEN GLOBAL)'!K948</f>
        <v>0</v>
      </c>
      <c r="I948" s="8">
        <f>+G948*'[1]VENTAS(RESUMEN GLOBAL)'!F948</f>
        <v>0</v>
      </c>
      <c r="J948" s="8">
        <f>'[1]VENTAS(RESUMEN GLOBAL)'!G948*(1-'[1]VENTAS(RESUMEN GLOBAL)'!H948)</f>
        <v>0</v>
      </c>
      <c r="K948" s="8">
        <f t="shared" si="14"/>
        <v>0</v>
      </c>
      <c r="L948" s="8">
        <f>+'[1]VENTAS(RESUMEN GLOBAL)'!J948</f>
        <v>0</v>
      </c>
      <c r="M948" s="8">
        <f>+Tabla1[[#This Row],[utilidad x dia]]*7</f>
        <v>0</v>
      </c>
    </row>
    <row r="949" spans="1:13" x14ac:dyDescent="0.3">
      <c r="A949" s="6">
        <f>+'[1]VENTAS(RESUMEN GLOBAL)'!L949</f>
        <v>0</v>
      </c>
      <c r="B949" s="6">
        <f>+'[1]VENTAS(RESUMEN GLOBAL)'!M949</f>
        <v>0</v>
      </c>
      <c r="C949">
        <f>+'[1]VENTAS(RESUMEN GLOBAL)'!B949</f>
        <v>0</v>
      </c>
      <c r="D949" t="e">
        <f>INDEX('[1]CÓDIGOS DE PRODUCTO'!$D$3:$D$1000,MATCH(C949,'[1]CÓDIGOS DE PRODUCTO'!$A$3:$A$1000,0))</f>
        <v>#N/A</v>
      </c>
      <c r="E949">
        <f>VLOOKUP(C949,'[1]CÓDIGOS DE PRODUCTO'!$A$4:$B$156,2,FALSE)</f>
        <v>0</v>
      </c>
      <c r="F949">
        <f>INDEX('[1]CÓDIGOS DE PRODUCTO'!$C$3:$C$1000,MATCH(C949,'[1]CÓDIGOS DE PRODUCTO'!$A$3:$A$1000,0))</f>
        <v>0</v>
      </c>
      <c r="G949">
        <f>+'[1]VENTAS(RESUMEN GLOBAL)'!D949-'[1]VENTAS(RESUMEN GLOBAL)'!E949</f>
        <v>0</v>
      </c>
      <c r="H949" s="9">
        <f>+'[1]VENTAS(RESUMEN GLOBAL)'!K949</f>
        <v>0</v>
      </c>
      <c r="I949" s="8">
        <f>+G949*'[1]VENTAS(RESUMEN GLOBAL)'!F949</f>
        <v>0</v>
      </c>
      <c r="J949" s="8">
        <f>'[1]VENTAS(RESUMEN GLOBAL)'!G949*(1-'[1]VENTAS(RESUMEN GLOBAL)'!H949)</f>
        <v>0</v>
      </c>
      <c r="K949" s="8">
        <f t="shared" si="14"/>
        <v>0</v>
      </c>
      <c r="L949" s="8">
        <f>+'[1]VENTAS(RESUMEN GLOBAL)'!J949</f>
        <v>0</v>
      </c>
      <c r="M949" s="8">
        <f>+Tabla1[[#This Row],[utilidad x dia]]*7</f>
        <v>0</v>
      </c>
    </row>
    <row r="950" spans="1:13" x14ac:dyDescent="0.3">
      <c r="A950" s="6">
        <f>+'[1]VENTAS(RESUMEN GLOBAL)'!L950</f>
        <v>0</v>
      </c>
      <c r="B950" s="6">
        <f>+'[1]VENTAS(RESUMEN GLOBAL)'!M950</f>
        <v>0</v>
      </c>
      <c r="C950">
        <f>+'[1]VENTAS(RESUMEN GLOBAL)'!B950</f>
        <v>0</v>
      </c>
      <c r="D950" t="e">
        <f>INDEX('[1]CÓDIGOS DE PRODUCTO'!$D$3:$D$1000,MATCH(C950,'[1]CÓDIGOS DE PRODUCTO'!$A$3:$A$1000,0))</f>
        <v>#N/A</v>
      </c>
      <c r="E950">
        <f>VLOOKUP(C950,'[1]CÓDIGOS DE PRODUCTO'!$A$4:$B$156,2,FALSE)</f>
        <v>0</v>
      </c>
      <c r="F950">
        <f>INDEX('[1]CÓDIGOS DE PRODUCTO'!$C$3:$C$1000,MATCH(C950,'[1]CÓDIGOS DE PRODUCTO'!$A$3:$A$1000,0))</f>
        <v>0</v>
      </c>
      <c r="G950">
        <f>+'[1]VENTAS(RESUMEN GLOBAL)'!D950-'[1]VENTAS(RESUMEN GLOBAL)'!E950</f>
        <v>0</v>
      </c>
      <c r="H950" s="9">
        <f>+'[1]VENTAS(RESUMEN GLOBAL)'!K950</f>
        <v>0</v>
      </c>
      <c r="I950" s="8">
        <f>+G950*'[1]VENTAS(RESUMEN GLOBAL)'!F950</f>
        <v>0</v>
      </c>
      <c r="J950" s="8">
        <f>'[1]VENTAS(RESUMEN GLOBAL)'!G950*(1-'[1]VENTAS(RESUMEN GLOBAL)'!H950)</f>
        <v>0</v>
      </c>
      <c r="K950" s="8">
        <f t="shared" si="14"/>
        <v>0</v>
      </c>
      <c r="L950" s="8">
        <f>+'[1]VENTAS(RESUMEN GLOBAL)'!J950</f>
        <v>0</v>
      </c>
      <c r="M950" s="8">
        <f>+Tabla1[[#This Row],[utilidad x dia]]*7</f>
        <v>0</v>
      </c>
    </row>
    <row r="951" spans="1:13" x14ac:dyDescent="0.3">
      <c r="A951" s="6">
        <f>+'[1]VENTAS(RESUMEN GLOBAL)'!L951</f>
        <v>0</v>
      </c>
      <c r="B951" s="6">
        <f>+'[1]VENTAS(RESUMEN GLOBAL)'!M951</f>
        <v>0</v>
      </c>
      <c r="C951">
        <f>+'[1]VENTAS(RESUMEN GLOBAL)'!B951</f>
        <v>0</v>
      </c>
      <c r="D951" t="e">
        <f>INDEX('[1]CÓDIGOS DE PRODUCTO'!$D$3:$D$1000,MATCH(C951,'[1]CÓDIGOS DE PRODUCTO'!$A$3:$A$1000,0))</f>
        <v>#N/A</v>
      </c>
      <c r="E951">
        <f>VLOOKUP(C951,'[1]CÓDIGOS DE PRODUCTO'!$A$4:$B$156,2,FALSE)</f>
        <v>0</v>
      </c>
      <c r="F951">
        <f>INDEX('[1]CÓDIGOS DE PRODUCTO'!$C$3:$C$1000,MATCH(C951,'[1]CÓDIGOS DE PRODUCTO'!$A$3:$A$1000,0))</f>
        <v>0</v>
      </c>
      <c r="G951">
        <f>+'[1]VENTAS(RESUMEN GLOBAL)'!D951-'[1]VENTAS(RESUMEN GLOBAL)'!E951</f>
        <v>0</v>
      </c>
      <c r="H951" s="9">
        <f>+'[1]VENTAS(RESUMEN GLOBAL)'!K951</f>
        <v>0</v>
      </c>
      <c r="I951" s="8">
        <f>+G951*'[1]VENTAS(RESUMEN GLOBAL)'!F951</f>
        <v>0</v>
      </c>
      <c r="J951" s="8">
        <f>'[1]VENTAS(RESUMEN GLOBAL)'!G951*(1-'[1]VENTAS(RESUMEN GLOBAL)'!H951)</f>
        <v>0</v>
      </c>
      <c r="K951" s="8">
        <f t="shared" si="14"/>
        <v>0</v>
      </c>
      <c r="L951" s="8">
        <f>+'[1]VENTAS(RESUMEN GLOBAL)'!J951</f>
        <v>0</v>
      </c>
      <c r="M951" s="8">
        <f>+Tabla1[[#This Row],[utilidad x dia]]*7</f>
        <v>0</v>
      </c>
    </row>
    <row r="952" spans="1:13" x14ac:dyDescent="0.3">
      <c r="A952" s="6">
        <f>+'[1]VENTAS(RESUMEN GLOBAL)'!L952</f>
        <v>0</v>
      </c>
      <c r="B952" s="6">
        <f>+'[1]VENTAS(RESUMEN GLOBAL)'!M952</f>
        <v>0</v>
      </c>
      <c r="C952">
        <f>+'[1]VENTAS(RESUMEN GLOBAL)'!B952</f>
        <v>0</v>
      </c>
      <c r="D952" t="e">
        <f>INDEX('[1]CÓDIGOS DE PRODUCTO'!$D$3:$D$1000,MATCH(C952,'[1]CÓDIGOS DE PRODUCTO'!$A$3:$A$1000,0))</f>
        <v>#N/A</v>
      </c>
      <c r="E952">
        <f>VLOOKUP(C952,'[1]CÓDIGOS DE PRODUCTO'!$A$4:$B$156,2,FALSE)</f>
        <v>0</v>
      </c>
      <c r="F952">
        <f>INDEX('[1]CÓDIGOS DE PRODUCTO'!$C$3:$C$1000,MATCH(C952,'[1]CÓDIGOS DE PRODUCTO'!$A$3:$A$1000,0))</f>
        <v>0</v>
      </c>
      <c r="G952">
        <f>+'[1]VENTAS(RESUMEN GLOBAL)'!D952-'[1]VENTAS(RESUMEN GLOBAL)'!E952</f>
        <v>0</v>
      </c>
      <c r="H952" s="9">
        <f>+'[1]VENTAS(RESUMEN GLOBAL)'!K952</f>
        <v>0</v>
      </c>
      <c r="I952" s="8">
        <f>+G952*'[1]VENTAS(RESUMEN GLOBAL)'!F952</f>
        <v>0</v>
      </c>
      <c r="J952" s="8">
        <f>'[1]VENTAS(RESUMEN GLOBAL)'!G952*(1-'[1]VENTAS(RESUMEN GLOBAL)'!H952)</f>
        <v>0</v>
      </c>
      <c r="K952" s="8">
        <f t="shared" si="14"/>
        <v>0</v>
      </c>
      <c r="L952" s="8">
        <f>+'[1]VENTAS(RESUMEN GLOBAL)'!J952</f>
        <v>0</v>
      </c>
      <c r="M952" s="8">
        <f>+Tabla1[[#This Row],[utilidad x dia]]*7</f>
        <v>0</v>
      </c>
    </row>
    <row r="953" spans="1:13" x14ac:dyDescent="0.3">
      <c r="A953" s="6">
        <f>+'[1]VENTAS(RESUMEN GLOBAL)'!L953</f>
        <v>0</v>
      </c>
      <c r="B953" s="6">
        <f>+'[1]VENTAS(RESUMEN GLOBAL)'!M953</f>
        <v>0</v>
      </c>
      <c r="C953">
        <f>+'[1]VENTAS(RESUMEN GLOBAL)'!B953</f>
        <v>0</v>
      </c>
      <c r="D953" t="e">
        <f>INDEX('[1]CÓDIGOS DE PRODUCTO'!$D$3:$D$1000,MATCH(C953,'[1]CÓDIGOS DE PRODUCTO'!$A$3:$A$1000,0))</f>
        <v>#N/A</v>
      </c>
      <c r="E953">
        <f>VLOOKUP(C953,'[1]CÓDIGOS DE PRODUCTO'!$A$4:$B$156,2,FALSE)</f>
        <v>0</v>
      </c>
      <c r="F953">
        <f>INDEX('[1]CÓDIGOS DE PRODUCTO'!$C$3:$C$1000,MATCH(C953,'[1]CÓDIGOS DE PRODUCTO'!$A$3:$A$1000,0))</f>
        <v>0</v>
      </c>
      <c r="G953">
        <f>+'[1]VENTAS(RESUMEN GLOBAL)'!D953-'[1]VENTAS(RESUMEN GLOBAL)'!E953</f>
        <v>0</v>
      </c>
      <c r="H953" s="9">
        <f>+'[1]VENTAS(RESUMEN GLOBAL)'!K953</f>
        <v>0</v>
      </c>
      <c r="I953" s="8">
        <f>+G953*'[1]VENTAS(RESUMEN GLOBAL)'!F953</f>
        <v>0</v>
      </c>
      <c r="J953" s="8">
        <f>'[1]VENTAS(RESUMEN GLOBAL)'!G953*(1-'[1]VENTAS(RESUMEN GLOBAL)'!H953)</f>
        <v>0</v>
      </c>
      <c r="K953" s="8">
        <f t="shared" si="14"/>
        <v>0</v>
      </c>
      <c r="L953" s="8">
        <f>+'[1]VENTAS(RESUMEN GLOBAL)'!J953</f>
        <v>0</v>
      </c>
      <c r="M953" s="8">
        <f>+Tabla1[[#This Row],[utilidad x dia]]*7</f>
        <v>0</v>
      </c>
    </row>
    <row r="954" spans="1:13" x14ac:dyDescent="0.3">
      <c r="A954" s="6">
        <f>+'[1]VENTAS(RESUMEN GLOBAL)'!L954</f>
        <v>0</v>
      </c>
      <c r="B954" s="6">
        <f>+'[1]VENTAS(RESUMEN GLOBAL)'!M954</f>
        <v>0</v>
      </c>
      <c r="C954">
        <f>+'[1]VENTAS(RESUMEN GLOBAL)'!B954</f>
        <v>0</v>
      </c>
      <c r="D954" t="e">
        <f>INDEX('[1]CÓDIGOS DE PRODUCTO'!$D$3:$D$1000,MATCH(C954,'[1]CÓDIGOS DE PRODUCTO'!$A$3:$A$1000,0))</f>
        <v>#N/A</v>
      </c>
      <c r="E954">
        <f>VLOOKUP(C954,'[1]CÓDIGOS DE PRODUCTO'!$A$4:$B$156,2,FALSE)</f>
        <v>0</v>
      </c>
      <c r="F954">
        <f>INDEX('[1]CÓDIGOS DE PRODUCTO'!$C$3:$C$1000,MATCH(C954,'[1]CÓDIGOS DE PRODUCTO'!$A$3:$A$1000,0))</f>
        <v>0</v>
      </c>
      <c r="G954">
        <f>+'[1]VENTAS(RESUMEN GLOBAL)'!D954-'[1]VENTAS(RESUMEN GLOBAL)'!E954</f>
        <v>0</v>
      </c>
      <c r="H954" s="9">
        <f>+'[1]VENTAS(RESUMEN GLOBAL)'!K954</f>
        <v>0</v>
      </c>
      <c r="I954" s="8">
        <f>+G954*'[1]VENTAS(RESUMEN GLOBAL)'!F954</f>
        <v>0</v>
      </c>
      <c r="J954" s="8">
        <f>'[1]VENTAS(RESUMEN GLOBAL)'!G954*(1-'[1]VENTAS(RESUMEN GLOBAL)'!H954)</f>
        <v>0</v>
      </c>
      <c r="K954" s="8">
        <f t="shared" si="14"/>
        <v>0</v>
      </c>
      <c r="L954" s="8">
        <f>+'[1]VENTAS(RESUMEN GLOBAL)'!J954</f>
        <v>0</v>
      </c>
      <c r="M954" s="8">
        <f>+Tabla1[[#This Row],[utilidad x dia]]*7</f>
        <v>0</v>
      </c>
    </row>
    <row r="955" spans="1:13" x14ac:dyDescent="0.3">
      <c r="A955" s="6">
        <f>+'[1]VENTAS(RESUMEN GLOBAL)'!L955</f>
        <v>0</v>
      </c>
      <c r="B955" s="6">
        <f>+'[1]VENTAS(RESUMEN GLOBAL)'!M955</f>
        <v>0</v>
      </c>
      <c r="C955">
        <f>+'[1]VENTAS(RESUMEN GLOBAL)'!B955</f>
        <v>0</v>
      </c>
      <c r="D955" t="e">
        <f>INDEX('[1]CÓDIGOS DE PRODUCTO'!$D$3:$D$1000,MATCH(C955,'[1]CÓDIGOS DE PRODUCTO'!$A$3:$A$1000,0))</f>
        <v>#N/A</v>
      </c>
      <c r="E955">
        <f>VLOOKUP(C955,'[1]CÓDIGOS DE PRODUCTO'!$A$4:$B$156,2,FALSE)</f>
        <v>0</v>
      </c>
      <c r="F955">
        <f>INDEX('[1]CÓDIGOS DE PRODUCTO'!$C$3:$C$1000,MATCH(C955,'[1]CÓDIGOS DE PRODUCTO'!$A$3:$A$1000,0))</f>
        <v>0</v>
      </c>
      <c r="G955">
        <f>+'[1]VENTAS(RESUMEN GLOBAL)'!D955-'[1]VENTAS(RESUMEN GLOBAL)'!E955</f>
        <v>0</v>
      </c>
      <c r="H955" s="9">
        <f>+'[1]VENTAS(RESUMEN GLOBAL)'!K955</f>
        <v>0</v>
      </c>
      <c r="I955" s="8">
        <f>+G955*'[1]VENTAS(RESUMEN GLOBAL)'!F955</f>
        <v>0</v>
      </c>
      <c r="J955" s="8">
        <f>'[1]VENTAS(RESUMEN GLOBAL)'!G955*(1-'[1]VENTAS(RESUMEN GLOBAL)'!H955)</f>
        <v>0</v>
      </c>
      <c r="K955" s="8">
        <f t="shared" si="14"/>
        <v>0</v>
      </c>
      <c r="L955" s="8">
        <f>+'[1]VENTAS(RESUMEN GLOBAL)'!J955</f>
        <v>0</v>
      </c>
      <c r="M955" s="8">
        <f>+Tabla1[[#This Row],[utilidad x dia]]*7</f>
        <v>0</v>
      </c>
    </row>
    <row r="956" spans="1:13" x14ac:dyDescent="0.3">
      <c r="A956" s="6">
        <f>+'[1]VENTAS(RESUMEN GLOBAL)'!L956</f>
        <v>0</v>
      </c>
      <c r="B956" s="6">
        <f>+'[1]VENTAS(RESUMEN GLOBAL)'!M956</f>
        <v>0</v>
      </c>
      <c r="C956">
        <f>+'[1]VENTAS(RESUMEN GLOBAL)'!B956</f>
        <v>0</v>
      </c>
      <c r="D956" t="e">
        <f>INDEX('[1]CÓDIGOS DE PRODUCTO'!$D$3:$D$1000,MATCH(C956,'[1]CÓDIGOS DE PRODUCTO'!$A$3:$A$1000,0))</f>
        <v>#N/A</v>
      </c>
      <c r="E956">
        <f>VLOOKUP(C956,'[1]CÓDIGOS DE PRODUCTO'!$A$4:$B$156,2,FALSE)</f>
        <v>0</v>
      </c>
      <c r="F956">
        <f>INDEX('[1]CÓDIGOS DE PRODUCTO'!$C$3:$C$1000,MATCH(C956,'[1]CÓDIGOS DE PRODUCTO'!$A$3:$A$1000,0))</f>
        <v>0</v>
      </c>
      <c r="G956">
        <f>+'[1]VENTAS(RESUMEN GLOBAL)'!D956-'[1]VENTAS(RESUMEN GLOBAL)'!E956</f>
        <v>0</v>
      </c>
      <c r="H956" s="9">
        <f>+'[1]VENTAS(RESUMEN GLOBAL)'!K956</f>
        <v>0</v>
      </c>
      <c r="I956" s="8">
        <f>+G956*'[1]VENTAS(RESUMEN GLOBAL)'!F956</f>
        <v>0</v>
      </c>
      <c r="J956" s="8">
        <f>'[1]VENTAS(RESUMEN GLOBAL)'!G956*(1-'[1]VENTAS(RESUMEN GLOBAL)'!H956)</f>
        <v>0</v>
      </c>
      <c r="K956" s="8">
        <f t="shared" si="14"/>
        <v>0</v>
      </c>
      <c r="L956" s="8">
        <f>+'[1]VENTAS(RESUMEN GLOBAL)'!J956</f>
        <v>0</v>
      </c>
      <c r="M956" s="8">
        <f>+Tabla1[[#This Row],[utilidad x dia]]*7</f>
        <v>0</v>
      </c>
    </row>
    <row r="957" spans="1:13" x14ac:dyDescent="0.3">
      <c r="A957" s="6">
        <f>+'[1]VENTAS(RESUMEN GLOBAL)'!L957</f>
        <v>0</v>
      </c>
      <c r="B957" s="6">
        <f>+'[1]VENTAS(RESUMEN GLOBAL)'!M957</f>
        <v>0</v>
      </c>
      <c r="C957">
        <f>+'[1]VENTAS(RESUMEN GLOBAL)'!B957</f>
        <v>0</v>
      </c>
      <c r="D957" t="e">
        <f>INDEX('[1]CÓDIGOS DE PRODUCTO'!$D$3:$D$1000,MATCH(C957,'[1]CÓDIGOS DE PRODUCTO'!$A$3:$A$1000,0))</f>
        <v>#N/A</v>
      </c>
      <c r="E957">
        <f>VLOOKUP(C957,'[1]CÓDIGOS DE PRODUCTO'!$A$4:$B$156,2,FALSE)</f>
        <v>0</v>
      </c>
      <c r="F957">
        <f>INDEX('[1]CÓDIGOS DE PRODUCTO'!$C$3:$C$1000,MATCH(C957,'[1]CÓDIGOS DE PRODUCTO'!$A$3:$A$1000,0))</f>
        <v>0</v>
      </c>
      <c r="G957">
        <f>+'[1]VENTAS(RESUMEN GLOBAL)'!D957-'[1]VENTAS(RESUMEN GLOBAL)'!E957</f>
        <v>0</v>
      </c>
      <c r="H957" s="9">
        <f>+'[1]VENTAS(RESUMEN GLOBAL)'!K957</f>
        <v>0</v>
      </c>
      <c r="I957" s="8">
        <f>+G957*'[1]VENTAS(RESUMEN GLOBAL)'!F957</f>
        <v>0</v>
      </c>
      <c r="J957" s="8">
        <f>'[1]VENTAS(RESUMEN GLOBAL)'!G957*(1-'[1]VENTAS(RESUMEN GLOBAL)'!H957)</f>
        <v>0</v>
      </c>
      <c r="K957" s="8">
        <f t="shared" si="14"/>
        <v>0</v>
      </c>
      <c r="L957" s="8">
        <f>+'[1]VENTAS(RESUMEN GLOBAL)'!J957</f>
        <v>0</v>
      </c>
      <c r="M957" s="8">
        <f>+Tabla1[[#This Row],[utilidad x dia]]*7</f>
        <v>0</v>
      </c>
    </row>
    <row r="958" spans="1:13" x14ac:dyDescent="0.3">
      <c r="A958" s="6">
        <f>+'[1]VENTAS(RESUMEN GLOBAL)'!L958</f>
        <v>0</v>
      </c>
      <c r="B958" s="6">
        <f>+'[1]VENTAS(RESUMEN GLOBAL)'!M958</f>
        <v>0</v>
      </c>
      <c r="C958">
        <f>+'[1]VENTAS(RESUMEN GLOBAL)'!B958</f>
        <v>0</v>
      </c>
      <c r="D958" t="e">
        <f>INDEX('[1]CÓDIGOS DE PRODUCTO'!$D$3:$D$1000,MATCH(C958,'[1]CÓDIGOS DE PRODUCTO'!$A$3:$A$1000,0))</f>
        <v>#N/A</v>
      </c>
      <c r="E958">
        <f>VLOOKUP(C958,'[1]CÓDIGOS DE PRODUCTO'!$A$4:$B$156,2,FALSE)</f>
        <v>0</v>
      </c>
      <c r="F958">
        <f>INDEX('[1]CÓDIGOS DE PRODUCTO'!$C$3:$C$1000,MATCH(C958,'[1]CÓDIGOS DE PRODUCTO'!$A$3:$A$1000,0))</f>
        <v>0</v>
      </c>
      <c r="G958">
        <f>+'[1]VENTAS(RESUMEN GLOBAL)'!D958-'[1]VENTAS(RESUMEN GLOBAL)'!E958</f>
        <v>0</v>
      </c>
      <c r="H958" s="9">
        <f>+'[1]VENTAS(RESUMEN GLOBAL)'!K958</f>
        <v>0</v>
      </c>
      <c r="I958" s="8">
        <f>+G958*'[1]VENTAS(RESUMEN GLOBAL)'!F958</f>
        <v>0</v>
      </c>
      <c r="J958" s="8">
        <f>'[1]VENTAS(RESUMEN GLOBAL)'!G958*(1-'[1]VENTAS(RESUMEN GLOBAL)'!H958)</f>
        <v>0</v>
      </c>
      <c r="K958" s="8">
        <f t="shared" si="14"/>
        <v>0</v>
      </c>
      <c r="L958" s="8">
        <f>+'[1]VENTAS(RESUMEN GLOBAL)'!J958</f>
        <v>0</v>
      </c>
      <c r="M958" s="8">
        <f>+Tabla1[[#This Row],[utilidad x dia]]*7</f>
        <v>0</v>
      </c>
    </row>
    <row r="959" spans="1:13" x14ac:dyDescent="0.3">
      <c r="A959" s="6">
        <f>+'[1]VENTAS(RESUMEN GLOBAL)'!L959</f>
        <v>0</v>
      </c>
      <c r="B959" s="6">
        <f>+'[1]VENTAS(RESUMEN GLOBAL)'!M959</f>
        <v>0</v>
      </c>
      <c r="C959">
        <f>+'[1]VENTAS(RESUMEN GLOBAL)'!B959</f>
        <v>0</v>
      </c>
      <c r="D959" t="e">
        <f>INDEX('[1]CÓDIGOS DE PRODUCTO'!$D$3:$D$1000,MATCH(C959,'[1]CÓDIGOS DE PRODUCTO'!$A$3:$A$1000,0))</f>
        <v>#N/A</v>
      </c>
      <c r="E959">
        <f>VLOOKUP(C959,'[1]CÓDIGOS DE PRODUCTO'!$A$4:$B$156,2,FALSE)</f>
        <v>0</v>
      </c>
      <c r="F959">
        <f>INDEX('[1]CÓDIGOS DE PRODUCTO'!$C$3:$C$1000,MATCH(C959,'[1]CÓDIGOS DE PRODUCTO'!$A$3:$A$1000,0))</f>
        <v>0</v>
      </c>
      <c r="G959">
        <f>+'[1]VENTAS(RESUMEN GLOBAL)'!D959-'[1]VENTAS(RESUMEN GLOBAL)'!E959</f>
        <v>0</v>
      </c>
      <c r="H959" s="9">
        <f>+'[1]VENTAS(RESUMEN GLOBAL)'!K959</f>
        <v>0</v>
      </c>
      <c r="I959" s="8">
        <f>+G959*'[1]VENTAS(RESUMEN GLOBAL)'!F959</f>
        <v>0</v>
      </c>
      <c r="J959" s="8">
        <f>'[1]VENTAS(RESUMEN GLOBAL)'!G959*(1-'[1]VENTAS(RESUMEN GLOBAL)'!H959)</f>
        <v>0</v>
      </c>
      <c r="K959" s="8">
        <f t="shared" si="14"/>
        <v>0</v>
      </c>
      <c r="L959" s="8">
        <f>+'[1]VENTAS(RESUMEN GLOBAL)'!J959</f>
        <v>0</v>
      </c>
      <c r="M959" s="8">
        <f>+Tabla1[[#This Row],[utilidad x dia]]*7</f>
        <v>0</v>
      </c>
    </row>
    <row r="960" spans="1:13" x14ac:dyDescent="0.3">
      <c r="A960" s="6">
        <f>+'[1]VENTAS(RESUMEN GLOBAL)'!L960</f>
        <v>0</v>
      </c>
      <c r="B960" s="6">
        <f>+'[1]VENTAS(RESUMEN GLOBAL)'!M960</f>
        <v>0</v>
      </c>
      <c r="C960">
        <f>+'[1]VENTAS(RESUMEN GLOBAL)'!B960</f>
        <v>0</v>
      </c>
      <c r="D960" t="e">
        <f>INDEX('[1]CÓDIGOS DE PRODUCTO'!$D$3:$D$1000,MATCH(C960,'[1]CÓDIGOS DE PRODUCTO'!$A$3:$A$1000,0))</f>
        <v>#N/A</v>
      </c>
      <c r="E960">
        <f>VLOOKUP(C960,'[1]CÓDIGOS DE PRODUCTO'!$A$4:$B$156,2,FALSE)</f>
        <v>0</v>
      </c>
      <c r="F960">
        <f>INDEX('[1]CÓDIGOS DE PRODUCTO'!$C$3:$C$1000,MATCH(C960,'[1]CÓDIGOS DE PRODUCTO'!$A$3:$A$1000,0))</f>
        <v>0</v>
      </c>
      <c r="G960">
        <f>+'[1]VENTAS(RESUMEN GLOBAL)'!D960-'[1]VENTAS(RESUMEN GLOBAL)'!E960</f>
        <v>0</v>
      </c>
      <c r="H960" s="9">
        <f>+'[1]VENTAS(RESUMEN GLOBAL)'!K960</f>
        <v>0</v>
      </c>
      <c r="I960" s="8">
        <f>+G960*'[1]VENTAS(RESUMEN GLOBAL)'!F960</f>
        <v>0</v>
      </c>
      <c r="J960" s="8">
        <f>'[1]VENTAS(RESUMEN GLOBAL)'!G960*(1-'[1]VENTAS(RESUMEN GLOBAL)'!H960)</f>
        <v>0</v>
      </c>
      <c r="K960" s="8">
        <f t="shared" si="14"/>
        <v>0</v>
      </c>
      <c r="L960" s="8">
        <f>+'[1]VENTAS(RESUMEN GLOBAL)'!J960</f>
        <v>0</v>
      </c>
      <c r="M960" s="8">
        <f>+Tabla1[[#This Row],[utilidad x dia]]*7</f>
        <v>0</v>
      </c>
    </row>
    <row r="961" spans="1:13" x14ac:dyDescent="0.3">
      <c r="A961" s="6">
        <f>+'[1]VENTAS(RESUMEN GLOBAL)'!L961</f>
        <v>0</v>
      </c>
      <c r="B961" s="6">
        <f>+'[1]VENTAS(RESUMEN GLOBAL)'!M961</f>
        <v>0</v>
      </c>
      <c r="C961">
        <f>+'[1]VENTAS(RESUMEN GLOBAL)'!B961</f>
        <v>0</v>
      </c>
      <c r="D961" t="e">
        <f>INDEX('[1]CÓDIGOS DE PRODUCTO'!$D$3:$D$1000,MATCH(C961,'[1]CÓDIGOS DE PRODUCTO'!$A$3:$A$1000,0))</f>
        <v>#N/A</v>
      </c>
      <c r="E961">
        <f>VLOOKUP(C961,'[1]CÓDIGOS DE PRODUCTO'!$A$4:$B$156,2,FALSE)</f>
        <v>0</v>
      </c>
      <c r="F961">
        <f>INDEX('[1]CÓDIGOS DE PRODUCTO'!$C$3:$C$1000,MATCH(C961,'[1]CÓDIGOS DE PRODUCTO'!$A$3:$A$1000,0))</f>
        <v>0</v>
      </c>
      <c r="G961">
        <f>+'[1]VENTAS(RESUMEN GLOBAL)'!D961-'[1]VENTAS(RESUMEN GLOBAL)'!E961</f>
        <v>0</v>
      </c>
      <c r="H961" s="9">
        <f>+'[1]VENTAS(RESUMEN GLOBAL)'!K961</f>
        <v>0</v>
      </c>
      <c r="I961" s="8">
        <f>+G961*'[1]VENTAS(RESUMEN GLOBAL)'!F961</f>
        <v>0</v>
      </c>
      <c r="J961" s="8">
        <f>'[1]VENTAS(RESUMEN GLOBAL)'!G961*(1-'[1]VENTAS(RESUMEN GLOBAL)'!H961)</f>
        <v>0</v>
      </c>
      <c r="K961" s="8">
        <f t="shared" si="14"/>
        <v>0</v>
      </c>
      <c r="L961" s="8">
        <f>+'[1]VENTAS(RESUMEN GLOBAL)'!J961</f>
        <v>0</v>
      </c>
      <c r="M961" s="8">
        <f>+Tabla1[[#This Row],[utilidad x dia]]*7</f>
        <v>0</v>
      </c>
    </row>
    <row r="962" spans="1:13" x14ac:dyDescent="0.3">
      <c r="A962" s="6">
        <f>+'[1]VENTAS(RESUMEN GLOBAL)'!L962</f>
        <v>0</v>
      </c>
      <c r="B962" s="6">
        <f>+'[1]VENTAS(RESUMEN GLOBAL)'!M962</f>
        <v>0</v>
      </c>
      <c r="C962">
        <f>+'[1]VENTAS(RESUMEN GLOBAL)'!B962</f>
        <v>0</v>
      </c>
      <c r="D962" t="e">
        <f>INDEX('[1]CÓDIGOS DE PRODUCTO'!$D$3:$D$1000,MATCH(C962,'[1]CÓDIGOS DE PRODUCTO'!$A$3:$A$1000,0))</f>
        <v>#N/A</v>
      </c>
      <c r="E962">
        <f>VLOOKUP(C962,'[1]CÓDIGOS DE PRODUCTO'!$A$4:$B$156,2,FALSE)</f>
        <v>0</v>
      </c>
      <c r="F962">
        <f>INDEX('[1]CÓDIGOS DE PRODUCTO'!$C$3:$C$1000,MATCH(C962,'[1]CÓDIGOS DE PRODUCTO'!$A$3:$A$1000,0))</f>
        <v>0</v>
      </c>
      <c r="G962">
        <f>+'[1]VENTAS(RESUMEN GLOBAL)'!D962-'[1]VENTAS(RESUMEN GLOBAL)'!E962</f>
        <v>0</v>
      </c>
      <c r="H962" s="9">
        <f>+'[1]VENTAS(RESUMEN GLOBAL)'!K962</f>
        <v>0</v>
      </c>
      <c r="I962" s="8">
        <f>+G962*'[1]VENTAS(RESUMEN GLOBAL)'!F962</f>
        <v>0</v>
      </c>
      <c r="J962" s="8">
        <f>'[1]VENTAS(RESUMEN GLOBAL)'!G962*(1-'[1]VENTAS(RESUMEN GLOBAL)'!H962)</f>
        <v>0</v>
      </c>
      <c r="K962" s="8">
        <f t="shared" si="14"/>
        <v>0</v>
      </c>
      <c r="L962" s="8">
        <f>+'[1]VENTAS(RESUMEN GLOBAL)'!J962</f>
        <v>0</v>
      </c>
      <c r="M962" s="8">
        <f>+Tabla1[[#This Row],[utilidad x dia]]*7</f>
        <v>0</v>
      </c>
    </row>
    <row r="963" spans="1:13" x14ac:dyDescent="0.3">
      <c r="A963" s="6">
        <f>+'[1]VENTAS(RESUMEN GLOBAL)'!L963</f>
        <v>0</v>
      </c>
      <c r="B963" s="6">
        <f>+'[1]VENTAS(RESUMEN GLOBAL)'!M963</f>
        <v>0</v>
      </c>
      <c r="C963">
        <f>+'[1]VENTAS(RESUMEN GLOBAL)'!B963</f>
        <v>0</v>
      </c>
      <c r="D963" t="e">
        <f>INDEX('[1]CÓDIGOS DE PRODUCTO'!$D$3:$D$1000,MATCH(C963,'[1]CÓDIGOS DE PRODUCTO'!$A$3:$A$1000,0))</f>
        <v>#N/A</v>
      </c>
      <c r="E963">
        <f>VLOOKUP(C963,'[1]CÓDIGOS DE PRODUCTO'!$A$4:$B$156,2,FALSE)</f>
        <v>0</v>
      </c>
      <c r="F963">
        <f>INDEX('[1]CÓDIGOS DE PRODUCTO'!$C$3:$C$1000,MATCH(C963,'[1]CÓDIGOS DE PRODUCTO'!$A$3:$A$1000,0))</f>
        <v>0</v>
      </c>
      <c r="G963">
        <f>+'[1]VENTAS(RESUMEN GLOBAL)'!D963-'[1]VENTAS(RESUMEN GLOBAL)'!E963</f>
        <v>0</v>
      </c>
      <c r="H963" s="9">
        <f>+'[1]VENTAS(RESUMEN GLOBAL)'!K963</f>
        <v>0</v>
      </c>
      <c r="I963" s="8">
        <f>+G963*'[1]VENTAS(RESUMEN GLOBAL)'!F963</f>
        <v>0</v>
      </c>
      <c r="J963" s="8">
        <f>'[1]VENTAS(RESUMEN GLOBAL)'!G963*(1-'[1]VENTAS(RESUMEN GLOBAL)'!H963)</f>
        <v>0</v>
      </c>
      <c r="K963" s="8">
        <f t="shared" ref="K963:K1026" si="15">+I963-J963</f>
        <v>0</v>
      </c>
      <c r="L963" s="8">
        <f>+'[1]VENTAS(RESUMEN GLOBAL)'!J963</f>
        <v>0</v>
      </c>
      <c r="M963" s="8">
        <f>+Tabla1[[#This Row],[utilidad x dia]]*7</f>
        <v>0</v>
      </c>
    </row>
    <row r="964" spans="1:13" x14ac:dyDescent="0.3">
      <c r="A964" s="6">
        <f>+'[1]VENTAS(RESUMEN GLOBAL)'!L964</f>
        <v>0</v>
      </c>
      <c r="B964" s="6">
        <f>+'[1]VENTAS(RESUMEN GLOBAL)'!M964</f>
        <v>0</v>
      </c>
      <c r="C964">
        <f>+'[1]VENTAS(RESUMEN GLOBAL)'!B964</f>
        <v>0</v>
      </c>
      <c r="D964" t="e">
        <f>INDEX('[1]CÓDIGOS DE PRODUCTO'!$D$3:$D$1000,MATCH(C964,'[1]CÓDIGOS DE PRODUCTO'!$A$3:$A$1000,0))</f>
        <v>#N/A</v>
      </c>
      <c r="E964">
        <f>VLOOKUP(C964,'[1]CÓDIGOS DE PRODUCTO'!$A$4:$B$156,2,FALSE)</f>
        <v>0</v>
      </c>
      <c r="F964">
        <f>INDEX('[1]CÓDIGOS DE PRODUCTO'!$C$3:$C$1000,MATCH(C964,'[1]CÓDIGOS DE PRODUCTO'!$A$3:$A$1000,0))</f>
        <v>0</v>
      </c>
      <c r="G964">
        <f>+'[1]VENTAS(RESUMEN GLOBAL)'!D964-'[1]VENTAS(RESUMEN GLOBAL)'!E964</f>
        <v>0</v>
      </c>
      <c r="H964" s="9">
        <f>+'[1]VENTAS(RESUMEN GLOBAL)'!K964</f>
        <v>0</v>
      </c>
      <c r="I964" s="8">
        <f>+G964*'[1]VENTAS(RESUMEN GLOBAL)'!F964</f>
        <v>0</v>
      </c>
      <c r="J964" s="8">
        <f>'[1]VENTAS(RESUMEN GLOBAL)'!G964*(1-'[1]VENTAS(RESUMEN GLOBAL)'!H964)</f>
        <v>0</v>
      </c>
      <c r="K964" s="8">
        <f t="shared" si="15"/>
        <v>0</v>
      </c>
      <c r="L964" s="8">
        <f>+'[1]VENTAS(RESUMEN GLOBAL)'!J964</f>
        <v>0</v>
      </c>
      <c r="M964" s="8">
        <f>+Tabla1[[#This Row],[utilidad x dia]]*7</f>
        <v>0</v>
      </c>
    </row>
    <row r="965" spans="1:13" x14ac:dyDescent="0.3">
      <c r="A965" s="6">
        <f>+'[1]VENTAS(RESUMEN GLOBAL)'!L965</f>
        <v>0</v>
      </c>
      <c r="B965" s="6">
        <f>+'[1]VENTAS(RESUMEN GLOBAL)'!M965</f>
        <v>0</v>
      </c>
      <c r="C965">
        <f>+'[1]VENTAS(RESUMEN GLOBAL)'!B965</f>
        <v>0</v>
      </c>
      <c r="D965" t="e">
        <f>INDEX('[1]CÓDIGOS DE PRODUCTO'!$D$3:$D$1000,MATCH(C965,'[1]CÓDIGOS DE PRODUCTO'!$A$3:$A$1000,0))</f>
        <v>#N/A</v>
      </c>
      <c r="E965">
        <f>VLOOKUP(C965,'[1]CÓDIGOS DE PRODUCTO'!$A$4:$B$156,2,FALSE)</f>
        <v>0</v>
      </c>
      <c r="F965">
        <f>INDEX('[1]CÓDIGOS DE PRODUCTO'!$C$3:$C$1000,MATCH(C965,'[1]CÓDIGOS DE PRODUCTO'!$A$3:$A$1000,0))</f>
        <v>0</v>
      </c>
      <c r="G965">
        <f>+'[1]VENTAS(RESUMEN GLOBAL)'!D965-'[1]VENTAS(RESUMEN GLOBAL)'!E965</f>
        <v>0</v>
      </c>
      <c r="H965" s="9">
        <f>+'[1]VENTAS(RESUMEN GLOBAL)'!K965</f>
        <v>0</v>
      </c>
      <c r="I965" s="8">
        <f>+G965*'[1]VENTAS(RESUMEN GLOBAL)'!F965</f>
        <v>0</v>
      </c>
      <c r="J965" s="8">
        <f>'[1]VENTAS(RESUMEN GLOBAL)'!G965*(1-'[1]VENTAS(RESUMEN GLOBAL)'!H965)</f>
        <v>0</v>
      </c>
      <c r="K965" s="8">
        <f t="shared" si="15"/>
        <v>0</v>
      </c>
      <c r="L965" s="8">
        <f>+'[1]VENTAS(RESUMEN GLOBAL)'!J965</f>
        <v>0</v>
      </c>
      <c r="M965" s="8">
        <f>+Tabla1[[#This Row],[utilidad x dia]]*7</f>
        <v>0</v>
      </c>
    </row>
    <row r="966" spans="1:13" x14ac:dyDescent="0.3">
      <c r="A966" s="6">
        <f>+'[1]VENTAS(RESUMEN GLOBAL)'!L966</f>
        <v>0</v>
      </c>
      <c r="B966" s="6">
        <f>+'[1]VENTAS(RESUMEN GLOBAL)'!M966</f>
        <v>0</v>
      </c>
      <c r="C966">
        <f>+'[1]VENTAS(RESUMEN GLOBAL)'!B966</f>
        <v>0</v>
      </c>
      <c r="D966" t="e">
        <f>INDEX('[1]CÓDIGOS DE PRODUCTO'!$D$3:$D$1000,MATCH(C966,'[1]CÓDIGOS DE PRODUCTO'!$A$3:$A$1000,0))</f>
        <v>#N/A</v>
      </c>
      <c r="E966">
        <f>VLOOKUP(C966,'[1]CÓDIGOS DE PRODUCTO'!$A$4:$B$156,2,FALSE)</f>
        <v>0</v>
      </c>
      <c r="F966">
        <f>INDEX('[1]CÓDIGOS DE PRODUCTO'!$C$3:$C$1000,MATCH(C966,'[1]CÓDIGOS DE PRODUCTO'!$A$3:$A$1000,0))</f>
        <v>0</v>
      </c>
      <c r="G966">
        <f>+'[1]VENTAS(RESUMEN GLOBAL)'!D966-'[1]VENTAS(RESUMEN GLOBAL)'!E966</f>
        <v>0</v>
      </c>
      <c r="H966" s="9">
        <f>+'[1]VENTAS(RESUMEN GLOBAL)'!K966</f>
        <v>0</v>
      </c>
      <c r="I966" s="8">
        <f>+G966*'[1]VENTAS(RESUMEN GLOBAL)'!F966</f>
        <v>0</v>
      </c>
      <c r="J966" s="8">
        <f>'[1]VENTAS(RESUMEN GLOBAL)'!G966*(1-'[1]VENTAS(RESUMEN GLOBAL)'!H966)</f>
        <v>0</v>
      </c>
      <c r="K966" s="8">
        <f t="shared" si="15"/>
        <v>0</v>
      </c>
      <c r="L966" s="8">
        <f>+'[1]VENTAS(RESUMEN GLOBAL)'!J966</f>
        <v>0</v>
      </c>
      <c r="M966" s="8">
        <f>+Tabla1[[#This Row],[utilidad x dia]]*7</f>
        <v>0</v>
      </c>
    </row>
    <row r="967" spans="1:13" x14ac:dyDescent="0.3">
      <c r="A967" s="6">
        <f>+'[1]VENTAS(RESUMEN GLOBAL)'!L967</f>
        <v>0</v>
      </c>
      <c r="B967" s="6">
        <f>+'[1]VENTAS(RESUMEN GLOBAL)'!M967</f>
        <v>0</v>
      </c>
      <c r="C967">
        <f>+'[1]VENTAS(RESUMEN GLOBAL)'!B967</f>
        <v>0</v>
      </c>
      <c r="D967" t="e">
        <f>INDEX('[1]CÓDIGOS DE PRODUCTO'!$D$3:$D$1000,MATCH(C967,'[1]CÓDIGOS DE PRODUCTO'!$A$3:$A$1000,0))</f>
        <v>#N/A</v>
      </c>
      <c r="E967">
        <f>VLOOKUP(C967,'[1]CÓDIGOS DE PRODUCTO'!$A$4:$B$156,2,FALSE)</f>
        <v>0</v>
      </c>
      <c r="F967">
        <f>INDEX('[1]CÓDIGOS DE PRODUCTO'!$C$3:$C$1000,MATCH(C967,'[1]CÓDIGOS DE PRODUCTO'!$A$3:$A$1000,0))</f>
        <v>0</v>
      </c>
      <c r="G967">
        <f>+'[1]VENTAS(RESUMEN GLOBAL)'!D967-'[1]VENTAS(RESUMEN GLOBAL)'!E967</f>
        <v>0</v>
      </c>
      <c r="H967" s="9">
        <f>+'[1]VENTAS(RESUMEN GLOBAL)'!K967</f>
        <v>0</v>
      </c>
      <c r="I967" s="8">
        <f>+G967*'[1]VENTAS(RESUMEN GLOBAL)'!F967</f>
        <v>0</v>
      </c>
      <c r="J967" s="8">
        <f>'[1]VENTAS(RESUMEN GLOBAL)'!G967*(1-'[1]VENTAS(RESUMEN GLOBAL)'!H967)</f>
        <v>0</v>
      </c>
      <c r="K967" s="8">
        <f t="shared" si="15"/>
        <v>0</v>
      </c>
      <c r="L967" s="8">
        <f>+'[1]VENTAS(RESUMEN GLOBAL)'!J967</f>
        <v>0</v>
      </c>
      <c r="M967" s="8">
        <f>+Tabla1[[#This Row],[utilidad x dia]]*7</f>
        <v>0</v>
      </c>
    </row>
    <row r="968" spans="1:13" x14ac:dyDescent="0.3">
      <c r="A968" s="6">
        <f>+'[1]VENTAS(RESUMEN GLOBAL)'!L968</f>
        <v>0</v>
      </c>
      <c r="B968" s="6">
        <f>+'[1]VENTAS(RESUMEN GLOBAL)'!M968</f>
        <v>0</v>
      </c>
      <c r="C968">
        <f>+'[1]VENTAS(RESUMEN GLOBAL)'!B968</f>
        <v>0</v>
      </c>
      <c r="D968" t="e">
        <f>INDEX('[1]CÓDIGOS DE PRODUCTO'!$D$3:$D$1000,MATCH(C968,'[1]CÓDIGOS DE PRODUCTO'!$A$3:$A$1000,0))</f>
        <v>#N/A</v>
      </c>
      <c r="E968">
        <f>VLOOKUP(C968,'[1]CÓDIGOS DE PRODUCTO'!$A$4:$B$156,2,FALSE)</f>
        <v>0</v>
      </c>
      <c r="F968">
        <f>INDEX('[1]CÓDIGOS DE PRODUCTO'!$C$3:$C$1000,MATCH(C968,'[1]CÓDIGOS DE PRODUCTO'!$A$3:$A$1000,0))</f>
        <v>0</v>
      </c>
      <c r="G968">
        <f>+'[1]VENTAS(RESUMEN GLOBAL)'!D968-'[1]VENTAS(RESUMEN GLOBAL)'!E968</f>
        <v>0</v>
      </c>
      <c r="H968" s="9">
        <f>+'[1]VENTAS(RESUMEN GLOBAL)'!K968</f>
        <v>0</v>
      </c>
      <c r="I968" s="8">
        <f>+G968*'[1]VENTAS(RESUMEN GLOBAL)'!F968</f>
        <v>0</v>
      </c>
      <c r="J968" s="8">
        <f>'[1]VENTAS(RESUMEN GLOBAL)'!G968*(1-'[1]VENTAS(RESUMEN GLOBAL)'!H968)</f>
        <v>0</v>
      </c>
      <c r="K968" s="8">
        <f t="shared" si="15"/>
        <v>0</v>
      </c>
      <c r="L968" s="8">
        <f>+'[1]VENTAS(RESUMEN GLOBAL)'!J968</f>
        <v>0</v>
      </c>
      <c r="M968" s="8">
        <f>+Tabla1[[#This Row],[utilidad x dia]]*7</f>
        <v>0</v>
      </c>
    </row>
    <row r="969" spans="1:13" x14ac:dyDescent="0.3">
      <c r="A969" s="6">
        <f>+'[1]VENTAS(RESUMEN GLOBAL)'!L969</f>
        <v>0</v>
      </c>
      <c r="B969" s="6">
        <f>+'[1]VENTAS(RESUMEN GLOBAL)'!M969</f>
        <v>0</v>
      </c>
      <c r="C969">
        <f>+'[1]VENTAS(RESUMEN GLOBAL)'!B969</f>
        <v>0</v>
      </c>
      <c r="D969" t="e">
        <f>INDEX('[1]CÓDIGOS DE PRODUCTO'!$D$3:$D$1000,MATCH(C969,'[1]CÓDIGOS DE PRODUCTO'!$A$3:$A$1000,0))</f>
        <v>#N/A</v>
      </c>
      <c r="E969">
        <f>VLOOKUP(C969,'[1]CÓDIGOS DE PRODUCTO'!$A$4:$B$156,2,FALSE)</f>
        <v>0</v>
      </c>
      <c r="F969">
        <f>INDEX('[1]CÓDIGOS DE PRODUCTO'!$C$3:$C$1000,MATCH(C969,'[1]CÓDIGOS DE PRODUCTO'!$A$3:$A$1000,0))</f>
        <v>0</v>
      </c>
      <c r="G969">
        <f>+'[1]VENTAS(RESUMEN GLOBAL)'!D969-'[1]VENTAS(RESUMEN GLOBAL)'!E969</f>
        <v>0</v>
      </c>
      <c r="H969" s="9">
        <f>+'[1]VENTAS(RESUMEN GLOBAL)'!K969</f>
        <v>0</v>
      </c>
      <c r="I969" s="8">
        <f>+G969*'[1]VENTAS(RESUMEN GLOBAL)'!F969</f>
        <v>0</v>
      </c>
      <c r="J969" s="8">
        <f>'[1]VENTAS(RESUMEN GLOBAL)'!G969*(1-'[1]VENTAS(RESUMEN GLOBAL)'!H969)</f>
        <v>0</v>
      </c>
      <c r="K969" s="8">
        <f t="shared" si="15"/>
        <v>0</v>
      </c>
      <c r="L969" s="8">
        <f>+'[1]VENTAS(RESUMEN GLOBAL)'!J969</f>
        <v>0</v>
      </c>
      <c r="M969" s="8">
        <f>+Tabla1[[#This Row],[utilidad x dia]]*7</f>
        <v>0</v>
      </c>
    </row>
    <row r="970" spans="1:13" x14ac:dyDescent="0.3">
      <c r="A970" s="6">
        <f>+'[1]VENTAS(RESUMEN GLOBAL)'!L970</f>
        <v>0</v>
      </c>
      <c r="B970" s="6">
        <f>+'[1]VENTAS(RESUMEN GLOBAL)'!M970</f>
        <v>0</v>
      </c>
      <c r="C970">
        <f>+'[1]VENTAS(RESUMEN GLOBAL)'!B970</f>
        <v>0</v>
      </c>
      <c r="D970" t="e">
        <f>INDEX('[1]CÓDIGOS DE PRODUCTO'!$D$3:$D$1000,MATCH(C970,'[1]CÓDIGOS DE PRODUCTO'!$A$3:$A$1000,0))</f>
        <v>#N/A</v>
      </c>
      <c r="E970">
        <f>VLOOKUP(C970,'[1]CÓDIGOS DE PRODUCTO'!$A$4:$B$156,2,FALSE)</f>
        <v>0</v>
      </c>
      <c r="F970">
        <f>INDEX('[1]CÓDIGOS DE PRODUCTO'!$C$3:$C$1000,MATCH(C970,'[1]CÓDIGOS DE PRODUCTO'!$A$3:$A$1000,0))</f>
        <v>0</v>
      </c>
      <c r="G970">
        <f>+'[1]VENTAS(RESUMEN GLOBAL)'!D970-'[1]VENTAS(RESUMEN GLOBAL)'!E970</f>
        <v>0</v>
      </c>
      <c r="H970" s="9">
        <f>+'[1]VENTAS(RESUMEN GLOBAL)'!K970</f>
        <v>0</v>
      </c>
      <c r="I970" s="8">
        <f>+G970*'[1]VENTAS(RESUMEN GLOBAL)'!F970</f>
        <v>0</v>
      </c>
      <c r="J970" s="8">
        <f>'[1]VENTAS(RESUMEN GLOBAL)'!G970*(1-'[1]VENTAS(RESUMEN GLOBAL)'!H970)</f>
        <v>0</v>
      </c>
      <c r="K970" s="8">
        <f t="shared" si="15"/>
        <v>0</v>
      </c>
      <c r="L970" s="8">
        <f>+'[1]VENTAS(RESUMEN GLOBAL)'!J970</f>
        <v>0</v>
      </c>
      <c r="M970" s="8">
        <f>+Tabla1[[#This Row],[utilidad x dia]]*7</f>
        <v>0</v>
      </c>
    </row>
    <row r="971" spans="1:13" x14ac:dyDescent="0.3">
      <c r="A971" s="6">
        <f>+'[1]VENTAS(RESUMEN GLOBAL)'!L971</f>
        <v>0</v>
      </c>
      <c r="B971" s="6">
        <f>+'[1]VENTAS(RESUMEN GLOBAL)'!M971</f>
        <v>0</v>
      </c>
      <c r="C971">
        <f>+'[1]VENTAS(RESUMEN GLOBAL)'!B971</f>
        <v>0</v>
      </c>
      <c r="D971" t="e">
        <f>INDEX('[1]CÓDIGOS DE PRODUCTO'!$D$3:$D$1000,MATCH(C971,'[1]CÓDIGOS DE PRODUCTO'!$A$3:$A$1000,0))</f>
        <v>#N/A</v>
      </c>
      <c r="E971">
        <f>VLOOKUP(C971,'[1]CÓDIGOS DE PRODUCTO'!$A$4:$B$156,2,FALSE)</f>
        <v>0</v>
      </c>
      <c r="F971">
        <f>INDEX('[1]CÓDIGOS DE PRODUCTO'!$C$3:$C$1000,MATCH(C971,'[1]CÓDIGOS DE PRODUCTO'!$A$3:$A$1000,0))</f>
        <v>0</v>
      </c>
      <c r="G971">
        <f>+'[1]VENTAS(RESUMEN GLOBAL)'!D971-'[1]VENTAS(RESUMEN GLOBAL)'!E971</f>
        <v>0</v>
      </c>
      <c r="H971" s="9">
        <f>+'[1]VENTAS(RESUMEN GLOBAL)'!K971</f>
        <v>0</v>
      </c>
      <c r="I971" s="8">
        <f>+G971*'[1]VENTAS(RESUMEN GLOBAL)'!F971</f>
        <v>0</v>
      </c>
      <c r="J971" s="8">
        <f>'[1]VENTAS(RESUMEN GLOBAL)'!G971*(1-'[1]VENTAS(RESUMEN GLOBAL)'!H971)</f>
        <v>0</v>
      </c>
      <c r="K971" s="8">
        <f t="shared" si="15"/>
        <v>0</v>
      </c>
      <c r="L971" s="8">
        <f>+'[1]VENTAS(RESUMEN GLOBAL)'!J971</f>
        <v>0</v>
      </c>
      <c r="M971" s="8">
        <f>+Tabla1[[#This Row],[utilidad x dia]]*7</f>
        <v>0</v>
      </c>
    </row>
    <row r="972" spans="1:13" x14ac:dyDescent="0.3">
      <c r="A972" s="6">
        <f>+'[1]VENTAS(RESUMEN GLOBAL)'!L972</f>
        <v>0</v>
      </c>
      <c r="B972" s="6">
        <f>+'[1]VENTAS(RESUMEN GLOBAL)'!M972</f>
        <v>0</v>
      </c>
      <c r="C972">
        <f>+'[1]VENTAS(RESUMEN GLOBAL)'!B972</f>
        <v>0</v>
      </c>
      <c r="D972" t="e">
        <f>INDEX('[1]CÓDIGOS DE PRODUCTO'!$D$3:$D$1000,MATCH(C972,'[1]CÓDIGOS DE PRODUCTO'!$A$3:$A$1000,0))</f>
        <v>#N/A</v>
      </c>
      <c r="E972">
        <f>VLOOKUP(C972,'[1]CÓDIGOS DE PRODUCTO'!$A$4:$B$156,2,FALSE)</f>
        <v>0</v>
      </c>
      <c r="F972">
        <f>INDEX('[1]CÓDIGOS DE PRODUCTO'!$C$3:$C$1000,MATCH(C972,'[1]CÓDIGOS DE PRODUCTO'!$A$3:$A$1000,0))</f>
        <v>0</v>
      </c>
      <c r="G972">
        <f>+'[1]VENTAS(RESUMEN GLOBAL)'!D972-'[1]VENTAS(RESUMEN GLOBAL)'!E972</f>
        <v>0</v>
      </c>
      <c r="H972" s="9">
        <f>+'[1]VENTAS(RESUMEN GLOBAL)'!K972</f>
        <v>0</v>
      </c>
      <c r="I972" s="8">
        <f>+G972*'[1]VENTAS(RESUMEN GLOBAL)'!F972</f>
        <v>0</v>
      </c>
      <c r="J972" s="8">
        <f>'[1]VENTAS(RESUMEN GLOBAL)'!G972*(1-'[1]VENTAS(RESUMEN GLOBAL)'!H972)</f>
        <v>0</v>
      </c>
      <c r="K972" s="8">
        <f t="shared" si="15"/>
        <v>0</v>
      </c>
      <c r="L972" s="8">
        <f>+'[1]VENTAS(RESUMEN GLOBAL)'!J972</f>
        <v>0</v>
      </c>
      <c r="M972" s="8">
        <f>+Tabla1[[#This Row],[utilidad x dia]]*7</f>
        <v>0</v>
      </c>
    </row>
    <row r="973" spans="1:13" x14ac:dyDescent="0.3">
      <c r="A973" s="6">
        <f>+'[1]VENTAS(RESUMEN GLOBAL)'!L973</f>
        <v>0</v>
      </c>
      <c r="B973" s="6">
        <f>+'[1]VENTAS(RESUMEN GLOBAL)'!M973</f>
        <v>0</v>
      </c>
      <c r="C973">
        <f>+'[1]VENTAS(RESUMEN GLOBAL)'!B973</f>
        <v>0</v>
      </c>
      <c r="D973" t="e">
        <f>INDEX('[1]CÓDIGOS DE PRODUCTO'!$D$3:$D$1000,MATCH(C973,'[1]CÓDIGOS DE PRODUCTO'!$A$3:$A$1000,0))</f>
        <v>#N/A</v>
      </c>
      <c r="E973">
        <f>VLOOKUP(C973,'[1]CÓDIGOS DE PRODUCTO'!$A$4:$B$156,2,FALSE)</f>
        <v>0</v>
      </c>
      <c r="F973">
        <f>INDEX('[1]CÓDIGOS DE PRODUCTO'!$C$3:$C$1000,MATCH(C973,'[1]CÓDIGOS DE PRODUCTO'!$A$3:$A$1000,0))</f>
        <v>0</v>
      </c>
      <c r="G973">
        <f>+'[1]VENTAS(RESUMEN GLOBAL)'!D973-'[1]VENTAS(RESUMEN GLOBAL)'!E973</f>
        <v>0</v>
      </c>
      <c r="H973" s="9">
        <f>+'[1]VENTAS(RESUMEN GLOBAL)'!K973</f>
        <v>0</v>
      </c>
      <c r="I973" s="8">
        <f>+G973*'[1]VENTAS(RESUMEN GLOBAL)'!F973</f>
        <v>0</v>
      </c>
      <c r="J973" s="8">
        <f>'[1]VENTAS(RESUMEN GLOBAL)'!G973*(1-'[1]VENTAS(RESUMEN GLOBAL)'!H973)</f>
        <v>0</v>
      </c>
      <c r="K973" s="8">
        <f t="shared" si="15"/>
        <v>0</v>
      </c>
      <c r="L973" s="8">
        <f>+'[1]VENTAS(RESUMEN GLOBAL)'!J973</f>
        <v>0</v>
      </c>
      <c r="M973" s="8">
        <f>+Tabla1[[#This Row],[utilidad x dia]]*7</f>
        <v>0</v>
      </c>
    </row>
    <row r="974" spans="1:13" x14ac:dyDescent="0.3">
      <c r="A974" s="6">
        <f>+'[1]VENTAS(RESUMEN GLOBAL)'!L974</f>
        <v>0</v>
      </c>
      <c r="B974" s="6">
        <f>+'[1]VENTAS(RESUMEN GLOBAL)'!M974</f>
        <v>0</v>
      </c>
      <c r="C974">
        <f>+'[1]VENTAS(RESUMEN GLOBAL)'!B974</f>
        <v>0</v>
      </c>
      <c r="D974" t="e">
        <f>INDEX('[1]CÓDIGOS DE PRODUCTO'!$D$3:$D$1000,MATCH(C974,'[1]CÓDIGOS DE PRODUCTO'!$A$3:$A$1000,0))</f>
        <v>#N/A</v>
      </c>
      <c r="E974">
        <f>VLOOKUP(C974,'[1]CÓDIGOS DE PRODUCTO'!$A$4:$B$156,2,FALSE)</f>
        <v>0</v>
      </c>
      <c r="F974">
        <f>INDEX('[1]CÓDIGOS DE PRODUCTO'!$C$3:$C$1000,MATCH(C974,'[1]CÓDIGOS DE PRODUCTO'!$A$3:$A$1000,0))</f>
        <v>0</v>
      </c>
      <c r="G974">
        <f>+'[1]VENTAS(RESUMEN GLOBAL)'!D974-'[1]VENTAS(RESUMEN GLOBAL)'!E974</f>
        <v>0</v>
      </c>
      <c r="H974" s="9">
        <f>+'[1]VENTAS(RESUMEN GLOBAL)'!K974</f>
        <v>0</v>
      </c>
      <c r="I974" s="8">
        <f>+G974*'[1]VENTAS(RESUMEN GLOBAL)'!F974</f>
        <v>0</v>
      </c>
      <c r="J974" s="8">
        <f>'[1]VENTAS(RESUMEN GLOBAL)'!G974*(1-'[1]VENTAS(RESUMEN GLOBAL)'!H974)</f>
        <v>0</v>
      </c>
      <c r="K974" s="8">
        <f t="shared" si="15"/>
        <v>0</v>
      </c>
      <c r="L974" s="8">
        <f>+'[1]VENTAS(RESUMEN GLOBAL)'!J974</f>
        <v>0</v>
      </c>
      <c r="M974" s="8">
        <f>+Tabla1[[#This Row],[utilidad x dia]]*7</f>
        <v>0</v>
      </c>
    </row>
    <row r="975" spans="1:13" x14ac:dyDescent="0.3">
      <c r="A975" s="6">
        <f>+'[1]VENTAS(RESUMEN GLOBAL)'!L975</f>
        <v>0</v>
      </c>
      <c r="B975" s="6">
        <f>+'[1]VENTAS(RESUMEN GLOBAL)'!M975</f>
        <v>0</v>
      </c>
      <c r="C975">
        <f>+'[1]VENTAS(RESUMEN GLOBAL)'!B975</f>
        <v>0</v>
      </c>
      <c r="D975" t="e">
        <f>INDEX('[1]CÓDIGOS DE PRODUCTO'!$D$3:$D$1000,MATCH(C975,'[1]CÓDIGOS DE PRODUCTO'!$A$3:$A$1000,0))</f>
        <v>#N/A</v>
      </c>
      <c r="E975">
        <f>VLOOKUP(C975,'[1]CÓDIGOS DE PRODUCTO'!$A$4:$B$156,2,FALSE)</f>
        <v>0</v>
      </c>
      <c r="F975">
        <f>INDEX('[1]CÓDIGOS DE PRODUCTO'!$C$3:$C$1000,MATCH(C975,'[1]CÓDIGOS DE PRODUCTO'!$A$3:$A$1000,0))</f>
        <v>0</v>
      </c>
      <c r="G975">
        <f>+'[1]VENTAS(RESUMEN GLOBAL)'!D975-'[1]VENTAS(RESUMEN GLOBAL)'!E975</f>
        <v>0</v>
      </c>
      <c r="H975" s="9">
        <f>+'[1]VENTAS(RESUMEN GLOBAL)'!K975</f>
        <v>0</v>
      </c>
      <c r="I975" s="8">
        <f>+G975*'[1]VENTAS(RESUMEN GLOBAL)'!F975</f>
        <v>0</v>
      </c>
      <c r="J975" s="8">
        <f>'[1]VENTAS(RESUMEN GLOBAL)'!G975*(1-'[1]VENTAS(RESUMEN GLOBAL)'!H975)</f>
        <v>0</v>
      </c>
      <c r="K975" s="8">
        <f t="shared" si="15"/>
        <v>0</v>
      </c>
      <c r="L975" s="8">
        <f>+'[1]VENTAS(RESUMEN GLOBAL)'!J975</f>
        <v>0</v>
      </c>
      <c r="M975" s="8">
        <f>+Tabla1[[#This Row],[utilidad x dia]]*7</f>
        <v>0</v>
      </c>
    </row>
    <row r="976" spans="1:13" x14ac:dyDescent="0.3">
      <c r="A976" s="6">
        <f>+'[1]VENTAS(RESUMEN GLOBAL)'!L976</f>
        <v>0</v>
      </c>
      <c r="B976" s="6">
        <f>+'[1]VENTAS(RESUMEN GLOBAL)'!M976</f>
        <v>0</v>
      </c>
      <c r="C976">
        <f>+'[1]VENTAS(RESUMEN GLOBAL)'!B976</f>
        <v>0</v>
      </c>
      <c r="D976" t="e">
        <f>INDEX('[1]CÓDIGOS DE PRODUCTO'!$D$3:$D$1000,MATCH(C976,'[1]CÓDIGOS DE PRODUCTO'!$A$3:$A$1000,0))</f>
        <v>#N/A</v>
      </c>
      <c r="E976">
        <f>VLOOKUP(C976,'[1]CÓDIGOS DE PRODUCTO'!$A$4:$B$156,2,FALSE)</f>
        <v>0</v>
      </c>
      <c r="F976">
        <f>INDEX('[1]CÓDIGOS DE PRODUCTO'!$C$3:$C$1000,MATCH(C976,'[1]CÓDIGOS DE PRODUCTO'!$A$3:$A$1000,0))</f>
        <v>0</v>
      </c>
      <c r="G976">
        <f>+'[1]VENTAS(RESUMEN GLOBAL)'!D976-'[1]VENTAS(RESUMEN GLOBAL)'!E976</f>
        <v>0</v>
      </c>
      <c r="H976" s="9">
        <f>+'[1]VENTAS(RESUMEN GLOBAL)'!K976</f>
        <v>0</v>
      </c>
      <c r="I976" s="8">
        <f>+G976*'[1]VENTAS(RESUMEN GLOBAL)'!F976</f>
        <v>0</v>
      </c>
      <c r="J976" s="8">
        <f>'[1]VENTAS(RESUMEN GLOBAL)'!G976*(1-'[1]VENTAS(RESUMEN GLOBAL)'!H976)</f>
        <v>0</v>
      </c>
      <c r="K976" s="8">
        <f t="shared" si="15"/>
        <v>0</v>
      </c>
      <c r="L976" s="8">
        <f>+'[1]VENTAS(RESUMEN GLOBAL)'!J976</f>
        <v>0</v>
      </c>
      <c r="M976" s="8">
        <f>+Tabla1[[#This Row],[utilidad x dia]]*7</f>
        <v>0</v>
      </c>
    </row>
    <row r="977" spans="1:13" x14ac:dyDescent="0.3">
      <c r="A977" s="6">
        <f>+'[1]VENTAS(RESUMEN GLOBAL)'!L977</f>
        <v>0</v>
      </c>
      <c r="B977" s="6">
        <f>+'[1]VENTAS(RESUMEN GLOBAL)'!M977</f>
        <v>0</v>
      </c>
      <c r="C977">
        <f>+'[1]VENTAS(RESUMEN GLOBAL)'!B977</f>
        <v>0</v>
      </c>
      <c r="D977" t="e">
        <f>INDEX('[1]CÓDIGOS DE PRODUCTO'!$D$3:$D$1000,MATCH(C977,'[1]CÓDIGOS DE PRODUCTO'!$A$3:$A$1000,0))</f>
        <v>#N/A</v>
      </c>
      <c r="E977">
        <f>VLOOKUP(C977,'[1]CÓDIGOS DE PRODUCTO'!$A$4:$B$156,2,FALSE)</f>
        <v>0</v>
      </c>
      <c r="F977">
        <f>INDEX('[1]CÓDIGOS DE PRODUCTO'!$C$3:$C$1000,MATCH(C977,'[1]CÓDIGOS DE PRODUCTO'!$A$3:$A$1000,0))</f>
        <v>0</v>
      </c>
      <c r="G977">
        <f>+'[1]VENTAS(RESUMEN GLOBAL)'!D977-'[1]VENTAS(RESUMEN GLOBAL)'!E977</f>
        <v>0</v>
      </c>
      <c r="H977" s="9">
        <f>+'[1]VENTAS(RESUMEN GLOBAL)'!K977</f>
        <v>0</v>
      </c>
      <c r="I977" s="8">
        <f>+G977*'[1]VENTAS(RESUMEN GLOBAL)'!F977</f>
        <v>0</v>
      </c>
      <c r="J977" s="8">
        <f>'[1]VENTAS(RESUMEN GLOBAL)'!G977*(1-'[1]VENTAS(RESUMEN GLOBAL)'!H977)</f>
        <v>0</v>
      </c>
      <c r="K977" s="8">
        <f t="shared" si="15"/>
        <v>0</v>
      </c>
      <c r="L977" s="8">
        <f>+'[1]VENTAS(RESUMEN GLOBAL)'!J977</f>
        <v>0</v>
      </c>
      <c r="M977" s="8">
        <f>+Tabla1[[#This Row],[utilidad x dia]]*7</f>
        <v>0</v>
      </c>
    </row>
    <row r="978" spans="1:13" x14ac:dyDescent="0.3">
      <c r="A978" s="6">
        <f>+'[1]VENTAS(RESUMEN GLOBAL)'!L978</f>
        <v>0</v>
      </c>
      <c r="B978" s="6">
        <f>+'[1]VENTAS(RESUMEN GLOBAL)'!M978</f>
        <v>0</v>
      </c>
      <c r="C978">
        <f>+'[1]VENTAS(RESUMEN GLOBAL)'!B978</f>
        <v>0</v>
      </c>
      <c r="D978" t="e">
        <f>INDEX('[1]CÓDIGOS DE PRODUCTO'!$D$3:$D$1000,MATCH(C978,'[1]CÓDIGOS DE PRODUCTO'!$A$3:$A$1000,0))</f>
        <v>#N/A</v>
      </c>
      <c r="E978">
        <f>VLOOKUP(C978,'[1]CÓDIGOS DE PRODUCTO'!$A$4:$B$156,2,FALSE)</f>
        <v>0</v>
      </c>
      <c r="F978">
        <f>INDEX('[1]CÓDIGOS DE PRODUCTO'!$C$3:$C$1000,MATCH(C978,'[1]CÓDIGOS DE PRODUCTO'!$A$3:$A$1000,0))</f>
        <v>0</v>
      </c>
      <c r="G978">
        <f>+'[1]VENTAS(RESUMEN GLOBAL)'!D978-'[1]VENTAS(RESUMEN GLOBAL)'!E978</f>
        <v>0</v>
      </c>
      <c r="H978" s="9">
        <f>+'[1]VENTAS(RESUMEN GLOBAL)'!K978</f>
        <v>0</v>
      </c>
      <c r="I978" s="8">
        <f>+G978*'[1]VENTAS(RESUMEN GLOBAL)'!F978</f>
        <v>0</v>
      </c>
      <c r="J978" s="8">
        <f>'[1]VENTAS(RESUMEN GLOBAL)'!G978*(1-'[1]VENTAS(RESUMEN GLOBAL)'!H978)</f>
        <v>0</v>
      </c>
      <c r="K978" s="8">
        <f t="shared" si="15"/>
        <v>0</v>
      </c>
      <c r="L978" s="8">
        <f>+'[1]VENTAS(RESUMEN GLOBAL)'!J978</f>
        <v>0</v>
      </c>
      <c r="M978" s="8">
        <f>+Tabla1[[#This Row],[utilidad x dia]]*7</f>
        <v>0</v>
      </c>
    </row>
    <row r="979" spans="1:13" x14ac:dyDescent="0.3">
      <c r="A979" s="6">
        <f>+'[1]VENTAS(RESUMEN GLOBAL)'!L979</f>
        <v>0</v>
      </c>
      <c r="B979" s="6">
        <f>+'[1]VENTAS(RESUMEN GLOBAL)'!M979</f>
        <v>0</v>
      </c>
      <c r="C979">
        <f>+'[1]VENTAS(RESUMEN GLOBAL)'!B979</f>
        <v>0</v>
      </c>
      <c r="D979" t="e">
        <f>INDEX('[1]CÓDIGOS DE PRODUCTO'!$D$3:$D$1000,MATCH(C979,'[1]CÓDIGOS DE PRODUCTO'!$A$3:$A$1000,0))</f>
        <v>#N/A</v>
      </c>
      <c r="E979">
        <f>VLOOKUP(C979,'[1]CÓDIGOS DE PRODUCTO'!$A$4:$B$156,2,FALSE)</f>
        <v>0</v>
      </c>
      <c r="F979">
        <f>INDEX('[1]CÓDIGOS DE PRODUCTO'!$C$3:$C$1000,MATCH(C979,'[1]CÓDIGOS DE PRODUCTO'!$A$3:$A$1000,0))</f>
        <v>0</v>
      </c>
      <c r="G979">
        <f>+'[1]VENTAS(RESUMEN GLOBAL)'!D979-'[1]VENTAS(RESUMEN GLOBAL)'!E979</f>
        <v>0</v>
      </c>
      <c r="H979" s="9">
        <f>+'[1]VENTAS(RESUMEN GLOBAL)'!K979</f>
        <v>0</v>
      </c>
      <c r="I979" s="8">
        <f>+G979*'[1]VENTAS(RESUMEN GLOBAL)'!F979</f>
        <v>0</v>
      </c>
      <c r="J979" s="8">
        <f>'[1]VENTAS(RESUMEN GLOBAL)'!G979*(1-'[1]VENTAS(RESUMEN GLOBAL)'!H979)</f>
        <v>0</v>
      </c>
      <c r="K979" s="8">
        <f t="shared" si="15"/>
        <v>0</v>
      </c>
      <c r="L979" s="8">
        <f>+'[1]VENTAS(RESUMEN GLOBAL)'!J979</f>
        <v>0</v>
      </c>
      <c r="M979" s="8">
        <f>+Tabla1[[#This Row],[utilidad x dia]]*7</f>
        <v>0</v>
      </c>
    </row>
    <row r="980" spans="1:13" x14ac:dyDescent="0.3">
      <c r="A980" s="6">
        <f>+'[1]VENTAS(RESUMEN GLOBAL)'!L980</f>
        <v>0</v>
      </c>
      <c r="B980" s="6">
        <f>+'[1]VENTAS(RESUMEN GLOBAL)'!M980</f>
        <v>0</v>
      </c>
      <c r="C980">
        <f>+'[1]VENTAS(RESUMEN GLOBAL)'!B980</f>
        <v>0</v>
      </c>
      <c r="D980" t="e">
        <f>INDEX('[1]CÓDIGOS DE PRODUCTO'!$D$3:$D$1000,MATCH(C980,'[1]CÓDIGOS DE PRODUCTO'!$A$3:$A$1000,0))</f>
        <v>#N/A</v>
      </c>
      <c r="E980">
        <f>VLOOKUP(C980,'[1]CÓDIGOS DE PRODUCTO'!$A$4:$B$156,2,FALSE)</f>
        <v>0</v>
      </c>
      <c r="F980">
        <f>INDEX('[1]CÓDIGOS DE PRODUCTO'!$C$3:$C$1000,MATCH(C980,'[1]CÓDIGOS DE PRODUCTO'!$A$3:$A$1000,0))</f>
        <v>0</v>
      </c>
      <c r="G980">
        <f>+'[1]VENTAS(RESUMEN GLOBAL)'!D980-'[1]VENTAS(RESUMEN GLOBAL)'!E980</f>
        <v>0</v>
      </c>
      <c r="H980" s="9">
        <f>+'[1]VENTAS(RESUMEN GLOBAL)'!K980</f>
        <v>0</v>
      </c>
      <c r="I980" s="8">
        <f>+G980*'[1]VENTAS(RESUMEN GLOBAL)'!F980</f>
        <v>0</v>
      </c>
      <c r="J980" s="8">
        <f>'[1]VENTAS(RESUMEN GLOBAL)'!G980*(1-'[1]VENTAS(RESUMEN GLOBAL)'!H980)</f>
        <v>0</v>
      </c>
      <c r="K980" s="8">
        <f t="shared" si="15"/>
        <v>0</v>
      </c>
      <c r="L980" s="8">
        <f>+'[1]VENTAS(RESUMEN GLOBAL)'!J980</f>
        <v>0</v>
      </c>
      <c r="M980" s="8">
        <f>+Tabla1[[#This Row],[utilidad x dia]]*7</f>
        <v>0</v>
      </c>
    </row>
    <row r="981" spans="1:13" x14ac:dyDescent="0.3">
      <c r="A981" s="6">
        <f>+'[1]VENTAS(RESUMEN GLOBAL)'!L981</f>
        <v>0</v>
      </c>
      <c r="B981" s="6">
        <f>+'[1]VENTAS(RESUMEN GLOBAL)'!M981</f>
        <v>0</v>
      </c>
      <c r="C981">
        <f>+'[1]VENTAS(RESUMEN GLOBAL)'!B981</f>
        <v>0</v>
      </c>
      <c r="D981" t="e">
        <f>INDEX('[1]CÓDIGOS DE PRODUCTO'!$D$3:$D$1000,MATCH(C981,'[1]CÓDIGOS DE PRODUCTO'!$A$3:$A$1000,0))</f>
        <v>#N/A</v>
      </c>
      <c r="E981">
        <f>VLOOKUP(C981,'[1]CÓDIGOS DE PRODUCTO'!$A$4:$B$156,2,FALSE)</f>
        <v>0</v>
      </c>
      <c r="F981">
        <f>INDEX('[1]CÓDIGOS DE PRODUCTO'!$C$3:$C$1000,MATCH(C981,'[1]CÓDIGOS DE PRODUCTO'!$A$3:$A$1000,0))</f>
        <v>0</v>
      </c>
      <c r="G981">
        <f>+'[1]VENTAS(RESUMEN GLOBAL)'!D981-'[1]VENTAS(RESUMEN GLOBAL)'!E981</f>
        <v>0</v>
      </c>
      <c r="H981" s="9">
        <f>+'[1]VENTAS(RESUMEN GLOBAL)'!K981</f>
        <v>0</v>
      </c>
      <c r="I981" s="8">
        <f>+G981*'[1]VENTAS(RESUMEN GLOBAL)'!F981</f>
        <v>0</v>
      </c>
      <c r="J981" s="8">
        <f>'[1]VENTAS(RESUMEN GLOBAL)'!G981*(1-'[1]VENTAS(RESUMEN GLOBAL)'!H981)</f>
        <v>0</v>
      </c>
      <c r="K981" s="8">
        <f t="shared" si="15"/>
        <v>0</v>
      </c>
      <c r="L981" s="8">
        <f>+'[1]VENTAS(RESUMEN GLOBAL)'!J981</f>
        <v>0</v>
      </c>
      <c r="M981" s="8">
        <f>+Tabla1[[#This Row],[utilidad x dia]]*7</f>
        <v>0</v>
      </c>
    </row>
    <row r="982" spans="1:13" x14ac:dyDescent="0.3">
      <c r="A982" s="6">
        <f>+'[1]VENTAS(RESUMEN GLOBAL)'!L982</f>
        <v>0</v>
      </c>
      <c r="B982" s="6">
        <f>+'[1]VENTAS(RESUMEN GLOBAL)'!M982</f>
        <v>0</v>
      </c>
      <c r="C982">
        <f>+'[1]VENTAS(RESUMEN GLOBAL)'!B982</f>
        <v>0</v>
      </c>
      <c r="D982" t="e">
        <f>INDEX('[1]CÓDIGOS DE PRODUCTO'!$D$3:$D$1000,MATCH(C982,'[1]CÓDIGOS DE PRODUCTO'!$A$3:$A$1000,0))</f>
        <v>#N/A</v>
      </c>
      <c r="E982">
        <f>VLOOKUP(C982,'[1]CÓDIGOS DE PRODUCTO'!$A$4:$B$156,2,FALSE)</f>
        <v>0</v>
      </c>
      <c r="F982">
        <f>INDEX('[1]CÓDIGOS DE PRODUCTO'!$C$3:$C$1000,MATCH(C982,'[1]CÓDIGOS DE PRODUCTO'!$A$3:$A$1000,0))</f>
        <v>0</v>
      </c>
      <c r="G982">
        <f>+'[1]VENTAS(RESUMEN GLOBAL)'!D982-'[1]VENTAS(RESUMEN GLOBAL)'!E982</f>
        <v>0</v>
      </c>
      <c r="H982" s="9">
        <f>+'[1]VENTAS(RESUMEN GLOBAL)'!K982</f>
        <v>0</v>
      </c>
      <c r="I982" s="8">
        <f>+G982*'[1]VENTAS(RESUMEN GLOBAL)'!F982</f>
        <v>0</v>
      </c>
      <c r="J982" s="8">
        <f>'[1]VENTAS(RESUMEN GLOBAL)'!G982*(1-'[1]VENTAS(RESUMEN GLOBAL)'!H982)</f>
        <v>0</v>
      </c>
      <c r="K982" s="8">
        <f t="shared" si="15"/>
        <v>0</v>
      </c>
      <c r="L982" s="8">
        <f>+'[1]VENTAS(RESUMEN GLOBAL)'!J982</f>
        <v>0</v>
      </c>
      <c r="M982" s="8">
        <f>+Tabla1[[#This Row],[utilidad x dia]]*7</f>
        <v>0</v>
      </c>
    </row>
    <row r="983" spans="1:13" x14ac:dyDescent="0.3">
      <c r="A983" s="6">
        <f>+'[1]VENTAS(RESUMEN GLOBAL)'!L983</f>
        <v>0</v>
      </c>
      <c r="B983" s="6">
        <f>+'[1]VENTAS(RESUMEN GLOBAL)'!M983</f>
        <v>0</v>
      </c>
      <c r="C983">
        <f>+'[1]VENTAS(RESUMEN GLOBAL)'!B983</f>
        <v>0</v>
      </c>
      <c r="D983" t="e">
        <f>INDEX('[1]CÓDIGOS DE PRODUCTO'!$D$3:$D$1000,MATCH(C983,'[1]CÓDIGOS DE PRODUCTO'!$A$3:$A$1000,0))</f>
        <v>#N/A</v>
      </c>
      <c r="E983">
        <f>VLOOKUP(C983,'[1]CÓDIGOS DE PRODUCTO'!$A$4:$B$156,2,FALSE)</f>
        <v>0</v>
      </c>
      <c r="F983">
        <f>INDEX('[1]CÓDIGOS DE PRODUCTO'!$C$3:$C$1000,MATCH(C983,'[1]CÓDIGOS DE PRODUCTO'!$A$3:$A$1000,0))</f>
        <v>0</v>
      </c>
      <c r="G983">
        <f>+'[1]VENTAS(RESUMEN GLOBAL)'!D983-'[1]VENTAS(RESUMEN GLOBAL)'!E983</f>
        <v>0</v>
      </c>
      <c r="H983" s="9">
        <f>+'[1]VENTAS(RESUMEN GLOBAL)'!K983</f>
        <v>0</v>
      </c>
      <c r="I983" s="8">
        <f>+G983*'[1]VENTAS(RESUMEN GLOBAL)'!F983</f>
        <v>0</v>
      </c>
      <c r="J983" s="8">
        <f>'[1]VENTAS(RESUMEN GLOBAL)'!G983*(1-'[1]VENTAS(RESUMEN GLOBAL)'!H983)</f>
        <v>0</v>
      </c>
      <c r="K983" s="8">
        <f t="shared" si="15"/>
        <v>0</v>
      </c>
      <c r="L983" s="8">
        <f>+'[1]VENTAS(RESUMEN GLOBAL)'!J983</f>
        <v>0</v>
      </c>
      <c r="M983" s="8">
        <f>+Tabla1[[#This Row],[utilidad x dia]]*7</f>
        <v>0</v>
      </c>
    </row>
    <row r="984" spans="1:13" x14ac:dyDescent="0.3">
      <c r="A984" s="6">
        <f>+'[1]VENTAS(RESUMEN GLOBAL)'!L984</f>
        <v>0</v>
      </c>
      <c r="B984" s="6">
        <f>+'[1]VENTAS(RESUMEN GLOBAL)'!M984</f>
        <v>0</v>
      </c>
      <c r="C984">
        <f>+'[1]VENTAS(RESUMEN GLOBAL)'!B984</f>
        <v>0</v>
      </c>
      <c r="D984" t="e">
        <f>INDEX('[1]CÓDIGOS DE PRODUCTO'!$D$3:$D$1000,MATCH(C984,'[1]CÓDIGOS DE PRODUCTO'!$A$3:$A$1000,0))</f>
        <v>#N/A</v>
      </c>
      <c r="E984">
        <f>VLOOKUP(C984,'[1]CÓDIGOS DE PRODUCTO'!$A$4:$B$156,2,FALSE)</f>
        <v>0</v>
      </c>
      <c r="F984">
        <f>INDEX('[1]CÓDIGOS DE PRODUCTO'!$C$3:$C$1000,MATCH(C984,'[1]CÓDIGOS DE PRODUCTO'!$A$3:$A$1000,0))</f>
        <v>0</v>
      </c>
      <c r="G984">
        <f>+'[1]VENTAS(RESUMEN GLOBAL)'!D984-'[1]VENTAS(RESUMEN GLOBAL)'!E984</f>
        <v>0</v>
      </c>
      <c r="H984" s="9">
        <f>+'[1]VENTAS(RESUMEN GLOBAL)'!K984</f>
        <v>0</v>
      </c>
      <c r="I984" s="8">
        <f>+G984*'[1]VENTAS(RESUMEN GLOBAL)'!F984</f>
        <v>0</v>
      </c>
      <c r="J984" s="8">
        <f>'[1]VENTAS(RESUMEN GLOBAL)'!G984*(1-'[1]VENTAS(RESUMEN GLOBAL)'!H984)</f>
        <v>0</v>
      </c>
      <c r="K984" s="8">
        <f t="shared" si="15"/>
        <v>0</v>
      </c>
      <c r="L984" s="8">
        <f>+'[1]VENTAS(RESUMEN GLOBAL)'!J984</f>
        <v>0</v>
      </c>
      <c r="M984" s="8">
        <f>+Tabla1[[#This Row],[utilidad x dia]]*7</f>
        <v>0</v>
      </c>
    </row>
    <row r="985" spans="1:13" x14ac:dyDescent="0.3">
      <c r="A985" s="6">
        <f>+'[1]VENTAS(RESUMEN GLOBAL)'!L985</f>
        <v>0</v>
      </c>
      <c r="B985" s="6">
        <f>+'[1]VENTAS(RESUMEN GLOBAL)'!M985</f>
        <v>0</v>
      </c>
      <c r="C985">
        <f>+'[1]VENTAS(RESUMEN GLOBAL)'!B985</f>
        <v>0</v>
      </c>
      <c r="D985" t="e">
        <f>INDEX('[1]CÓDIGOS DE PRODUCTO'!$D$3:$D$1000,MATCH(C985,'[1]CÓDIGOS DE PRODUCTO'!$A$3:$A$1000,0))</f>
        <v>#N/A</v>
      </c>
      <c r="E985">
        <f>VLOOKUP(C985,'[1]CÓDIGOS DE PRODUCTO'!$A$4:$B$156,2,FALSE)</f>
        <v>0</v>
      </c>
      <c r="F985">
        <f>INDEX('[1]CÓDIGOS DE PRODUCTO'!$C$3:$C$1000,MATCH(C985,'[1]CÓDIGOS DE PRODUCTO'!$A$3:$A$1000,0))</f>
        <v>0</v>
      </c>
      <c r="G985">
        <f>+'[1]VENTAS(RESUMEN GLOBAL)'!D985-'[1]VENTAS(RESUMEN GLOBAL)'!E985</f>
        <v>0</v>
      </c>
      <c r="H985" s="9">
        <f>+'[1]VENTAS(RESUMEN GLOBAL)'!K985</f>
        <v>0</v>
      </c>
      <c r="I985" s="8">
        <f>+G985*'[1]VENTAS(RESUMEN GLOBAL)'!F985</f>
        <v>0</v>
      </c>
      <c r="J985" s="8">
        <f>'[1]VENTAS(RESUMEN GLOBAL)'!G985*(1-'[1]VENTAS(RESUMEN GLOBAL)'!H985)</f>
        <v>0</v>
      </c>
      <c r="K985" s="8">
        <f t="shared" si="15"/>
        <v>0</v>
      </c>
      <c r="L985" s="8">
        <f>+'[1]VENTAS(RESUMEN GLOBAL)'!J985</f>
        <v>0</v>
      </c>
      <c r="M985" s="8">
        <f>+Tabla1[[#This Row],[utilidad x dia]]*7</f>
        <v>0</v>
      </c>
    </row>
    <row r="986" spans="1:13" x14ac:dyDescent="0.3">
      <c r="A986" s="6">
        <f>+'[1]VENTAS(RESUMEN GLOBAL)'!L986</f>
        <v>0</v>
      </c>
      <c r="B986" s="6">
        <f>+'[1]VENTAS(RESUMEN GLOBAL)'!M986</f>
        <v>0</v>
      </c>
      <c r="C986">
        <f>+'[1]VENTAS(RESUMEN GLOBAL)'!B986</f>
        <v>0</v>
      </c>
      <c r="D986" t="e">
        <f>INDEX('[1]CÓDIGOS DE PRODUCTO'!$D$3:$D$1000,MATCH(C986,'[1]CÓDIGOS DE PRODUCTO'!$A$3:$A$1000,0))</f>
        <v>#N/A</v>
      </c>
      <c r="E986">
        <f>VLOOKUP(C986,'[1]CÓDIGOS DE PRODUCTO'!$A$4:$B$156,2,FALSE)</f>
        <v>0</v>
      </c>
      <c r="F986">
        <f>INDEX('[1]CÓDIGOS DE PRODUCTO'!$C$3:$C$1000,MATCH(C986,'[1]CÓDIGOS DE PRODUCTO'!$A$3:$A$1000,0))</f>
        <v>0</v>
      </c>
      <c r="G986">
        <f>+'[1]VENTAS(RESUMEN GLOBAL)'!D986-'[1]VENTAS(RESUMEN GLOBAL)'!E986</f>
        <v>0</v>
      </c>
      <c r="H986" s="9">
        <f>+'[1]VENTAS(RESUMEN GLOBAL)'!K986</f>
        <v>0</v>
      </c>
      <c r="I986" s="8">
        <f>+G986*'[1]VENTAS(RESUMEN GLOBAL)'!F986</f>
        <v>0</v>
      </c>
      <c r="J986" s="8">
        <f>'[1]VENTAS(RESUMEN GLOBAL)'!G986*(1-'[1]VENTAS(RESUMEN GLOBAL)'!H986)</f>
        <v>0</v>
      </c>
      <c r="K986" s="8">
        <f t="shared" si="15"/>
        <v>0</v>
      </c>
      <c r="L986" s="8">
        <f>+'[1]VENTAS(RESUMEN GLOBAL)'!J986</f>
        <v>0</v>
      </c>
      <c r="M986" s="8">
        <f>+Tabla1[[#This Row],[utilidad x dia]]*7</f>
        <v>0</v>
      </c>
    </row>
    <row r="987" spans="1:13" x14ac:dyDescent="0.3">
      <c r="A987" s="6">
        <f>+'[1]VENTAS(RESUMEN GLOBAL)'!L987</f>
        <v>0</v>
      </c>
      <c r="B987" s="6">
        <f>+'[1]VENTAS(RESUMEN GLOBAL)'!M987</f>
        <v>0</v>
      </c>
      <c r="C987">
        <f>+'[1]VENTAS(RESUMEN GLOBAL)'!B987</f>
        <v>0</v>
      </c>
      <c r="D987" t="e">
        <f>INDEX('[1]CÓDIGOS DE PRODUCTO'!$D$3:$D$1000,MATCH(C987,'[1]CÓDIGOS DE PRODUCTO'!$A$3:$A$1000,0))</f>
        <v>#N/A</v>
      </c>
      <c r="E987">
        <f>VLOOKUP(C987,'[1]CÓDIGOS DE PRODUCTO'!$A$4:$B$156,2,FALSE)</f>
        <v>0</v>
      </c>
      <c r="F987">
        <f>INDEX('[1]CÓDIGOS DE PRODUCTO'!$C$3:$C$1000,MATCH(C987,'[1]CÓDIGOS DE PRODUCTO'!$A$3:$A$1000,0))</f>
        <v>0</v>
      </c>
      <c r="G987">
        <f>+'[1]VENTAS(RESUMEN GLOBAL)'!D987-'[1]VENTAS(RESUMEN GLOBAL)'!E987</f>
        <v>0</v>
      </c>
      <c r="H987" s="9">
        <f>+'[1]VENTAS(RESUMEN GLOBAL)'!K987</f>
        <v>0</v>
      </c>
      <c r="I987" s="8">
        <f>+G987*'[1]VENTAS(RESUMEN GLOBAL)'!F987</f>
        <v>0</v>
      </c>
      <c r="J987" s="8">
        <f>'[1]VENTAS(RESUMEN GLOBAL)'!G987*(1-'[1]VENTAS(RESUMEN GLOBAL)'!H987)</f>
        <v>0</v>
      </c>
      <c r="K987" s="8">
        <f t="shared" si="15"/>
        <v>0</v>
      </c>
      <c r="L987" s="8">
        <f>+'[1]VENTAS(RESUMEN GLOBAL)'!J987</f>
        <v>0</v>
      </c>
      <c r="M987" s="8">
        <f>+Tabla1[[#This Row],[utilidad x dia]]*7</f>
        <v>0</v>
      </c>
    </row>
    <row r="988" spans="1:13" x14ac:dyDescent="0.3">
      <c r="A988" s="6">
        <f>+'[1]VENTAS(RESUMEN GLOBAL)'!L988</f>
        <v>0</v>
      </c>
      <c r="B988" s="6">
        <f>+'[1]VENTAS(RESUMEN GLOBAL)'!M988</f>
        <v>0</v>
      </c>
      <c r="C988">
        <f>+'[1]VENTAS(RESUMEN GLOBAL)'!B988</f>
        <v>0</v>
      </c>
      <c r="D988" t="e">
        <f>INDEX('[1]CÓDIGOS DE PRODUCTO'!$D$3:$D$1000,MATCH(C988,'[1]CÓDIGOS DE PRODUCTO'!$A$3:$A$1000,0))</f>
        <v>#N/A</v>
      </c>
      <c r="E988">
        <f>VLOOKUP(C988,'[1]CÓDIGOS DE PRODUCTO'!$A$4:$B$156,2,FALSE)</f>
        <v>0</v>
      </c>
      <c r="F988">
        <f>INDEX('[1]CÓDIGOS DE PRODUCTO'!$C$3:$C$1000,MATCH(C988,'[1]CÓDIGOS DE PRODUCTO'!$A$3:$A$1000,0))</f>
        <v>0</v>
      </c>
      <c r="G988">
        <f>+'[1]VENTAS(RESUMEN GLOBAL)'!D988-'[1]VENTAS(RESUMEN GLOBAL)'!E988</f>
        <v>0</v>
      </c>
      <c r="H988" s="9">
        <f>+'[1]VENTAS(RESUMEN GLOBAL)'!K988</f>
        <v>0</v>
      </c>
      <c r="I988" s="8">
        <f>+G988*'[1]VENTAS(RESUMEN GLOBAL)'!F988</f>
        <v>0</v>
      </c>
      <c r="J988" s="8">
        <f>'[1]VENTAS(RESUMEN GLOBAL)'!G988*(1-'[1]VENTAS(RESUMEN GLOBAL)'!H988)</f>
        <v>0</v>
      </c>
      <c r="K988" s="8">
        <f t="shared" si="15"/>
        <v>0</v>
      </c>
      <c r="L988" s="8">
        <f>+'[1]VENTAS(RESUMEN GLOBAL)'!J988</f>
        <v>0</v>
      </c>
      <c r="M988" s="8">
        <f>+Tabla1[[#This Row],[utilidad x dia]]*7</f>
        <v>0</v>
      </c>
    </row>
    <row r="989" spans="1:13" x14ac:dyDescent="0.3">
      <c r="A989" s="6">
        <f>+'[1]VENTAS(RESUMEN GLOBAL)'!L989</f>
        <v>0</v>
      </c>
      <c r="B989" s="6">
        <f>+'[1]VENTAS(RESUMEN GLOBAL)'!M989</f>
        <v>0</v>
      </c>
      <c r="C989">
        <f>+'[1]VENTAS(RESUMEN GLOBAL)'!B989</f>
        <v>0</v>
      </c>
      <c r="D989" t="e">
        <f>INDEX('[1]CÓDIGOS DE PRODUCTO'!$D$3:$D$1000,MATCH(C989,'[1]CÓDIGOS DE PRODUCTO'!$A$3:$A$1000,0))</f>
        <v>#N/A</v>
      </c>
      <c r="E989">
        <f>VLOOKUP(C989,'[1]CÓDIGOS DE PRODUCTO'!$A$4:$B$156,2,FALSE)</f>
        <v>0</v>
      </c>
      <c r="F989">
        <f>INDEX('[1]CÓDIGOS DE PRODUCTO'!$C$3:$C$1000,MATCH(C989,'[1]CÓDIGOS DE PRODUCTO'!$A$3:$A$1000,0))</f>
        <v>0</v>
      </c>
      <c r="G989">
        <f>+'[1]VENTAS(RESUMEN GLOBAL)'!D989-'[1]VENTAS(RESUMEN GLOBAL)'!E989</f>
        <v>0</v>
      </c>
      <c r="H989" s="9">
        <f>+'[1]VENTAS(RESUMEN GLOBAL)'!K989</f>
        <v>0</v>
      </c>
      <c r="I989" s="8">
        <f>+G989*'[1]VENTAS(RESUMEN GLOBAL)'!F989</f>
        <v>0</v>
      </c>
      <c r="J989" s="8">
        <f>'[1]VENTAS(RESUMEN GLOBAL)'!G989*(1-'[1]VENTAS(RESUMEN GLOBAL)'!H989)</f>
        <v>0</v>
      </c>
      <c r="K989" s="8">
        <f t="shared" si="15"/>
        <v>0</v>
      </c>
      <c r="L989" s="8">
        <f>+'[1]VENTAS(RESUMEN GLOBAL)'!J989</f>
        <v>0</v>
      </c>
      <c r="M989" s="8">
        <f>+Tabla1[[#This Row],[utilidad x dia]]*7</f>
        <v>0</v>
      </c>
    </row>
    <row r="990" spans="1:13" x14ac:dyDescent="0.3">
      <c r="A990" s="6">
        <f>+'[1]VENTAS(RESUMEN GLOBAL)'!L990</f>
        <v>0</v>
      </c>
      <c r="B990" s="6">
        <f>+'[1]VENTAS(RESUMEN GLOBAL)'!M990</f>
        <v>0</v>
      </c>
      <c r="C990">
        <f>+'[1]VENTAS(RESUMEN GLOBAL)'!B990</f>
        <v>0</v>
      </c>
      <c r="D990" t="e">
        <f>INDEX('[1]CÓDIGOS DE PRODUCTO'!$D$3:$D$1000,MATCH(C990,'[1]CÓDIGOS DE PRODUCTO'!$A$3:$A$1000,0))</f>
        <v>#N/A</v>
      </c>
      <c r="E990">
        <f>VLOOKUP(C990,'[1]CÓDIGOS DE PRODUCTO'!$A$4:$B$156,2,FALSE)</f>
        <v>0</v>
      </c>
      <c r="F990">
        <f>INDEX('[1]CÓDIGOS DE PRODUCTO'!$C$3:$C$1000,MATCH(C990,'[1]CÓDIGOS DE PRODUCTO'!$A$3:$A$1000,0))</f>
        <v>0</v>
      </c>
      <c r="G990">
        <f>+'[1]VENTAS(RESUMEN GLOBAL)'!D990-'[1]VENTAS(RESUMEN GLOBAL)'!E990</f>
        <v>0</v>
      </c>
      <c r="H990" s="9">
        <f>+'[1]VENTAS(RESUMEN GLOBAL)'!K990</f>
        <v>0</v>
      </c>
      <c r="I990" s="8">
        <f>+G990*'[1]VENTAS(RESUMEN GLOBAL)'!F990</f>
        <v>0</v>
      </c>
      <c r="J990" s="8">
        <f>'[1]VENTAS(RESUMEN GLOBAL)'!G990*(1-'[1]VENTAS(RESUMEN GLOBAL)'!H990)</f>
        <v>0</v>
      </c>
      <c r="K990" s="8">
        <f t="shared" si="15"/>
        <v>0</v>
      </c>
      <c r="L990" s="8">
        <f>+'[1]VENTAS(RESUMEN GLOBAL)'!J990</f>
        <v>0</v>
      </c>
      <c r="M990" s="8">
        <f>+Tabla1[[#This Row],[utilidad x dia]]*7</f>
        <v>0</v>
      </c>
    </row>
    <row r="991" spans="1:13" x14ac:dyDescent="0.3">
      <c r="A991" s="6">
        <f>+'[1]VENTAS(RESUMEN GLOBAL)'!L991</f>
        <v>0</v>
      </c>
      <c r="B991" s="6">
        <f>+'[1]VENTAS(RESUMEN GLOBAL)'!M991</f>
        <v>0</v>
      </c>
      <c r="C991">
        <f>+'[1]VENTAS(RESUMEN GLOBAL)'!B991</f>
        <v>0</v>
      </c>
      <c r="D991" t="e">
        <f>INDEX('[1]CÓDIGOS DE PRODUCTO'!$D$3:$D$1000,MATCH(C991,'[1]CÓDIGOS DE PRODUCTO'!$A$3:$A$1000,0))</f>
        <v>#N/A</v>
      </c>
      <c r="E991">
        <f>VLOOKUP(C991,'[1]CÓDIGOS DE PRODUCTO'!$A$4:$B$156,2,FALSE)</f>
        <v>0</v>
      </c>
      <c r="F991">
        <f>INDEX('[1]CÓDIGOS DE PRODUCTO'!$C$3:$C$1000,MATCH(C991,'[1]CÓDIGOS DE PRODUCTO'!$A$3:$A$1000,0))</f>
        <v>0</v>
      </c>
      <c r="G991">
        <f>+'[1]VENTAS(RESUMEN GLOBAL)'!D991-'[1]VENTAS(RESUMEN GLOBAL)'!E991</f>
        <v>0</v>
      </c>
      <c r="H991" s="9">
        <f>+'[1]VENTAS(RESUMEN GLOBAL)'!K991</f>
        <v>0</v>
      </c>
      <c r="I991" s="8">
        <f>+G991*'[1]VENTAS(RESUMEN GLOBAL)'!F991</f>
        <v>0</v>
      </c>
      <c r="J991" s="8">
        <f>'[1]VENTAS(RESUMEN GLOBAL)'!G991*(1-'[1]VENTAS(RESUMEN GLOBAL)'!H991)</f>
        <v>0</v>
      </c>
      <c r="K991" s="8">
        <f t="shared" si="15"/>
        <v>0</v>
      </c>
      <c r="L991" s="8">
        <f>+'[1]VENTAS(RESUMEN GLOBAL)'!J991</f>
        <v>0</v>
      </c>
      <c r="M991" s="8">
        <f>+Tabla1[[#This Row],[utilidad x dia]]*7</f>
        <v>0</v>
      </c>
    </row>
    <row r="992" spans="1:13" x14ac:dyDescent="0.3">
      <c r="A992" s="6">
        <f>+'[1]VENTAS(RESUMEN GLOBAL)'!L992</f>
        <v>0</v>
      </c>
      <c r="B992" s="6">
        <f>+'[1]VENTAS(RESUMEN GLOBAL)'!M992</f>
        <v>0</v>
      </c>
      <c r="C992">
        <f>+'[1]VENTAS(RESUMEN GLOBAL)'!B992</f>
        <v>0</v>
      </c>
      <c r="D992" t="e">
        <f>INDEX('[1]CÓDIGOS DE PRODUCTO'!$D$3:$D$1000,MATCH(C992,'[1]CÓDIGOS DE PRODUCTO'!$A$3:$A$1000,0))</f>
        <v>#N/A</v>
      </c>
      <c r="E992">
        <f>VLOOKUP(C992,'[1]CÓDIGOS DE PRODUCTO'!$A$4:$B$156,2,FALSE)</f>
        <v>0</v>
      </c>
      <c r="F992">
        <f>INDEX('[1]CÓDIGOS DE PRODUCTO'!$C$3:$C$1000,MATCH(C992,'[1]CÓDIGOS DE PRODUCTO'!$A$3:$A$1000,0))</f>
        <v>0</v>
      </c>
      <c r="G992">
        <f>+'[1]VENTAS(RESUMEN GLOBAL)'!D992-'[1]VENTAS(RESUMEN GLOBAL)'!E992</f>
        <v>0</v>
      </c>
      <c r="H992" s="9">
        <f>+'[1]VENTAS(RESUMEN GLOBAL)'!K992</f>
        <v>0</v>
      </c>
      <c r="I992" s="8">
        <f>+G992*'[1]VENTAS(RESUMEN GLOBAL)'!F992</f>
        <v>0</v>
      </c>
      <c r="J992" s="8">
        <f>'[1]VENTAS(RESUMEN GLOBAL)'!G992*(1-'[1]VENTAS(RESUMEN GLOBAL)'!H992)</f>
        <v>0</v>
      </c>
      <c r="K992" s="8">
        <f t="shared" si="15"/>
        <v>0</v>
      </c>
      <c r="L992" s="8">
        <f>+'[1]VENTAS(RESUMEN GLOBAL)'!J992</f>
        <v>0</v>
      </c>
      <c r="M992" s="8">
        <f>+Tabla1[[#This Row],[utilidad x dia]]*7</f>
        <v>0</v>
      </c>
    </row>
    <row r="993" spans="1:13" x14ac:dyDescent="0.3">
      <c r="A993" s="6">
        <f>+'[1]VENTAS(RESUMEN GLOBAL)'!L993</f>
        <v>0</v>
      </c>
      <c r="B993" s="6">
        <f>+'[1]VENTAS(RESUMEN GLOBAL)'!M993</f>
        <v>0</v>
      </c>
      <c r="C993">
        <f>+'[1]VENTAS(RESUMEN GLOBAL)'!B993</f>
        <v>0</v>
      </c>
      <c r="D993" t="e">
        <f>INDEX('[1]CÓDIGOS DE PRODUCTO'!$D$3:$D$1000,MATCH(C993,'[1]CÓDIGOS DE PRODUCTO'!$A$3:$A$1000,0))</f>
        <v>#N/A</v>
      </c>
      <c r="E993">
        <f>VLOOKUP(C993,'[1]CÓDIGOS DE PRODUCTO'!$A$4:$B$156,2,FALSE)</f>
        <v>0</v>
      </c>
      <c r="F993">
        <f>INDEX('[1]CÓDIGOS DE PRODUCTO'!$C$3:$C$1000,MATCH(C993,'[1]CÓDIGOS DE PRODUCTO'!$A$3:$A$1000,0))</f>
        <v>0</v>
      </c>
      <c r="G993">
        <f>+'[1]VENTAS(RESUMEN GLOBAL)'!D993-'[1]VENTAS(RESUMEN GLOBAL)'!E993</f>
        <v>0</v>
      </c>
      <c r="H993" s="9">
        <f>+'[1]VENTAS(RESUMEN GLOBAL)'!K993</f>
        <v>0</v>
      </c>
      <c r="I993" s="8">
        <f>+G993*'[1]VENTAS(RESUMEN GLOBAL)'!F993</f>
        <v>0</v>
      </c>
      <c r="J993" s="8">
        <f>'[1]VENTAS(RESUMEN GLOBAL)'!G993*(1-'[1]VENTAS(RESUMEN GLOBAL)'!H993)</f>
        <v>0</v>
      </c>
      <c r="K993" s="8">
        <f t="shared" si="15"/>
        <v>0</v>
      </c>
      <c r="L993" s="8">
        <f>+'[1]VENTAS(RESUMEN GLOBAL)'!J993</f>
        <v>0</v>
      </c>
      <c r="M993" s="8">
        <f>+Tabla1[[#This Row],[utilidad x dia]]*7</f>
        <v>0</v>
      </c>
    </row>
    <row r="994" spans="1:13" x14ac:dyDescent="0.3">
      <c r="A994" s="6">
        <f>+'[1]VENTAS(RESUMEN GLOBAL)'!L994</f>
        <v>0</v>
      </c>
      <c r="B994" s="6">
        <f>+'[1]VENTAS(RESUMEN GLOBAL)'!M994</f>
        <v>0</v>
      </c>
      <c r="C994">
        <f>+'[1]VENTAS(RESUMEN GLOBAL)'!B994</f>
        <v>0</v>
      </c>
      <c r="D994" t="e">
        <f>INDEX('[1]CÓDIGOS DE PRODUCTO'!$D$3:$D$1000,MATCH(C994,'[1]CÓDIGOS DE PRODUCTO'!$A$3:$A$1000,0))</f>
        <v>#N/A</v>
      </c>
      <c r="E994">
        <f>VLOOKUP(C994,'[1]CÓDIGOS DE PRODUCTO'!$A$4:$B$156,2,FALSE)</f>
        <v>0</v>
      </c>
      <c r="F994">
        <f>INDEX('[1]CÓDIGOS DE PRODUCTO'!$C$3:$C$1000,MATCH(C994,'[1]CÓDIGOS DE PRODUCTO'!$A$3:$A$1000,0))</f>
        <v>0</v>
      </c>
      <c r="G994">
        <f>+'[1]VENTAS(RESUMEN GLOBAL)'!D994-'[1]VENTAS(RESUMEN GLOBAL)'!E994</f>
        <v>0</v>
      </c>
      <c r="H994" s="9">
        <f>+'[1]VENTAS(RESUMEN GLOBAL)'!K994</f>
        <v>0</v>
      </c>
      <c r="I994" s="8">
        <f>+G994*'[1]VENTAS(RESUMEN GLOBAL)'!F994</f>
        <v>0</v>
      </c>
      <c r="J994" s="8">
        <f>'[1]VENTAS(RESUMEN GLOBAL)'!G994*(1-'[1]VENTAS(RESUMEN GLOBAL)'!H994)</f>
        <v>0</v>
      </c>
      <c r="K994" s="8">
        <f t="shared" si="15"/>
        <v>0</v>
      </c>
      <c r="L994" s="8">
        <f>+'[1]VENTAS(RESUMEN GLOBAL)'!J994</f>
        <v>0</v>
      </c>
      <c r="M994" s="8">
        <f>+Tabla1[[#This Row],[utilidad x dia]]*7</f>
        <v>0</v>
      </c>
    </row>
    <row r="995" spans="1:13" x14ac:dyDescent="0.3">
      <c r="A995" s="6">
        <f>+'[1]VENTAS(RESUMEN GLOBAL)'!L995</f>
        <v>0</v>
      </c>
      <c r="B995" s="6">
        <f>+'[1]VENTAS(RESUMEN GLOBAL)'!M995</f>
        <v>0</v>
      </c>
      <c r="C995">
        <f>+'[1]VENTAS(RESUMEN GLOBAL)'!B995</f>
        <v>0</v>
      </c>
      <c r="D995" t="e">
        <f>INDEX('[1]CÓDIGOS DE PRODUCTO'!$D$3:$D$1000,MATCH(C995,'[1]CÓDIGOS DE PRODUCTO'!$A$3:$A$1000,0))</f>
        <v>#N/A</v>
      </c>
      <c r="E995">
        <f>VLOOKUP(C995,'[1]CÓDIGOS DE PRODUCTO'!$A$4:$B$156,2,FALSE)</f>
        <v>0</v>
      </c>
      <c r="F995">
        <f>INDEX('[1]CÓDIGOS DE PRODUCTO'!$C$3:$C$1000,MATCH(C995,'[1]CÓDIGOS DE PRODUCTO'!$A$3:$A$1000,0))</f>
        <v>0</v>
      </c>
      <c r="G995">
        <f>+'[1]VENTAS(RESUMEN GLOBAL)'!D995-'[1]VENTAS(RESUMEN GLOBAL)'!E995</f>
        <v>0</v>
      </c>
      <c r="H995" s="9">
        <f>+'[1]VENTAS(RESUMEN GLOBAL)'!K995</f>
        <v>0</v>
      </c>
      <c r="I995" s="8">
        <f>+G995*'[1]VENTAS(RESUMEN GLOBAL)'!F995</f>
        <v>0</v>
      </c>
      <c r="J995" s="8">
        <f>'[1]VENTAS(RESUMEN GLOBAL)'!G995*(1-'[1]VENTAS(RESUMEN GLOBAL)'!H995)</f>
        <v>0</v>
      </c>
      <c r="K995" s="8">
        <f t="shared" si="15"/>
        <v>0</v>
      </c>
      <c r="L995" s="8">
        <f>+'[1]VENTAS(RESUMEN GLOBAL)'!J995</f>
        <v>0</v>
      </c>
      <c r="M995" s="8">
        <f>+Tabla1[[#This Row],[utilidad x dia]]*7</f>
        <v>0</v>
      </c>
    </row>
    <row r="996" spans="1:13" x14ac:dyDescent="0.3">
      <c r="A996" s="6">
        <f>+'[1]VENTAS(RESUMEN GLOBAL)'!L996</f>
        <v>0</v>
      </c>
      <c r="B996" s="6">
        <f>+'[1]VENTAS(RESUMEN GLOBAL)'!M996</f>
        <v>0</v>
      </c>
      <c r="C996">
        <f>+'[1]VENTAS(RESUMEN GLOBAL)'!B996</f>
        <v>0</v>
      </c>
      <c r="D996" t="e">
        <f>INDEX('[1]CÓDIGOS DE PRODUCTO'!$D$3:$D$1000,MATCH(C996,'[1]CÓDIGOS DE PRODUCTO'!$A$3:$A$1000,0))</f>
        <v>#N/A</v>
      </c>
      <c r="E996">
        <f>VLOOKUP(C996,'[1]CÓDIGOS DE PRODUCTO'!$A$4:$B$156,2,FALSE)</f>
        <v>0</v>
      </c>
      <c r="F996">
        <f>INDEX('[1]CÓDIGOS DE PRODUCTO'!$C$3:$C$1000,MATCH(C996,'[1]CÓDIGOS DE PRODUCTO'!$A$3:$A$1000,0))</f>
        <v>0</v>
      </c>
      <c r="G996">
        <f>+'[1]VENTAS(RESUMEN GLOBAL)'!D996-'[1]VENTAS(RESUMEN GLOBAL)'!E996</f>
        <v>0</v>
      </c>
      <c r="H996" s="9">
        <f>+'[1]VENTAS(RESUMEN GLOBAL)'!K996</f>
        <v>0</v>
      </c>
      <c r="I996" s="8">
        <f>+G996*'[1]VENTAS(RESUMEN GLOBAL)'!F996</f>
        <v>0</v>
      </c>
      <c r="J996" s="8">
        <f>'[1]VENTAS(RESUMEN GLOBAL)'!G996*(1-'[1]VENTAS(RESUMEN GLOBAL)'!H996)</f>
        <v>0</v>
      </c>
      <c r="K996" s="8">
        <f t="shared" si="15"/>
        <v>0</v>
      </c>
      <c r="L996" s="8">
        <f>+'[1]VENTAS(RESUMEN GLOBAL)'!J996</f>
        <v>0</v>
      </c>
      <c r="M996" s="8">
        <f>+Tabla1[[#This Row],[utilidad x dia]]*7</f>
        <v>0</v>
      </c>
    </row>
    <row r="997" spans="1:13" x14ac:dyDescent="0.3">
      <c r="A997" s="6">
        <f>+'[1]VENTAS(RESUMEN GLOBAL)'!L997</f>
        <v>0</v>
      </c>
      <c r="B997" s="6">
        <f>+'[1]VENTAS(RESUMEN GLOBAL)'!M997</f>
        <v>0</v>
      </c>
      <c r="C997">
        <f>+'[1]VENTAS(RESUMEN GLOBAL)'!B997</f>
        <v>0</v>
      </c>
      <c r="D997" t="e">
        <f>INDEX('[1]CÓDIGOS DE PRODUCTO'!$D$3:$D$1000,MATCH(C997,'[1]CÓDIGOS DE PRODUCTO'!$A$3:$A$1000,0))</f>
        <v>#N/A</v>
      </c>
      <c r="E997">
        <f>VLOOKUP(C997,'[1]CÓDIGOS DE PRODUCTO'!$A$4:$B$156,2,FALSE)</f>
        <v>0</v>
      </c>
      <c r="F997">
        <f>INDEX('[1]CÓDIGOS DE PRODUCTO'!$C$3:$C$1000,MATCH(C997,'[1]CÓDIGOS DE PRODUCTO'!$A$3:$A$1000,0))</f>
        <v>0</v>
      </c>
      <c r="G997">
        <f>+'[1]VENTAS(RESUMEN GLOBAL)'!D997-'[1]VENTAS(RESUMEN GLOBAL)'!E997</f>
        <v>0</v>
      </c>
      <c r="H997" s="9">
        <f>+'[1]VENTAS(RESUMEN GLOBAL)'!K997</f>
        <v>0</v>
      </c>
      <c r="I997" s="8">
        <f>+G997*'[1]VENTAS(RESUMEN GLOBAL)'!F997</f>
        <v>0</v>
      </c>
      <c r="J997" s="8">
        <f>'[1]VENTAS(RESUMEN GLOBAL)'!G997*(1-'[1]VENTAS(RESUMEN GLOBAL)'!H997)</f>
        <v>0</v>
      </c>
      <c r="K997" s="8">
        <f t="shared" si="15"/>
        <v>0</v>
      </c>
      <c r="L997" s="8">
        <f>+'[1]VENTAS(RESUMEN GLOBAL)'!J997</f>
        <v>0</v>
      </c>
      <c r="M997" s="8">
        <f>+Tabla1[[#This Row],[utilidad x dia]]*7</f>
        <v>0</v>
      </c>
    </row>
    <row r="998" spans="1:13" x14ac:dyDescent="0.3">
      <c r="A998" s="6">
        <f>+'[1]VENTAS(RESUMEN GLOBAL)'!L998</f>
        <v>0</v>
      </c>
      <c r="B998" s="6">
        <f>+'[1]VENTAS(RESUMEN GLOBAL)'!M998</f>
        <v>0</v>
      </c>
      <c r="C998">
        <f>+'[1]VENTAS(RESUMEN GLOBAL)'!B998</f>
        <v>0</v>
      </c>
      <c r="D998" t="e">
        <f>INDEX('[1]CÓDIGOS DE PRODUCTO'!$D$3:$D$1000,MATCH(C998,'[1]CÓDIGOS DE PRODUCTO'!$A$3:$A$1000,0))</f>
        <v>#N/A</v>
      </c>
      <c r="E998">
        <f>VLOOKUP(C998,'[1]CÓDIGOS DE PRODUCTO'!$A$4:$B$156,2,FALSE)</f>
        <v>0</v>
      </c>
      <c r="F998">
        <f>INDEX('[1]CÓDIGOS DE PRODUCTO'!$C$3:$C$1000,MATCH(C998,'[1]CÓDIGOS DE PRODUCTO'!$A$3:$A$1000,0))</f>
        <v>0</v>
      </c>
      <c r="G998">
        <f>+'[1]VENTAS(RESUMEN GLOBAL)'!D998-'[1]VENTAS(RESUMEN GLOBAL)'!E998</f>
        <v>0</v>
      </c>
      <c r="H998" s="9">
        <f>+'[1]VENTAS(RESUMEN GLOBAL)'!K998</f>
        <v>0</v>
      </c>
      <c r="I998" s="8">
        <f>+G998*'[1]VENTAS(RESUMEN GLOBAL)'!F998</f>
        <v>0</v>
      </c>
      <c r="J998" s="8">
        <f>'[1]VENTAS(RESUMEN GLOBAL)'!G998*(1-'[1]VENTAS(RESUMEN GLOBAL)'!H998)</f>
        <v>0</v>
      </c>
      <c r="K998" s="8">
        <f t="shared" si="15"/>
        <v>0</v>
      </c>
      <c r="L998" s="8">
        <f>+'[1]VENTAS(RESUMEN GLOBAL)'!J998</f>
        <v>0</v>
      </c>
      <c r="M998" s="8">
        <f>+Tabla1[[#This Row],[utilidad x dia]]*7</f>
        <v>0</v>
      </c>
    </row>
    <row r="999" spans="1:13" x14ac:dyDescent="0.3">
      <c r="A999" s="6">
        <f>+'[1]VENTAS(RESUMEN GLOBAL)'!L999</f>
        <v>0</v>
      </c>
      <c r="B999" s="6">
        <f>+'[1]VENTAS(RESUMEN GLOBAL)'!M999</f>
        <v>0</v>
      </c>
      <c r="C999">
        <f>+'[1]VENTAS(RESUMEN GLOBAL)'!B999</f>
        <v>0</v>
      </c>
      <c r="D999" t="e">
        <f>INDEX('[1]CÓDIGOS DE PRODUCTO'!$D$3:$D$1000,MATCH(C999,'[1]CÓDIGOS DE PRODUCTO'!$A$3:$A$1000,0))</f>
        <v>#N/A</v>
      </c>
      <c r="E999">
        <f>VLOOKUP(C999,'[1]CÓDIGOS DE PRODUCTO'!$A$4:$B$156,2,FALSE)</f>
        <v>0</v>
      </c>
      <c r="F999">
        <f>INDEX('[1]CÓDIGOS DE PRODUCTO'!$C$3:$C$1000,MATCH(C999,'[1]CÓDIGOS DE PRODUCTO'!$A$3:$A$1000,0))</f>
        <v>0</v>
      </c>
      <c r="G999">
        <f>+'[1]VENTAS(RESUMEN GLOBAL)'!D999-'[1]VENTAS(RESUMEN GLOBAL)'!E999</f>
        <v>0</v>
      </c>
      <c r="H999" s="9">
        <f>+'[1]VENTAS(RESUMEN GLOBAL)'!K999</f>
        <v>0</v>
      </c>
      <c r="I999" s="8">
        <f>+G999*'[1]VENTAS(RESUMEN GLOBAL)'!F999</f>
        <v>0</v>
      </c>
      <c r="J999" s="8">
        <f>'[1]VENTAS(RESUMEN GLOBAL)'!G999*(1-'[1]VENTAS(RESUMEN GLOBAL)'!H999)</f>
        <v>0</v>
      </c>
      <c r="K999" s="8">
        <f t="shared" si="15"/>
        <v>0</v>
      </c>
      <c r="L999" s="8">
        <f>+'[1]VENTAS(RESUMEN GLOBAL)'!J999</f>
        <v>0</v>
      </c>
      <c r="M999" s="8">
        <f>+Tabla1[[#This Row],[utilidad x dia]]*7</f>
        <v>0</v>
      </c>
    </row>
    <row r="1000" spans="1:13" x14ac:dyDescent="0.3">
      <c r="A1000" s="6">
        <f>+'[1]VENTAS(RESUMEN GLOBAL)'!L1000</f>
        <v>0</v>
      </c>
      <c r="B1000" s="6">
        <f>+'[1]VENTAS(RESUMEN GLOBAL)'!M1000</f>
        <v>0</v>
      </c>
      <c r="C1000">
        <f>+'[1]VENTAS(RESUMEN GLOBAL)'!B1000</f>
        <v>0</v>
      </c>
      <c r="D1000" t="e">
        <f>INDEX('[1]CÓDIGOS DE PRODUCTO'!$D$3:$D$1000,MATCH(C1000,'[1]CÓDIGOS DE PRODUCTO'!$A$3:$A$1000,0))</f>
        <v>#N/A</v>
      </c>
      <c r="E1000">
        <f>VLOOKUP(C1000,'[1]CÓDIGOS DE PRODUCTO'!$A$4:$B$156,2,FALSE)</f>
        <v>0</v>
      </c>
      <c r="F1000">
        <f>INDEX('[1]CÓDIGOS DE PRODUCTO'!$C$3:$C$1000,MATCH(C1000,'[1]CÓDIGOS DE PRODUCTO'!$A$3:$A$1000,0))</f>
        <v>0</v>
      </c>
      <c r="G1000">
        <f>+'[1]VENTAS(RESUMEN GLOBAL)'!D1000-'[1]VENTAS(RESUMEN GLOBAL)'!E1000</f>
        <v>0</v>
      </c>
      <c r="H1000" s="9">
        <f>+'[1]VENTAS(RESUMEN GLOBAL)'!K1000</f>
        <v>0</v>
      </c>
      <c r="I1000" s="8">
        <f>+G1000*'[1]VENTAS(RESUMEN GLOBAL)'!F1000</f>
        <v>0</v>
      </c>
      <c r="J1000" s="8">
        <f>'[1]VENTAS(RESUMEN GLOBAL)'!G1000*(1-'[1]VENTAS(RESUMEN GLOBAL)'!H1000)</f>
        <v>0</v>
      </c>
      <c r="K1000" s="8">
        <f t="shared" si="15"/>
        <v>0</v>
      </c>
      <c r="L1000" s="8">
        <f>+'[1]VENTAS(RESUMEN GLOBAL)'!J1000</f>
        <v>0</v>
      </c>
      <c r="M1000" s="8">
        <f>+Tabla1[[#This Row],[utilidad x dia]]*7</f>
        <v>0</v>
      </c>
    </row>
    <row r="1001" spans="1:13" x14ac:dyDescent="0.3">
      <c r="A1001" s="6">
        <f>+'[1]VENTAS(RESUMEN GLOBAL)'!L1001</f>
        <v>0</v>
      </c>
      <c r="B1001" s="6">
        <f>+'[1]VENTAS(RESUMEN GLOBAL)'!M1001</f>
        <v>0</v>
      </c>
      <c r="C1001">
        <f>+'[1]VENTAS(RESUMEN GLOBAL)'!B1001</f>
        <v>0</v>
      </c>
      <c r="D1001" t="e">
        <f>INDEX('[1]CÓDIGOS DE PRODUCTO'!$D$3:$D$1000,MATCH(C1001,'[1]CÓDIGOS DE PRODUCTO'!$A$3:$A$1000,0))</f>
        <v>#N/A</v>
      </c>
      <c r="E1001">
        <f>VLOOKUP(C1001,'[1]CÓDIGOS DE PRODUCTO'!$A$4:$B$156,2,FALSE)</f>
        <v>0</v>
      </c>
      <c r="F1001">
        <f>INDEX('[1]CÓDIGOS DE PRODUCTO'!$C$3:$C$1000,MATCH(C1001,'[1]CÓDIGOS DE PRODUCTO'!$A$3:$A$1000,0))</f>
        <v>0</v>
      </c>
      <c r="G1001">
        <f>+'[1]VENTAS(RESUMEN GLOBAL)'!D1001-'[1]VENTAS(RESUMEN GLOBAL)'!E1001</f>
        <v>0</v>
      </c>
      <c r="H1001" s="9">
        <f>+'[1]VENTAS(RESUMEN GLOBAL)'!K1001</f>
        <v>0</v>
      </c>
      <c r="I1001" s="8">
        <f>+G1001*'[1]VENTAS(RESUMEN GLOBAL)'!F1001</f>
        <v>0</v>
      </c>
      <c r="J1001" s="8">
        <f>'[1]VENTAS(RESUMEN GLOBAL)'!G1001*(1-'[1]VENTAS(RESUMEN GLOBAL)'!H1001)</f>
        <v>0</v>
      </c>
      <c r="K1001" s="8">
        <f t="shared" si="15"/>
        <v>0</v>
      </c>
      <c r="L1001" s="8">
        <f>+'[1]VENTAS(RESUMEN GLOBAL)'!J1001</f>
        <v>0</v>
      </c>
      <c r="M1001" s="8">
        <f>+Tabla1[[#This Row],[utilidad x dia]]*7</f>
        <v>0</v>
      </c>
    </row>
    <row r="1002" spans="1:13" x14ac:dyDescent="0.3">
      <c r="A1002" s="6">
        <f>+'[1]VENTAS(RESUMEN GLOBAL)'!L1002</f>
        <v>0</v>
      </c>
      <c r="B1002" s="6">
        <f>+'[1]VENTAS(RESUMEN GLOBAL)'!M1002</f>
        <v>0</v>
      </c>
      <c r="C1002">
        <f>+'[1]VENTAS(RESUMEN GLOBAL)'!B1002</f>
        <v>0</v>
      </c>
      <c r="D1002" t="e">
        <f>INDEX('[1]CÓDIGOS DE PRODUCTO'!$D$3:$D$1000,MATCH(C1002,'[1]CÓDIGOS DE PRODUCTO'!$A$3:$A$1000,0))</f>
        <v>#N/A</v>
      </c>
      <c r="E1002">
        <f>VLOOKUP(C1002,'[1]CÓDIGOS DE PRODUCTO'!$A$4:$B$156,2,FALSE)</f>
        <v>0</v>
      </c>
      <c r="F1002">
        <f>INDEX('[1]CÓDIGOS DE PRODUCTO'!$C$3:$C$1000,MATCH(C1002,'[1]CÓDIGOS DE PRODUCTO'!$A$3:$A$1000,0))</f>
        <v>0</v>
      </c>
      <c r="G1002">
        <f>+'[1]VENTAS(RESUMEN GLOBAL)'!D1002-'[1]VENTAS(RESUMEN GLOBAL)'!E1002</f>
        <v>0</v>
      </c>
      <c r="H1002" s="9">
        <f>+'[1]VENTAS(RESUMEN GLOBAL)'!K1002</f>
        <v>0</v>
      </c>
      <c r="I1002" s="8">
        <f>+G1002*'[1]VENTAS(RESUMEN GLOBAL)'!F1002</f>
        <v>0</v>
      </c>
      <c r="J1002" s="8">
        <f>'[1]VENTAS(RESUMEN GLOBAL)'!G1002*(1-'[1]VENTAS(RESUMEN GLOBAL)'!H1002)</f>
        <v>0</v>
      </c>
      <c r="K1002" s="8">
        <f t="shared" si="15"/>
        <v>0</v>
      </c>
      <c r="L1002" s="8">
        <f>+'[1]VENTAS(RESUMEN GLOBAL)'!J1002</f>
        <v>0</v>
      </c>
      <c r="M1002" s="8">
        <f>+Tabla1[[#This Row],[utilidad x dia]]*7</f>
        <v>0</v>
      </c>
    </row>
    <row r="1003" spans="1:13" x14ac:dyDescent="0.3">
      <c r="A1003" s="6">
        <f>+'[1]VENTAS(RESUMEN GLOBAL)'!L1003</f>
        <v>0</v>
      </c>
      <c r="B1003" s="6">
        <f>+'[1]VENTAS(RESUMEN GLOBAL)'!M1003</f>
        <v>0</v>
      </c>
      <c r="C1003">
        <f>+'[1]VENTAS(RESUMEN GLOBAL)'!B1003</f>
        <v>0</v>
      </c>
      <c r="D1003" t="e">
        <f>INDEX('[1]CÓDIGOS DE PRODUCTO'!$D$3:$D$1000,MATCH(C1003,'[1]CÓDIGOS DE PRODUCTO'!$A$3:$A$1000,0))</f>
        <v>#N/A</v>
      </c>
      <c r="E1003">
        <f>VLOOKUP(C1003,'[1]CÓDIGOS DE PRODUCTO'!$A$4:$B$156,2,FALSE)</f>
        <v>0</v>
      </c>
      <c r="F1003">
        <f>INDEX('[1]CÓDIGOS DE PRODUCTO'!$C$3:$C$1000,MATCH(C1003,'[1]CÓDIGOS DE PRODUCTO'!$A$3:$A$1000,0))</f>
        <v>0</v>
      </c>
      <c r="G1003">
        <f>+'[1]VENTAS(RESUMEN GLOBAL)'!D1003-'[1]VENTAS(RESUMEN GLOBAL)'!E1003</f>
        <v>0</v>
      </c>
      <c r="H1003" s="9">
        <f>+'[1]VENTAS(RESUMEN GLOBAL)'!K1003</f>
        <v>0</v>
      </c>
      <c r="I1003" s="8">
        <f>+G1003*'[1]VENTAS(RESUMEN GLOBAL)'!F1003</f>
        <v>0</v>
      </c>
      <c r="J1003" s="8">
        <f>'[1]VENTAS(RESUMEN GLOBAL)'!G1003*(1-'[1]VENTAS(RESUMEN GLOBAL)'!H1003)</f>
        <v>0</v>
      </c>
      <c r="K1003" s="8">
        <f t="shared" si="15"/>
        <v>0</v>
      </c>
      <c r="L1003" s="8">
        <f>+'[1]VENTAS(RESUMEN GLOBAL)'!J1003</f>
        <v>0</v>
      </c>
      <c r="M1003" s="8">
        <f>+Tabla1[[#This Row],[utilidad x dia]]*7</f>
        <v>0</v>
      </c>
    </row>
    <row r="1004" spans="1:13" x14ac:dyDescent="0.3">
      <c r="A1004" s="6">
        <f>+'[1]VENTAS(RESUMEN GLOBAL)'!L1004</f>
        <v>0</v>
      </c>
      <c r="B1004" s="6">
        <f>+'[1]VENTAS(RESUMEN GLOBAL)'!M1004</f>
        <v>0</v>
      </c>
      <c r="C1004">
        <f>+'[1]VENTAS(RESUMEN GLOBAL)'!B1004</f>
        <v>0</v>
      </c>
      <c r="D1004" t="e">
        <f>INDEX('[1]CÓDIGOS DE PRODUCTO'!$D$3:$D$1000,MATCH(C1004,'[1]CÓDIGOS DE PRODUCTO'!$A$3:$A$1000,0))</f>
        <v>#N/A</v>
      </c>
      <c r="E1004">
        <f>VLOOKUP(C1004,'[1]CÓDIGOS DE PRODUCTO'!$A$4:$B$156,2,FALSE)</f>
        <v>0</v>
      </c>
      <c r="F1004">
        <f>INDEX('[1]CÓDIGOS DE PRODUCTO'!$C$3:$C$1000,MATCH(C1004,'[1]CÓDIGOS DE PRODUCTO'!$A$3:$A$1000,0))</f>
        <v>0</v>
      </c>
      <c r="G1004">
        <f>+'[1]VENTAS(RESUMEN GLOBAL)'!D1004-'[1]VENTAS(RESUMEN GLOBAL)'!E1004</f>
        <v>0</v>
      </c>
      <c r="H1004" s="9">
        <f>+'[1]VENTAS(RESUMEN GLOBAL)'!K1004</f>
        <v>0</v>
      </c>
      <c r="I1004" s="8">
        <f>+G1004*'[1]VENTAS(RESUMEN GLOBAL)'!F1004</f>
        <v>0</v>
      </c>
      <c r="J1004" s="8">
        <f>'[1]VENTAS(RESUMEN GLOBAL)'!G1004*(1-'[1]VENTAS(RESUMEN GLOBAL)'!H1004)</f>
        <v>0</v>
      </c>
      <c r="K1004" s="8">
        <f t="shared" si="15"/>
        <v>0</v>
      </c>
      <c r="L1004" s="8">
        <f>+'[1]VENTAS(RESUMEN GLOBAL)'!J1004</f>
        <v>0</v>
      </c>
      <c r="M1004" s="8">
        <f>+Tabla1[[#This Row],[utilidad x dia]]*7</f>
        <v>0</v>
      </c>
    </row>
    <row r="1005" spans="1:13" x14ac:dyDescent="0.3">
      <c r="A1005" s="6">
        <f>+'[1]VENTAS(RESUMEN GLOBAL)'!L1005</f>
        <v>0</v>
      </c>
      <c r="B1005" s="6">
        <f>+'[1]VENTAS(RESUMEN GLOBAL)'!M1005</f>
        <v>0</v>
      </c>
      <c r="C1005">
        <f>+'[1]VENTAS(RESUMEN GLOBAL)'!B1005</f>
        <v>0</v>
      </c>
      <c r="D1005" t="e">
        <f>INDEX('[1]CÓDIGOS DE PRODUCTO'!$D$3:$D$1000,MATCH(C1005,'[1]CÓDIGOS DE PRODUCTO'!$A$3:$A$1000,0))</f>
        <v>#N/A</v>
      </c>
      <c r="E1005">
        <f>VLOOKUP(C1005,'[1]CÓDIGOS DE PRODUCTO'!$A$4:$B$156,2,FALSE)</f>
        <v>0</v>
      </c>
      <c r="F1005">
        <f>INDEX('[1]CÓDIGOS DE PRODUCTO'!$C$3:$C$1000,MATCH(C1005,'[1]CÓDIGOS DE PRODUCTO'!$A$3:$A$1000,0))</f>
        <v>0</v>
      </c>
      <c r="G1005">
        <f>+'[1]VENTAS(RESUMEN GLOBAL)'!D1005-'[1]VENTAS(RESUMEN GLOBAL)'!E1005</f>
        <v>0</v>
      </c>
      <c r="H1005" s="9">
        <f>+'[1]VENTAS(RESUMEN GLOBAL)'!K1005</f>
        <v>0</v>
      </c>
      <c r="I1005" s="8">
        <f>+G1005*'[1]VENTAS(RESUMEN GLOBAL)'!F1005</f>
        <v>0</v>
      </c>
      <c r="J1005" s="8">
        <f>'[1]VENTAS(RESUMEN GLOBAL)'!G1005*(1-'[1]VENTAS(RESUMEN GLOBAL)'!H1005)</f>
        <v>0</v>
      </c>
      <c r="K1005" s="8">
        <f t="shared" si="15"/>
        <v>0</v>
      </c>
      <c r="L1005" s="8">
        <f>+'[1]VENTAS(RESUMEN GLOBAL)'!J1005</f>
        <v>0</v>
      </c>
      <c r="M1005" s="8">
        <f>+Tabla1[[#This Row],[utilidad x dia]]*7</f>
        <v>0</v>
      </c>
    </row>
    <row r="1006" spans="1:13" x14ac:dyDescent="0.3">
      <c r="A1006" s="6">
        <f>+'[1]VENTAS(RESUMEN GLOBAL)'!L1006</f>
        <v>0</v>
      </c>
      <c r="B1006" s="6">
        <f>+'[1]VENTAS(RESUMEN GLOBAL)'!M1006</f>
        <v>0</v>
      </c>
      <c r="C1006">
        <f>+'[1]VENTAS(RESUMEN GLOBAL)'!B1006</f>
        <v>0</v>
      </c>
      <c r="D1006" t="e">
        <f>INDEX('[1]CÓDIGOS DE PRODUCTO'!$D$3:$D$1000,MATCH(C1006,'[1]CÓDIGOS DE PRODUCTO'!$A$3:$A$1000,0))</f>
        <v>#N/A</v>
      </c>
      <c r="E1006">
        <f>VLOOKUP(C1006,'[1]CÓDIGOS DE PRODUCTO'!$A$4:$B$156,2,FALSE)</f>
        <v>0</v>
      </c>
      <c r="F1006">
        <f>INDEX('[1]CÓDIGOS DE PRODUCTO'!$C$3:$C$1000,MATCH(C1006,'[1]CÓDIGOS DE PRODUCTO'!$A$3:$A$1000,0))</f>
        <v>0</v>
      </c>
      <c r="G1006">
        <f>+'[1]VENTAS(RESUMEN GLOBAL)'!D1006-'[1]VENTAS(RESUMEN GLOBAL)'!E1006</f>
        <v>0</v>
      </c>
      <c r="H1006" s="9">
        <f>+'[1]VENTAS(RESUMEN GLOBAL)'!K1006</f>
        <v>0</v>
      </c>
      <c r="I1006" s="8">
        <f>+G1006*'[1]VENTAS(RESUMEN GLOBAL)'!F1006</f>
        <v>0</v>
      </c>
      <c r="J1006" s="8">
        <f>'[1]VENTAS(RESUMEN GLOBAL)'!G1006*(1-'[1]VENTAS(RESUMEN GLOBAL)'!H1006)</f>
        <v>0</v>
      </c>
      <c r="K1006" s="8">
        <f t="shared" si="15"/>
        <v>0</v>
      </c>
      <c r="L1006" s="8">
        <f>+'[1]VENTAS(RESUMEN GLOBAL)'!J1006</f>
        <v>0</v>
      </c>
      <c r="M1006" s="8">
        <f>+Tabla1[[#This Row],[utilidad x dia]]*7</f>
        <v>0</v>
      </c>
    </row>
    <row r="1007" spans="1:13" x14ac:dyDescent="0.3">
      <c r="A1007" s="6">
        <f>+'[1]VENTAS(RESUMEN GLOBAL)'!L1007</f>
        <v>0</v>
      </c>
      <c r="B1007" s="6">
        <f>+'[1]VENTAS(RESUMEN GLOBAL)'!M1007</f>
        <v>0</v>
      </c>
      <c r="C1007">
        <f>+'[1]VENTAS(RESUMEN GLOBAL)'!B1007</f>
        <v>0</v>
      </c>
      <c r="D1007" t="e">
        <f>INDEX('[1]CÓDIGOS DE PRODUCTO'!$D$3:$D$1000,MATCH(C1007,'[1]CÓDIGOS DE PRODUCTO'!$A$3:$A$1000,0))</f>
        <v>#N/A</v>
      </c>
      <c r="E1007">
        <f>VLOOKUP(C1007,'[1]CÓDIGOS DE PRODUCTO'!$A$4:$B$156,2,FALSE)</f>
        <v>0</v>
      </c>
      <c r="F1007">
        <f>INDEX('[1]CÓDIGOS DE PRODUCTO'!$C$3:$C$1000,MATCH(C1007,'[1]CÓDIGOS DE PRODUCTO'!$A$3:$A$1000,0))</f>
        <v>0</v>
      </c>
      <c r="G1007">
        <f>+'[1]VENTAS(RESUMEN GLOBAL)'!D1007-'[1]VENTAS(RESUMEN GLOBAL)'!E1007</f>
        <v>0</v>
      </c>
      <c r="H1007" s="9">
        <f>+'[1]VENTAS(RESUMEN GLOBAL)'!K1007</f>
        <v>0</v>
      </c>
      <c r="I1007" s="8">
        <f>+G1007*'[1]VENTAS(RESUMEN GLOBAL)'!F1007</f>
        <v>0</v>
      </c>
      <c r="J1007" s="8">
        <f>'[1]VENTAS(RESUMEN GLOBAL)'!G1007*(1-'[1]VENTAS(RESUMEN GLOBAL)'!H1007)</f>
        <v>0</v>
      </c>
      <c r="K1007" s="8">
        <f t="shared" si="15"/>
        <v>0</v>
      </c>
      <c r="L1007" s="8">
        <f>+'[1]VENTAS(RESUMEN GLOBAL)'!J1007</f>
        <v>0</v>
      </c>
      <c r="M1007" s="8">
        <f>+Tabla1[[#This Row],[utilidad x dia]]*7</f>
        <v>0</v>
      </c>
    </row>
    <row r="1008" spans="1:13" x14ac:dyDescent="0.3">
      <c r="A1008" s="6">
        <f>+'[1]VENTAS(RESUMEN GLOBAL)'!L1008</f>
        <v>0</v>
      </c>
      <c r="B1008" s="6">
        <f>+'[1]VENTAS(RESUMEN GLOBAL)'!M1008</f>
        <v>0</v>
      </c>
      <c r="C1008">
        <f>+'[1]VENTAS(RESUMEN GLOBAL)'!B1008</f>
        <v>0</v>
      </c>
      <c r="D1008" t="e">
        <f>INDEX('[1]CÓDIGOS DE PRODUCTO'!$D$3:$D$1000,MATCH(C1008,'[1]CÓDIGOS DE PRODUCTO'!$A$3:$A$1000,0))</f>
        <v>#N/A</v>
      </c>
      <c r="E1008">
        <f>VLOOKUP(C1008,'[1]CÓDIGOS DE PRODUCTO'!$A$4:$B$156,2,FALSE)</f>
        <v>0</v>
      </c>
      <c r="F1008">
        <f>INDEX('[1]CÓDIGOS DE PRODUCTO'!$C$3:$C$1000,MATCH(C1008,'[1]CÓDIGOS DE PRODUCTO'!$A$3:$A$1000,0))</f>
        <v>0</v>
      </c>
      <c r="G1008">
        <f>+'[1]VENTAS(RESUMEN GLOBAL)'!D1008-'[1]VENTAS(RESUMEN GLOBAL)'!E1008</f>
        <v>0</v>
      </c>
      <c r="H1008" s="9">
        <f>+'[1]VENTAS(RESUMEN GLOBAL)'!K1008</f>
        <v>0</v>
      </c>
      <c r="I1008" s="8">
        <f>+G1008*'[1]VENTAS(RESUMEN GLOBAL)'!F1008</f>
        <v>0</v>
      </c>
      <c r="J1008" s="8">
        <f>'[1]VENTAS(RESUMEN GLOBAL)'!G1008*(1-'[1]VENTAS(RESUMEN GLOBAL)'!H1008)</f>
        <v>0</v>
      </c>
      <c r="K1008" s="8">
        <f t="shared" si="15"/>
        <v>0</v>
      </c>
      <c r="L1008" s="8">
        <f>+'[1]VENTAS(RESUMEN GLOBAL)'!J1008</f>
        <v>0</v>
      </c>
      <c r="M1008" s="8">
        <f>+Tabla1[[#This Row],[utilidad x dia]]*7</f>
        <v>0</v>
      </c>
    </row>
    <row r="1009" spans="1:13" x14ac:dyDescent="0.3">
      <c r="A1009" s="6">
        <f>+'[1]VENTAS(RESUMEN GLOBAL)'!L1009</f>
        <v>0</v>
      </c>
      <c r="B1009" s="6">
        <f>+'[1]VENTAS(RESUMEN GLOBAL)'!M1009</f>
        <v>0</v>
      </c>
      <c r="C1009">
        <f>+'[1]VENTAS(RESUMEN GLOBAL)'!B1009</f>
        <v>0</v>
      </c>
      <c r="D1009" t="e">
        <f>INDEX('[1]CÓDIGOS DE PRODUCTO'!$D$3:$D$1000,MATCH(C1009,'[1]CÓDIGOS DE PRODUCTO'!$A$3:$A$1000,0))</f>
        <v>#N/A</v>
      </c>
      <c r="E1009">
        <f>VLOOKUP(C1009,'[1]CÓDIGOS DE PRODUCTO'!$A$4:$B$156,2,FALSE)</f>
        <v>0</v>
      </c>
      <c r="F1009">
        <f>INDEX('[1]CÓDIGOS DE PRODUCTO'!$C$3:$C$1000,MATCH(C1009,'[1]CÓDIGOS DE PRODUCTO'!$A$3:$A$1000,0))</f>
        <v>0</v>
      </c>
      <c r="G1009">
        <f>+'[1]VENTAS(RESUMEN GLOBAL)'!D1009-'[1]VENTAS(RESUMEN GLOBAL)'!E1009</f>
        <v>0</v>
      </c>
      <c r="H1009" s="9">
        <f>+'[1]VENTAS(RESUMEN GLOBAL)'!K1009</f>
        <v>0</v>
      </c>
      <c r="I1009" s="8">
        <f>+G1009*'[1]VENTAS(RESUMEN GLOBAL)'!F1009</f>
        <v>0</v>
      </c>
      <c r="J1009" s="8">
        <f>'[1]VENTAS(RESUMEN GLOBAL)'!G1009*(1-'[1]VENTAS(RESUMEN GLOBAL)'!H1009)</f>
        <v>0</v>
      </c>
      <c r="K1009" s="8">
        <f t="shared" si="15"/>
        <v>0</v>
      </c>
      <c r="L1009" s="8">
        <f>+'[1]VENTAS(RESUMEN GLOBAL)'!J1009</f>
        <v>0</v>
      </c>
      <c r="M1009" s="8">
        <f>+Tabla1[[#This Row],[utilidad x dia]]*7</f>
        <v>0</v>
      </c>
    </row>
    <row r="1010" spans="1:13" x14ac:dyDescent="0.3">
      <c r="A1010" s="6">
        <f>+'[1]VENTAS(RESUMEN GLOBAL)'!L1010</f>
        <v>0</v>
      </c>
      <c r="B1010" s="6">
        <f>+'[1]VENTAS(RESUMEN GLOBAL)'!M1010</f>
        <v>0</v>
      </c>
      <c r="C1010">
        <f>+'[1]VENTAS(RESUMEN GLOBAL)'!B1010</f>
        <v>0</v>
      </c>
      <c r="D1010" t="e">
        <f>INDEX('[1]CÓDIGOS DE PRODUCTO'!$D$3:$D$1000,MATCH(C1010,'[1]CÓDIGOS DE PRODUCTO'!$A$3:$A$1000,0))</f>
        <v>#N/A</v>
      </c>
      <c r="E1010">
        <f>VLOOKUP(C1010,'[1]CÓDIGOS DE PRODUCTO'!$A$4:$B$156,2,FALSE)</f>
        <v>0</v>
      </c>
      <c r="F1010">
        <f>INDEX('[1]CÓDIGOS DE PRODUCTO'!$C$3:$C$1000,MATCH(C1010,'[1]CÓDIGOS DE PRODUCTO'!$A$3:$A$1000,0))</f>
        <v>0</v>
      </c>
      <c r="G1010">
        <f>+'[1]VENTAS(RESUMEN GLOBAL)'!D1010-'[1]VENTAS(RESUMEN GLOBAL)'!E1010</f>
        <v>0</v>
      </c>
      <c r="H1010" s="9">
        <f>+'[1]VENTAS(RESUMEN GLOBAL)'!K1010</f>
        <v>0</v>
      </c>
      <c r="I1010" s="8">
        <f>+G1010*'[1]VENTAS(RESUMEN GLOBAL)'!F1010</f>
        <v>0</v>
      </c>
      <c r="J1010" s="8">
        <f>'[1]VENTAS(RESUMEN GLOBAL)'!G1010*(1-'[1]VENTAS(RESUMEN GLOBAL)'!H1010)</f>
        <v>0</v>
      </c>
      <c r="K1010" s="8">
        <f t="shared" si="15"/>
        <v>0</v>
      </c>
      <c r="L1010" s="8">
        <f>+'[1]VENTAS(RESUMEN GLOBAL)'!J1010</f>
        <v>0</v>
      </c>
      <c r="M1010" s="8">
        <f>+Tabla1[[#This Row],[utilidad x dia]]*7</f>
        <v>0</v>
      </c>
    </row>
    <row r="1011" spans="1:13" x14ac:dyDescent="0.3">
      <c r="A1011" s="6">
        <f>+'[1]VENTAS(RESUMEN GLOBAL)'!L1011</f>
        <v>0</v>
      </c>
      <c r="B1011" s="6">
        <f>+'[1]VENTAS(RESUMEN GLOBAL)'!M1011</f>
        <v>0</v>
      </c>
      <c r="C1011">
        <f>+'[1]VENTAS(RESUMEN GLOBAL)'!B1011</f>
        <v>0</v>
      </c>
      <c r="D1011" t="e">
        <f>INDEX('[1]CÓDIGOS DE PRODUCTO'!$D$3:$D$1000,MATCH(C1011,'[1]CÓDIGOS DE PRODUCTO'!$A$3:$A$1000,0))</f>
        <v>#N/A</v>
      </c>
      <c r="E1011">
        <f>VLOOKUP(C1011,'[1]CÓDIGOS DE PRODUCTO'!$A$4:$B$156,2,FALSE)</f>
        <v>0</v>
      </c>
      <c r="F1011">
        <f>INDEX('[1]CÓDIGOS DE PRODUCTO'!$C$3:$C$1000,MATCH(C1011,'[1]CÓDIGOS DE PRODUCTO'!$A$3:$A$1000,0))</f>
        <v>0</v>
      </c>
      <c r="G1011">
        <f>+'[1]VENTAS(RESUMEN GLOBAL)'!D1011-'[1]VENTAS(RESUMEN GLOBAL)'!E1011</f>
        <v>0</v>
      </c>
      <c r="H1011" s="9">
        <f>+'[1]VENTAS(RESUMEN GLOBAL)'!K1011</f>
        <v>0</v>
      </c>
      <c r="I1011" s="8">
        <f>+G1011*'[1]VENTAS(RESUMEN GLOBAL)'!F1011</f>
        <v>0</v>
      </c>
      <c r="J1011" s="8">
        <f>'[1]VENTAS(RESUMEN GLOBAL)'!G1011*(1-'[1]VENTAS(RESUMEN GLOBAL)'!H1011)</f>
        <v>0</v>
      </c>
      <c r="K1011" s="8">
        <f t="shared" si="15"/>
        <v>0</v>
      </c>
      <c r="L1011" s="8">
        <f>+'[1]VENTAS(RESUMEN GLOBAL)'!J1011</f>
        <v>0</v>
      </c>
      <c r="M1011" s="8">
        <f>+Tabla1[[#This Row],[utilidad x dia]]*7</f>
        <v>0</v>
      </c>
    </row>
    <row r="1012" spans="1:13" x14ac:dyDescent="0.3">
      <c r="A1012" s="6">
        <f>+'[1]VENTAS(RESUMEN GLOBAL)'!L1012</f>
        <v>0</v>
      </c>
      <c r="B1012" s="6">
        <f>+'[1]VENTAS(RESUMEN GLOBAL)'!M1012</f>
        <v>0</v>
      </c>
      <c r="C1012">
        <f>+'[1]VENTAS(RESUMEN GLOBAL)'!B1012</f>
        <v>0</v>
      </c>
      <c r="D1012" t="e">
        <f>INDEX('[1]CÓDIGOS DE PRODUCTO'!$D$3:$D$1000,MATCH(C1012,'[1]CÓDIGOS DE PRODUCTO'!$A$3:$A$1000,0))</f>
        <v>#N/A</v>
      </c>
      <c r="E1012">
        <f>VLOOKUP(C1012,'[1]CÓDIGOS DE PRODUCTO'!$A$4:$B$156,2,FALSE)</f>
        <v>0</v>
      </c>
      <c r="F1012">
        <f>INDEX('[1]CÓDIGOS DE PRODUCTO'!$C$3:$C$1000,MATCH(C1012,'[1]CÓDIGOS DE PRODUCTO'!$A$3:$A$1000,0))</f>
        <v>0</v>
      </c>
      <c r="G1012">
        <f>+'[1]VENTAS(RESUMEN GLOBAL)'!D1012-'[1]VENTAS(RESUMEN GLOBAL)'!E1012</f>
        <v>0</v>
      </c>
      <c r="H1012" s="9">
        <f>+'[1]VENTAS(RESUMEN GLOBAL)'!K1012</f>
        <v>0</v>
      </c>
      <c r="I1012" s="8">
        <f>+G1012*'[1]VENTAS(RESUMEN GLOBAL)'!F1012</f>
        <v>0</v>
      </c>
      <c r="J1012" s="8">
        <f>'[1]VENTAS(RESUMEN GLOBAL)'!G1012*(1-'[1]VENTAS(RESUMEN GLOBAL)'!H1012)</f>
        <v>0</v>
      </c>
      <c r="K1012" s="8">
        <f t="shared" si="15"/>
        <v>0</v>
      </c>
      <c r="L1012" s="8">
        <f>+'[1]VENTAS(RESUMEN GLOBAL)'!J1012</f>
        <v>0</v>
      </c>
      <c r="M1012" s="8">
        <f>+Tabla1[[#This Row],[utilidad x dia]]*7</f>
        <v>0</v>
      </c>
    </row>
    <row r="1013" spans="1:13" x14ac:dyDescent="0.3">
      <c r="A1013" s="6">
        <f>+'[1]VENTAS(RESUMEN GLOBAL)'!L1013</f>
        <v>0</v>
      </c>
      <c r="B1013" s="6">
        <f>+'[1]VENTAS(RESUMEN GLOBAL)'!M1013</f>
        <v>0</v>
      </c>
      <c r="C1013">
        <f>+'[1]VENTAS(RESUMEN GLOBAL)'!B1013</f>
        <v>0</v>
      </c>
      <c r="D1013" t="e">
        <f>INDEX('[1]CÓDIGOS DE PRODUCTO'!$D$3:$D$1000,MATCH(C1013,'[1]CÓDIGOS DE PRODUCTO'!$A$3:$A$1000,0))</f>
        <v>#N/A</v>
      </c>
      <c r="E1013">
        <f>VLOOKUP(C1013,'[1]CÓDIGOS DE PRODUCTO'!$A$4:$B$156,2,FALSE)</f>
        <v>0</v>
      </c>
      <c r="F1013">
        <f>INDEX('[1]CÓDIGOS DE PRODUCTO'!$C$3:$C$1000,MATCH(C1013,'[1]CÓDIGOS DE PRODUCTO'!$A$3:$A$1000,0))</f>
        <v>0</v>
      </c>
      <c r="G1013">
        <f>+'[1]VENTAS(RESUMEN GLOBAL)'!D1013-'[1]VENTAS(RESUMEN GLOBAL)'!E1013</f>
        <v>0</v>
      </c>
      <c r="H1013" s="9">
        <f>+'[1]VENTAS(RESUMEN GLOBAL)'!K1013</f>
        <v>0</v>
      </c>
      <c r="I1013" s="8">
        <f>+G1013*'[1]VENTAS(RESUMEN GLOBAL)'!F1013</f>
        <v>0</v>
      </c>
      <c r="J1013" s="8">
        <f>'[1]VENTAS(RESUMEN GLOBAL)'!G1013*(1-'[1]VENTAS(RESUMEN GLOBAL)'!H1013)</f>
        <v>0</v>
      </c>
      <c r="K1013" s="8">
        <f t="shared" si="15"/>
        <v>0</v>
      </c>
      <c r="L1013" s="8">
        <f>+'[1]VENTAS(RESUMEN GLOBAL)'!J1013</f>
        <v>0</v>
      </c>
      <c r="M1013" s="8">
        <f>+Tabla1[[#This Row],[utilidad x dia]]*7</f>
        <v>0</v>
      </c>
    </row>
    <row r="1014" spans="1:13" x14ac:dyDescent="0.3">
      <c r="A1014" s="6">
        <f>+'[1]VENTAS(RESUMEN GLOBAL)'!L1014</f>
        <v>0</v>
      </c>
      <c r="B1014" s="6">
        <f>+'[1]VENTAS(RESUMEN GLOBAL)'!M1014</f>
        <v>0</v>
      </c>
      <c r="C1014">
        <f>+'[1]VENTAS(RESUMEN GLOBAL)'!B1014</f>
        <v>0</v>
      </c>
      <c r="D1014" t="e">
        <f>INDEX('[1]CÓDIGOS DE PRODUCTO'!$D$3:$D$1000,MATCH(C1014,'[1]CÓDIGOS DE PRODUCTO'!$A$3:$A$1000,0))</f>
        <v>#N/A</v>
      </c>
      <c r="E1014">
        <f>VLOOKUP(C1014,'[1]CÓDIGOS DE PRODUCTO'!$A$4:$B$156,2,FALSE)</f>
        <v>0</v>
      </c>
      <c r="F1014">
        <f>INDEX('[1]CÓDIGOS DE PRODUCTO'!$C$3:$C$1000,MATCH(C1014,'[1]CÓDIGOS DE PRODUCTO'!$A$3:$A$1000,0))</f>
        <v>0</v>
      </c>
      <c r="G1014">
        <f>+'[1]VENTAS(RESUMEN GLOBAL)'!D1014-'[1]VENTAS(RESUMEN GLOBAL)'!E1014</f>
        <v>0</v>
      </c>
      <c r="H1014" s="9">
        <f>+'[1]VENTAS(RESUMEN GLOBAL)'!K1014</f>
        <v>0</v>
      </c>
      <c r="I1014" s="8">
        <f>+G1014*'[1]VENTAS(RESUMEN GLOBAL)'!F1014</f>
        <v>0</v>
      </c>
      <c r="J1014" s="8">
        <f>'[1]VENTAS(RESUMEN GLOBAL)'!G1014*(1-'[1]VENTAS(RESUMEN GLOBAL)'!H1014)</f>
        <v>0</v>
      </c>
      <c r="K1014" s="8">
        <f t="shared" si="15"/>
        <v>0</v>
      </c>
      <c r="L1014" s="8">
        <f>+'[1]VENTAS(RESUMEN GLOBAL)'!J1014</f>
        <v>0</v>
      </c>
      <c r="M1014" s="8">
        <f>+Tabla1[[#This Row],[utilidad x dia]]*7</f>
        <v>0</v>
      </c>
    </row>
    <row r="1015" spans="1:13" x14ac:dyDescent="0.3">
      <c r="A1015" s="6">
        <f>+'[1]VENTAS(RESUMEN GLOBAL)'!L1015</f>
        <v>0</v>
      </c>
      <c r="B1015" s="6">
        <f>+'[1]VENTAS(RESUMEN GLOBAL)'!M1015</f>
        <v>0</v>
      </c>
      <c r="C1015">
        <f>+'[1]VENTAS(RESUMEN GLOBAL)'!B1015</f>
        <v>0</v>
      </c>
      <c r="D1015" t="e">
        <f>INDEX('[1]CÓDIGOS DE PRODUCTO'!$D$3:$D$1000,MATCH(C1015,'[1]CÓDIGOS DE PRODUCTO'!$A$3:$A$1000,0))</f>
        <v>#N/A</v>
      </c>
      <c r="E1015">
        <f>VLOOKUP(C1015,'[1]CÓDIGOS DE PRODUCTO'!$A$4:$B$156,2,FALSE)</f>
        <v>0</v>
      </c>
      <c r="F1015">
        <f>INDEX('[1]CÓDIGOS DE PRODUCTO'!$C$3:$C$1000,MATCH(C1015,'[1]CÓDIGOS DE PRODUCTO'!$A$3:$A$1000,0))</f>
        <v>0</v>
      </c>
      <c r="G1015">
        <f>+'[1]VENTAS(RESUMEN GLOBAL)'!D1015-'[1]VENTAS(RESUMEN GLOBAL)'!E1015</f>
        <v>0</v>
      </c>
      <c r="H1015" s="9">
        <f>+'[1]VENTAS(RESUMEN GLOBAL)'!K1015</f>
        <v>0</v>
      </c>
      <c r="I1015" s="8">
        <f>+G1015*'[1]VENTAS(RESUMEN GLOBAL)'!F1015</f>
        <v>0</v>
      </c>
      <c r="J1015" s="8">
        <f>'[1]VENTAS(RESUMEN GLOBAL)'!G1015*(1-'[1]VENTAS(RESUMEN GLOBAL)'!H1015)</f>
        <v>0</v>
      </c>
      <c r="K1015" s="8">
        <f t="shared" si="15"/>
        <v>0</v>
      </c>
      <c r="L1015" s="8">
        <f>+'[1]VENTAS(RESUMEN GLOBAL)'!J1015</f>
        <v>0</v>
      </c>
      <c r="M1015" s="8">
        <f>+Tabla1[[#This Row],[utilidad x dia]]*7</f>
        <v>0</v>
      </c>
    </row>
    <row r="1016" spans="1:13" x14ac:dyDescent="0.3">
      <c r="A1016" s="6">
        <f>+'[1]VENTAS(RESUMEN GLOBAL)'!L1016</f>
        <v>0</v>
      </c>
      <c r="B1016" s="6">
        <f>+'[1]VENTAS(RESUMEN GLOBAL)'!M1016</f>
        <v>0</v>
      </c>
      <c r="C1016">
        <f>+'[1]VENTAS(RESUMEN GLOBAL)'!B1016</f>
        <v>0</v>
      </c>
      <c r="D1016" t="e">
        <f>INDEX('[1]CÓDIGOS DE PRODUCTO'!$D$3:$D$1000,MATCH(C1016,'[1]CÓDIGOS DE PRODUCTO'!$A$3:$A$1000,0))</f>
        <v>#N/A</v>
      </c>
      <c r="E1016">
        <f>VLOOKUP(C1016,'[1]CÓDIGOS DE PRODUCTO'!$A$4:$B$156,2,FALSE)</f>
        <v>0</v>
      </c>
      <c r="F1016">
        <f>INDEX('[1]CÓDIGOS DE PRODUCTO'!$C$3:$C$1000,MATCH(C1016,'[1]CÓDIGOS DE PRODUCTO'!$A$3:$A$1000,0))</f>
        <v>0</v>
      </c>
      <c r="G1016">
        <f>+'[1]VENTAS(RESUMEN GLOBAL)'!D1016-'[1]VENTAS(RESUMEN GLOBAL)'!E1016</f>
        <v>0</v>
      </c>
      <c r="H1016" s="9">
        <f>+'[1]VENTAS(RESUMEN GLOBAL)'!K1016</f>
        <v>0</v>
      </c>
      <c r="I1016" s="8">
        <f>+G1016*'[1]VENTAS(RESUMEN GLOBAL)'!F1016</f>
        <v>0</v>
      </c>
      <c r="J1016" s="8">
        <f>'[1]VENTAS(RESUMEN GLOBAL)'!G1016*(1-'[1]VENTAS(RESUMEN GLOBAL)'!H1016)</f>
        <v>0</v>
      </c>
      <c r="K1016" s="8">
        <f t="shared" si="15"/>
        <v>0</v>
      </c>
      <c r="L1016" s="8">
        <f>+'[1]VENTAS(RESUMEN GLOBAL)'!J1016</f>
        <v>0</v>
      </c>
      <c r="M1016" s="8">
        <f>+Tabla1[[#This Row],[utilidad x dia]]*7</f>
        <v>0</v>
      </c>
    </row>
    <row r="1017" spans="1:13" x14ac:dyDescent="0.3">
      <c r="A1017" s="6">
        <f>+'[1]VENTAS(RESUMEN GLOBAL)'!L1017</f>
        <v>0</v>
      </c>
      <c r="B1017" s="6">
        <f>+'[1]VENTAS(RESUMEN GLOBAL)'!M1017</f>
        <v>0</v>
      </c>
      <c r="C1017">
        <f>+'[1]VENTAS(RESUMEN GLOBAL)'!B1017</f>
        <v>0</v>
      </c>
      <c r="D1017" t="e">
        <f>INDEX('[1]CÓDIGOS DE PRODUCTO'!$D$3:$D$1000,MATCH(C1017,'[1]CÓDIGOS DE PRODUCTO'!$A$3:$A$1000,0))</f>
        <v>#N/A</v>
      </c>
      <c r="E1017">
        <f>VLOOKUP(C1017,'[1]CÓDIGOS DE PRODUCTO'!$A$4:$B$156,2,FALSE)</f>
        <v>0</v>
      </c>
      <c r="F1017">
        <f>INDEX('[1]CÓDIGOS DE PRODUCTO'!$C$3:$C$1000,MATCH(C1017,'[1]CÓDIGOS DE PRODUCTO'!$A$3:$A$1000,0))</f>
        <v>0</v>
      </c>
      <c r="G1017">
        <f>+'[1]VENTAS(RESUMEN GLOBAL)'!D1017-'[1]VENTAS(RESUMEN GLOBAL)'!E1017</f>
        <v>0</v>
      </c>
      <c r="H1017" s="9">
        <f>+'[1]VENTAS(RESUMEN GLOBAL)'!K1017</f>
        <v>0</v>
      </c>
      <c r="I1017" s="8">
        <f>+G1017*'[1]VENTAS(RESUMEN GLOBAL)'!F1017</f>
        <v>0</v>
      </c>
      <c r="J1017" s="8">
        <f>'[1]VENTAS(RESUMEN GLOBAL)'!G1017*(1-'[1]VENTAS(RESUMEN GLOBAL)'!H1017)</f>
        <v>0</v>
      </c>
      <c r="K1017" s="8">
        <f t="shared" si="15"/>
        <v>0</v>
      </c>
      <c r="L1017" s="8">
        <f>+'[1]VENTAS(RESUMEN GLOBAL)'!J1017</f>
        <v>0</v>
      </c>
      <c r="M1017" s="8">
        <f>+Tabla1[[#This Row],[utilidad x dia]]*7</f>
        <v>0</v>
      </c>
    </row>
    <row r="1018" spans="1:13" x14ac:dyDescent="0.3">
      <c r="A1018" s="6">
        <f>+'[1]VENTAS(RESUMEN GLOBAL)'!L1018</f>
        <v>0</v>
      </c>
      <c r="B1018" s="6">
        <f>+'[1]VENTAS(RESUMEN GLOBAL)'!M1018</f>
        <v>0</v>
      </c>
      <c r="C1018">
        <f>+'[1]VENTAS(RESUMEN GLOBAL)'!B1018</f>
        <v>0</v>
      </c>
      <c r="D1018" t="e">
        <f>INDEX('[1]CÓDIGOS DE PRODUCTO'!$D$3:$D$1000,MATCH(C1018,'[1]CÓDIGOS DE PRODUCTO'!$A$3:$A$1000,0))</f>
        <v>#N/A</v>
      </c>
      <c r="E1018">
        <f>VLOOKUP(C1018,'[1]CÓDIGOS DE PRODUCTO'!$A$4:$B$156,2,FALSE)</f>
        <v>0</v>
      </c>
      <c r="F1018">
        <f>INDEX('[1]CÓDIGOS DE PRODUCTO'!$C$3:$C$1000,MATCH(C1018,'[1]CÓDIGOS DE PRODUCTO'!$A$3:$A$1000,0))</f>
        <v>0</v>
      </c>
      <c r="G1018">
        <f>+'[1]VENTAS(RESUMEN GLOBAL)'!D1018-'[1]VENTAS(RESUMEN GLOBAL)'!E1018</f>
        <v>0</v>
      </c>
      <c r="H1018" s="9">
        <f>+'[1]VENTAS(RESUMEN GLOBAL)'!K1018</f>
        <v>0</v>
      </c>
      <c r="I1018" s="8">
        <f>+G1018*'[1]VENTAS(RESUMEN GLOBAL)'!F1018</f>
        <v>0</v>
      </c>
      <c r="J1018" s="8">
        <f>'[1]VENTAS(RESUMEN GLOBAL)'!G1018*(1-'[1]VENTAS(RESUMEN GLOBAL)'!H1018)</f>
        <v>0</v>
      </c>
      <c r="K1018" s="8">
        <f t="shared" si="15"/>
        <v>0</v>
      </c>
      <c r="L1018" s="8">
        <f>+'[1]VENTAS(RESUMEN GLOBAL)'!J1018</f>
        <v>0</v>
      </c>
      <c r="M1018" s="8">
        <f>+Tabla1[[#This Row],[utilidad x dia]]*7</f>
        <v>0</v>
      </c>
    </row>
    <row r="1019" spans="1:13" x14ac:dyDescent="0.3">
      <c r="A1019" s="6">
        <f>+'[1]VENTAS(RESUMEN GLOBAL)'!L1019</f>
        <v>0</v>
      </c>
      <c r="B1019" s="6">
        <f>+'[1]VENTAS(RESUMEN GLOBAL)'!M1019</f>
        <v>0</v>
      </c>
      <c r="C1019">
        <f>+'[1]VENTAS(RESUMEN GLOBAL)'!B1019</f>
        <v>0</v>
      </c>
      <c r="D1019" t="e">
        <f>INDEX('[1]CÓDIGOS DE PRODUCTO'!$D$3:$D$1000,MATCH(C1019,'[1]CÓDIGOS DE PRODUCTO'!$A$3:$A$1000,0))</f>
        <v>#N/A</v>
      </c>
      <c r="E1019">
        <f>VLOOKUP(C1019,'[1]CÓDIGOS DE PRODUCTO'!$A$4:$B$156,2,FALSE)</f>
        <v>0</v>
      </c>
      <c r="F1019">
        <f>INDEX('[1]CÓDIGOS DE PRODUCTO'!$C$3:$C$1000,MATCH(C1019,'[1]CÓDIGOS DE PRODUCTO'!$A$3:$A$1000,0))</f>
        <v>0</v>
      </c>
      <c r="G1019">
        <f>+'[1]VENTAS(RESUMEN GLOBAL)'!D1019-'[1]VENTAS(RESUMEN GLOBAL)'!E1019</f>
        <v>0</v>
      </c>
      <c r="H1019" s="9">
        <f>+'[1]VENTAS(RESUMEN GLOBAL)'!K1019</f>
        <v>0</v>
      </c>
      <c r="I1019" s="8">
        <f>+G1019*'[1]VENTAS(RESUMEN GLOBAL)'!F1019</f>
        <v>0</v>
      </c>
      <c r="J1019" s="8">
        <f>'[1]VENTAS(RESUMEN GLOBAL)'!G1019*(1-'[1]VENTAS(RESUMEN GLOBAL)'!H1019)</f>
        <v>0</v>
      </c>
      <c r="K1019" s="8">
        <f t="shared" si="15"/>
        <v>0</v>
      </c>
      <c r="L1019" s="8">
        <f>+'[1]VENTAS(RESUMEN GLOBAL)'!J1019</f>
        <v>0</v>
      </c>
      <c r="M1019" s="8">
        <f>+Tabla1[[#This Row],[utilidad x dia]]*7</f>
        <v>0</v>
      </c>
    </row>
    <row r="1020" spans="1:13" x14ac:dyDescent="0.3">
      <c r="A1020" s="6">
        <f>+'[1]VENTAS(RESUMEN GLOBAL)'!L1020</f>
        <v>0</v>
      </c>
      <c r="B1020" s="6">
        <f>+'[1]VENTAS(RESUMEN GLOBAL)'!M1020</f>
        <v>0</v>
      </c>
      <c r="C1020">
        <f>+'[1]VENTAS(RESUMEN GLOBAL)'!B1020</f>
        <v>0</v>
      </c>
      <c r="D1020" t="e">
        <f>INDEX('[1]CÓDIGOS DE PRODUCTO'!$D$3:$D$1000,MATCH(C1020,'[1]CÓDIGOS DE PRODUCTO'!$A$3:$A$1000,0))</f>
        <v>#N/A</v>
      </c>
      <c r="E1020">
        <f>VLOOKUP(C1020,'[1]CÓDIGOS DE PRODUCTO'!$A$4:$B$156,2,FALSE)</f>
        <v>0</v>
      </c>
      <c r="F1020">
        <f>INDEX('[1]CÓDIGOS DE PRODUCTO'!$C$3:$C$1000,MATCH(C1020,'[1]CÓDIGOS DE PRODUCTO'!$A$3:$A$1000,0))</f>
        <v>0</v>
      </c>
      <c r="G1020">
        <f>+'[1]VENTAS(RESUMEN GLOBAL)'!D1020-'[1]VENTAS(RESUMEN GLOBAL)'!E1020</f>
        <v>0</v>
      </c>
      <c r="H1020" s="9">
        <f>+'[1]VENTAS(RESUMEN GLOBAL)'!K1020</f>
        <v>0</v>
      </c>
      <c r="I1020" s="8">
        <f>+G1020*'[1]VENTAS(RESUMEN GLOBAL)'!F1020</f>
        <v>0</v>
      </c>
      <c r="J1020" s="8">
        <f>'[1]VENTAS(RESUMEN GLOBAL)'!G1020*(1-'[1]VENTAS(RESUMEN GLOBAL)'!H1020)</f>
        <v>0</v>
      </c>
      <c r="K1020" s="8">
        <f t="shared" si="15"/>
        <v>0</v>
      </c>
      <c r="L1020" s="8">
        <f>+'[1]VENTAS(RESUMEN GLOBAL)'!J1020</f>
        <v>0</v>
      </c>
      <c r="M1020" s="8">
        <f>+Tabla1[[#This Row],[utilidad x dia]]*7</f>
        <v>0</v>
      </c>
    </row>
    <row r="1021" spans="1:13" x14ac:dyDescent="0.3">
      <c r="A1021" s="6">
        <f>+'[1]VENTAS(RESUMEN GLOBAL)'!L1021</f>
        <v>0</v>
      </c>
      <c r="B1021" s="6">
        <f>+'[1]VENTAS(RESUMEN GLOBAL)'!M1021</f>
        <v>0</v>
      </c>
      <c r="C1021">
        <f>+'[1]VENTAS(RESUMEN GLOBAL)'!B1021</f>
        <v>0</v>
      </c>
      <c r="D1021" t="e">
        <f>INDEX('[1]CÓDIGOS DE PRODUCTO'!$D$3:$D$1000,MATCH(C1021,'[1]CÓDIGOS DE PRODUCTO'!$A$3:$A$1000,0))</f>
        <v>#N/A</v>
      </c>
      <c r="E1021">
        <f>VLOOKUP(C1021,'[1]CÓDIGOS DE PRODUCTO'!$A$4:$B$156,2,FALSE)</f>
        <v>0</v>
      </c>
      <c r="F1021">
        <f>INDEX('[1]CÓDIGOS DE PRODUCTO'!$C$3:$C$1000,MATCH(C1021,'[1]CÓDIGOS DE PRODUCTO'!$A$3:$A$1000,0))</f>
        <v>0</v>
      </c>
      <c r="G1021">
        <f>+'[1]VENTAS(RESUMEN GLOBAL)'!D1021-'[1]VENTAS(RESUMEN GLOBAL)'!E1021</f>
        <v>0</v>
      </c>
      <c r="H1021" s="9">
        <f>+'[1]VENTAS(RESUMEN GLOBAL)'!K1021</f>
        <v>0</v>
      </c>
      <c r="I1021" s="8">
        <f>+G1021*'[1]VENTAS(RESUMEN GLOBAL)'!F1021</f>
        <v>0</v>
      </c>
      <c r="J1021" s="8">
        <f>'[1]VENTAS(RESUMEN GLOBAL)'!G1021*(1-'[1]VENTAS(RESUMEN GLOBAL)'!H1021)</f>
        <v>0</v>
      </c>
      <c r="K1021" s="8">
        <f t="shared" si="15"/>
        <v>0</v>
      </c>
      <c r="L1021" s="8">
        <f>+'[1]VENTAS(RESUMEN GLOBAL)'!J1021</f>
        <v>0</v>
      </c>
      <c r="M1021" s="8">
        <f>+Tabla1[[#This Row],[utilidad x dia]]*7</f>
        <v>0</v>
      </c>
    </row>
    <row r="1022" spans="1:13" x14ac:dyDescent="0.3">
      <c r="A1022" s="6">
        <f>+'[1]VENTAS(RESUMEN GLOBAL)'!L1022</f>
        <v>0</v>
      </c>
      <c r="B1022" s="6">
        <f>+'[1]VENTAS(RESUMEN GLOBAL)'!M1022</f>
        <v>0</v>
      </c>
      <c r="C1022">
        <f>+'[1]VENTAS(RESUMEN GLOBAL)'!B1022</f>
        <v>0</v>
      </c>
      <c r="D1022" t="e">
        <f>INDEX('[1]CÓDIGOS DE PRODUCTO'!$D$3:$D$1000,MATCH(C1022,'[1]CÓDIGOS DE PRODUCTO'!$A$3:$A$1000,0))</f>
        <v>#N/A</v>
      </c>
      <c r="E1022">
        <f>VLOOKUP(C1022,'[1]CÓDIGOS DE PRODUCTO'!$A$4:$B$156,2,FALSE)</f>
        <v>0</v>
      </c>
      <c r="F1022">
        <f>INDEX('[1]CÓDIGOS DE PRODUCTO'!$C$3:$C$1000,MATCH(C1022,'[1]CÓDIGOS DE PRODUCTO'!$A$3:$A$1000,0))</f>
        <v>0</v>
      </c>
      <c r="G1022">
        <f>+'[1]VENTAS(RESUMEN GLOBAL)'!D1022-'[1]VENTAS(RESUMEN GLOBAL)'!E1022</f>
        <v>0</v>
      </c>
      <c r="H1022" s="9">
        <f>+'[1]VENTAS(RESUMEN GLOBAL)'!K1022</f>
        <v>0</v>
      </c>
      <c r="I1022" s="8">
        <f>+G1022*'[1]VENTAS(RESUMEN GLOBAL)'!F1022</f>
        <v>0</v>
      </c>
      <c r="J1022" s="8">
        <f>'[1]VENTAS(RESUMEN GLOBAL)'!G1022*(1-'[1]VENTAS(RESUMEN GLOBAL)'!H1022)</f>
        <v>0</v>
      </c>
      <c r="K1022" s="8">
        <f t="shared" si="15"/>
        <v>0</v>
      </c>
      <c r="L1022" s="8">
        <f>+'[1]VENTAS(RESUMEN GLOBAL)'!J1022</f>
        <v>0</v>
      </c>
      <c r="M1022" s="8">
        <f>+Tabla1[[#This Row],[utilidad x dia]]*7</f>
        <v>0</v>
      </c>
    </row>
    <row r="1023" spans="1:13" x14ac:dyDescent="0.3">
      <c r="A1023" s="6">
        <f>+'[1]VENTAS(RESUMEN GLOBAL)'!L1023</f>
        <v>0</v>
      </c>
      <c r="B1023" s="6">
        <f>+'[1]VENTAS(RESUMEN GLOBAL)'!M1023</f>
        <v>0</v>
      </c>
      <c r="C1023">
        <f>+'[1]VENTAS(RESUMEN GLOBAL)'!B1023</f>
        <v>0</v>
      </c>
      <c r="D1023" t="e">
        <f>INDEX('[1]CÓDIGOS DE PRODUCTO'!$D$3:$D$1000,MATCH(C1023,'[1]CÓDIGOS DE PRODUCTO'!$A$3:$A$1000,0))</f>
        <v>#N/A</v>
      </c>
      <c r="E1023">
        <f>VLOOKUP(C1023,'[1]CÓDIGOS DE PRODUCTO'!$A$4:$B$156,2,FALSE)</f>
        <v>0</v>
      </c>
      <c r="F1023">
        <f>INDEX('[1]CÓDIGOS DE PRODUCTO'!$C$3:$C$1000,MATCH(C1023,'[1]CÓDIGOS DE PRODUCTO'!$A$3:$A$1000,0))</f>
        <v>0</v>
      </c>
      <c r="G1023">
        <f>+'[1]VENTAS(RESUMEN GLOBAL)'!D1023-'[1]VENTAS(RESUMEN GLOBAL)'!E1023</f>
        <v>0</v>
      </c>
      <c r="H1023" s="9">
        <f>+'[1]VENTAS(RESUMEN GLOBAL)'!K1023</f>
        <v>0</v>
      </c>
      <c r="I1023" s="8">
        <f>+G1023*'[1]VENTAS(RESUMEN GLOBAL)'!F1023</f>
        <v>0</v>
      </c>
      <c r="J1023" s="8">
        <f>'[1]VENTAS(RESUMEN GLOBAL)'!G1023*(1-'[1]VENTAS(RESUMEN GLOBAL)'!H1023)</f>
        <v>0</v>
      </c>
      <c r="K1023" s="8">
        <f t="shared" si="15"/>
        <v>0</v>
      </c>
      <c r="L1023" s="8">
        <f>+'[1]VENTAS(RESUMEN GLOBAL)'!J1023</f>
        <v>0</v>
      </c>
      <c r="M1023" s="8">
        <f>+Tabla1[[#This Row],[utilidad x dia]]*7</f>
        <v>0</v>
      </c>
    </row>
    <row r="1024" spans="1:13" x14ac:dyDescent="0.3">
      <c r="A1024" s="6">
        <f>+'[1]VENTAS(RESUMEN GLOBAL)'!L1024</f>
        <v>0</v>
      </c>
      <c r="B1024" s="6">
        <f>+'[1]VENTAS(RESUMEN GLOBAL)'!M1024</f>
        <v>0</v>
      </c>
      <c r="C1024">
        <f>+'[1]VENTAS(RESUMEN GLOBAL)'!B1024</f>
        <v>0</v>
      </c>
      <c r="D1024" t="e">
        <f>INDEX('[1]CÓDIGOS DE PRODUCTO'!$D$3:$D$1000,MATCH(C1024,'[1]CÓDIGOS DE PRODUCTO'!$A$3:$A$1000,0))</f>
        <v>#N/A</v>
      </c>
      <c r="E1024">
        <f>VLOOKUP(C1024,'[1]CÓDIGOS DE PRODUCTO'!$A$4:$B$156,2,FALSE)</f>
        <v>0</v>
      </c>
      <c r="F1024">
        <f>INDEX('[1]CÓDIGOS DE PRODUCTO'!$C$3:$C$1000,MATCH(C1024,'[1]CÓDIGOS DE PRODUCTO'!$A$3:$A$1000,0))</f>
        <v>0</v>
      </c>
      <c r="G1024">
        <f>+'[1]VENTAS(RESUMEN GLOBAL)'!D1024-'[1]VENTAS(RESUMEN GLOBAL)'!E1024</f>
        <v>0</v>
      </c>
      <c r="H1024" s="9">
        <f>+'[1]VENTAS(RESUMEN GLOBAL)'!K1024</f>
        <v>0</v>
      </c>
      <c r="I1024" s="8">
        <f>+G1024*'[1]VENTAS(RESUMEN GLOBAL)'!F1024</f>
        <v>0</v>
      </c>
      <c r="J1024" s="8">
        <f>'[1]VENTAS(RESUMEN GLOBAL)'!G1024*(1-'[1]VENTAS(RESUMEN GLOBAL)'!H1024)</f>
        <v>0</v>
      </c>
      <c r="K1024" s="8">
        <f t="shared" si="15"/>
        <v>0</v>
      </c>
      <c r="L1024" s="8">
        <f>+'[1]VENTAS(RESUMEN GLOBAL)'!J1024</f>
        <v>0</v>
      </c>
      <c r="M1024" s="8">
        <f>+Tabla1[[#This Row],[utilidad x dia]]*7</f>
        <v>0</v>
      </c>
    </row>
    <row r="1025" spans="1:13" x14ac:dyDescent="0.3">
      <c r="A1025" s="6">
        <f>+'[1]VENTAS(RESUMEN GLOBAL)'!L1025</f>
        <v>0</v>
      </c>
      <c r="B1025" s="6">
        <f>+'[1]VENTAS(RESUMEN GLOBAL)'!M1025</f>
        <v>0</v>
      </c>
      <c r="C1025">
        <f>+'[1]VENTAS(RESUMEN GLOBAL)'!B1025</f>
        <v>0</v>
      </c>
      <c r="D1025" t="e">
        <f>INDEX('[1]CÓDIGOS DE PRODUCTO'!$D$3:$D$1000,MATCH(C1025,'[1]CÓDIGOS DE PRODUCTO'!$A$3:$A$1000,0))</f>
        <v>#N/A</v>
      </c>
      <c r="E1025">
        <f>VLOOKUP(C1025,'[1]CÓDIGOS DE PRODUCTO'!$A$4:$B$156,2,FALSE)</f>
        <v>0</v>
      </c>
      <c r="F1025">
        <f>INDEX('[1]CÓDIGOS DE PRODUCTO'!$C$3:$C$1000,MATCH(C1025,'[1]CÓDIGOS DE PRODUCTO'!$A$3:$A$1000,0))</f>
        <v>0</v>
      </c>
      <c r="G1025">
        <f>+'[1]VENTAS(RESUMEN GLOBAL)'!D1025-'[1]VENTAS(RESUMEN GLOBAL)'!E1025</f>
        <v>0</v>
      </c>
      <c r="H1025" s="9">
        <f>+'[1]VENTAS(RESUMEN GLOBAL)'!K1025</f>
        <v>0</v>
      </c>
      <c r="I1025" s="8">
        <f>+G1025*'[1]VENTAS(RESUMEN GLOBAL)'!F1025</f>
        <v>0</v>
      </c>
      <c r="J1025" s="8">
        <f>'[1]VENTAS(RESUMEN GLOBAL)'!G1025*(1-'[1]VENTAS(RESUMEN GLOBAL)'!H1025)</f>
        <v>0</v>
      </c>
      <c r="K1025" s="8">
        <f t="shared" si="15"/>
        <v>0</v>
      </c>
      <c r="L1025" s="8">
        <f>+'[1]VENTAS(RESUMEN GLOBAL)'!J1025</f>
        <v>0</v>
      </c>
      <c r="M1025" s="8">
        <f>+Tabla1[[#This Row],[utilidad x dia]]*7</f>
        <v>0</v>
      </c>
    </row>
    <row r="1026" spans="1:13" x14ac:dyDescent="0.3">
      <c r="A1026" s="6">
        <f>+'[1]VENTAS(RESUMEN GLOBAL)'!L1026</f>
        <v>0</v>
      </c>
      <c r="B1026" s="6">
        <f>+'[1]VENTAS(RESUMEN GLOBAL)'!M1026</f>
        <v>0</v>
      </c>
      <c r="C1026">
        <f>+'[1]VENTAS(RESUMEN GLOBAL)'!B1026</f>
        <v>0</v>
      </c>
      <c r="D1026" t="e">
        <f>INDEX('[1]CÓDIGOS DE PRODUCTO'!$D$3:$D$1000,MATCH(C1026,'[1]CÓDIGOS DE PRODUCTO'!$A$3:$A$1000,0))</f>
        <v>#N/A</v>
      </c>
      <c r="E1026">
        <f>VLOOKUP(C1026,'[1]CÓDIGOS DE PRODUCTO'!$A$4:$B$156,2,FALSE)</f>
        <v>0</v>
      </c>
      <c r="F1026">
        <f>INDEX('[1]CÓDIGOS DE PRODUCTO'!$C$3:$C$1000,MATCH(C1026,'[1]CÓDIGOS DE PRODUCTO'!$A$3:$A$1000,0))</f>
        <v>0</v>
      </c>
      <c r="G1026">
        <f>+'[1]VENTAS(RESUMEN GLOBAL)'!D1026-'[1]VENTAS(RESUMEN GLOBAL)'!E1026</f>
        <v>0</v>
      </c>
      <c r="H1026" s="9">
        <f>+'[1]VENTAS(RESUMEN GLOBAL)'!K1026</f>
        <v>0</v>
      </c>
      <c r="I1026" s="8">
        <f>+G1026*'[1]VENTAS(RESUMEN GLOBAL)'!F1026</f>
        <v>0</v>
      </c>
      <c r="J1026" s="8">
        <f>'[1]VENTAS(RESUMEN GLOBAL)'!G1026*(1-'[1]VENTAS(RESUMEN GLOBAL)'!H1026)</f>
        <v>0</v>
      </c>
      <c r="K1026" s="8">
        <f t="shared" si="15"/>
        <v>0</v>
      </c>
      <c r="L1026" s="8">
        <f>+'[1]VENTAS(RESUMEN GLOBAL)'!J1026</f>
        <v>0</v>
      </c>
      <c r="M1026" s="8">
        <f>+Tabla1[[#This Row],[utilidad x dia]]*7</f>
        <v>0</v>
      </c>
    </row>
    <row r="1027" spans="1:13" x14ac:dyDescent="0.3">
      <c r="A1027" s="6">
        <f>+'[1]VENTAS(RESUMEN GLOBAL)'!L1027</f>
        <v>0</v>
      </c>
      <c r="B1027" s="6">
        <f>+'[1]VENTAS(RESUMEN GLOBAL)'!M1027</f>
        <v>0</v>
      </c>
      <c r="C1027">
        <f>+'[1]VENTAS(RESUMEN GLOBAL)'!B1027</f>
        <v>0</v>
      </c>
      <c r="D1027" t="e">
        <f>INDEX('[1]CÓDIGOS DE PRODUCTO'!$D$3:$D$1000,MATCH(C1027,'[1]CÓDIGOS DE PRODUCTO'!$A$3:$A$1000,0))</f>
        <v>#N/A</v>
      </c>
      <c r="E1027">
        <f>VLOOKUP(C1027,'[1]CÓDIGOS DE PRODUCTO'!$A$4:$B$156,2,FALSE)</f>
        <v>0</v>
      </c>
      <c r="F1027">
        <f>INDEX('[1]CÓDIGOS DE PRODUCTO'!$C$3:$C$1000,MATCH(C1027,'[1]CÓDIGOS DE PRODUCTO'!$A$3:$A$1000,0))</f>
        <v>0</v>
      </c>
      <c r="G1027">
        <f>+'[1]VENTAS(RESUMEN GLOBAL)'!D1027-'[1]VENTAS(RESUMEN GLOBAL)'!E1027</f>
        <v>0</v>
      </c>
      <c r="H1027" s="9">
        <f>+'[1]VENTAS(RESUMEN GLOBAL)'!K1027</f>
        <v>0</v>
      </c>
      <c r="I1027" s="8">
        <f>+G1027*'[1]VENTAS(RESUMEN GLOBAL)'!F1027</f>
        <v>0</v>
      </c>
      <c r="J1027" s="8">
        <f>'[1]VENTAS(RESUMEN GLOBAL)'!G1027*(1-'[1]VENTAS(RESUMEN GLOBAL)'!H1027)</f>
        <v>0</v>
      </c>
      <c r="K1027" s="8">
        <f t="shared" ref="K1027:K1090" si="16">+I1027-J1027</f>
        <v>0</v>
      </c>
      <c r="L1027" s="8">
        <f>+'[1]VENTAS(RESUMEN GLOBAL)'!J1027</f>
        <v>0</v>
      </c>
      <c r="M1027" s="8">
        <f>+Tabla1[[#This Row],[utilidad x dia]]*7</f>
        <v>0</v>
      </c>
    </row>
    <row r="1028" spans="1:13" x14ac:dyDescent="0.3">
      <c r="A1028" s="6">
        <f>+'[1]VENTAS(RESUMEN GLOBAL)'!L1028</f>
        <v>0</v>
      </c>
      <c r="B1028" s="6">
        <f>+'[1]VENTAS(RESUMEN GLOBAL)'!M1028</f>
        <v>0</v>
      </c>
      <c r="C1028">
        <f>+'[1]VENTAS(RESUMEN GLOBAL)'!B1028</f>
        <v>0</v>
      </c>
      <c r="D1028" t="e">
        <f>INDEX('[1]CÓDIGOS DE PRODUCTO'!$D$3:$D$1000,MATCH(C1028,'[1]CÓDIGOS DE PRODUCTO'!$A$3:$A$1000,0))</f>
        <v>#N/A</v>
      </c>
      <c r="E1028">
        <f>VLOOKUP(C1028,'[1]CÓDIGOS DE PRODUCTO'!$A$4:$B$156,2,FALSE)</f>
        <v>0</v>
      </c>
      <c r="F1028">
        <f>INDEX('[1]CÓDIGOS DE PRODUCTO'!$C$3:$C$1000,MATCH(C1028,'[1]CÓDIGOS DE PRODUCTO'!$A$3:$A$1000,0))</f>
        <v>0</v>
      </c>
      <c r="G1028">
        <f>+'[1]VENTAS(RESUMEN GLOBAL)'!D1028-'[1]VENTAS(RESUMEN GLOBAL)'!E1028</f>
        <v>0</v>
      </c>
      <c r="H1028" s="9">
        <f>+'[1]VENTAS(RESUMEN GLOBAL)'!K1028</f>
        <v>0</v>
      </c>
      <c r="I1028" s="8">
        <f>+G1028*'[1]VENTAS(RESUMEN GLOBAL)'!F1028</f>
        <v>0</v>
      </c>
      <c r="J1028" s="8">
        <f>'[1]VENTAS(RESUMEN GLOBAL)'!G1028*(1-'[1]VENTAS(RESUMEN GLOBAL)'!H1028)</f>
        <v>0</v>
      </c>
      <c r="K1028" s="8">
        <f t="shared" si="16"/>
        <v>0</v>
      </c>
      <c r="L1028" s="8">
        <f>+'[1]VENTAS(RESUMEN GLOBAL)'!J1028</f>
        <v>0</v>
      </c>
      <c r="M1028" s="8">
        <f>+Tabla1[[#This Row],[utilidad x dia]]*7</f>
        <v>0</v>
      </c>
    </row>
    <row r="1029" spans="1:13" x14ac:dyDescent="0.3">
      <c r="A1029" s="6">
        <f>+'[1]VENTAS(RESUMEN GLOBAL)'!L1029</f>
        <v>0</v>
      </c>
      <c r="B1029" s="6">
        <f>+'[1]VENTAS(RESUMEN GLOBAL)'!M1029</f>
        <v>0</v>
      </c>
      <c r="C1029">
        <f>+'[1]VENTAS(RESUMEN GLOBAL)'!B1029</f>
        <v>0</v>
      </c>
      <c r="D1029" t="e">
        <f>INDEX('[1]CÓDIGOS DE PRODUCTO'!$D$3:$D$1000,MATCH(C1029,'[1]CÓDIGOS DE PRODUCTO'!$A$3:$A$1000,0))</f>
        <v>#N/A</v>
      </c>
      <c r="E1029">
        <f>VLOOKUP(C1029,'[1]CÓDIGOS DE PRODUCTO'!$A$4:$B$156,2,FALSE)</f>
        <v>0</v>
      </c>
      <c r="F1029">
        <f>INDEX('[1]CÓDIGOS DE PRODUCTO'!$C$3:$C$1000,MATCH(C1029,'[1]CÓDIGOS DE PRODUCTO'!$A$3:$A$1000,0))</f>
        <v>0</v>
      </c>
      <c r="G1029">
        <f>+'[1]VENTAS(RESUMEN GLOBAL)'!D1029-'[1]VENTAS(RESUMEN GLOBAL)'!E1029</f>
        <v>0</v>
      </c>
      <c r="H1029" s="9">
        <f>+'[1]VENTAS(RESUMEN GLOBAL)'!K1029</f>
        <v>0</v>
      </c>
      <c r="I1029" s="8">
        <f>+G1029*'[1]VENTAS(RESUMEN GLOBAL)'!F1029</f>
        <v>0</v>
      </c>
      <c r="J1029" s="8">
        <f>'[1]VENTAS(RESUMEN GLOBAL)'!G1029*(1-'[1]VENTAS(RESUMEN GLOBAL)'!H1029)</f>
        <v>0</v>
      </c>
      <c r="K1029" s="8">
        <f t="shared" si="16"/>
        <v>0</v>
      </c>
      <c r="L1029" s="8">
        <f>+'[1]VENTAS(RESUMEN GLOBAL)'!J1029</f>
        <v>0</v>
      </c>
      <c r="M1029" s="8">
        <f>+Tabla1[[#This Row],[utilidad x dia]]*7</f>
        <v>0</v>
      </c>
    </row>
    <row r="1030" spans="1:13" x14ac:dyDescent="0.3">
      <c r="A1030" s="6">
        <f>+'[1]VENTAS(RESUMEN GLOBAL)'!L1030</f>
        <v>0</v>
      </c>
      <c r="B1030" s="6">
        <f>+'[1]VENTAS(RESUMEN GLOBAL)'!M1030</f>
        <v>0</v>
      </c>
      <c r="C1030">
        <f>+'[1]VENTAS(RESUMEN GLOBAL)'!B1030</f>
        <v>0</v>
      </c>
      <c r="D1030" t="e">
        <f>INDEX('[1]CÓDIGOS DE PRODUCTO'!$D$3:$D$1000,MATCH(C1030,'[1]CÓDIGOS DE PRODUCTO'!$A$3:$A$1000,0))</f>
        <v>#N/A</v>
      </c>
      <c r="E1030">
        <f>VLOOKUP(C1030,'[1]CÓDIGOS DE PRODUCTO'!$A$4:$B$156,2,FALSE)</f>
        <v>0</v>
      </c>
      <c r="F1030">
        <f>INDEX('[1]CÓDIGOS DE PRODUCTO'!$C$3:$C$1000,MATCH(C1030,'[1]CÓDIGOS DE PRODUCTO'!$A$3:$A$1000,0))</f>
        <v>0</v>
      </c>
      <c r="G1030">
        <f>+'[1]VENTAS(RESUMEN GLOBAL)'!D1030-'[1]VENTAS(RESUMEN GLOBAL)'!E1030</f>
        <v>0</v>
      </c>
      <c r="H1030" s="9">
        <f>+'[1]VENTAS(RESUMEN GLOBAL)'!K1030</f>
        <v>0</v>
      </c>
      <c r="I1030" s="8">
        <f>+G1030*'[1]VENTAS(RESUMEN GLOBAL)'!F1030</f>
        <v>0</v>
      </c>
      <c r="J1030" s="8">
        <f>'[1]VENTAS(RESUMEN GLOBAL)'!G1030*(1-'[1]VENTAS(RESUMEN GLOBAL)'!H1030)</f>
        <v>0</v>
      </c>
      <c r="K1030" s="8">
        <f t="shared" si="16"/>
        <v>0</v>
      </c>
      <c r="L1030" s="8">
        <f>+'[1]VENTAS(RESUMEN GLOBAL)'!J1030</f>
        <v>0</v>
      </c>
      <c r="M1030" s="8">
        <f>+Tabla1[[#This Row],[utilidad x dia]]*7</f>
        <v>0</v>
      </c>
    </row>
    <row r="1031" spans="1:13" x14ac:dyDescent="0.3">
      <c r="A1031" s="6">
        <f>+'[1]VENTAS(RESUMEN GLOBAL)'!L1031</f>
        <v>0</v>
      </c>
      <c r="B1031" s="6">
        <f>+'[1]VENTAS(RESUMEN GLOBAL)'!M1031</f>
        <v>0</v>
      </c>
      <c r="C1031">
        <f>+'[1]VENTAS(RESUMEN GLOBAL)'!B1031</f>
        <v>0</v>
      </c>
      <c r="D1031" t="e">
        <f>INDEX('[1]CÓDIGOS DE PRODUCTO'!$D$3:$D$1000,MATCH(C1031,'[1]CÓDIGOS DE PRODUCTO'!$A$3:$A$1000,0))</f>
        <v>#N/A</v>
      </c>
      <c r="E1031">
        <f>VLOOKUP(C1031,'[1]CÓDIGOS DE PRODUCTO'!$A$4:$B$156,2,FALSE)</f>
        <v>0</v>
      </c>
      <c r="F1031">
        <f>INDEX('[1]CÓDIGOS DE PRODUCTO'!$C$3:$C$1000,MATCH(C1031,'[1]CÓDIGOS DE PRODUCTO'!$A$3:$A$1000,0))</f>
        <v>0</v>
      </c>
      <c r="G1031">
        <f>+'[1]VENTAS(RESUMEN GLOBAL)'!D1031-'[1]VENTAS(RESUMEN GLOBAL)'!E1031</f>
        <v>0</v>
      </c>
      <c r="H1031" s="9">
        <f>+'[1]VENTAS(RESUMEN GLOBAL)'!K1031</f>
        <v>0</v>
      </c>
      <c r="I1031" s="8">
        <f>+G1031*'[1]VENTAS(RESUMEN GLOBAL)'!F1031</f>
        <v>0</v>
      </c>
      <c r="J1031" s="8">
        <f>'[1]VENTAS(RESUMEN GLOBAL)'!G1031*(1-'[1]VENTAS(RESUMEN GLOBAL)'!H1031)</f>
        <v>0</v>
      </c>
      <c r="K1031" s="8">
        <f t="shared" si="16"/>
        <v>0</v>
      </c>
      <c r="L1031" s="8">
        <f>+'[1]VENTAS(RESUMEN GLOBAL)'!J1031</f>
        <v>0</v>
      </c>
      <c r="M1031" s="8">
        <f>+Tabla1[[#This Row],[utilidad x dia]]*7</f>
        <v>0</v>
      </c>
    </row>
    <row r="1032" spans="1:13" x14ac:dyDescent="0.3">
      <c r="A1032" s="6">
        <f>+'[1]VENTAS(RESUMEN GLOBAL)'!L1032</f>
        <v>0</v>
      </c>
      <c r="B1032" s="6">
        <f>+'[1]VENTAS(RESUMEN GLOBAL)'!M1032</f>
        <v>0</v>
      </c>
      <c r="C1032">
        <f>+'[1]VENTAS(RESUMEN GLOBAL)'!B1032</f>
        <v>0</v>
      </c>
      <c r="D1032" t="e">
        <f>INDEX('[1]CÓDIGOS DE PRODUCTO'!$D$3:$D$1000,MATCH(C1032,'[1]CÓDIGOS DE PRODUCTO'!$A$3:$A$1000,0))</f>
        <v>#N/A</v>
      </c>
      <c r="E1032">
        <f>VLOOKUP(C1032,'[1]CÓDIGOS DE PRODUCTO'!$A$4:$B$156,2,FALSE)</f>
        <v>0</v>
      </c>
      <c r="F1032">
        <f>INDEX('[1]CÓDIGOS DE PRODUCTO'!$C$3:$C$1000,MATCH(C1032,'[1]CÓDIGOS DE PRODUCTO'!$A$3:$A$1000,0))</f>
        <v>0</v>
      </c>
      <c r="G1032">
        <f>+'[1]VENTAS(RESUMEN GLOBAL)'!D1032-'[1]VENTAS(RESUMEN GLOBAL)'!E1032</f>
        <v>0</v>
      </c>
      <c r="H1032" s="9">
        <f>+'[1]VENTAS(RESUMEN GLOBAL)'!K1032</f>
        <v>0</v>
      </c>
      <c r="I1032" s="8">
        <f>+G1032*'[1]VENTAS(RESUMEN GLOBAL)'!F1032</f>
        <v>0</v>
      </c>
      <c r="J1032" s="8">
        <f>'[1]VENTAS(RESUMEN GLOBAL)'!G1032*(1-'[1]VENTAS(RESUMEN GLOBAL)'!H1032)</f>
        <v>0</v>
      </c>
      <c r="K1032" s="8">
        <f t="shared" si="16"/>
        <v>0</v>
      </c>
      <c r="L1032" s="8">
        <f>+'[1]VENTAS(RESUMEN GLOBAL)'!J1032</f>
        <v>0</v>
      </c>
      <c r="M1032" s="8">
        <f>+Tabla1[[#This Row],[utilidad x dia]]*7</f>
        <v>0</v>
      </c>
    </row>
    <row r="1033" spans="1:13" x14ac:dyDescent="0.3">
      <c r="A1033" s="6">
        <f>+'[1]VENTAS(RESUMEN GLOBAL)'!L1033</f>
        <v>0</v>
      </c>
      <c r="B1033" s="6">
        <f>+'[1]VENTAS(RESUMEN GLOBAL)'!M1033</f>
        <v>0</v>
      </c>
      <c r="C1033">
        <f>+'[1]VENTAS(RESUMEN GLOBAL)'!B1033</f>
        <v>0</v>
      </c>
      <c r="D1033" t="e">
        <f>INDEX('[1]CÓDIGOS DE PRODUCTO'!$D$3:$D$1000,MATCH(C1033,'[1]CÓDIGOS DE PRODUCTO'!$A$3:$A$1000,0))</f>
        <v>#N/A</v>
      </c>
      <c r="E1033">
        <f>VLOOKUP(C1033,'[1]CÓDIGOS DE PRODUCTO'!$A$4:$B$156,2,FALSE)</f>
        <v>0</v>
      </c>
      <c r="F1033">
        <f>INDEX('[1]CÓDIGOS DE PRODUCTO'!$C$3:$C$1000,MATCH(C1033,'[1]CÓDIGOS DE PRODUCTO'!$A$3:$A$1000,0))</f>
        <v>0</v>
      </c>
      <c r="G1033">
        <f>+'[1]VENTAS(RESUMEN GLOBAL)'!D1033-'[1]VENTAS(RESUMEN GLOBAL)'!E1033</f>
        <v>0</v>
      </c>
      <c r="H1033" s="9">
        <f>+'[1]VENTAS(RESUMEN GLOBAL)'!K1033</f>
        <v>0</v>
      </c>
      <c r="I1033" s="8">
        <f>+G1033*'[1]VENTAS(RESUMEN GLOBAL)'!F1033</f>
        <v>0</v>
      </c>
      <c r="J1033" s="8">
        <f>'[1]VENTAS(RESUMEN GLOBAL)'!G1033*(1-'[1]VENTAS(RESUMEN GLOBAL)'!H1033)</f>
        <v>0</v>
      </c>
      <c r="K1033" s="8">
        <f t="shared" si="16"/>
        <v>0</v>
      </c>
      <c r="L1033" s="8">
        <f>+'[1]VENTAS(RESUMEN GLOBAL)'!J1033</f>
        <v>0</v>
      </c>
      <c r="M1033" s="8">
        <f>+Tabla1[[#This Row],[utilidad x dia]]*7</f>
        <v>0</v>
      </c>
    </row>
    <row r="1034" spans="1:13" x14ac:dyDescent="0.3">
      <c r="A1034" s="6">
        <f>+'[1]VENTAS(RESUMEN GLOBAL)'!L1034</f>
        <v>0</v>
      </c>
      <c r="B1034" s="6">
        <f>+'[1]VENTAS(RESUMEN GLOBAL)'!M1034</f>
        <v>0</v>
      </c>
      <c r="C1034">
        <f>+'[1]VENTAS(RESUMEN GLOBAL)'!B1034</f>
        <v>0</v>
      </c>
      <c r="D1034" t="e">
        <f>INDEX('[1]CÓDIGOS DE PRODUCTO'!$D$3:$D$1000,MATCH(C1034,'[1]CÓDIGOS DE PRODUCTO'!$A$3:$A$1000,0))</f>
        <v>#N/A</v>
      </c>
      <c r="E1034">
        <f>VLOOKUP(C1034,'[1]CÓDIGOS DE PRODUCTO'!$A$4:$B$156,2,FALSE)</f>
        <v>0</v>
      </c>
      <c r="F1034">
        <f>INDEX('[1]CÓDIGOS DE PRODUCTO'!$C$3:$C$1000,MATCH(C1034,'[1]CÓDIGOS DE PRODUCTO'!$A$3:$A$1000,0))</f>
        <v>0</v>
      </c>
      <c r="G1034">
        <f>+'[1]VENTAS(RESUMEN GLOBAL)'!D1034-'[1]VENTAS(RESUMEN GLOBAL)'!E1034</f>
        <v>0</v>
      </c>
      <c r="H1034" s="9">
        <f>+'[1]VENTAS(RESUMEN GLOBAL)'!K1034</f>
        <v>0</v>
      </c>
      <c r="I1034" s="8">
        <f>+G1034*'[1]VENTAS(RESUMEN GLOBAL)'!F1034</f>
        <v>0</v>
      </c>
      <c r="J1034" s="8">
        <f>'[1]VENTAS(RESUMEN GLOBAL)'!G1034*(1-'[1]VENTAS(RESUMEN GLOBAL)'!H1034)</f>
        <v>0</v>
      </c>
      <c r="K1034" s="8">
        <f t="shared" si="16"/>
        <v>0</v>
      </c>
      <c r="L1034" s="8">
        <f>+'[1]VENTAS(RESUMEN GLOBAL)'!J1034</f>
        <v>0</v>
      </c>
      <c r="M1034" s="8">
        <f>+Tabla1[[#This Row],[utilidad x dia]]*7</f>
        <v>0</v>
      </c>
    </row>
    <row r="1035" spans="1:13" x14ac:dyDescent="0.3">
      <c r="A1035" s="6">
        <f>+'[1]VENTAS(RESUMEN GLOBAL)'!L1035</f>
        <v>0</v>
      </c>
      <c r="B1035" s="6">
        <f>+'[1]VENTAS(RESUMEN GLOBAL)'!M1035</f>
        <v>0</v>
      </c>
      <c r="C1035">
        <f>+'[1]VENTAS(RESUMEN GLOBAL)'!B1035</f>
        <v>0</v>
      </c>
      <c r="D1035" t="e">
        <f>INDEX('[1]CÓDIGOS DE PRODUCTO'!$D$3:$D$1000,MATCH(C1035,'[1]CÓDIGOS DE PRODUCTO'!$A$3:$A$1000,0))</f>
        <v>#N/A</v>
      </c>
      <c r="E1035">
        <f>VLOOKUP(C1035,'[1]CÓDIGOS DE PRODUCTO'!$A$4:$B$156,2,FALSE)</f>
        <v>0</v>
      </c>
      <c r="F1035">
        <f>INDEX('[1]CÓDIGOS DE PRODUCTO'!$C$3:$C$1000,MATCH(C1035,'[1]CÓDIGOS DE PRODUCTO'!$A$3:$A$1000,0))</f>
        <v>0</v>
      </c>
      <c r="G1035">
        <f>+'[1]VENTAS(RESUMEN GLOBAL)'!D1035-'[1]VENTAS(RESUMEN GLOBAL)'!E1035</f>
        <v>0</v>
      </c>
      <c r="H1035" s="9">
        <f>+'[1]VENTAS(RESUMEN GLOBAL)'!K1035</f>
        <v>0</v>
      </c>
      <c r="I1035" s="8">
        <f>+G1035*'[1]VENTAS(RESUMEN GLOBAL)'!F1035</f>
        <v>0</v>
      </c>
      <c r="J1035" s="8">
        <f>'[1]VENTAS(RESUMEN GLOBAL)'!G1035*(1-'[1]VENTAS(RESUMEN GLOBAL)'!H1035)</f>
        <v>0</v>
      </c>
      <c r="K1035" s="8">
        <f t="shared" si="16"/>
        <v>0</v>
      </c>
      <c r="L1035" s="8">
        <f>+'[1]VENTAS(RESUMEN GLOBAL)'!J1035</f>
        <v>0</v>
      </c>
      <c r="M1035" s="8">
        <f>+Tabla1[[#This Row],[utilidad x dia]]*7</f>
        <v>0</v>
      </c>
    </row>
    <row r="1036" spans="1:13" x14ac:dyDescent="0.3">
      <c r="A1036" s="6">
        <f>+'[1]VENTAS(RESUMEN GLOBAL)'!L1036</f>
        <v>0</v>
      </c>
      <c r="B1036" s="6">
        <f>+'[1]VENTAS(RESUMEN GLOBAL)'!M1036</f>
        <v>0</v>
      </c>
      <c r="C1036">
        <f>+'[1]VENTAS(RESUMEN GLOBAL)'!B1036</f>
        <v>0</v>
      </c>
      <c r="D1036" t="e">
        <f>INDEX('[1]CÓDIGOS DE PRODUCTO'!$D$3:$D$1000,MATCH(C1036,'[1]CÓDIGOS DE PRODUCTO'!$A$3:$A$1000,0))</f>
        <v>#N/A</v>
      </c>
      <c r="E1036">
        <f>VLOOKUP(C1036,'[1]CÓDIGOS DE PRODUCTO'!$A$4:$B$156,2,FALSE)</f>
        <v>0</v>
      </c>
      <c r="F1036">
        <f>INDEX('[1]CÓDIGOS DE PRODUCTO'!$C$3:$C$1000,MATCH(C1036,'[1]CÓDIGOS DE PRODUCTO'!$A$3:$A$1000,0))</f>
        <v>0</v>
      </c>
      <c r="G1036">
        <f>+'[1]VENTAS(RESUMEN GLOBAL)'!D1036-'[1]VENTAS(RESUMEN GLOBAL)'!E1036</f>
        <v>0</v>
      </c>
      <c r="H1036" s="9">
        <f>+'[1]VENTAS(RESUMEN GLOBAL)'!K1036</f>
        <v>0</v>
      </c>
      <c r="I1036" s="8">
        <f>+G1036*'[1]VENTAS(RESUMEN GLOBAL)'!F1036</f>
        <v>0</v>
      </c>
      <c r="J1036" s="8">
        <f>'[1]VENTAS(RESUMEN GLOBAL)'!G1036*(1-'[1]VENTAS(RESUMEN GLOBAL)'!H1036)</f>
        <v>0</v>
      </c>
      <c r="K1036" s="8">
        <f t="shared" si="16"/>
        <v>0</v>
      </c>
      <c r="L1036" s="8">
        <f>+'[1]VENTAS(RESUMEN GLOBAL)'!J1036</f>
        <v>0</v>
      </c>
      <c r="M1036" s="8">
        <f>+Tabla1[[#This Row],[utilidad x dia]]*7</f>
        <v>0</v>
      </c>
    </row>
    <row r="1037" spans="1:13" x14ac:dyDescent="0.3">
      <c r="A1037" s="6">
        <f>+'[1]VENTAS(RESUMEN GLOBAL)'!L1037</f>
        <v>0</v>
      </c>
      <c r="B1037" s="6">
        <f>+'[1]VENTAS(RESUMEN GLOBAL)'!M1037</f>
        <v>0</v>
      </c>
      <c r="C1037">
        <f>+'[1]VENTAS(RESUMEN GLOBAL)'!B1037</f>
        <v>0</v>
      </c>
      <c r="D1037" t="e">
        <f>INDEX('[1]CÓDIGOS DE PRODUCTO'!$D$3:$D$1000,MATCH(C1037,'[1]CÓDIGOS DE PRODUCTO'!$A$3:$A$1000,0))</f>
        <v>#N/A</v>
      </c>
      <c r="E1037">
        <f>VLOOKUP(C1037,'[1]CÓDIGOS DE PRODUCTO'!$A$4:$B$156,2,FALSE)</f>
        <v>0</v>
      </c>
      <c r="F1037">
        <f>INDEX('[1]CÓDIGOS DE PRODUCTO'!$C$3:$C$1000,MATCH(C1037,'[1]CÓDIGOS DE PRODUCTO'!$A$3:$A$1000,0))</f>
        <v>0</v>
      </c>
      <c r="G1037">
        <f>+'[1]VENTAS(RESUMEN GLOBAL)'!D1037-'[1]VENTAS(RESUMEN GLOBAL)'!E1037</f>
        <v>0</v>
      </c>
      <c r="H1037" s="9">
        <f>+'[1]VENTAS(RESUMEN GLOBAL)'!K1037</f>
        <v>0</v>
      </c>
      <c r="I1037" s="8">
        <f>+G1037*'[1]VENTAS(RESUMEN GLOBAL)'!F1037</f>
        <v>0</v>
      </c>
      <c r="J1037" s="8">
        <f>'[1]VENTAS(RESUMEN GLOBAL)'!G1037*(1-'[1]VENTAS(RESUMEN GLOBAL)'!H1037)</f>
        <v>0</v>
      </c>
      <c r="K1037" s="8">
        <f t="shared" si="16"/>
        <v>0</v>
      </c>
      <c r="L1037" s="8">
        <f>+'[1]VENTAS(RESUMEN GLOBAL)'!J1037</f>
        <v>0</v>
      </c>
      <c r="M1037" s="8">
        <f>+Tabla1[[#This Row],[utilidad x dia]]*7</f>
        <v>0</v>
      </c>
    </row>
    <row r="1038" spans="1:13" x14ac:dyDescent="0.3">
      <c r="A1038" s="6">
        <f>+'[1]VENTAS(RESUMEN GLOBAL)'!L1038</f>
        <v>0</v>
      </c>
      <c r="B1038" s="6">
        <f>+'[1]VENTAS(RESUMEN GLOBAL)'!M1038</f>
        <v>0</v>
      </c>
      <c r="C1038">
        <f>+'[1]VENTAS(RESUMEN GLOBAL)'!B1038</f>
        <v>0</v>
      </c>
      <c r="D1038" t="e">
        <f>INDEX('[1]CÓDIGOS DE PRODUCTO'!$D$3:$D$1000,MATCH(C1038,'[1]CÓDIGOS DE PRODUCTO'!$A$3:$A$1000,0))</f>
        <v>#N/A</v>
      </c>
      <c r="E1038">
        <f>VLOOKUP(C1038,'[1]CÓDIGOS DE PRODUCTO'!$A$4:$B$156,2,FALSE)</f>
        <v>0</v>
      </c>
      <c r="F1038">
        <f>INDEX('[1]CÓDIGOS DE PRODUCTO'!$C$3:$C$1000,MATCH(C1038,'[1]CÓDIGOS DE PRODUCTO'!$A$3:$A$1000,0))</f>
        <v>0</v>
      </c>
      <c r="G1038">
        <f>+'[1]VENTAS(RESUMEN GLOBAL)'!D1038-'[1]VENTAS(RESUMEN GLOBAL)'!E1038</f>
        <v>0</v>
      </c>
      <c r="H1038" s="9">
        <f>+'[1]VENTAS(RESUMEN GLOBAL)'!K1038</f>
        <v>0</v>
      </c>
      <c r="I1038" s="8">
        <f>+G1038*'[1]VENTAS(RESUMEN GLOBAL)'!F1038</f>
        <v>0</v>
      </c>
      <c r="J1038" s="8">
        <f>'[1]VENTAS(RESUMEN GLOBAL)'!G1038*(1-'[1]VENTAS(RESUMEN GLOBAL)'!H1038)</f>
        <v>0</v>
      </c>
      <c r="K1038" s="8">
        <f t="shared" si="16"/>
        <v>0</v>
      </c>
      <c r="L1038" s="8">
        <f>+'[1]VENTAS(RESUMEN GLOBAL)'!J1038</f>
        <v>0</v>
      </c>
      <c r="M1038" s="8">
        <f>+Tabla1[[#This Row],[utilidad x dia]]*7</f>
        <v>0</v>
      </c>
    </row>
    <row r="1039" spans="1:13" x14ac:dyDescent="0.3">
      <c r="A1039" s="6">
        <f>+'[1]VENTAS(RESUMEN GLOBAL)'!L1039</f>
        <v>0</v>
      </c>
      <c r="B1039" s="6">
        <f>+'[1]VENTAS(RESUMEN GLOBAL)'!M1039</f>
        <v>0</v>
      </c>
      <c r="C1039">
        <f>+'[1]VENTAS(RESUMEN GLOBAL)'!B1039</f>
        <v>0</v>
      </c>
      <c r="D1039" t="e">
        <f>INDEX('[1]CÓDIGOS DE PRODUCTO'!$D$3:$D$1000,MATCH(C1039,'[1]CÓDIGOS DE PRODUCTO'!$A$3:$A$1000,0))</f>
        <v>#N/A</v>
      </c>
      <c r="E1039">
        <f>VLOOKUP(C1039,'[1]CÓDIGOS DE PRODUCTO'!$A$4:$B$156,2,FALSE)</f>
        <v>0</v>
      </c>
      <c r="F1039">
        <f>INDEX('[1]CÓDIGOS DE PRODUCTO'!$C$3:$C$1000,MATCH(C1039,'[1]CÓDIGOS DE PRODUCTO'!$A$3:$A$1000,0))</f>
        <v>0</v>
      </c>
      <c r="G1039">
        <f>+'[1]VENTAS(RESUMEN GLOBAL)'!D1039-'[1]VENTAS(RESUMEN GLOBAL)'!E1039</f>
        <v>0</v>
      </c>
      <c r="H1039" s="9">
        <f>+'[1]VENTAS(RESUMEN GLOBAL)'!K1039</f>
        <v>0</v>
      </c>
      <c r="I1039" s="8">
        <f>+G1039*'[1]VENTAS(RESUMEN GLOBAL)'!F1039</f>
        <v>0</v>
      </c>
      <c r="J1039" s="8">
        <f>'[1]VENTAS(RESUMEN GLOBAL)'!G1039*(1-'[1]VENTAS(RESUMEN GLOBAL)'!H1039)</f>
        <v>0</v>
      </c>
      <c r="K1039" s="8">
        <f t="shared" si="16"/>
        <v>0</v>
      </c>
      <c r="L1039" s="8">
        <f>+'[1]VENTAS(RESUMEN GLOBAL)'!J1039</f>
        <v>0</v>
      </c>
      <c r="M1039" s="8">
        <f>+Tabla1[[#This Row],[utilidad x dia]]*7</f>
        <v>0</v>
      </c>
    </row>
    <row r="1040" spans="1:13" x14ac:dyDescent="0.3">
      <c r="A1040" s="6">
        <f>+'[1]VENTAS(RESUMEN GLOBAL)'!L1040</f>
        <v>0</v>
      </c>
      <c r="B1040" s="6">
        <f>+'[1]VENTAS(RESUMEN GLOBAL)'!M1040</f>
        <v>0</v>
      </c>
      <c r="C1040">
        <f>+'[1]VENTAS(RESUMEN GLOBAL)'!B1040</f>
        <v>0</v>
      </c>
      <c r="D1040" t="e">
        <f>INDEX('[1]CÓDIGOS DE PRODUCTO'!$D$3:$D$1000,MATCH(C1040,'[1]CÓDIGOS DE PRODUCTO'!$A$3:$A$1000,0))</f>
        <v>#N/A</v>
      </c>
      <c r="E1040">
        <f>VLOOKUP(C1040,'[1]CÓDIGOS DE PRODUCTO'!$A$4:$B$156,2,FALSE)</f>
        <v>0</v>
      </c>
      <c r="F1040">
        <f>INDEX('[1]CÓDIGOS DE PRODUCTO'!$C$3:$C$1000,MATCH(C1040,'[1]CÓDIGOS DE PRODUCTO'!$A$3:$A$1000,0))</f>
        <v>0</v>
      </c>
      <c r="G1040">
        <f>+'[1]VENTAS(RESUMEN GLOBAL)'!D1040-'[1]VENTAS(RESUMEN GLOBAL)'!E1040</f>
        <v>0</v>
      </c>
      <c r="H1040" s="9">
        <f>+'[1]VENTAS(RESUMEN GLOBAL)'!K1040</f>
        <v>0</v>
      </c>
      <c r="I1040" s="8">
        <f>+G1040*'[1]VENTAS(RESUMEN GLOBAL)'!F1040</f>
        <v>0</v>
      </c>
      <c r="J1040" s="8">
        <f>'[1]VENTAS(RESUMEN GLOBAL)'!G1040*(1-'[1]VENTAS(RESUMEN GLOBAL)'!H1040)</f>
        <v>0</v>
      </c>
      <c r="K1040" s="8">
        <f t="shared" si="16"/>
        <v>0</v>
      </c>
      <c r="L1040" s="8">
        <f>+'[1]VENTAS(RESUMEN GLOBAL)'!J1040</f>
        <v>0</v>
      </c>
      <c r="M1040" s="8">
        <f>+Tabla1[[#This Row],[utilidad x dia]]*7</f>
        <v>0</v>
      </c>
    </row>
    <row r="1041" spans="1:13" x14ac:dyDescent="0.3">
      <c r="A1041" s="6">
        <f>+'[1]VENTAS(RESUMEN GLOBAL)'!L1041</f>
        <v>0</v>
      </c>
      <c r="B1041" s="6">
        <f>+'[1]VENTAS(RESUMEN GLOBAL)'!M1041</f>
        <v>0</v>
      </c>
      <c r="C1041">
        <f>+'[1]VENTAS(RESUMEN GLOBAL)'!B1041</f>
        <v>0</v>
      </c>
      <c r="D1041" t="e">
        <f>INDEX('[1]CÓDIGOS DE PRODUCTO'!$D$3:$D$1000,MATCH(C1041,'[1]CÓDIGOS DE PRODUCTO'!$A$3:$A$1000,0))</f>
        <v>#N/A</v>
      </c>
      <c r="E1041">
        <f>VLOOKUP(C1041,'[1]CÓDIGOS DE PRODUCTO'!$A$4:$B$156,2,FALSE)</f>
        <v>0</v>
      </c>
      <c r="F1041">
        <f>INDEX('[1]CÓDIGOS DE PRODUCTO'!$C$3:$C$1000,MATCH(C1041,'[1]CÓDIGOS DE PRODUCTO'!$A$3:$A$1000,0))</f>
        <v>0</v>
      </c>
      <c r="G1041">
        <f>+'[1]VENTAS(RESUMEN GLOBAL)'!D1041-'[1]VENTAS(RESUMEN GLOBAL)'!E1041</f>
        <v>0</v>
      </c>
      <c r="H1041" s="9">
        <f>+'[1]VENTAS(RESUMEN GLOBAL)'!K1041</f>
        <v>0</v>
      </c>
      <c r="I1041" s="8">
        <f>+G1041*'[1]VENTAS(RESUMEN GLOBAL)'!F1041</f>
        <v>0</v>
      </c>
      <c r="J1041" s="8">
        <f>'[1]VENTAS(RESUMEN GLOBAL)'!G1041*(1-'[1]VENTAS(RESUMEN GLOBAL)'!H1041)</f>
        <v>0</v>
      </c>
      <c r="K1041" s="8">
        <f t="shared" si="16"/>
        <v>0</v>
      </c>
      <c r="L1041" s="8">
        <f>+'[1]VENTAS(RESUMEN GLOBAL)'!J1041</f>
        <v>0</v>
      </c>
      <c r="M1041" s="8">
        <f>+Tabla1[[#This Row],[utilidad x dia]]*7</f>
        <v>0</v>
      </c>
    </row>
    <row r="1042" spans="1:13" x14ac:dyDescent="0.3">
      <c r="A1042" s="6">
        <f>+'[1]VENTAS(RESUMEN GLOBAL)'!L1042</f>
        <v>0</v>
      </c>
      <c r="B1042" s="6">
        <f>+'[1]VENTAS(RESUMEN GLOBAL)'!M1042</f>
        <v>0</v>
      </c>
      <c r="C1042">
        <f>+'[1]VENTAS(RESUMEN GLOBAL)'!B1042</f>
        <v>0</v>
      </c>
      <c r="D1042" t="e">
        <f>INDEX('[1]CÓDIGOS DE PRODUCTO'!$D$3:$D$1000,MATCH(C1042,'[1]CÓDIGOS DE PRODUCTO'!$A$3:$A$1000,0))</f>
        <v>#N/A</v>
      </c>
      <c r="E1042">
        <f>VLOOKUP(C1042,'[1]CÓDIGOS DE PRODUCTO'!$A$4:$B$156,2,FALSE)</f>
        <v>0</v>
      </c>
      <c r="F1042">
        <f>INDEX('[1]CÓDIGOS DE PRODUCTO'!$C$3:$C$1000,MATCH(C1042,'[1]CÓDIGOS DE PRODUCTO'!$A$3:$A$1000,0))</f>
        <v>0</v>
      </c>
      <c r="G1042">
        <f>+'[1]VENTAS(RESUMEN GLOBAL)'!D1042-'[1]VENTAS(RESUMEN GLOBAL)'!E1042</f>
        <v>0</v>
      </c>
      <c r="H1042" s="9">
        <f>+'[1]VENTAS(RESUMEN GLOBAL)'!K1042</f>
        <v>0</v>
      </c>
      <c r="I1042" s="8">
        <f>+G1042*'[1]VENTAS(RESUMEN GLOBAL)'!F1042</f>
        <v>0</v>
      </c>
      <c r="J1042" s="8">
        <f>'[1]VENTAS(RESUMEN GLOBAL)'!G1042*(1-'[1]VENTAS(RESUMEN GLOBAL)'!H1042)</f>
        <v>0</v>
      </c>
      <c r="K1042" s="8">
        <f t="shared" si="16"/>
        <v>0</v>
      </c>
      <c r="L1042" s="8">
        <f>+'[1]VENTAS(RESUMEN GLOBAL)'!J1042</f>
        <v>0</v>
      </c>
      <c r="M1042" s="8">
        <f>+Tabla1[[#This Row],[utilidad x dia]]*7</f>
        <v>0</v>
      </c>
    </row>
    <row r="1043" spans="1:13" x14ac:dyDescent="0.3">
      <c r="A1043" s="6">
        <f>+'[1]VENTAS(RESUMEN GLOBAL)'!L1043</f>
        <v>0</v>
      </c>
      <c r="B1043" s="6">
        <f>+'[1]VENTAS(RESUMEN GLOBAL)'!M1043</f>
        <v>0</v>
      </c>
      <c r="C1043">
        <f>+'[1]VENTAS(RESUMEN GLOBAL)'!B1043</f>
        <v>0</v>
      </c>
      <c r="D1043" t="e">
        <f>INDEX('[1]CÓDIGOS DE PRODUCTO'!$D$3:$D$1000,MATCH(C1043,'[1]CÓDIGOS DE PRODUCTO'!$A$3:$A$1000,0))</f>
        <v>#N/A</v>
      </c>
      <c r="E1043">
        <f>VLOOKUP(C1043,'[1]CÓDIGOS DE PRODUCTO'!$A$4:$B$156,2,FALSE)</f>
        <v>0</v>
      </c>
      <c r="F1043">
        <f>INDEX('[1]CÓDIGOS DE PRODUCTO'!$C$3:$C$1000,MATCH(C1043,'[1]CÓDIGOS DE PRODUCTO'!$A$3:$A$1000,0))</f>
        <v>0</v>
      </c>
      <c r="G1043">
        <f>+'[1]VENTAS(RESUMEN GLOBAL)'!D1043-'[1]VENTAS(RESUMEN GLOBAL)'!E1043</f>
        <v>0</v>
      </c>
      <c r="H1043" s="9">
        <f>+'[1]VENTAS(RESUMEN GLOBAL)'!K1043</f>
        <v>0</v>
      </c>
      <c r="I1043" s="8">
        <f>+G1043*'[1]VENTAS(RESUMEN GLOBAL)'!F1043</f>
        <v>0</v>
      </c>
      <c r="J1043" s="8">
        <f>'[1]VENTAS(RESUMEN GLOBAL)'!G1043*(1-'[1]VENTAS(RESUMEN GLOBAL)'!H1043)</f>
        <v>0</v>
      </c>
      <c r="K1043" s="8">
        <f t="shared" si="16"/>
        <v>0</v>
      </c>
      <c r="L1043" s="8">
        <f>+'[1]VENTAS(RESUMEN GLOBAL)'!J1043</f>
        <v>0</v>
      </c>
      <c r="M1043" s="8">
        <f>+Tabla1[[#This Row],[utilidad x dia]]*7</f>
        <v>0</v>
      </c>
    </row>
    <row r="1044" spans="1:13" x14ac:dyDescent="0.3">
      <c r="A1044" s="6">
        <f>+'[1]VENTAS(RESUMEN GLOBAL)'!L1044</f>
        <v>0</v>
      </c>
      <c r="B1044" s="6">
        <f>+'[1]VENTAS(RESUMEN GLOBAL)'!M1044</f>
        <v>0</v>
      </c>
      <c r="C1044">
        <f>+'[1]VENTAS(RESUMEN GLOBAL)'!B1044</f>
        <v>0</v>
      </c>
      <c r="D1044" t="e">
        <f>INDEX('[1]CÓDIGOS DE PRODUCTO'!$D$3:$D$1000,MATCH(C1044,'[1]CÓDIGOS DE PRODUCTO'!$A$3:$A$1000,0))</f>
        <v>#N/A</v>
      </c>
      <c r="E1044">
        <f>VLOOKUP(C1044,'[1]CÓDIGOS DE PRODUCTO'!$A$4:$B$156,2,FALSE)</f>
        <v>0</v>
      </c>
      <c r="F1044">
        <f>INDEX('[1]CÓDIGOS DE PRODUCTO'!$C$3:$C$1000,MATCH(C1044,'[1]CÓDIGOS DE PRODUCTO'!$A$3:$A$1000,0))</f>
        <v>0</v>
      </c>
      <c r="G1044">
        <f>+'[1]VENTAS(RESUMEN GLOBAL)'!D1044-'[1]VENTAS(RESUMEN GLOBAL)'!E1044</f>
        <v>0</v>
      </c>
      <c r="H1044" s="9">
        <f>+'[1]VENTAS(RESUMEN GLOBAL)'!K1044</f>
        <v>0</v>
      </c>
      <c r="I1044" s="8">
        <f>+G1044*'[1]VENTAS(RESUMEN GLOBAL)'!F1044</f>
        <v>0</v>
      </c>
      <c r="J1044" s="8">
        <f>'[1]VENTAS(RESUMEN GLOBAL)'!G1044*(1-'[1]VENTAS(RESUMEN GLOBAL)'!H1044)</f>
        <v>0</v>
      </c>
      <c r="K1044" s="8">
        <f t="shared" si="16"/>
        <v>0</v>
      </c>
      <c r="L1044" s="8">
        <f>+'[1]VENTAS(RESUMEN GLOBAL)'!J1044</f>
        <v>0</v>
      </c>
      <c r="M1044" s="8">
        <f>+Tabla1[[#This Row],[utilidad x dia]]*7</f>
        <v>0</v>
      </c>
    </row>
    <row r="1045" spans="1:13" x14ac:dyDescent="0.3">
      <c r="A1045" s="6">
        <f>+'[1]VENTAS(RESUMEN GLOBAL)'!L1045</f>
        <v>0</v>
      </c>
      <c r="B1045" s="6">
        <f>+'[1]VENTAS(RESUMEN GLOBAL)'!M1045</f>
        <v>0</v>
      </c>
      <c r="C1045">
        <f>+'[1]VENTAS(RESUMEN GLOBAL)'!B1045</f>
        <v>0</v>
      </c>
      <c r="D1045" t="e">
        <f>INDEX('[1]CÓDIGOS DE PRODUCTO'!$D$3:$D$1000,MATCH(C1045,'[1]CÓDIGOS DE PRODUCTO'!$A$3:$A$1000,0))</f>
        <v>#N/A</v>
      </c>
      <c r="E1045">
        <f>VLOOKUP(C1045,'[1]CÓDIGOS DE PRODUCTO'!$A$4:$B$156,2,FALSE)</f>
        <v>0</v>
      </c>
      <c r="F1045">
        <f>INDEX('[1]CÓDIGOS DE PRODUCTO'!$C$3:$C$1000,MATCH(C1045,'[1]CÓDIGOS DE PRODUCTO'!$A$3:$A$1000,0))</f>
        <v>0</v>
      </c>
      <c r="G1045">
        <f>+'[1]VENTAS(RESUMEN GLOBAL)'!D1045-'[1]VENTAS(RESUMEN GLOBAL)'!E1045</f>
        <v>0</v>
      </c>
      <c r="H1045" s="9">
        <f>+'[1]VENTAS(RESUMEN GLOBAL)'!K1045</f>
        <v>0</v>
      </c>
      <c r="I1045" s="8">
        <f>+G1045*'[1]VENTAS(RESUMEN GLOBAL)'!F1045</f>
        <v>0</v>
      </c>
      <c r="J1045" s="8">
        <f>'[1]VENTAS(RESUMEN GLOBAL)'!G1045*(1-'[1]VENTAS(RESUMEN GLOBAL)'!H1045)</f>
        <v>0</v>
      </c>
      <c r="K1045" s="8">
        <f t="shared" si="16"/>
        <v>0</v>
      </c>
      <c r="L1045" s="8">
        <f>+'[1]VENTAS(RESUMEN GLOBAL)'!J1045</f>
        <v>0</v>
      </c>
      <c r="M1045" s="8">
        <f>+Tabla1[[#This Row],[utilidad x dia]]*7</f>
        <v>0</v>
      </c>
    </row>
    <row r="1046" spans="1:13" x14ac:dyDescent="0.3">
      <c r="A1046" s="6">
        <f>+'[1]VENTAS(RESUMEN GLOBAL)'!L1046</f>
        <v>0</v>
      </c>
      <c r="B1046" s="6">
        <f>+'[1]VENTAS(RESUMEN GLOBAL)'!M1046</f>
        <v>0</v>
      </c>
      <c r="C1046">
        <f>+'[1]VENTAS(RESUMEN GLOBAL)'!B1046</f>
        <v>0</v>
      </c>
      <c r="D1046" t="e">
        <f>INDEX('[1]CÓDIGOS DE PRODUCTO'!$D$3:$D$1000,MATCH(C1046,'[1]CÓDIGOS DE PRODUCTO'!$A$3:$A$1000,0))</f>
        <v>#N/A</v>
      </c>
      <c r="E1046">
        <f>VLOOKUP(C1046,'[1]CÓDIGOS DE PRODUCTO'!$A$4:$B$156,2,FALSE)</f>
        <v>0</v>
      </c>
      <c r="F1046">
        <f>INDEX('[1]CÓDIGOS DE PRODUCTO'!$C$3:$C$1000,MATCH(C1046,'[1]CÓDIGOS DE PRODUCTO'!$A$3:$A$1000,0))</f>
        <v>0</v>
      </c>
      <c r="G1046">
        <f>+'[1]VENTAS(RESUMEN GLOBAL)'!D1046-'[1]VENTAS(RESUMEN GLOBAL)'!E1046</f>
        <v>0</v>
      </c>
      <c r="H1046" s="9">
        <f>+'[1]VENTAS(RESUMEN GLOBAL)'!K1046</f>
        <v>0</v>
      </c>
      <c r="I1046" s="8">
        <f>+G1046*'[1]VENTAS(RESUMEN GLOBAL)'!F1046</f>
        <v>0</v>
      </c>
      <c r="J1046" s="8">
        <f>'[1]VENTAS(RESUMEN GLOBAL)'!G1046*(1-'[1]VENTAS(RESUMEN GLOBAL)'!H1046)</f>
        <v>0</v>
      </c>
      <c r="K1046" s="8">
        <f t="shared" si="16"/>
        <v>0</v>
      </c>
      <c r="L1046" s="8">
        <f>+'[1]VENTAS(RESUMEN GLOBAL)'!J1046</f>
        <v>0</v>
      </c>
      <c r="M1046" s="8">
        <f>+Tabla1[[#This Row],[utilidad x dia]]*7</f>
        <v>0</v>
      </c>
    </row>
    <row r="1047" spans="1:13" x14ac:dyDescent="0.3">
      <c r="A1047" s="6">
        <f>+'[1]VENTAS(RESUMEN GLOBAL)'!L1047</f>
        <v>0</v>
      </c>
      <c r="B1047" s="6">
        <f>+'[1]VENTAS(RESUMEN GLOBAL)'!M1047</f>
        <v>0</v>
      </c>
      <c r="C1047">
        <f>+'[1]VENTAS(RESUMEN GLOBAL)'!B1047</f>
        <v>0</v>
      </c>
      <c r="D1047" t="e">
        <f>INDEX('[1]CÓDIGOS DE PRODUCTO'!$D$3:$D$1000,MATCH(C1047,'[1]CÓDIGOS DE PRODUCTO'!$A$3:$A$1000,0))</f>
        <v>#N/A</v>
      </c>
      <c r="E1047">
        <f>VLOOKUP(C1047,'[1]CÓDIGOS DE PRODUCTO'!$A$4:$B$156,2,FALSE)</f>
        <v>0</v>
      </c>
      <c r="F1047">
        <f>INDEX('[1]CÓDIGOS DE PRODUCTO'!$C$3:$C$1000,MATCH(C1047,'[1]CÓDIGOS DE PRODUCTO'!$A$3:$A$1000,0))</f>
        <v>0</v>
      </c>
      <c r="G1047">
        <f>+'[1]VENTAS(RESUMEN GLOBAL)'!D1047-'[1]VENTAS(RESUMEN GLOBAL)'!E1047</f>
        <v>0</v>
      </c>
      <c r="H1047" s="9">
        <f>+'[1]VENTAS(RESUMEN GLOBAL)'!K1047</f>
        <v>0</v>
      </c>
      <c r="I1047" s="8">
        <f>+G1047*'[1]VENTAS(RESUMEN GLOBAL)'!F1047</f>
        <v>0</v>
      </c>
      <c r="J1047" s="8">
        <f>'[1]VENTAS(RESUMEN GLOBAL)'!G1047*(1-'[1]VENTAS(RESUMEN GLOBAL)'!H1047)</f>
        <v>0</v>
      </c>
      <c r="K1047" s="8">
        <f t="shared" si="16"/>
        <v>0</v>
      </c>
      <c r="L1047" s="8">
        <f>+'[1]VENTAS(RESUMEN GLOBAL)'!J1047</f>
        <v>0</v>
      </c>
      <c r="M1047" s="8">
        <f>+Tabla1[[#This Row],[utilidad x dia]]*7</f>
        <v>0</v>
      </c>
    </row>
    <row r="1048" spans="1:13" x14ac:dyDescent="0.3">
      <c r="A1048" s="6">
        <f>+'[1]VENTAS(RESUMEN GLOBAL)'!L1048</f>
        <v>0</v>
      </c>
      <c r="B1048" s="6">
        <f>+'[1]VENTAS(RESUMEN GLOBAL)'!M1048</f>
        <v>0</v>
      </c>
      <c r="C1048">
        <f>+'[1]VENTAS(RESUMEN GLOBAL)'!B1048</f>
        <v>0</v>
      </c>
      <c r="D1048" t="e">
        <f>INDEX('[1]CÓDIGOS DE PRODUCTO'!$D$3:$D$1000,MATCH(C1048,'[1]CÓDIGOS DE PRODUCTO'!$A$3:$A$1000,0))</f>
        <v>#N/A</v>
      </c>
      <c r="E1048">
        <f>VLOOKUP(C1048,'[1]CÓDIGOS DE PRODUCTO'!$A$4:$B$156,2,FALSE)</f>
        <v>0</v>
      </c>
      <c r="F1048">
        <f>INDEX('[1]CÓDIGOS DE PRODUCTO'!$C$3:$C$1000,MATCH(C1048,'[1]CÓDIGOS DE PRODUCTO'!$A$3:$A$1000,0))</f>
        <v>0</v>
      </c>
      <c r="G1048">
        <f>+'[1]VENTAS(RESUMEN GLOBAL)'!D1048-'[1]VENTAS(RESUMEN GLOBAL)'!E1048</f>
        <v>0</v>
      </c>
      <c r="H1048" s="9">
        <f>+'[1]VENTAS(RESUMEN GLOBAL)'!K1048</f>
        <v>0</v>
      </c>
      <c r="I1048" s="8">
        <f>+G1048*'[1]VENTAS(RESUMEN GLOBAL)'!F1048</f>
        <v>0</v>
      </c>
      <c r="J1048" s="8">
        <f>'[1]VENTAS(RESUMEN GLOBAL)'!G1048*(1-'[1]VENTAS(RESUMEN GLOBAL)'!H1048)</f>
        <v>0</v>
      </c>
      <c r="K1048" s="8">
        <f t="shared" si="16"/>
        <v>0</v>
      </c>
      <c r="L1048" s="8">
        <f>+'[1]VENTAS(RESUMEN GLOBAL)'!J1048</f>
        <v>0</v>
      </c>
      <c r="M1048" s="8">
        <f>+Tabla1[[#This Row],[utilidad x dia]]*7</f>
        <v>0</v>
      </c>
    </row>
    <row r="1049" spans="1:13" x14ac:dyDescent="0.3">
      <c r="A1049" s="6">
        <f>+'[1]VENTAS(RESUMEN GLOBAL)'!L1049</f>
        <v>0</v>
      </c>
      <c r="B1049" s="6">
        <f>+'[1]VENTAS(RESUMEN GLOBAL)'!M1049</f>
        <v>0</v>
      </c>
      <c r="C1049">
        <f>+'[1]VENTAS(RESUMEN GLOBAL)'!B1049</f>
        <v>0</v>
      </c>
      <c r="D1049" t="e">
        <f>INDEX('[1]CÓDIGOS DE PRODUCTO'!$D$3:$D$1000,MATCH(C1049,'[1]CÓDIGOS DE PRODUCTO'!$A$3:$A$1000,0))</f>
        <v>#N/A</v>
      </c>
      <c r="E1049">
        <f>VLOOKUP(C1049,'[1]CÓDIGOS DE PRODUCTO'!$A$4:$B$156,2,FALSE)</f>
        <v>0</v>
      </c>
      <c r="F1049">
        <f>INDEX('[1]CÓDIGOS DE PRODUCTO'!$C$3:$C$1000,MATCH(C1049,'[1]CÓDIGOS DE PRODUCTO'!$A$3:$A$1000,0))</f>
        <v>0</v>
      </c>
      <c r="G1049">
        <f>+'[1]VENTAS(RESUMEN GLOBAL)'!D1049-'[1]VENTAS(RESUMEN GLOBAL)'!E1049</f>
        <v>0</v>
      </c>
      <c r="H1049" s="9">
        <f>+'[1]VENTAS(RESUMEN GLOBAL)'!K1049</f>
        <v>0</v>
      </c>
      <c r="I1049" s="8">
        <f>+G1049*'[1]VENTAS(RESUMEN GLOBAL)'!F1049</f>
        <v>0</v>
      </c>
      <c r="J1049" s="8">
        <f>'[1]VENTAS(RESUMEN GLOBAL)'!G1049*(1-'[1]VENTAS(RESUMEN GLOBAL)'!H1049)</f>
        <v>0</v>
      </c>
      <c r="K1049" s="8">
        <f t="shared" si="16"/>
        <v>0</v>
      </c>
      <c r="L1049" s="8">
        <f>+'[1]VENTAS(RESUMEN GLOBAL)'!J1049</f>
        <v>0</v>
      </c>
      <c r="M1049" s="8">
        <f>+Tabla1[[#This Row],[utilidad x dia]]*7</f>
        <v>0</v>
      </c>
    </row>
    <row r="1050" spans="1:13" x14ac:dyDescent="0.3">
      <c r="A1050" s="6">
        <f>+'[1]VENTAS(RESUMEN GLOBAL)'!L1050</f>
        <v>0</v>
      </c>
      <c r="B1050" s="6">
        <f>+'[1]VENTAS(RESUMEN GLOBAL)'!M1050</f>
        <v>0</v>
      </c>
      <c r="C1050">
        <f>+'[1]VENTAS(RESUMEN GLOBAL)'!B1050</f>
        <v>0</v>
      </c>
      <c r="D1050" t="e">
        <f>INDEX('[1]CÓDIGOS DE PRODUCTO'!$D$3:$D$1000,MATCH(C1050,'[1]CÓDIGOS DE PRODUCTO'!$A$3:$A$1000,0))</f>
        <v>#N/A</v>
      </c>
      <c r="E1050">
        <f>VLOOKUP(C1050,'[1]CÓDIGOS DE PRODUCTO'!$A$4:$B$156,2,FALSE)</f>
        <v>0</v>
      </c>
      <c r="F1050">
        <f>INDEX('[1]CÓDIGOS DE PRODUCTO'!$C$3:$C$1000,MATCH(C1050,'[1]CÓDIGOS DE PRODUCTO'!$A$3:$A$1000,0))</f>
        <v>0</v>
      </c>
      <c r="G1050">
        <f>+'[1]VENTAS(RESUMEN GLOBAL)'!D1050-'[1]VENTAS(RESUMEN GLOBAL)'!E1050</f>
        <v>0</v>
      </c>
      <c r="H1050" s="9">
        <f>+'[1]VENTAS(RESUMEN GLOBAL)'!K1050</f>
        <v>0</v>
      </c>
      <c r="I1050" s="8">
        <f>+G1050*'[1]VENTAS(RESUMEN GLOBAL)'!F1050</f>
        <v>0</v>
      </c>
      <c r="J1050" s="8">
        <f>'[1]VENTAS(RESUMEN GLOBAL)'!G1050*(1-'[1]VENTAS(RESUMEN GLOBAL)'!H1050)</f>
        <v>0</v>
      </c>
      <c r="K1050" s="8">
        <f t="shared" si="16"/>
        <v>0</v>
      </c>
      <c r="L1050" s="8">
        <f>+'[1]VENTAS(RESUMEN GLOBAL)'!J1050</f>
        <v>0</v>
      </c>
      <c r="M1050" s="8">
        <f>+Tabla1[[#This Row],[utilidad x dia]]*7</f>
        <v>0</v>
      </c>
    </row>
    <row r="1051" spans="1:13" x14ac:dyDescent="0.3">
      <c r="A1051" s="6">
        <f>+'[1]VENTAS(RESUMEN GLOBAL)'!L1051</f>
        <v>0</v>
      </c>
      <c r="B1051" s="6">
        <f>+'[1]VENTAS(RESUMEN GLOBAL)'!M1051</f>
        <v>0</v>
      </c>
      <c r="C1051">
        <f>+'[1]VENTAS(RESUMEN GLOBAL)'!B1051</f>
        <v>0</v>
      </c>
      <c r="D1051" t="e">
        <f>INDEX('[1]CÓDIGOS DE PRODUCTO'!$D$3:$D$1000,MATCH(C1051,'[1]CÓDIGOS DE PRODUCTO'!$A$3:$A$1000,0))</f>
        <v>#N/A</v>
      </c>
      <c r="E1051">
        <f>VLOOKUP(C1051,'[1]CÓDIGOS DE PRODUCTO'!$A$4:$B$156,2,FALSE)</f>
        <v>0</v>
      </c>
      <c r="F1051">
        <f>INDEX('[1]CÓDIGOS DE PRODUCTO'!$C$3:$C$1000,MATCH(C1051,'[1]CÓDIGOS DE PRODUCTO'!$A$3:$A$1000,0))</f>
        <v>0</v>
      </c>
      <c r="G1051">
        <f>+'[1]VENTAS(RESUMEN GLOBAL)'!D1051-'[1]VENTAS(RESUMEN GLOBAL)'!E1051</f>
        <v>0</v>
      </c>
      <c r="H1051" s="9">
        <f>+'[1]VENTAS(RESUMEN GLOBAL)'!K1051</f>
        <v>0</v>
      </c>
      <c r="I1051" s="8">
        <f>+G1051*'[1]VENTAS(RESUMEN GLOBAL)'!F1051</f>
        <v>0</v>
      </c>
      <c r="J1051" s="8">
        <f>'[1]VENTAS(RESUMEN GLOBAL)'!G1051*(1-'[1]VENTAS(RESUMEN GLOBAL)'!H1051)</f>
        <v>0</v>
      </c>
      <c r="K1051" s="8">
        <f t="shared" si="16"/>
        <v>0</v>
      </c>
      <c r="L1051" s="8">
        <f>+'[1]VENTAS(RESUMEN GLOBAL)'!J1051</f>
        <v>0</v>
      </c>
      <c r="M1051" s="8">
        <f>+Tabla1[[#This Row],[utilidad x dia]]*7</f>
        <v>0</v>
      </c>
    </row>
    <row r="1052" spans="1:13" x14ac:dyDescent="0.3">
      <c r="A1052" s="6">
        <f>+'[1]VENTAS(RESUMEN GLOBAL)'!L1052</f>
        <v>0</v>
      </c>
      <c r="B1052" s="6">
        <f>+'[1]VENTAS(RESUMEN GLOBAL)'!M1052</f>
        <v>0</v>
      </c>
      <c r="C1052">
        <f>+'[1]VENTAS(RESUMEN GLOBAL)'!B1052</f>
        <v>0</v>
      </c>
      <c r="D1052" t="e">
        <f>INDEX('[1]CÓDIGOS DE PRODUCTO'!$D$3:$D$1000,MATCH(C1052,'[1]CÓDIGOS DE PRODUCTO'!$A$3:$A$1000,0))</f>
        <v>#N/A</v>
      </c>
      <c r="E1052">
        <f>VLOOKUP(C1052,'[1]CÓDIGOS DE PRODUCTO'!$A$4:$B$156,2,FALSE)</f>
        <v>0</v>
      </c>
      <c r="F1052">
        <f>INDEX('[1]CÓDIGOS DE PRODUCTO'!$C$3:$C$1000,MATCH(C1052,'[1]CÓDIGOS DE PRODUCTO'!$A$3:$A$1000,0))</f>
        <v>0</v>
      </c>
      <c r="G1052">
        <f>+'[1]VENTAS(RESUMEN GLOBAL)'!D1052-'[1]VENTAS(RESUMEN GLOBAL)'!E1052</f>
        <v>0</v>
      </c>
      <c r="H1052" s="9">
        <f>+'[1]VENTAS(RESUMEN GLOBAL)'!K1052</f>
        <v>0</v>
      </c>
      <c r="I1052" s="8">
        <f>+G1052*'[1]VENTAS(RESUMEN GLOBAL)'!F1052</f>
        <v>0</v>
      </c>
      <c r="J1052" s="8">
        <f>'[1]VENTAS(RESUMEN GLOBAL)'!G1052*(1-'[1]VENTAS(RESUMEN GLOBAL)'!H1052)</f>
        <v>0</v>
      </c>
      <c r="K1052" s="8">
        <f t="shared" si="16"/>
        <v>0</v>
      </c>
      <c r="L1052" s="8">
        <f>+'[1]VENTAS(RESUMEN GLOBAL)'!J1052</f>
        <v>0</v>
      </c>
      <c r="M1052" s="8">
        <f>+Tabla1[[#This Row],[utilidad x dia]]*7</f>
        <v>0</v>
      </c>
    </row>
    <row r="1053" spans="1:13" x14ac:dyDescent="0.3">
      <c r="A1053" s="6">
        <f>+'[1]VENTAS(RESUMEN GLOBAL)'!L1053</f>
        <v>0</v>
      </c>
      <c r="B1053" s="6">
        <f>+'[1]VENTAS(RESUMEN GLOBAL)'!M1053</f>
        <v>0</v>
      </c>
      <c r="C1053">
        <f>+'[1]VENTAS(RESUMEN GLOBAL)'!B1053</f>
        <v>0</v>
      </c>
      <c r="D1053" t="e">
        <f>INDEX('[1]CÓDIGOS DE PRODUCTO'!$D$3:$D$1000,MATCH(C1053,'[1]CÓDIGOS DE PRODUCTO'!$A$3:$A$1000,0))</f>
        <v>#N/A</v>
      </c>
      <c r="E1053">
        <f>VLOOKUP(C1053,'[1]CÓDIGOS DE PRODUCTO'!$A$4:$B$156,2,FALSE)</f>
        <v>0</v>
      </c>
      <c r="F1053">
        <f>INDEX('[1]CÓDIGOS DE PRODUCTO'!$C$3:$C$1000,MATCH(C1053,'[1]CÓDIGOS DE PRODUCTO'!$A$3:$A$1000,0))</f>
        <v>0</v>
      </c>
      <c r="G1053">
        <f>+'[1]VENTAS(RESUMEN GLOBAL)'!D1053-'[1]VENTAS(RESUMEN GLOBAL)'!E1053</f>
        <v>0</v>
      </c>
      <c r="H1053" s="9">
        <f>+'[1]VENTAS(RESUMEN GLOBAL)'!K1053</f>
        <v>0</v>
      </c>
      <c r="I1053" s="8">
        <f>+G1053*'[1]VENTAS(RESUMEN GLOBAL)'!F1053</f>
        <v>0</v>
      </c>
      <c r="J1053" s="8">
        <f>'[1]VENTAS(RESUMEN GLOBAL)'!G1053*(1-'[1]VENTAS(RESUMEN GLOBAL)'!H1053)</f>
        <v>0</v>
      </c>
      <c r="K1053" s="8">
        <f t="shared" si="16"/>
        <v>0</v>
      </c>
      <c r="L1053" s="8">
        <f>+'[1]VENTAS(RESUMEN GLOBAL)'!J1053</f>
        <v>0</v>
      </c>
      <c r="M1053" s="8">
        <f>+Tabla1[[#This Row],[utilidad x dia]]*7</f>
        <v>0</v>
      </c>
    </row>
    <row r="1054" spans="1:13" x14ac:dyDescent="0.3">
      <c r="A1054" s="6">
        <f>+'[1]VENTAS(RESUMEN GLOBAL)'!L1054</f>
        <v>0</v>
      </c>
      <c r="B1054" s="6">
        <f>+'[1]VENTAS(RESUMEN GLOBAL)'!M1054</f>
        <v>0</v>
      </c>
      <c r="C1054">
        <f>+'[1]VENTAS(RESUMEN GLOBAL)'!B1054</f>
        <v>0</v>
      </c>
      <c r="D1054" t="e">
        <f>INDEX('[1]CÓDIGOS DE PRODUCTO'!$D$3:$D$1000,MATCH(C1054,'[1]CÓDIGOS DE PRODUCTO'!$A$3:$A$1000,0))</f>
        <v>#N/A</v>
      </c>
      <c r="E1054">
        <f>VLOOKUP(C1054,'[1]CÓDIGOS DE PRODUCTO'!$A$4:$B$156,2,FALSE)</f>
        <v>0</v>
      </c>
      <c r="F1054">
        <f>INDEX('[1]CÓDIGOS DE PRODUCTO'!$C$3:$C$1000,MATCH(C1054,'[1]CÓDIGOS DE PRODUCTO'!$A$3:$A$1000,0))</f>
        <v>0</v>
      </c>
      <c r="G1054">
        <f>+'[1]VENTAS(RESUMEN GLOBAL)'!D1054-'[1]VENTAS(RESUMEN GLOBAL)'!E1054</f>
        <v>0</v>
      </c>
      <c r="H1054" s="9">
        <f>+'[1]VENTAS(RESUMEN GLOBAL)'!K1054</f>
        <v>0</v>
      </c>
      <c r="I1054" s="8">
        <f>+G1054*'[1]VENTAS(RESUMEN GLOBAL)'!F1054</f>
        <v>0</v>
      </c>
      <c r="J1054" s="8">
        <f>'[1]VENTAS(RESUMEN GLOBAL)'!G1054*(1-'[1]VENTAS(RESUMEN GLOBAL)'!H1054)</f>
        <v>0</v>
      </c>
      <c r="K1054" s="8">
        <f t="shared" si="16"/>
        <v>0</v>
      </c>
      <c r="L1054" s="8">
        <f>+'[1]VENTAS(RESUMEN GLOBAL)'!J1054</f>
        <v>0</v>
      </c>
      <c r="M1054" s="8">
        <f>+Tabla1[[#This Row],[utilidad x dia]]*7</f>
        <v>0</v>
      </c>
    </row>
    <row r="1055" spans="1:13" x14ac:dyDescent="0.3">
      <c r="A1055" s="6">
        <f>+'[1]VENTAS(RESUMEN GLOBAL)'!L1055</f>
        <v>0</v>
      </c>
      <c r="B1055" s="6">
        <f>+'[1]VENTAS(RESUMEN GLOBAL)'!M1055</f>
        <v>0</v>
      </c>
      <c r="C1055">
        <f>+'[1]VENTAS(RESUMEN GLOBAL)'!B1055</f>
        <v>0</v>
      </c>
      <c r="D1055" t="e">
        <f>INDEX('[1]CÓDIGOS DE PRODUCTO'!$D$3:$D$1000,MATCH(C1055,'[1]CÓDIGOS DE PRODUCTO'!$A$3:$A$1000,0))</f>
        <v>#N/A</v>
      </c>
      <c r="E1055">
        <f>VLOOKUP(C1055,'[1]CÓDIGOS DE PRODUCTO'!$A$4:$B$156,2,FALSE)</f>
        <v>0</v>
      </c>
      <c r="F1055">
        <f>INDEX('[1]CÓDIGOS DE PRODUCTO'!$C$3:$C$1000,MATCH(C1055,'[1]CÓDIGOS DE PRODUCTO'!$A$3:$A$1000,0))</f>
        <v>0</v>
      </c>
      <c r="G1055">
        <f>+'[1]VENTAS(RESUMEN GLOBAL)'!D1055-'[1]VENTAS(RESUMEN GLOBAL)'!E1055</f>
        <v>0</v>
      </c>
      <c r="H1055" s="9">
        <f>+'[1]VENTAS(RESUMEN GLOBAL)'!K1055</f>
        <v>0</v>
      </c>
      <c r="I1055" s="8">
        <f>+G1055*'[1]VENTAS(RESUMEN GLOBAL)'!F1055</f>
        <v>0</v>
      </c>
      <c r="J1055" s="8">
        <f>'[1]VENTAS(RESUMEN GLOBAL)'!G1055*(1-'[1]VENTAS(RESUMEN GLOBAL)'!H1055)</f>
        <v>0</v>
      </c>
      <c r="K1055" s="8">
        <f t="shared" si="16"/>
        <v>0</v>
      </c>
      <c r="L1055" s="8">
        <f>+'[1]VENTAS(RESUMEN GLOBAL)'!J1055</f>
        <v>0</v>
      </c>
      <c r="M1055" s="8">
        <f>+Tabla1[[#This Row],[utilidad x dia]]*7</f>
        <v>0</v>
      </c>
    </row>
    <row r="1056" spans="1:13" x14ac:dyDescent="0.3">
      <c r="A1056" s="6">
        <f>+'[1]VENTAS(RESUMEN GLOBAL)'!L1056</f>
        <v>0</v>
      </c>
      <c r="B1056" s="6">
        <f>+'[1]VENTAS(RESUMEN GLOBAL)'!M1056</f>
        <v>0</v>
      </c>
      <c r="C1056">
        <f>+'[1]VENTAS(RESUMEN GLOBAL)'!B1056</f>
        <v>0</v>
      </c>
      <c r="D1056" t="e">
        <f>INDEX('[1]CÓDIGOS DE PRODUCTO'!$D$3:$D$1000,MATCH(C1056,'[1]CÓDIGOS DE PRODUCTO'!$A$3:$A$1000,0))</f>
        <v>#N/A</v>
      </c>
      <c r="E1056">
        <f>VLOOKUP(C1056,'[1]CÓDIGOS DE PRODUCTO'!$A$4:$B$156,2,FALSE)</f>
        <v>0</v>
      </c>
      <c r="F1056">
        <f>INDEX('[1]CÓDIGOS DE PRODUCTO'!$C$3:$C$1000,MATCH(C1056,'[1]CÓDIGOS DE PRODUCTO'!$A$3:$A$1000,0))</f>
        <v>0</v>
      </c>
      <c r="G1056">
        <f>+'[1]VENTAS(RESUMEN GLOBAL)'!D1056-'[1]VENTAS(RESUMEN GLOBAL)'!E1056</f>
        <v>0</v>
      </c>
      <c r="H1056" s="9">
        <f>+'[1]VENTAS(RESUMEN GLOBAL)'!K1056</f>
        <v>0</v>
      </c>
      <c r="I1056" s="8">
        <f>+G1056*'[1]VENTAS(RESUMEN GLOBAL)'!F1056</f>
        <v>0</v>
      </c>
      <c r="J1056" s="8">
        <f>'[1]VENTAS(RESUMEN GLOBAL)'!G1056*(1-'[1]VENTAS(RESUMEN GLOBAL)'!H1056)</f>
        <v>0</v>
      </c>
      <c r="K1056" s="8">
        <f t="shared" si="16"/>
        <v>0</v>
      </c>
      <c r="L1056" s="8">
        <f>+'[1]VENTAS(RESUMEN GLOBAL)'!J1056</f>
        <v>0</v>
      </c>
      <c r="M1056" s="8">
        <f>+Tabla1[[#This Row],[utilidad x dia]]*7</f>
        <v>0</v>
      </c>
    </row>
    <row r="1057" spans="1:13" x14ac:dyDescent="0.3">
      <c r="A1057" s="6">
        <f>+'[1]VENTAS(RESUMEN GLOBAL)'!L1057</f>
        <v>0</v>
      </c>
      <c r="B1057" s="6">
        <f>+'[1]VENTAS(RESUMEN GLOBAL)'!M1057</f>
        <v>0</v>
      </c>
      <c r="C1057">
        <f>+'[1]VENTAS(RESUMEN GLOBAL)'!B1057</f>
        <v>0</v>
      </c>
      <c r="D1057" t="e">
        <f>INDEX('[1]CÓDIGOS DE PRODUCTO'!$D$3:$D$1000,MATCH(C1057,'[1]CÓDIGOS DE PRODUCTO'!$A$3:$A$1000,0))</f>
        <v>#N/A</v>
      </c>
      <c r="E1057">
        <f>VLOOKUP(C1057,'[1]CÓDIGOS DE PRODUCTO'!$A$4:$B$156,2,FALSE)</f>
        <v>0</v>
      </c>
      <c r="F1057">
        <f>INDEX('[1]CÓDIGOS DE PRODUCTO'!$C$3:$C$1000,MATCH(C1057,'[1]CÓDIGOS DE PRODUCTO'!$A$3:$A$1000,0))</f>
        <v>0</v>
      </c>
      <c r="G1057">
        <f>+'[1]VENTAS(RESUMEN GLOBAL)'!D1057-'[1]VENTAS(RESUMEN GLOBAL)'!E1057</f>
        <v>0</v>
      </c>
      <c r="H1057" s="9">
        <f>+'[1]VENTAS(RESUMEN GLOBAL)'!K1057</f>
        <v>0</v>
      </c>
      <c r="I1057" s="8">
        <f>+G1057*'[1]VENTAS(RESUMEN GLOBAL)'!F1057</f>
        <v>0</v>
      </c>
      <c r="J1057" s="8">
        <f>'[1]VENTAS(RESUMEN GLOBAL)'!G1057*(1-'[1]VENTAS(RESUMEN GLOBAL)'!H1057)</f>
        <v>0</v>
      </c>
      <c r="K1057" s="8">
        <f t="shared" si="16"/>
        <v>0</v>
      </c>
      <c r="L1057" s="8">
        <f>+'[1]VENTAS(RESUMEN GLOBAL)'!J1057</f>
        <v>0</v>
      </c>
      <c r="M1057" s="8">
        <f>+Tabla1[[#This Row],[utilidad x dia]]*7</f>
        <v>0</v>
      </c>
    </row>
    <row r="1058" spans="1:13" x14ac:dyDescent="0.3">
      <c r="A1058" s="6">
        <f>+'[1]VENTAS(RESUMEN GLOBAL)'!L1058</f>
        <v>0</v>
      </c>
      <c r="B1058" s="6">
        <f>+'[1]VENTAS(RESUMEN GLOBAL)'!M1058</f>
        <v>0</v>
      </c>
      <c r="C1058">
        <f>+'[1]VENTAS(RESUMEN GLOBAL)'!B1058</f>
        <v>0</v>
      </c>
      <c r="D1058" t="e">
        <f>INDEX('[1]CÓDIGOS DE PRODUCTO'!$D$3:$D$1000,MATCH(C1058,'[1]CÓDIGOS DE PRODUCTO'!$A$3:$A$1000,0))</f>
        <v>#N/A</v>
      </c>
      <c r="E1058">
        <f>VLOOKUP(C1058,'[1]CÓDIGOS DE PRODUCTO'!$A$4:$B$156,2,FALSE)</f>
        <v>0</v>
      </c>
      <c r="F1058">
        <f>INDEX('[1]CÓDIGOS DE PRODUCTO'!$C$3:$C$1000,MATCH(C1058,'[1]CÓDIGOS DE PRODUCTO'!$A$3:$A$1000,0))</f>
        <v>0</v>
      </c>
      <c r="G1058">
        <f>+'[1]VENTAS(RESUMEN GLOBAL)'!D1058-'[1]VENTAS(RESUMEN GLOBAL)'!E1058</f>
        <v>0</v>
      </c>
      <c r="H1058" s="9">
        <f>+'[1]VENTAS(RESUMEN GLOBAL)'!K1058</f>
        <v>0</v>
      </c>
      <c r="I1058" s="8">
        <f>+G1058*'[1]VENTAS(RESUMEN GLOBAL)'!F1058</f>
        <v>0</v>
      </c>
      <c r="J1058" s="8">
        <f>'[1]VENTAS(RESUMEN GLOBAL)'!G1058*(1-'[1]VENTAS(RESUMEN GLOBAL)'!H1058)</f>
        <v>0</v>
      </c>
      <c r="K1058" s="8">
        <f t="shared" si="16"/>
        <v>0</v>
      </c>
      <c r="L1058" s="8">
        <f>+'[1]VENTAS(RESUMEN GLOBAL)'!J1058</f>
        <v>0</v>
      </c>
      <c r="M1058" s="8">
        <f>+Tabla1[[#This Row],[utilidad x dia]]*7</f>
        <v>0</v>
      </c>
    </row>
    <row r="1059" spans="1:13" x14ac:dyDescent="0.3">
      <c r="A1059" s="6">
        <f>+'[1]VENTAS(RESUMEN GLOBAL)'!L1059</f>
        <v>0</v>
      </c>
      <c r="B1059" s="6">
        <f>+'[1]VENTAS(RESUMEN GLOBAL)'!M1059</f>
        <v>0</v>
      </c>
      <c r="C1059">
        <f>+'[1]VENTAS(RESUMEN GLOBAL)'!B1059</f>
        <v>0</v>
      </c>
      <c r="D1059" t="e">
        <f>INDEX('[1]CÓDIGOS DE PRODUCTO'!$D$3:$D$1000,MATCH(C1059,'[1]CÓDIGOS DE PRODUCTO'!$A$3:$A$1000,0))</f>
        <v>#N/A</v>
      </c>
      <c r="E1059">
        <f>VLOOKUP(C1059,'[1]CÓDIGOS DE PRODUCTO'!$A$4:$B$156,2,FALSE)</f>
        <v>0</v>
      </c>
      <c r="F1059">
        <f>INDEX('[1]CÓDIGOS DE PRODUCTO'!$C$3:$C$1000,MATCH(C1059,'[1]CÓDIGOS DE PRODUCTO'!$A$3:$A$1000,0))</f>
        <v>0</v>
      </c>
      <c r="G1059">
        <f>+'[1]VENTAS(RESUMEN GLOBAL)'!D1059-'[1]VENTAS(RESUMEN GLOBAL)'!E1059</f>
        <v>0</v>
      </c>
      <c r="H1059" s="9">
        <f>+'[1]VENTAS(RESUMEN GLOBAL)'!K1059</f>
        <v>0</v>
      </c>
      <c r="I1059" s="8">
        <f>+G1059*'[1]VENTAS(RESUMEN GLOBAL)'!F1059</f>
        <v>0</v>
      </c>
      <c r="J1059" s="8">
        <f>'[1]VENTAS(RESUMEN GLOBAL)'!G1059*(1-'[1]VENTAS(RESUMEN GLOBAL)'!H1059)</f>
        <v>0</v>
      </c>
      <c r="K1059" s="8">
        <f t="shared" si="16"/>
        <v>0</v>
      </c>
      <c r="L1059" s="8">
        <f>+'[1]VENTAS(RESUMEN GLOBAL)'!J1059</f>
        <v>0</v>
      </c>
      <c r="M1059" s="8">
        <f>+Tabla1[[#This Row],[utilidad x dia]]*7</f>
        <v>0</v>
      </c>
    </row>
    <row r="1060" spans="1:13" x14ac:dyDescent="0.3">
      <c r="A1060" s="6">
        <f>+'[1]VENTAS(RESUMEN GLOBAL)'!L1060</f>
        <v>0</v>
      </c>
      <c r="B1060" s="6">
        <f>+'[1]VENTAS(RESUMEN GLOBAL)'!M1060</f>
        <v>0</v>
      </c>
      <c r="C1060">
        <f>+'[1]VENTAS(RESUMEN GLOBAL)'!B1060</f>
        <v>0</v>
      </c>
      <c r="D1060" t="e">
        <f>INDEX('[1]CÓDIGOS DE PRODUCTO'!$D$3:$D$1000,MATCH(C1060,'[1]CÓDIGOS DE PRODUCTO'!$A$3:$A$1000,0))</f>
        <v>#N/A</v>
      </c>
      <c r="E1060">
        <f>VLOOKUP(C1060,'[1]CÓDIGOS DE PRODUCTO'!$A$4:$B$156,2,FALSE)</f>
        <v>0</v>
      </c>
      <c r="F1060">
        <f>INDEX('[1]CÓDIGOS DE PRODUCTO'!$C$3:$C$1000,MATCH(C1060,'[1]CÓDIGOS DE PRODUCTO'!$A$3:$A$1000,0))</f>
        <v>0</v>
      </c>
      <c r="G1060">
        <f>+'[1]VENTAS(RESUMEN GLOBAL)'!D1060-'[1]VENTAS(RESUMEN GLOBAL)'!E1060</f>
        <v>0</v>
      </c>
      <c r="H1060" s="9">
        <f>+'[1]VENTAS(RESUMEN GLOBAL)'!K1060</f>
        <v>0</v>
      </c>
      <c r="I1060" s="8">
        <f>+G1060*'[1]VENTAS(RESUMEN GLOBAL)'!F1060</f>
        <v>0</v>
      </c>
      <c r="J1060" s="8">
        <f>'[1]VENTAS(RESUMEN GLOBAL)'!G1060*(1-'[1]VENTAS(RESUMEN GLOBAL)'!H1060)</f>
        <v>0</v>
      </c>
      <c r="K1060" s="8">
        <f t="shared" si="16"/>
        <v>0</v>
      </c>
      <c r="L1060" s="8">
        <f>+'[1]VENTAS(RESUMEN GLOBAL)'!J1060</f>
        <v>0</v>
      </c>
      <c r="M1060" s="8">
        <f>+Tabla1[[#This Row],[utilidad x dia]]*7</f>
        <v>0</v>
      </c>
    </row>
    <row r="1061" spans="1:13" x14ac:dyDescent="0.3">
      <c r="A1061" s="6">
        <f>+'[1]VENTAS(RESUMEN GLOBAL)'!L1061</f>
        <v>0</v>
      </c>
      <c r="B1061" s="6">
        <f>+'[1]VENTAS(RESUMEN GLOBAL)'!M1061</f>
        <v>0</v>
      </c>
      <c r="C1061">
        <f>+'[1]VENTAS(RESUMEN GLOBAL)'!B1061</f>
        <v>0</v>
      </c>
      <c r="D1061" t="e">
        <f>INDEX('[1]CÓDIGOS DE PRODUCTO'!$D$3:$D$1000,MATCH(C1061,'[1]CÓDIGOS DE PRODUCTO'!$A$3:$A$1000,0))</f>
        <v>#N/A</v>
      </c>
      <c r="E1061">
        <f>VLOOKUP(C1061,'[1]CÓDIGOS DE PRODUCTO'!$A$4:$B$156,2,FALSE)</f>
        <v>0</v>
      </c>
      <c r="F1061">
        <f>INDEX('[1]CÓDIGOS DE PRODUCTO'!$C$3:$C$1000,MATCH(C1061,'[1]CÓDIGOS DE PRODUCTO'!$A$3:$A$1000,0))</f>
        <v>0</v>
      </c>
      <c r="G1061">
        <f>+'[1]VENTAS(RESUMEN GLOBAL)'!D1061-'[1]VENTAS(RESUMEN GLOBAL)'!E1061</f>
        <v>0</v>
      </c>
      <c r="H1061" s="9">
        <f>+'[1]VENTAS(RESUMEN GLOBAL)'!K1061</f>
        <v>0</v>
      </c>
      <c r="I1061" s="8">
        <f>+G1061*'[1]VENTAS(RESUMEN GLOBAL)'!F1061</f>
        <v>0</v>
      </c>
      <c r="J1061" s="8">
        <f>'[1]VENTAS(RESUMEN GLOBAL)'!G1061*(1-'[1]VENTAS(RESUMEN GLOBAL)'!H1061)</f>
        <v>0</v>
      </c>
      <c r="K1061" s="8">
        <f t="shared" si="16"/>
        <v>0</v>
      </c>
      <c r="L1061" s="8">
        <f>+'[1]VENTAS(RESUMEN GLOBAL)'!J1061</f>
        <v>0</v>
      </c>
      <c r="M1061" s="8">
        <f>+Tabla1[[#This Row],[utilidad x dia]]*7</f>
        <v>0</v>
      </c>
    </row>
    <row r="1062" spans="1:13" x14ac:dyDescent="0.3">
      <c r="A1062" s="6">
        <f>+'[1]VENTAS(RESUMEN GLOBAL)'!L1062</f>
        <v>0</v>
      </c>
      <c r="B1062" s="6">
        <f>+'[1]VENTAS(RESUMEN GLOBAL)'!M1062</f>
        <v>0</v>
      </c>
      <c r="C1062">
        <f>+'[1]VENTAS(RESUMEN GLOBAL)'!B1062</f>
        <v>0</v>
      </c>
      <c r="D1062" t="e">
        <f>INDEX('[1]CÓDIGOS DE PRODUCTO'!$D$3:$D$1000,MATCH(C1062,'[1]CÓDIGOS DE PRODUCTO'!$A$3:$A$1000,0))</f>
        <v>#N/A</v>
      </c>
      <c r="E1062">
        <f>VLOOKUP(C1062,'[1]CÓDIGOS DE PRODUCTO'!$A$4:$B$156,2,FALSE)</f>
        <v>0</v>
      </c>
      <c r="F1062">
        <f>INDEX('[1]CÓDIGOS DE PRODUCTO'!$C$3:$C$1000,MATCH(C1062,'[1]CÓDIGOS DE PRODUCTO'!$A$3:$A$1000,0))</f>
        <v>0</v>
      </c>
      <c r="G1062">
        <f>+'[1]VENTAS(RESUMEN GLOBAL)'!D1062-'[1]VENTAS(RESUMEN GLOBAL)'!E1062</f>
        <v>0</v>
      </c>
      <c r="H1062" s="9">
        <f>+'[1]VENTAS(RESUMEN GLOBAL)'!K1062</f>
        <v>0</v>
      </c>
      <c r="I1062" s="8">
        <f>+G1062*'[1]VENTAS(RESUMEN GLOBAL)'!F1062</f>
        <v>0</v>
      </c>
      <c r="J1062" s="8">
        <f>'[1]VENTAS(RESUMEN GLOBAL)'!G1062*(1-'[1]VENTAS(RESUMEN GLOBAL)'!H1062)</f>
        <v>0</v>
      </c>
      <c r="K1062" s="8">
        <f t="shared" si="16"/>
        <v>0</v>
      </c>
      <c r="L1062" s="8">
        <f>+'[1]VENTAS(RESUMEN GLOBAL)'!J1062</f>
        <v>0</v>
      </c>
      <c r="M1062" s="8">
        <f>+Tabla1[[#This Row],[utilidad x dia]]*7</f>
        <v>0</v>
      </c>
    </row>
    <row r="1063" spans="1:13" x14ac:dyDescent="0.3">
      <c r="A1063" s="6">
        <f>+'[1]VENTAS(RESUMEN GLOBAL)'!L1063</f>
        <v>0</v>
      </c>
      <c r="B1063" s="6">
        <f>+'[1]VENTAS(RESUMEN GLOBAL)'!M1063</f>
        <v>0</v>
      </c>
      <c r="C1063">
        <f>+'[1]VENTAS(RESUMEN GLOBAL)'!B1063</f>
        <v>0</v>
      </c>
      <c r="D1063" t="e">
        <f>INDEX('[1]CÓDIGOS DE PRODUCTO'!$D$3:$D$1000,MATCH(C1063,'[1]CÓDIGOS DE PRODUCTO'!$A$3:$A$1000,0))</f>
        <v>#N/A</v>
      </c>
      <c r="E1063">
        <f>VLOOKUP(C1063,'[1]CÓDIGOS DE PRODUCTO'!$A$4:$B$156,2,FALSE)</f>
        <v>0</v>
      </c>
      <c r="F1063">
        <f>INDEX('[1]CÓDIGOS DE PRODUCTO'!$C$3:$C$1000,MATCH(C1063,'[1]CÓDIGOS DE PRODUCTO'!$A$3:$A$1000,0))</f>
        <v>0</v>
      </c>
      <c r="G1063">
        <f>+'[1]VENTAS(RESUMEN GLOBAL)'!D1063-'[1]VENTAS(RESUMEN GLOBAL)'!E1063</f>
        <v>0</v>
      </c>
      <c r="H1063" s="9">
        <f>+'[1]VENTAS(RESUMEN GLOBAL)'!K1063</f>
        <v>0</v>
      </c>
      <c r="I1063" s="8">
        <f>+G1063*'[1]VENTAS(RESUMEN GLOBAL)'!F1063</f>
        <v>0</v>
      </c>
      <c r="J1063" s="8">
        <f>'[1]VENTAS(RESUMEN GLOBAL)'!G1063*(1-'[1]VENTAS(RESUMEN GLOBAL)'!H1063)</f>
        <v>0</v>
      </c>
      <c r="K1063" s="8">
        <f t="shared" si="16"/>
        <v>0</v>
      </c>
      <c r="L1063" s="8">
        <f>+'[1]VENTAS(RESUMEN GLOBAL)'!J1063</f>
        <v>0</v>
      </c>
      <c r="M1063" s="8">
        <f>+Tabla1[[#This Row],[utilidad x dia]]*7</f>
        <v>0</v>
      </c>
    </row>
    <row r="1064" spans="1:13" x14ac:dyDescent="0.3">
      <c r="A1064" s="6">
        <f>+'[1]VENTAS(RESUMEN GLOBAL)'!L1064</f>
        <v>0</v>
      </c>
      <c r="B1064" s="6">
        <f>+'[1]VENTAS(RESUMEN GLOBAL)'!M1064</f>
        <v>0</v>
      </c>
      <c r="C1064">
        <f>+'[1]VENTAS(RESUMEN GLOBAL)'!B1064</f>
        <v>0</v>
      </c>
      <c r="D1064" t="e">
        <f>INDEX('[1]CÓDIGOS DE PRODUCTO'!$D$3:$D$1000,MATCH(C1064,'[1]CÓDIGOS DE PRODUCTO'!$A$3:$A$1000,0))</f>
        <v>#N/A</v>
      </c>
      <c r="E1064">
        <f>VLOOKUP(C1064,'[1]CÓDIGOS DE PRODUCTO'!$A$4:$B$156,2,FALSE)</f>
        <v>0</v>
      </c>
      <c r="F1064">
        <f>INDEX('[1]CÓDIGOS DE PRODUCTO'!$C$3:$C$1000,MATCH(C1064,'[1]CÓDIGOS DE PRODUCTO'!$A$3:$A$1000,0))</f>
        <v>0</v>
      </c>
      <c r="G1064">
        <f>+'[1]VENTAS(RESUMEN GLOBAL)'!D1064-'[1]VENTAS(RESUMEN GLOBAL)'!E1064</f>
        <v>0</v>
      </c>
      <c r="H1064" s="9">
        <f>+'[1]VENTAS(RESUMEN GLOBAL)'!K1064</f>
        <v>0</v>
      </c>
      <c r="I1064" s="8">
        <f>+G1064*'[1]VENTAS(RESUMEN GLOBAL)'!F1064</f>
        <v>0</v>
      </c>
      <c r="J1064" s="8">
        <f>'[1]VENTAS(RESUMEN GLOBAL)'!G1064*(1-'[1]VENTAS(RESUMEN GLOBAL)'!H1064)</f>
        <v>0</v>
      </c>
      <c r="K1064" s="8">
        <f t="shared" si="16"/>
        <v>0</v>
      </c>
      <c r="L1064" s="8">
        <f>+'[1]VENTAS(RESUMEN GLOBAL)'!J1064</f>
        <v>0</v>
      </c>
      <c r="M1064" s="8">
        <f>+Tabla1[[#This Row],[utilidad x dia]]*7</f>
        <v>0</v>
      </c>
    </row>
    <row r="1065" spans="1:13" x14ac:dyDescent="0.3">
      <c r="A1065" s="6">
        <f>+'[1]VENTAS(RESUMEN GLOBAL)'!L1065</f>
        <v>0</v>
      </c>
      <c r="B1065" s="6">
        <f>+'[1]VENTAS(RESUMEN GLOBAL)'!M1065</f>
        <v>0</v>
      </c>
      <c r="C1065">
        <f>+'[1]VENTAS(RESUMEN GLOBAL)'!B1065</f>
        <v>0</v>
      </c>
      <c r="D1065" t="e">
        <f>INDEX('[1]CÓDIGOS DE PRODUCTO'!$D$3:$D$1000,MATCH(C1065,'[1]CÓDIGOS DE PRODUCTO'!$A$3:$A$1000,0))</f>
        <v>#N/A</v>
      </c>
      <c r="E1065">
        <f>VLOOKUP(C1065,'[1]CÓDIGOS DE PRODUCTO'!$A$4:$B$156,2,FALSE)</f>
        <v>0</v>
      </c>
      <c r="F1065">
        <f>INDEX('[1]CÓDIGOS DE PRODUCTO'!$C$3:$C$1000,MATCH(C1065,'[1]CÓDIGOS DE PRODUCTO'!$A$3:$A$1000,0))</f>
        <v>0</v>
      </c>
      <c r="G1065">
        <f>+'[1]VENTAS(RESUMEN GLOBAL)'!D1065-'[1]VENTAS(RESUMEN GLOBAL)'!E1065</f>
        <v>0</v>
      </c>
      <c r="H1065" s="9">
        <f>+'[1]VENTAS(RESUMEN GLOBAL)'!K1065</f>
        <v>0</v>
      </c>
      <c r="I1065" s="8">
        <f>+G1065*'[1]VENTAS(RESUMEN GLOBAL)'!F1065</f>
        <v>0</v>
      </c>
      <c r="J1065" s="8">
        <f>'[1]VENTAS(RESUMEN GLOBAL)'!G1065*(1-'[1]VENTAS(RESUMEN GLOBAL)'!H1065)</f>
        <v>0</v>
      </c>
      <c r="K1065" s="8">
        <f t="shared" si="16"/>
        <v>0</v>
      </c>
      <c r="L1065" s="8">
        <f>+'[1]VENTAS(RESUMEN GLOBAL)'!J1065</f>
        <v>0</v>
      </c>
      <c r="M1065" s="8">
        <f>+Tabla1[[#This Row],[utilidad x dia]]*7</f>
        <v>0</v>
      </c>
    </row>
    <row r="1066" spans="1:13" x14ac:dyDescent="0.3">
      <c r="A1066" s="6">
        <f>+'[1]VENTAS(RESUMEN GLOBAL)'!L1066</f>
        <v>0</v>
      </c>
      <c r="B1066" s="6">
        <f>+'[1]VENTAS(RESUMEN GLOBAL)'!M1066</f>
        <v>0</v>
      </c>
      <c r="C1066">
        <f>+'[1]VENTAS(RESUMEN GLOBAL)'!B1066</f>
        <v>0</v>
      </c>
      <c r="D1066" t="e">
        <f>INDEX('[1]CÓDIGOS DE PRODUCTO'!$D$3:$D$1000,MATCH(C1066,'[1]CÓDIGOS DE PRODUCTO'!$A$3:$A$1000,0))</f>
        <v>#N/A</v>
      </c>
      <c r="E1066">
        <f>VLOOKUP(C1066,'[1]CÓDIGOS DE PRODUCTO'!$A$4:$B$156,2,FALSE)</f>
        <v>0</v>
      </c>
      <c r="F1066">
        <f>INDEX('[1]CÓDIGOS DE PRODUCTO'!$C$3:$C$1000,MATCH(C1066,'[1]CÓDIGOS DE PRODUCTO'!$A$3:$A$1000,0))</f>
        <v>0</v>
      </c>
      <c r="G1066">
        <f>+'[1]VENTAS(RESUMEN GLOBAL)'!D1066-'[1]VENTAS(RESUMEN GLOBAL)'!E1066</f>
        <v>0</v>
      </c>
      <c r="H1066" s="9">
        <f>+'[1]VENTAS(RESUMEN GLOBAL)'!K1066</f>
        <v>0</v>
      </c>
      <c r="I1066" s="8">
        <f>+G1066*'[1]VENTAS(RESUMEN GLOBAL)'!F1066</f>
        <v>0</v>
      </c>
      <c r="J1066" s="8">
        <f>'[1]VENTAS(RESUMEN GLOBAL)'!G1066*(1-'[1]VENTAS(RESUMEN GLOBAL)'!H1066)</f>
        <v>0</v>
      </c>
      <c r="K1066" s="8">
        <f t="shared" si="16"/>
        <v>0</v>
      </c>
      <c r="L1066" s="8">
        <f>+'[1]VENTAS(RESUMEN GLOBAL)'!J1066</f>
        <v>0</v>
      </c>
      <c r="M1066" s="8">
        <f>+Tabla1[[#This Row],[utilidad x dia]]*7</f>
        <v>0</v>
      </c>
    </row>
    <row r="1067" spans="1:13" x14ac:dyDescent="0.3">
      <c r="A1067" s="6">
        <f>+'[1]VENTAS(RESUMEN GLOBAL)'!L1067</f>
        <v>0</v>
      </c>
      <c r="B1067" s="6">
        <f>+'[1]VENTAS(RESUMEN GLOBAL)'!M1067</f>
        <v>0</v>
      </c>
      <c r="C1067">
        <f>+'[1]VENTAS(RESUMEN GLOBAL)'!B1067</f>
        <v>0</v>
      </c>
      <c r="D1067" t="e">
        <f>INDEX('[1]CÓDIGOS DE PRODUCTO'!$D$3:$D$1000,MATCH(C1067,'[1]CÓDIGOS DE PRODUCTO'!$A$3:$A$1000,0))</f>
        <v>#N/A</v>
      </c>
      <c r="E1067">
        <f>VLOOKUP(C1067,'[1]CÓDIGOS DE PRODUCTO'!$A$4:$B$156,2,FALSE)</f>
        <v>0</v>
      </c>
      <c r="F1067">
        <f>INDEX('[1]CÓDIGOS DE PRODUCTO'!$C$3:$C$1000,MATCH(C1067,'[1]CÓDIGOS DE PRODUCTO'!$A$3:$A$1000,0))</f>
        <v>0</v>
      </c>
      <c r="G1067">
        <f>+'[1]VENTAS(RESUMEN GLOBAL)'!D1067-'[1]VENTAS(RESUMEN GLOBAL)'!E1067</f>
        <v>0</v>
      </c>
      <c r="H1067" s="9">
        <f>+'[1]VENTAS(RESUMEN GLOBAL)'!K1067</f>
        <v>0</v>
      </c>
      <c r="I1067" s="8">
        <f>+G1067*'[1]VENTAS(RESUMEN GLOBAL)'!F1067</f>
        <v>0</v>
      </c>
      <c r="J1067" s="8">
        <f>'[1]VENTAS(RESUMEN GLOBAL)'!G1067*(1-'[1]VENTAS(RESUMEN GLOBAL)'!H1067)</f>
        <v>0</v>
      </c>
      <c r="K1067" s="8">
        <f t="shared" si="16"/>
        <v>0</v>
      </c>
      <c r="L1067" s="8">
        <f>+'[1]VENTAS(RESUMEN GLOBAL)'!J1067</f>
        <v>0</v>
      </c>
      <c r="M1067" s="8">
        <f>+Tabla1[[#This Row],[utilidad x dia]]*7</f>
        <v>0</v>
      </c>
    </row>
    <row r="1068" spans="1:13" x14ac:dyDescent="0.3">
      <c r="A1068" s="6">
        <f>+'[1]VENTAS(RESUMEN GLOBAL)'!L1068</f>
        <v>0</v>
      </c>
      <c r="B1068" s="6">
        <f>+'[1]VENTAS(RESUMEN GLOBAL)'!M1068</f>
        <v>0</v>
      </c>
      <c r="C1068">
        <f>+'[1]VENTAS(RESUMEN GLOBAL)'!B1068</f>
        <v>0</v>
      </c>
      <c r="D1068" t="e">
        <f>INDEX('[1]CÓDIGOS DE PRODUCTO'!$D$3:$D$1000,MATCH(C1068,'[1]CÓDIGOS DE PRODUCTO'!$A$3:$A$1000,0))</f>
        <v>#N/A</v>
      </c>
      <c r="E1068">
        <f>VLOOKUP(C1068,'[1]CÓDIGOS DE PRODUCTO'!$A$4:$B$156,2,FALSE)</f>
        <v>0</v>
      </c>
      <c r="F1068">
        <f>INDEX('[1]CÓDIGOS DE PRODUCTO'!$C$3:$C$1000,MATCH(C1068,'[1]CÓDIGOS DE PRODUCTO'!$A$3:$A$1000,0))</f>
        <v>0</v>
      </c>
      <c r="G1068">
        <f>+'[1]VENTAS(RESUMEN GLOBAL)'!D1068-'[1]VENTAS(RESUMEN GLOBAL)'!E1068</f>
        <v>0</v>
      </c>
      <c r="H1068" s="9">
        <f>+'[1]VENTAS(RESUMEN GLOBAL)'!K1068</f>
        <v>0</v>
      </c>
      <c r="I1068" s="8">
        <f>+G1068*'[1]VENTAS(RESUMEN GLOBAL)'!F1068</f>
        <v>0</v>
      </c>
      <c r="J1068" s="8">
        <f>'[1]VENTAS(RESUMEN GLOBAL)'!G1068*(1-'[1]VENTAS(RESUMEN GLOBAL)'!H1068)</f>
        <v>0</v>
      </c>
      <c r="K1068" s="8">
        <f t="shared" si="16"/>
        <v>0</v>
      </c>
      <c r="L1068" s="8">
        <f>+'[1]VENTAS(RESUMEN GLOBAL)'!J1068</f>
        <v>0</v>
      </c>
      <c r="M1068" s="8">
        <f>+Tabla1[[#This Row],[utilidad x dia]]*7</f>
        <v>0</v>
      </c>
    </row>
    <row r="1069" spans="1:13" x14ac:dyDescent="0.3">
      <c r="A1069" s="6">
        <f>+'[1]VENTAS(RESUMEN GLOBAL)'!L1069</f>
        <v>0</v>
      </c>
      <c r="B1069" s="6">
        <f>+'[1]VENTAS(RESUMEN GLOBAL)'!M1069</f>
        <v>0</v>
      </c>
      <c r="C1069">
        <f>+'[1]VENTAS(RESUMEN GLOBAL)'!B1069</f>
        <v>0</v>
      </c>
      <c r="D1069" t="e">
        <f>INDEX('[1]CÓDIGOS DE PRODUCTO'!$D$3:$D$1000,MATCH(C1069,'[1]CÓDIGOS DE PRODUCTO'!$A$3:$A$1000,0))</f>
        <v>#N/A</v>
      </c>
      <c r="E1069">
        <f>VLOOKUP(C1069,'[1]CÓDIGOS DE PRODUCTO'!$A$4:$B$156,2,FALSE)</f>
        <v>0</v>
      </c>
      <c r="F1069">
        <f>INDEX('[1]CÓDIGOS DE PRODUCTO'!$C$3:$C$1000,MATCH(C1069,'[1]CÓDIGOS DE PRODUCTO'!$A$3:$A$1000,0))</f>
        <v>0</v>
      </c>
      <c r="G1069">
        <f>+'[1]VENTAS(RESUMEN GLOBAL)'!D1069-'[1]VENTAS(RESUMEN GLOBAL)'!E1069</f>
        <v>0</v>
      </c>
      <c r="H1069" s="9">
        <f>+'[1]VENTAS(RESUMEN GLOBAL)'!K1069</f>
        <v>0</v>
      </c>
      <c r="I1069" s="8">
        <f>+G1069*'[1]VENTAS(RESUMEN GLOBAL)'!F1069</f>
        <v>0</v>
      </c>
      <c r="J1069" s="8">
        <f>'[1]VENTAS(RESUMEN GLOBAL)'!G1069*(1-'[1]VENTAS(RESUMEN GLOBAL)'!H1069)</f>
        <v>0</v>
      </c>
      <c r="K1069" s="8">
        <f t="shared" si="16"/>
        <v>0</v>
      </c>
      <c r="L1069" s="8">
        <f>+'[1]VENTAS(RESUMEN GLOBAL)'!J1069</f>
        <v>0</v>
      </c>
      <c r="M1069" s="8">
        <f>+Tabla1[[#This Row],[utilidad x dia]]*7</f>
        <v>0</v>
      </c>
    </row>
    <row r="1070" spans="1:13" x14ac:dyDescent="0.3">
      <c r="A1070" s="6">
        <f>+'[1]VENTAS(RESUMEN GLOBAL)'!L1070</f>
        <v>0</v>
      </c>
      <c r="B1070" s="6">
        <f>+'[1]VENTAS(RESUMEN GLOBAL)'!M1070</f>
        <v>0</v>
      </c>
      <c r="C1070">
        <f>+'[1]VENTAS(RESUMEN GLOBAL)'!B1070</f>
        <v>0</v>
      </c>
      <c r="D1070" t="e">
        <f>INDEX('[1]CÓDIGOS DE PRODUCTO'!$D$3:$D$1000,MATCH(C1070,'[1]CÓDIGOS DE PRODUCTO'!$A$3:$A$1000,0))</f>
        <v>#N/A</v>
      </c>
      <c r="E1070">
        <f>VLOOKUP(C1070,'[1]CÓDIGOS DE PRODUCTO'!$A$4:$B$156,2,FALSE)</f>
        <v>0</v>
      </c>
      <c r="F1070">
        <f>INDEX('[1]CÓDIGOS DE PRODUCTO'!$C$3:$C$1000,MATCH(C1070,'[1]CÓDIGOS DE PRODUCTO'!$A$3:$A$1000,0))</f>
        <v>0</v>
      </c>
      <c r="G1070">
        <f>+'[1]VENTAS(RESUMEN GLOBAL)'!D1070-'[1]VENTAS(RESUMEN GLOBAL)'!E1070</f>
        <v>0</v>
      </c>
      <c r="H1070" s="9">
        <f>+'[1]VENTAS(RESUMEN GLOBAL)'!K1070</f>
        <v>0</v>
      </c>
      <c r="I1070" s="8">
        <f>+G1070*'[1]VENTAS(RESUMEN GLOBAL)'!F1070</f>
        <v>0</v>
      </c>
      <c r="J1070" s="8">
        <f>'[1]VENTAS(RESUMEN GLOBAL)'!G1070*(1-'[1]VENTAS(RESUMEN GLOBAL)'!H1070)</f>
        <v>0</v>
      </c>
      <c r="K1070" s="8">
        <f t="shared" si="16"/>
        <v>0</v>
      </c>
      <c r="L1070" s="8">
        <f>+'[1]VENTAS(RESUMEN GLOBAL)'!J1070</f>
        <v>0</v>
      </c>
      <c r="M1070" s="8">
        <f>+Tabla1[[#This Row],[utilidad x dia]]*7</f>
        <v>0</v>
      </c>
    </row>
    <row r="1071" spans="1:13" x14ac:dyDescent="0.3">
      <c r="A1071" s="6">
        <f>+'[1]VENTAS(RESUMEN GLOBAL)'!L1071</f>
        <v>0</v>
      </c>
      <c r="B1071" s="6">
        <f>+'[1]VENTAS(RESUMEN GLOBAL)'!M1071</f>
        <v>0</v>
      </c>
      <c r="C1071">
        <f>+'[1]VENTAS(RESUMEN GLOBAL)'!B1071</f>
        <v>0</v>
      </c>
      <c r="D1071" t="e">
        <f>INDEX('[1]CÓDIGOS DE PRODUCTO'!$D$3:$D$1000,MATCH(C1071,'[1]CÓDIGOS DE PRODUCTO'!$A$3:$A$1000,0))</f>
        <v>#N/A</v>
      </c>
      <c r="E1071">
        <f>VLOOKUP(C1071,'[1]CÓDIGOS DE PRODUCTO'!$A$4:$B$156,2,FALSE)</f>
        <v>0</v>
      </c>
      <c r="F1071">
        <f>INDEX('[1]CÓDIGOS DE PRODUCTO'!$C$3:$C$1000,MATCH(C1071,'[1]CÓDIGOS DE PRODUCTO'!$A$3:$A$1000,0))</f>
        <v>0</v>
      </c>
      <c r="G1071">
        <f>+'[1]VENTAS(RESUMEN GLOBAL)'!D1071-'[1]VENTAS(RESUMEN GLOBAL)'!E1071</f>
        <v>0</v>
      </c>
      <c r="H1071" s="9">
        <f>+'[1]VENTAS(RESUMEN GLOBAL)'!K1071</f>
        <v>0</v>
      </c>
      <c r="I1071" s="8">
        <f>+G1071*'[1]VENTAS(RESUMEN GLOBAL)'!F1071</f>
        <v>0</v>
      </c>
      <c r="J1071" s="8">
        <f>'[1]VENTAS(RESUMEN GLOBAL)'!G1071*(1-'[1]VENTAS(RESUMEN GLOBAL)'!H1071)</f>
        <v>0</v>
      </c>
      <c r="K1071" s="8">
        <f t="shared" si="16"/>
        <v>0</v>
      </c>
      <c r="L1071" s="8">
        <f>+'[1]VENTAS(RESUMEN GLOBAL)'!J1071</f>
        <v>0</v>
      </c>
      <c r="M1071" s="8">
        <f>+Tabla1[[#This Row],[utilidad x dia]]*7</f>
        <v>0</v>
      </c>
    </row>
    <row r="1072" spans="1:13" x14ac:dyDescent="0.3">
      <c r="A1072" s="6">
        <f>+'[1]VENTAS(RESUMEN GLOBAL)'!L1072</f>
        <v>0</v>
      </c>
      <c r="B1072" s="6">
        <f>+'[1]VENTAS(RESUMEN GLOBAL)'!M1072</f>
        <v>0</v>
      </c>
      <c r="C1072">
        <f>+'[1]VENTAS(RESUMEN GLOBAL)'!B1072</f>
        <v>0</v>
      </c>
      <c r="D1072" t="e">
        <f>INDEX('[1]CÓDIGOS DE PRODUCTO'!$D$3:$D$1000,MATCH(C1072,'[1]CÓDIGOS DE PRODUCTO'!$A$3:$A$1000,0))</f>
        <v>#N/A</v>
      </c>
      <c r="E1072">
        <f>VLOOKUP(C1072,'[1]CÓDIGOS DE PRODUCTO'!$A$4:$B$156,2,FALSE)</f>
        <v>0</v>
      </c>
      <c r="F1072">
        <f>INDEX('[1]CÓDIGOS DE PRODUCTO'!$C$3:$C$1000,MATCH(C1072,'[1]CÓDIGOS DE PRODUCTO'!$A$3:$A$1000,0))</f>
        <v>0</v>
      </c>
      <c r="G1072">
        <f>+'[1]VENTAS(RESUMEN GLOBAL)'!D1072-'[1]VENTAS(RESUMEN GLOBAL)'!E1072</f>
        <v>0</v>
      </c>
      <c r="H1072" s="9">
        <f>+'[1]VENTAS(RESUMEN GLOBAL)'!K1072</f>
        <v>0</v>
      </c>
      <c r="I1072" s="8">
        <f>+G1072*'[1]VENTAS(RESUMEN GLOBAL)'!F1072</f>
        <v>0</v>
      </c>
      <c r="J1072" s="8">
        <f>'[1]VENTAS(RESUMEN GLOBAL)'!G1072*(1-'[1]VENTAS(RESUMEN GLOBAL)'!H1072)</f>
        <v>0</v>
      </c>
      <c r="K1072" s="8">
        <f t="shared" si="16"/>
        <v>0</v>
      </c>
      <c r="L1072" s="8">
        <f>+'[1]VENTAS(RESUMEN GLOBAL)'!J1072</f>
        <v>0</v>
      </c>
      <c r="M1072" s="8">
        <f>+Tabla1[[#This Row],[utilidad x dia]]*7</f>
        <v>0</v>
      </c>
    </row>
    <row r="1073" spans="1:13" x14ac:dyDescent="0.3">
      <c r="A1073" s="6">
        <f>+'[1]VENTAS(RESUMEN GLOBAL)'!L1073</f>
        <v>0</v>
      </c>
      <c r="B1073" s="6">
        <f>+'[1]VENTAS(RESUMEN GLOBAL)'!M1073</f>
        <v>0</v>
      </c>
      <c r="C1073">
        <f>+'[1]VENTAS(RESUMEN GLOBAL)'!B1073</f>
        <v>0</v>
      </c>
      <c r="D1073" t="e">
        <f>INDEX('[1]CÓDIGOS DE PRODUCTO'!$D$3:$D$1000,MATCH(C1073,'[1]CÓDIGOS DE PRODUCTO'!$A$3:$A$1000,0))</f>
        <v>#N/A</v>
      </c>
      <c r="E1073">
        <f>VLOOKUP(C1073,'[1]CÓDIGOS DE PRODUCTO'!$A$4:$B$156,2,FALSE)</f>
        <v>0</v>
      </c>
      <c r="F1073">
        <f>INDEX('[1]CÓDIGOS DE PRODUCTO'!$C$3:$C$1000,MATCH(C1073,'[1]CÓDIGOS DE PRODUCTO'!$A$3:$A$1000,0))</f>
        <v>0</v>
      </c>
      <c r="G1073">
        <f>+'[1]VENTAS(RESUMEN GLOBAL)'!D1073-'[1]VENTAS(RESUMEN GLOBAL)'!E1073</f>
        <v>0</v>
      </c>
      <c r="H1073" s="9">
        <f>+'[1]VENTAS(RESUMEN GLOBAL)'!K1073</f>
        <v>0</v>
      </c>
      <c r="I1073" s="8">
        <f>+G1073*'[1]VENTAS(RESUMEN GLOBAL)'!F1073</f>
        <v>0</v>
      </c>
      <c r="J1073" s="8">
        <f>'[1]VENTAS(RESUMEN GLOBAL)'!G1073*(1-'[1]VENTAS(RESUMEN GLOBAL)'!H1073)</f>
        <v>0</v>
      </c>
      <c r="K1073" s="8">
        <f t="shared" si="16"/>
        <v>0</v>
      </c>
      <c r="L1073" s="8">
        <f>+'[1]VENTAS(RESUMEN GLOBAL)'!J1073</f>
        <v>0</v>
      </c>
      <c r="M1073" s="8">
        <f>+Tabla1[[#This Row],[utilidad x dia]]*7</f>
        <v>0</v>
      </c>
    </row>
    <row r="1074" spans="1:13" x14ac:dyDescent="0.3">
      <c r="A1074" s="6">
        <f>+'[1]VENTAS(RESUMEN GLOBAL)'!L1074</f>
        <v>0</v>
      </c>
      <c r="B1074" s="6">
        <f>+'[1]VENTAS(RESUMEN GLOBAL)'!M1074</f>
        <v>0</v>
      </c>
      <c r="C1074">
        <f>+'[1]VENTAS(RESUMEN GLOBAL)'!B1074</f>
        <v>0</v>
      </c>
      <c r="D1074" t="e">
        <f>INDEX('[1]CÓDIGOS DE PRODUCTO'!$D$3:$D$1000,MATCH(C1074,'[1]CÓDIGOS DE PRODUCTO'!$A$3:$A$1000,0))</f>
        <v>#N/A</v>
      </c>
      <c r="E1074">
        <f>VLOOKUP(C1074,'[1]CÓDIGOS DE PRODUCTO'!$A$4:$B$156,2,FALSE)</f>
        <v>0</v>
      </c>
      <c r="F1074">
        <f>INDEX('[1]CÓDIGOS DE PRODUCTO'!$C$3:$C$1000,MATCH(C1074,'[1]CÓDIGOS DE PRODUCTO'!$A$3:$A$1000,0))</f>
        <v>0</v>
      </c>
      <c r="G1074">
        <f>+'[1]VENTAS(RESUMEN GLOBAL)'!D1074-'[1]VENTAS(RESUMEN GLOBAL)'!E1074</f>
        <v>0</v>
      </c>
      <c r="H1074" s="9">
        <f>+'[1]VENTAS(RESUMEN GLOBAL)'!K1074</f>
        <v>0</v>
      </c>
      <c r="I1074" s="8">
        <f>+G1074*'[1]VENTAS(RESUMEN GLOBAL)'!F1074</f>
        <v>0</v>
      </c>
      <c r="J1074" s="8">
        <f>'[1]VENTAS(RESUMEN GLOBAL)'!G1074*(1-'[1]VENTAS(RESUMEN GLOBAL)'!H1074)</f>
        <v>0</v>
      </c>
      <c r="K1074" s="8">
        <f t="shared" si="16"/>
        <v>0</v>
      </c>
      <c r="L1074" s="8">
        <f>+'[1]VENTAS(RESUMEN GLOBAL)'!J1074</f>
        <v>0</v>
      </c>
      <c r="M1074" s="8">
        <f>+Tabla1[[#This Row],[utilidad x dia]]*7</f>
        <v>0</v>
      </c>
    </row>
    <row r="1075" spans="1:13" x14ac:dyDescent="0.3">
      <c r="A1075" s="6">
        <f>+'[1]VENTAS(RESUMEN GLOBAL)'!L1075</f>
        <v>0</v>
      </c>
      <c r="B1075" s="6">
        <f>+'[1]VENTAS(RESUMEN GLOBAL)'!M1075</f>
        <v>0</v>
      </c>
      <c r="C1075">
        <f>+'[1]VENTAS(RESUMEN GLOBAL)'!B1075</f>
        <v>0</v>
      </c>
      <c r="D1075" t="e">
        <f>INDEX('[1]CÓDIGOS DE PRODUCTO'!$D$3:$D$1000,MATCH(C1075,'[1]CÓDIGOS DE PRODUCTO'!$A$3:$A$1000,0))</f>
        <v>#N/A</v>
      </c>
      <c r="E1075">
        <f>VLOOKUP(C1075,'[1]CÓDIGOS DE PRODUCTO'!$A$4:$B$156,2,FALSE)</f>
        <v>0</v>
      </c>
      <c r="F1075">
        <f>INDEX('[1]CÓDIGOS DE PRODUCTO'!$C$3:$C$1000,MATCH(C1075,'[1]CÓDIGOS DE PRODUCTO'!$A$3:$A$1000,0))</f>
        <v>0</v>
      </c>
      <c r="G1075">
        <f>+'[1]VENTAS(RESUMEN GLOBAL)'!D1075-'[1]VENTAS(RESUMEN GLOBAL)'!E1075</f>
        <v>0</v>
      </c>
      <c r="H1075" s="9">
        <f>+'[1]VENTAS(RESUMEN GLOBAL)'!K1075</f>
        <v>0</v>
      </c>
      <c r="I1075" s="8">
        <f>+G1075*'[1]VENTAS(RESUMEN GLOBAL)'!F1075</f>
        <v>0</v>
      </c>
      <c r="J1075" s="8">
        <f>'[1]VENTAS(RESUMEN GLOBAL)'!G1075*(1-'[1]VENTAS(RESUMEN GLOBAL)'!H1075)</f>
        <v>0</v>
      </c>
      <c r="K1075" s="8">
        <f t="shared" si="16"/>
        <v>0</v>
      </c>
      <c r="L1075" s="8">
        <f>+'[1]VENTAS(RESUMEN GLOBAL)'!J1075</f>
        <v>0</v>
      </c>
      <c r="M1075" s="8">
        <f>+Tabla1[[#This Row],[utilidad x dia]]*7</f>
        <v>0</v>
      </c>
    </row>
    <row r="1076" spans="1:13" x14ac:dyDescent="0.3">
      <c r="A1076" s="6">
        <f>+'[1]VENTAS(RESUMEN GLOBAL)'!L1076</f>
        <v>0</v>
      </c>
      <c r="B1076" s="6">
        <f>+'[1]VENTAS(RESUMEN GLOBAL)'!M1076</f>
        <v>0</v>
      </c>
      <c r="C1076">
        <f>+'[1]VENTAS(RESUMEN GLOBAL)'!B1076</f>
        <v>0</v>
      </c>
      <c r="D1076" t="e">
        <f>INDEX('[1]CÓDIGOS DE PRODUCTO'!$D$3:$D$1000,MATCH(C1076,'[1]CÓDIGOS DE PRODUCTO'!$A$3:$A$1000,0))</f>
        <v>#N/A</v>
      </c>
      <c r="E1076">
        <f>VLOOKUP(C1076,'[1]CÓDIGOS DE PRODUCTO'!$A$4:$B$156,2,FALSE)</f>
        <v>0</v>
      </c>
      <c r="F1076">
        <f>INDEX('[1]CÓDIGOS DE PRODUCTO'!$C$3:$C$1000,MATCH(C1076,'[1]CÓDIGOS DE PRODUCTO'!$A$3:$A$1000,0))</f>
        <v>0</v>
      </c>
      <c r="G1076">
        <f>+'[1]VENTAS(RESUMEN GLOBAL)'!D1076-'[1]VENTAS(RESUMEN GLOBAL)'!E1076</f>
        <v>0</v>
      </c>
      <c r="H1076" s="9">
        <f>+'[1]VENTAS(RESUMEN GLOBAL)'!K1076</f>
        <v>0</v>
      </c>
      <c r="I1076" s="8">
        <f>+G1076*'[1]VENTAS(RESUMEN GLOBAL)'!F1076</f>
        <v>0</v>
      </c>
      <c r="J1076" s="8">
        <f>'[1]VENTAS(RESUMEN GLOBAL)'!G1076*(1-'[1]VENTAS(RESUMEN GLOBAL)'!H1076)</f>
        <v>0</v>
      </c>
      <c r="K1076" s="8">
        <f t="shared" si="16"/>
        <v>0</v>
      </c>
      <c r="L1076" s="8">
        <f>+'[1]VENTAS(RESUMEN GLOBAL)'!J1076</f>
        <v>0</v>
      </c>
      <c r="M1076" s="8">
        <f>+Tabla1[[#This Row],[utilidad x dia]]*7</f>
        <v>0</v>
      </c>
    </row>
    <row r="1077" spans="1:13" x14ac:dyDescent="0.3">
      <c r="A1077" s="6">
        <f>+'[1]VENTAS(RESUMEN GLOBAL)'!L1077</f>
        <v>0</v>
      </c>
      <c r="B1077" s="6">
        <f>+'[1]VENTAS(RESUMEN GLOBAL)'!M1077</f>
        <v>0</v>
      </c>
      <c r="C1077">
        <f>+'[1]VENTAS(RESUMEN GLOBAL)'!B1077</f>
        <v>0</v>
      </c>
      <c r="D1077" t="e">
        <f>INDEX('[1]CÓDIGOS DE PRODUCTO'!$D$3:$D$1000,MATCH(C1077,'[1]CÓDIGOS DE PRODUCTO'!$A$3:$A$1000,0))</f>
        <v>#N/A</v>
      </c>
      <c r="E1077">
        <f>VLOOKUP(C1077,'[1]CÓDIGOS DE PRODUCTO'!$A$4:$B$156,2,FALSE)</f>
        <v>0</v>
      </c>
      <c r="F1077">
        <f>INDEX('[1]CÓDIGOS DE PRODUCTO'!$C$3:$C$1000,MATCH(C1077,'[1]CÓDIGOS DE PRODUCTO'!$A$3:$A$1000,0))</f>
        <v>0</v>
      </c>
      <c r="G1077">
        <f>+'[1]VENTAS(RESUMEN GLOBAL)'!D1077-'[1]VENTAS(RESUMEN GLOBAL)'!E1077</f>
        <v>0</v>
      </c>
      <c r="H1077" s="9">
        <f>+'[1]VENTAS(RESUMEN GLOBAL)'!K1077</f>
        <v>0</v>
      </c>
      <c r="I1077" s="8">
        <f>+G1077*'[1]VENTAS(RESUMEN GLOBAL)'!F1077</f>
        <v>0</v>
      </c>
      <c r="J1077" s="8">
        <f>'[1]VENTAS(RESUMEN GLOBAL)'!G1077*(1-'[1]VENTAS(RESUMEN GLOBAL)'!H1077)</f>
        <v>0</v>
      </c>
      <c r="K1077" s="8">
        <f t="shared" si="16"/>
        <v>0</v>
      </c>
      <c r="L1077" s="8">
        <f>+'[1]VENTAS(RESUMEN GLOBAL)'!J1077</f>
        <v>0</v>
      </c>
      <c r="M1077" s="8">
        <f>+Tabla1[[#This Row],[utilidad x dia]]*7</f>
        <v>0</v>
      </c>
    </row>
    <row r="1078" spans="1:13" x14ac:dyDescent="0.3">
      <c r="A1078" s="6">
        <f>+'[1]VENTAS(RESUMEN GLOBAL)'!L1078</f>
        <v>0</v>
      </c>
      <c r="B1078" s="6">
        <f>+'[1]VENTAS(RESUMEN GLOBAL)'!M1078</f>
        <v>0</v>
      </c>
      <c r="C1078">
        <f>+'[1]VENTAS(RESUMEN GLOBAL)'!B1078</f>
        <v>0</v>
      </c>
      <c r="D1078" t="e">
        <f>INDEX('[1]CÓDIGOS DE PRODUCTO'!$D$3:$D$1000,MATCH(C1078,'[1]CÓDIGOS DE PRODUCTO'!$A$3:$A$1000,0))</f>
        <v>#N/A</v>
      </c>
      <c r="E1078">
        <f>VLOOKUP(C1078,'[1]CÓDIGOS DE PRODUCTO'!$A$4:$B$156,2,FALSE)</f>
        <v>0</v>
      </c>
      <c r="F1078">
        <f>INDEX('[1]CÓDIGOS DE PRODUCTO'!$C$3:$C$1000,MATCH(C1078,'[1]CÓDIGOS DE PRODUCTO'!$A$3:$A$1000,0))</f>
        <v>0</v>
      </c>
      <c r="G1078">
        <f>+'[1]VENTAS(RESUMEN GLOBAL)'!D1078-'[1]VENTAS(RESUMEN GLOBAL)'!E1078</f>
        <v>0</v>
      </c>
      <c r="H1078" s="9">
        <f>+'[1]VENTAS(RESUMEN GLOBAL)'!K1078</f>
        <v>0</v>
      </c>
      <c r="I1078" s="8">
        <f>+G1078*'[1]VENTAS(RESUMEN GLOBAL)'!F1078</f>
        <v>0</v>
      </c>
      <c r="J1078" s="8">
        <f>'[1]VENTAS(RESUMEN GLOBAL)'!G1078*(1-'[1]VENTAS(RESUMEN GLOBAL)'!H1078)</f>
        <v>0</v>
      </c>
      <c r="K1078" s="8">
        <f t="shared" si="16"/>
        <v>0</v>
      </c>
      <c r="L1078" s="8">
        <f>+'[1]VENTAS(RESUMEN GLOBAL)'!J1078</f>
        <v>0</v>
      </c>
      <c r="M1078" s="8">
        <f>+Tabla1[[#This Row],[utilidad x dia]]*7</f>
        <v>0</v>
      </c>
    </row>
    <row r="1079" spans="1:13" x14ac:dyDescent="0.3">
      <c r="A1079" s="6">
        <f>+'[1]VENTAS(RESUMEN GLOBAL)'!L1079</f>
        <v>0</v>
      </c>
      <c r="B1079" s="6">
        <f>+'[1]VENTAS(RESUMEN GLOBAL)'!M1079</f>
        <v>0</v>
      </c>
      <c r="C1079">
        <f>+'[1]VENTAS(RESUMEN GLOBAL)'!B1079</f>
        <v>0</v>
      </c>
      <c r="D1079" t="e">
        <f>INDEX('[1]CÓDIGOS DE PRODUCTO'!$D$3:$D$1000,MATCH(C1079,'[1]CÓDIGOS DE PRODUCTO'!$A$3:$A$1000,0))</f>
        <v>#N/A</v>
      </c>
      <c r="E1079">
        <f>VLOOKUP(C1079,'[1]CÓDIGOS DE PRODUCTO'!$A$4:$B$156,2,FALSE)</f>
        <v>0</v>
      </c>
      <c r="F1079">
        <f>INDEX('[1]CÓDIGOS DE PRODUCTO'!$C$3:$C$1000,MATCH(C1079,'[1]CÓDIGOS DE PRODUCTO'!$A$3:$A$1000,0))</f>
        <v>0</v>
      </c>
      <c r="G1079">
        <f>+'[1]VENTAS(RESUMEN GLOBAL)'!D1079-'[1]VENTAS(RESUMEN GLOBAL)'!E1079</f>
        <v>0</v>
      </c>
      <c r="H1079" s="9">
        <f>+'[1]VENTAS(RESUMEN GLOBAL)'!K1079</f>
        <v>0</v>
      </c>
      <c r="I1079" s="8">
        <f>+G1079*'[1]VENTAS(RESUMEN GLOBAL)'!F1079</f>
        <v>0</v>
      </c>
      <c r="J1079" s="8">
        <f>'[1]VENTAS(RESUMEN GLOBAL)'!G1079*(1-'[1]VENTAS(RESUMEN GLOBAL)'!H1079)</f>
        <v>0</v>
      </c>
      <c r="K1079" s="8">
        <f t="shared" si="16"/>
        <v>0</v>
      </c>
      <c r="L1079" s="8">
        <f>+'[1]VENTAS(RESUMEN GLOBAL)'!J1079</f>
        <v>0</v>
      </c>
      <c r="M1079" s="8">
        <f>+Tabla1[[#This Row],[utilidad x dia]]*7</f>
        <v>0</v>
      </c>
    </row>
    <row r="1080" spans="1:13" x14ac:dyDescent="0.3">
      <c r="A1080" s="6">
        <f>+'[1]VENTAS(RESUMEN GLOBAL)'!L1080</f>
        <v>0</v>
      </c>
      <c r="B1080" s="6">
        <f>+'[1]VENTAS(RESUMEN GLOBAL)'!M1080</f>
        <v>0</v>
      </c>
      <c r="C1080">
        <f>+'[1]VENTAS(RESUMEN GLOBAL)'!B1080</f>
        <v>0</v>
      </c>
      <c r="D1080" t="e">
        <f>INDEX('[1]CÓDIGOS DE PRODUCTO'!$D$3:$D$1000,MATCH(C1080,'[1]CÓDIGOS DE PRODUCTO'!$A$3:$A$1000,0))</f>
        <v>#N/A</v>
      </c>
      <c r="E1080">
        <f>VLOOKUP(C1080,'[1]CÓDIGOS DE PRODUCTO'!$A$4:$B$156,2,FALSE)</f>
        <v>0</v>
      </c>
      <c r="F1080">
        <f>INDEX('[1]CÓDIGOS DE PRODUCTO'!$C$3:$C$1000,MATCH(C1080,'[1]CÓDIGOS DE PRODUCTO'!$A$3:$A$1000,0))</f>
        <v>0</v>
      </c>
      <c r="G1080">
        <f>+'[1]VENTAS(RESUMEN GLOBAL)'!D1080-'[1]VENTAS(RESUMEN GLOBAL)'!E1080</f>
        <v>0</v>
      </c>
      <c r="H1080" s="9">
        <f>+'[1]VENTAS(RESUMEN GLOBAL)'!K1080</f>
        <v>0</v>
      </c>
      <c r="I1080" s="8">
        <f>+G1080*'[1]VENTAS(RESUMEN GLOBAL)'!F1080</f>
        <v>0</v>
      </c>
      <c r="J1080" s="8">
        <f>'[1]VENTAS(RESUMEN GLOBAL)'!G1080*(1-'[1]VENTAS(RESUMEN GLOBAL)'!H1080)</f>
        <v>0</v>
      </c>
      <c r="K1080" s="8">
        <f t="shared" si="16"/>
        <v>0</v>
      </c>
      <c r="L1080" s="8">
        <f>+'[1]VENTAS(RESUMEN GLOBAL)'!J1080</f>
        <v>0</v>
      </c>
      <c r="M1080" s="8">
        <f>+Tabla1[[#This Row],[utilidad x dia]]*7</f>
        <v>0</v>
      </c>
    </row>
    <row r="1081" spans="1:13" x14ac:dyDescent="0.3">
      <c r="A1081" s="6">
        <f>+'[1]VENTAS(RESUMEN GLOBAL)'!L1081</f>
        <v>0</v>
      </c>
      <c r="B1081" s="6">
        <f>+'[1]VENTAS(RESUMEN GLOBAL)'!M1081</f>
        <v>0</v>
      </c>
      <c r="C1081">
        <f>+'[1]VENTAS(RESUMEN GLOBAL)'!B1081</f>
        <v>0</v>
      </c>
      <c r="D1081" t="e">
        <f>INDEX('[1]CÓDIGOS DE PRODUCTO'!$D$3:$D$1000,MATCH(C1081,'[1]CÓDIGOS DE PRODUCTO'!$A$3:$A$1000,0))</f>
        <v>#N/A</v>
      </c>
      <c r="E1081">
        <f>VLOOKUP(C1081,'[1]CÓDIGOS DE PRODUCTO'!$A$4:$B$156,2,FALSE)</f>
        <v>0</v>
      </c>
      <c r="F1081">
        <f>INDEX('[1]CÓDIGOS DE PRODUCTO'!$C$3:$C$1000,MATCH(C1081,'[1]CÓDIGOS DE PRODUCTO'!$A$3:$A$1000,0))</f>
        <v>0</v>
      </c>
      <c r="G1081">
        <f>+'[1]VENTAS(RESUMEN GLOBAL)'!D1081-'[1]VENTAS(RESUMEN GLOBAL)'!E1081</f>
        <v>0</v>
      </c>
      <c r="H1081" s="9">
        <f>+'[1]VENTAS(RESUMEN GLOBAL)'!K1081</f>
        <v>0</v>
      </c>
      <c r="I1081" s="8">
        <f>+G1081*'[1]VENTAS(RESUMEN GLOBAL)'!F1081</f>
        <v>0</v>
      </c>
      <c r="J1081" s="8">
        <f>'[1]VENTAS(RESUMEN GLOBAL)'!G1081*(1-'[1]VENTAS(RESUMEN GLOBAL)'!H1081)</f>
        <v>0</v>
      </c>
      <c r="K1081" s="8">
        <f t="shared" si="16"/>
        <v>0</v>
      </c>
      <c r="L1081" s="8">
        <f>+'[1]VENTAS(RESUMEN GLOBAL)'!J1081</f>
        <v>0</v>
      </c>
      <c r="M1081" s="8">
        <f>+Tabla1[[#This Row],[utilidad x dia]]*7</f>
        <v>0</v>
      </c>
    </row>
    <row r="1082" spans="1:13" x14ac:dyDescent="0.3">
      <c r="A1082" s="6">
        <f>+'[1]VENTAS(RESUMEN GLOBAL)'!L1082</f>
        <v>0</v>
      </c>
      <c r="B1082" s="6">
        <f>+'[1]VENTAS(RESUMEN GLOBAL)'!M1082</f>
        <v>0</v>
      </c>
      <c r="C1082">
        <f>+'[1]VENTAS(RESUMEN GLOBAL)'!B1082</f>
        <v>0</v>
      </c>
      <c r="D1082" t="e">
        <f>INDEX('[1]CÓDIGOS DE PRODUCTO'!$D$3:$D$1000,MATCH(C1082,'[1]CÓDIGOS DE PRODUCTO'!$A$3:$A$1000,0))</f>
        <v>#N/A</v>
      </c>
      <c r="E1082">
        <f>VLOOKUP(C1082,'[1]CÓDIGOS DE PRODUCTO'!$A$4:$B$156,2,FALSE)</f>
        <v>0</v>
      </c>
      <c r="F1082">
        <f>INDEX('[1]CÓDIGOS DE PRODUCTO'!$C$3:$C$1000,MATCH(C1082,'[1]CÓDIGOS DE PRODUCTO'!$A$3:$A$1000,0))</f>
        <v>0</v>
      </c>
      <c r="G1082">
        <f>+'[1]VENTAS(RESUMEN GLOBAL)'!D1082-'[1]VENTAS(RESUMEN GLOBAL)'!E1082</f>
        <v>0</v>
      </c>
      <c r="H1082" s="9">
        <f>+'[1]VENTAS(RESUMEN GLOBAL)'!K1082</f>
        <v>0</v>
      </c>
      <c r="I1082" s="8">
        <f>+G1082*'[1]VENTAS(RESUMEN GLOBAL)'!F1082</f>
        <v>0</v>
      </c>
      <c r="J1082" s="8">
        <f>'[1]VENTAS(RESUMEN GLOBAL)'!G1082*(1-'[1]VENTAS(RESUMEN GLOBAL)'!H1082)</f>
        <v>0</v>
      </c>
      <c r="K1082" s="8">
        <f t="shared" si="16"/>
        <v>0</v>
      </c>
      <c r="L1082" s="8">
        <f>+'[1]VENTAS(RESUMEN GLOBAL)'!J1082</f>
        <v>0</v>
      </c>
      <c r="M1082" s="8">
        <f>+Tabla1[[#This Row],[utilidad x dia]]*7</f>
        <v>0</v>
      </c>
    </row>
    <row r="1083" spans="1:13" x14ac:dyDescent="0.3">
      <c r="A1083" s="6">
        <f>+'[1]VENTAS(RESUMEN GLOBAL)'!L1083</f>
        <v>0</v>
      </c>
      <c r="B1083" s="6">
        <f>+'[1]VENTAS(RESUMEN GLOBAL)'!M1083</f>
        <v>0</v>
      </c>
      <c r="C1083">
        <f>+'[1]VENTAS(RESUMEN GLOBAL)'!B1083</f>
        <v>0</v>
      </c>
      <c r="D1083" t="e">
        <f>INDEX('[1]CÓDIGOS DE PRODUCTO'!$D$3:$D$1000,MATCH(C1083,'[1]CÓDIGOS DE PRODUCTO'!$A$3:$A$1000,0))</f>
        <v>#N/A</v>
      </c>
      <c r="E1083">
        <f>VLOOKUP(C1083,'[1]CÓDIGOS DE PRODUCTO'!$A$4:$B$156,2,FALSE)</f>
        <v>0</v>
      </c>
      <c r="F1083">
        <f>INDEX('[1]CÓDIGOS DE PRODUCTO'!$C$3:$C$1000,MATCH(C1083,'[1]CÓDIGOS DE PRODUCTO'!$A$3:$A$1000,0))</f>
        <v>0</v>
      </c>
      <c r="G1083">
        <f>+'[1]VENTAS(RESUMEN GLOBAL)'!D1083-'[1]VENTAS(RESUMEN GLOBAL)'!E1083</f>
        <v>0</v>
      </c>
      <c r="H1083" s="9">
        <f>+'[1]VENTAS(RESUMEN GLOBAL)'!K1083</f>
        <v>0</v>
      </c>
      <c r="I1083" s="8">
        <f>+G1083*'[1]VENTAS(RESUMEN GLOBAL)'!F1083</f>
        <v>0</v>
      </c>
      <c r="J1083" s="8">
        <f>'[1]VENTAS(RESUMEN GLOBAL)'!G1083*(1-'[1]VENTAS(RESUMEN GLOBAL)'!H1083)</f>
        <v>0</v>
      </c>
      <c r="K1083" s="8">
        <f t="shared" si="16"/>
        <v>0</v>
      </c>
      <c r="L1083" s="8">
        <f>+'[1]VENTAS(RESUMEN GLOBAL)'!J1083</f>
        <v>0</v>
      </c>
      <c r="M1083" s="8">
        <f>+Tabla1[[#This Row],[utilidad x dia]]*7</f>
        <v>0</v>
      </c>
    </row>
    <row r="1084" spans="1:13" x14ac:dyDescent="0.3">
      <c r="A1084" s="6">
        <f>+'[1]VENTAS(RESUMEN GLOBAL)'!L1084</f>
        <v>0</v>
      </c>
      <c r="B1084" s="6">
        <f>+'[1]VENTAS(RESUMEN GLOBAL)'!M1084</f>
        <v>0</v>
      </c>
      <c r="C1084">
        <f>+'[1]VENTAS(RESUMEN GLOBAL)'!B1084</f>
        <v>0</v>
      </c>
      <c r="D1084" t="e">
        <f>INDEX('[1]CÓDIGOS DE PRODUCTO'!$D$3:$D$1000,MATCH(C1084,'[1]CÓDIGOS DE PRODUCTO'!$A$3:$A$1000,0))</f>
        <v>#N/A</v>
      </c>
      <c r="E1084">
        <f>VLOOKUP(C1084,'[1]CÓDIGOS DE PRODUCTO'!$A$4:$B$156,2,FALSE)</f>
        <v>0</v>
      </c>
      <c r="F1084">
        <f>INDEX('[1]CÓDIGOS DE PRODUCTO'!$C$3:$C$1000,MATCH(C1084,'[1]CÓDIGOS DE PRODUCTO'!$A$3:$A$1000,0))</f>
        <v>0</v>
      </c>
      <c r="G1084">
        <f>+'[1]VENTAS(RESUMEN GLOBAL)'!D1084-'[1]VENTAS(RESUMEN GLOBAL)'!E1084</f>
        <v>0</v>
      </c>
      <c r="H1084" s="9">
        <f>+'[1]VENTAS(RESUMEN GLOBAL)'!K1084</f>
        <v>0</v>
      </c>
      <c r="I1084" s="8">
        <f>+G1084*'[1]VENTAS(RESUMEN GLOBAL)'!F1084</f>
        <v>0</v>
      </c>
      <c r="J1084" s="8">
        <f>'[1]VENTAS(RESUMEN GLOBAL)'!G1084*(1-'[1]VENTAS(RESUMEN GLOBAL)'!H1084)</f>
        <v>0</v>
      </c>
      <c r="K1084" s="8">
        <f t="shared" si="16"/>
        <v>0</v>
      </c>
      <c r="L1084" s="8">
        <f>+'[1]VENTAS(RESUMEN GLOBAL)'!J1084</f>
        <v>0</v>
      </c>
      <c r="M1084" s="8">
        <f>+Tabla1[[#This Row],[utilidad x dia]]*7</f>
        <v>0</v>
      </c>
    </row>
    <row r="1085" spans="1:13" x14ac:dyDescent="0.3">
      <c r="A1085" s="6">
        <f>+'[1]VENTAS(RESUMEN GLOBAL)'!L1085</f>
        <v>0</v>
      </c>
      <c r="B1085" s="6">
        <f>+'[1]VENTAS(RESUMEN GLOBAL)'!M1085</f>
        <v>0</v>
      </c>
      <c r="C1085">
        <f>+'[1]VENTAS(RESUMEN GLOBAL)'!B1085</f>
        <v>0</v>
      </c>
      <c r="D1085" t="e">
        <f>INDEX('[1]CÓDIGOS DE PRODUCTO'!$D$3:$D$1000,MATCH(C1085,'[1]CÓDIGOS DE PRODUCTO'!$A$3:$A$1000,0))</f>
        <v>#N/A</v>
      </c>
      <c r="E1085">
        <f>VLOOKUP(C1085,'[1]CÓDIGOS DE PRODUCTO'!$A$4:$B$156,2,FALSE)</f>
        <v>0</v>
      </c>
      <c r="F1085">
        <f>INDEX('[1]CÓDIGOS DE PRODUCTO'!$C$3:$C$1000,MATCH(C1085,'[1]CÓDIGOS DE PRODUCTO'!$A$3:$A$1000,0))</f>
        <v>0</v>
      </c>
      <c r="G1085">
        <f>+'[1]VENTAS(RESUMEN GLOBAL)'!D1085-'[1]VENTAS(RESUMEN GLOBAL)'!E1085</f>
        <v>0</v>
      </c>
      <c r="H1085" s="9">
        <f>+'[1]VENTAS(RESUMEN GLOBAL)'!K1085</f>
        <v>0</v>
      </c>
      <c r="I1085" s="8">
        <f>+G1085*'[1]VENTAS(RESUMEN GLOBAL)'!F1085</f>
        <v>0</v>
      </c>
      <c r="J1085" s="8">
        <f>'[1]VENTAS(RESUMEN GLOBAL)'!G1085*(1-'[1]VENTAS(RESUMEN GLOBAL)'!H1085)</f>
        <v>0</v>
      </c>
      <c r="K1085" s="8">
        <f t="shared" si="16"/>
        <v>0</v>
      </c>
      <c r="L1085" s="8">
        <f>+'[1]VENTAS(RESUMEN GLOBAL)'!J1085</f>
        <v>0</v>
      </c>
      <c r="M1085" s="8">
        <f>+Tabla1[[#This Row],[utilidad x dia]]*7</f>
        <v>0</v>
      </c>
    </row>
    <row r="1086" spans="1:13" x14ac:dyDescent="0.3">
      <c r="A1086" s="6">
        <f>+'[1]VENTAS(RESUMEN GLOBAL)'!L1086</f>
        <v>0</v>
      </c>
      <c r="B1086" s="6">
        <f>+'[1]VENTAS(RESUMEN GLOBAL)'!M1086</f>
        <v>0</v>
      </c>
      <c r="C1086">
        <f>+'[1]VENTAS(RESUMEN GLOBAL)'!B1086</f>
        <v>0</v>
      </c>
      <c r="D1086" t="e">
        <f>INDEX('[1]CÓDIGOS DE PRODUCTO'!$D$3:$D$1000,MATCH(C1086,'[1]CÓDIGOS DE PRODUCTO'!$A$3:$A$1000,0))</f>
        <v>#N/A</v>
      </c>
      <c r="E1086">
        <f>VLOOKUP(C1086,'[1]CÓDIGOS DE PRODUCTO'!$A$4:$B$156,2,FALSE)</f>
        <v>0</v>
      </c>
      <c r="F1086">
        <f>INDEX('[1]CÓDIGOS DE PRODUCTO'!$C$3:$C$1000,MATCH(C1086,'[1]CÓDIGOS DE PRODUCTO'!$A$3:$A$1000,0))</f>
        <v>0</v>
      </c>
      <c r="G1086">
        <f>+'[1]VENTAS(RESUMEN GLOBAL)'!D1086-'[1]VENTAS(RESUMEN GLOBAL)'!E1086</f>
        <v>0</v>
      </c>
      <c r="H1086" s="9">
        <f>+'[1]VENTAS(RESUMEN GLOBAL)'!K1086</f>
        <v>0</v>
      </c>
      <c r="I1086" s="8">
        <f>+G1086*'[1]VENTAS(RESUMEN GLOBAL)'!F1086</f>
        <v>0</v>
      </c>
      <c r="J1086" s="8">
        <f>'[1]VENTAS(RESUMEN GLOBAL)'!G1086*(1-'[1]VENTAS(RESUMEN GLOBAL)'!H1086)</f>
        <v>0</v>
      </c>
      <c r="K1086" s="8">
        <f t="shared" si="16"/>
        <v>0</v>
      </c>
      <c r="L1086" s="8">
        <f>+'[1]VENTAS(RESUMEN GLOBAL)'!J1086</f>
        <v>0</v>
      </c>
      <c r="M1086" s="8">
        <f>+Tabla1[[#This Row],[utilidad x dia]]*7</f>
        <v>0</v>
      </c>
    </row>
    <row r="1087" spans="1:13" x14ac:dyDescent="0.3">
      <c r="A1087" s="6">
        <f>+'[1]VENTAS(RESUMEN GLOBAL)'!L1087</f>
        <v>0</v>
      </c>
      <c r="B1087" s="6">
        <f>+'[1]VENTAS(RESUMEN GLOBAL)'!M1087</f>
        <v>0</v>
      </c>
      <c r="C1087">
        <f>+'[1]VENTAS(RESUMEN GLOBAL)'!B1087</f>
        <v>0</v>
      </c>
      <c r="D1087" t="e">
        <f>INDEX('[1]CÓDIGOS DE PRODUCTO'!$D$3:$D$1000,MATCH(C1087,'[1]CÓDIGOS DE PRODUCTO'!$A$3:$A$1000,0))</f>
        <v>#N/A</v>
      </c>
      <c r="E1087">
        <f>VLOOKUP(C1087,'[1]CÓDIGOS DE PRODUCTO'!$A$4:$B$156,2,FALSE)</f>
        <v>0</v>
      </c>
      <c r="F1087">
        <f>INDEX('[1]CÓDIGOS DE PRODUCTO'!$C$3:$C$1000,MATCH(C1087,'[1]CÓDIGOS DE PRODUCTO'!$A$3:$A$1000,0))</f>
        <v>0</v>
      </c>
      <c r="G1087">
        <f>+'[1]VENTAS(RESUMEN GLOBAL)'!D1087-'[1]VENTAS(RESUMEN GLOBAL)'!E1087</f>
        <v>0</v>
      </c>
      <c r="H1087" s="9">
        <f>+'[1]VENTAS(RESUMEN GLOBAL)'!K1087</f>
        <v>0</v>
      </c>
      <c r="I1087" s="8">
        <f>+G1087*'[1]VENTAS(RESUMEN GLOBAL)'!F1087</f>
        <v>0</v>
      </c>
      <c r="J1087" s="8">
        <f>'[1]VENTAS(RESUMEN GLOBAL)'!G1087*(1-'[1]VENTAS(RESUMEN GLOBAL)'!H1087)</f>
        <v>0</v>
      </c>
      <c r="K1087" s="8">
        <f t="shared" si="16"/>
        <v>0</v>
      </c>
      <c r="L1087" s="8">
        <f>+'[1]VENTAS(RESUMEN GLOBAL)'!J1087</f>
        <v>0</v>
      </c>
      <c r="M1087" s="8">
        <f>+Tabla1[[#This Row],[utilidad x dia]]*7</f>
        <v>0</v>
      </c>
    </row>
    <row r="1088" spans="1:13" x14ac:dyDescent="0.3">
      <c r="A1088" s="6">
        <f>+'[1]VENTAS(RESUMEN GLOBAL)'!L1088</f>
        <v>0</v>
      </c>
      <c r="B1088" s="6">
        <f>+'[1]VENTAS(RESUMEN GLOBAL)'!M1088</f>
        <v>0</v>
      </c>
      <c r="C1088">
        <f>+'[1]VENTAS(RESUMEN GLOBAL)'!B1088</f>
        <v>0</v>
      </c>
      <c r="D1088" t="e">
        <f>INDEX('[1]CÓDIGOS DE PRODUCTO'!$D$3:$D$1000,MATCH(C1088,'[1]CÓDIGOS DE PRODUCTO'!$A$3:$A$1000,0))</f>
        <v>#N/A</v>
      </c>
      <c r="E1088">
        <f>VLOOKUP(C1088,'[1]CÓDIGOS DE PRODUCTO'!$A$4:$B$156,2,FALSE)</f>
        <v>0</v>
      </c>
      <c r="F1088">
        <f>INDEX('[1]CÓDIGOS DE PRODUCTO'!$C$3:$C$1000,MATCH(C1088,'[1]CÓDIGOS DE PRODUCTO'!$A$3:$A$1000,0))</f>
        <v>0</v>
      </c>
      <c r="G1088">
        <f>+'[1]VENTAS(RESUMEN GLOBAL)'!D1088-'[1]VENTAS(RESUMEN GLOBAL)'!E1088</f>
        <v>0</v>
      </c>
      <c r="H1088" s="9">
        <f>+'[1]VENTAS(RESUMEN GLOBAL)'!K1088</f>
        <v>0</v>
      </c>
      <c r="I1088" s="8">
        <f>+G1088*'[1]VENTAS(RESUMEN GLOBAL)'!F1088</f>
        <v>0</v>
      </c>
      <c r="J1088" s="8">
        <f>'[1]VENTAS(RESUMEN GLOBAL)'!G1088*(1-'[1]VENTAS(RESUMEN GLOBAL)'!H1088)</f>
        <v>0</v>
      </c>
      <c r="K1088" s="8">
        <f t="shared" si="16"/>
        <v>0</v>
      </c>
      <c r="L1088" s="8">
        <f>+'[1]VENTAS(RESUMEN GLOBAL)'!J1088</f>
        <v>0</v>
      </c>
      <c r="M1088" s="8">
        <f>+Tabla1[[#This Row],[utilidad x dia]]*7</f>
        <v>0</v>
      </c>
    </row>
    <row r="1089" spans="1:13" x14ac:dyDescent="0.3">
      <c r="A1089" s="6">
        <f>+'[1]VENTAS(RESUMEN GLOBAL)'!L1089</f>
        <v>0</v>
      </c>
      <c r="B1089" s="6">
        <f>+'[1]VENTAS(RESUMEN GLOBAL)'!M1089</f>
        <v>0</v>
      </c>
      <c r="C1089">
        <f>+'[1]VENTAS(RESUMEN GLOBAL)'!B1089</f>
        <v>0</v>
      </c>
      <c r="D1089" t="e">
        <f>INDEX('[1]CÓDIGOS DE PRODUCTO'!$D$3:$D$1000,MATCH(C1089,'[1]CÓDIGOS DE PRODUCTO'!$A$3:$A$1000,0))</f>
        <v>#N/A</v>
      </c>
      <c r="E1089">
        <f>VLOOKUP(C1089,'[1]CÓDIGOS DE PRODUCTO'!$A$4:$B$156,2,FALSE)</f>
        <v>0</v>
      </c>
      <c r="F1089">
        <f>INDEX('[1]CÓDIGOS DE PRODUCTO'!$C$3:$C$1000,MATCH(C1089,'[1]CÓDIGOS DE PRODUCTO'!$A$3:$A$1000,0))</f>
        <v>0</v>
      </c>
      <c r="G1089">
        <f>+'[1]VENTAS(RESUMEN GLOBAL)'!D1089-'[1]VENTAS(RESUMEN GLOBAL)'!E1089</f>
        <v>0</v>
      </c>
      <c r="H1089" s="9">
        <f>+'[1]VENTAS(RESUMEN GLOBAL)'!K1089</f>
        <v>0</v>
      </c>
      <c r="I1089" s="8">
        <f>+G1089*'[1]VENTAS(RESUMEN GLOBAL)'!F1089</f>
        <v>0</v>
      </c>
      <c r="J1089" s="8">
        <f>'[1]VENTAS(RESUMEN GLOBAL)'!G1089*(1-'[1]VENTAS(RESUMEN GLOBAL)'!H1089)</f>
        <v>0</v>
      </c>
      <c r="K1089" s="8">
        <f t="shared" si="16"/>
        <v>0</v>
      </c>
      <c r="L1089" s="8">
        <f>+'[1]VENTAS(RESUMEN GLOBAL)'!J1089</f>
        <v>0</v>
      </c>
      <c r="M1089" s="8">
        <f>+Tabla1[[#This Row],[utilidad x dia]]*7</f>
        <v>0</v>
      </c>
    </row>
    <row r="1090" spans="1:13" x14ac:dyDescent="0.3">
      <c r="A1090" s="6">
        <f>+'[1]VENTAS(RESUMEN GLOBAL)'!L1090</f>
        <v>0</v>
      </c>
      <c r="B1090" s="6">
        <f>+'[1]VENTAS(RESUMEN GLOBAL)'!M1090</f>
        <v>0</v>
      </c>
      <c r="C1090">
        <f>+'[1]VENTAS(RESUMEN GLOBAL)'!B1090</f>
        <v>0</v>
      </c>
      <c r="D1090" t="e">
        <f>INDEX('[1]CÓDIGOS DE PRODUCTO'!$D$3:$D$1000,MATCH(C1090,'[1]CÓDIGOS DE PRODUCTO'!$A$3:$A$1000,0))</f>
        <v>#N/A</v>
      </c>
      <c r="E1090">
        <f>VLOOKUP(C1090,'[1]CÓDIGOS DE PRODUCTO'!$A$4:$B$156,2,FALSE)</f>
        <v>0</v>
      </c>
      <c r="F1090">
        <f>INDEX('[1]CÓDIGOS DE PRODUCTO'!$C$3:$C$1000,MATCH(C1090,'[1]CÓDIGOS DE PRODUCTO'!$A$3:$A$1000,0))</f>
        <v>0</v>
      </c>
      <c r="G1090">
        <f>+'[1]VENTAS(RESUMEN GLOBAL)'!D1090-'[1]VENTAS(RESUMEN GLOBAL)'!E1090</f>
        <v>0</v>
      </c>
      <c r="H1090" s="9">
        <f>+'[1]VENTAS(RESUMEN GLOBAL)'!K1090</f>
        <v>0</v>
      </c>
      <c r="I1090" s="8">
        <f>+G1090*'[1]VENTAS(RESUMEN GLOBAL)'!F1090</f>
        <v>0</v>
      </c>
      <c r="J1090" s="8">
        <f>'[1]VENTAS(RESUMEN GLOBAL)'!G1090*(1-'[1]VENTAS(RESUMEN GLOBAL)'!H1090)</f>
        <v>0</v>
      </c>
      <c r="K1090" s="8">
        <f t="shared" si="16"/>
        <v>0</v>
      </c>
      <c r="L1090" s="8">
        <f>+'[1]VENTAS(RESUMEN GLOBAL)'!J1090</f>
        <v>0</v>
      </c>
      <c r="M1090" s="8">
        <f>+Tabla1[[#This Row],[utilidad x dia]]*7</f>
        <v>0</v>
      </c>
    </row>
    <row r="1091" spans="1:13" x14ac:dyDescent="0.3">
      <c r="A1091" s="6">
        <f>+'[1]VENTAS(RESUMEN GLOBAL)'!L1091</f>
        <v>0</v>
      </c>
      <c r="B1091" s="6">
        <f>+'[1]VENTAS(RESUMEN GLOBAL)'!M1091</f>
        <v>0</v>
      </c>
      <c r="C1091">
        <f>+'[1]VENTAS(RESUMEN GLOBAL)'!B1091</f>
        <v>0</v>
      </c>
      <c r="D1091" t="e">
        <f>INDEX('[1]CÓDIGOS DE PRODUCTO'!$D$3:$D$1000,MATCH(C1091,'[1]CÓDIGOS DE PRODUCTO'!$A$3:$A$1000,0))</f>
        <v>#N/A</v>
      </c>
      <c r="E1091">
        <f>VLOOKUP(C1091,'[1]CÓDIGOS DE PRODUCTO'!$A$4:$B$156,2,FALSE)</f>
        <v>0</v>
      </c>
      <c r="F1091">
        <f>INDEX('[1]CÓDIGOS DE PRODUCTO'!$C$3:$C$1000,MATCH(C1091,'[1]CÓDIGOS DE PRODUCTO'!$A$3:$A$1000,0))</f>
        <v>0</v>
      </c>
      <c r="G1091">
        <f>+'[1]VENTAS(RESUMEN GLOBAL)'!D1091-'[1]VENTAS(RESUMEN GLOBAL)'!E1091</f>
        <v>0</v>
      </c>
      <c r="H1091" s="9">
        <f>+'[1]VENTAS(RESUMEN GLOBAL)'!K1091</f>
        <v>0</v>
      </c>
      <c r="I1091" s="8">
        <f>+G1091*'[1]VENTAS(RESUMEN GLOBAL)'!F1091</f>
        <v>0</v>
      </c>
      <c r="J1091" s="8">
        <f>'[1]VENTAS(RESUMEN GLOBAL)'!G1091*(1-'[1]VENTAS(RESUMEN GLOBAL)'!H1091)</f>
        <v>0</v>
      </c>
      <c r="K1091" s="8">
        <f t="shared" ref="K1091:K1154" si="17">+I1091-J1091</f>
        <v>0</v>
      </c>
      <c r="L1091" s="8">
        <f>+'[1]VENTAS(RESUMEN GLOBAL)'!J1091</f>
        <v>0</v>
      </c>
      <c r="M1091" s="8">
        <f>+Tabla1[[#This Row],[utilidad x dia]]*7</f>
        <v>0</v>
      </c>
    </row>
    <row r="1092" spans="1:13" x14ac:dyDescent="0.3">
      <c r="A1092" s="6">
        <f>+'[1]VENTAS(RESUMEN GLOBAL)'!L1092</f>
        <v>0</v>
      </c>
      <c r="B1092" s="6">
        <f>+'[1]VENTAS(RESUMEN GLOBAL)'!M1092</f>
        <v>0</v>
      </c>
      <c r="C1092">
        <f>+'[1]VENTAS(RESUMEN GLOBAL)'!B1092</f>
        <v>0</v>
      </c>
      <c r="D1092" t="e">
        <f>INDEX('[1]CÓDIGOS DE PRODUCTO'!$D$3:$D$1000,MATCH(C1092,'[1]CÓDIGOS DE PRODUCTO'!$A$3:$A$1000,0))</f>
        <v>#N/A</v>
      </c>
      <c r="E1092">
        <f>VLOOKUP(C1092,'[1]CÓDIGOS DE PRODUCTO'!$A$4:$B$156,2,FALSE)</f>
        <v>0</v>
      </c>
      <c r="F1092">
        <f>INDEX('[1]CÓDIGOS DE PRODUCTO'!$C$3:$C$1000,MATCH(C1092,'[1]CÓDIGOS DE PRODUCTO'!$A$3:$A$1000,0))</f>
        <v>0</v>
      </c>
      <c r="G1092">
        <f>+'[1]VENTAS(RESUMEN GLOBAL)'!D1092-'[1]VENTAS(RESUMEN GLOBAL)'!E1092</f>
        <v>0</v>
      </c>
      <c r="H1092" s="9">
        <f>+'[1]VENTAS(RESUMEN GLOBAL)'!K1092</f>
        <v>0</v>
      </c>
      <c r="I1092" s="8">
        <f>+G1092*'[1]VENTAS(RESUMEN GLOBAL)'!F1092</f>
        <v>0</v>
      </c>
      <c r="J1092" s="8">
        <f>'[1]VENTAS(RESUMEN GLOBAL)'!G1092*(1-'[1]VENTAS(RESUMEN GLOBAL)'!H1092)</f>
        <v>0</v>
      </c>
      <c r="K1092" s="8">
        <f t="shared" si="17"/>
        <v>0</v>
      </c>
      <c r="L1092" s="8">
        <f>+'[1]VENTAS(RESUMEN GLOBAL)'!J1092</f>
        <v>0</v>
      </c>
      <c r="M1092" s="8">
        <f>+Tabla1[[#This Row],[utilidad x dia]]*7</f>
        <v>0</v>
      </c>
    </row>
    <row r="1093" spans="1:13" x14ac:dyDescent="0.3">
      <c r="A1093" s="6">
        <f>+'[1]VENTAS(RESUMEN GLOBAL)'!L1093</f>
        <v>0</v>
      </c>
      <c r="B1093" s="6">
        <f>+'[1]VENTAS(RESUMEN GLOBAL)'!M1093</f>
        <v>0</v>
      </c>
      <c r="C1093">
        <f>+'[1]VENTAS(RESUMEN GLOBAL)'!B1093</f>
        <v>0</v>
      </c>
      <c r="D1093" t="e">
        <f>INDEX('[1]CÓDIGOS DE PRODUCTO'!$D$3:$D$1000,MATCH(C1093,'[1]CÓDIGOS DE PRODUCTO'!$A$3:$A$1000,0))</f>
        <v>#N/A</v>
      </c>
      <c r="E1093">
        <f>VLOOKUP(C1093,'[1]CÓDIGOS DE PRODUCTO'!$A$4:$B$156,2,FALSE)</f>
        <v>0</v>
      </c>
      <c r="F1093">
        <f>INDEX('[1]CÓDIGOS DE PRODUCTO'!$C$3:$C$1000,MATCH(C1093,'[1]CÓDIGOS DE PRODUCTO'!$A$3:$A$1000,0))</f>
        <v>0</v>
      </c>
      <c r="G1093">
        <f>+'[1]VENTAS(RESUMEN GLOBAL)'!D1093-'[1]VENTAS(RESUMEN GLOBAL)'!E1093</f>
        <v>0</v>
      </c>
      <c r="H1093" s="9">
        <f>+'[1]VENTAS(RESUMEN GLOBAL)'!K1093</f>
        <v>0</v>
      </c>
      <c r="I1093" s="8">
        <f>+G1093*'[1]VENTAS(RESUMEN GLOBAL)'!F1093</f>
        <v>0</v>
      </c>
      <c r="J1093" s="8">
        <f>'[1]VENTAS(RESUMEN GLOBAL)'!G1093*(1-'[1]VENTAS(RESUMEN GLOBAL)'!H1093)</f>
        <v>0</v>
      </c>
      <c r="K1093" s="8">
        <f t="shared" si="17"/>
        <v>0</v>
      </c>
      <c r="L1093" s="8">
        <f>+'[1]VENTAS(RESUMEN GLOBAL)'!J1093</f>
        <v>0</v>
      </c>
      <c r="M1093" s="8">
        <f>+Tabla1[[#This Row],[utilidad x dia]]*7</f>
        <v>0</v>
      </c>
    </row>
    <row r="1094" spans="1:13" x14ac:dyDescent="0.3">
      <c r="A1094" s="6">
        <f>+'[1]VENTAS(RESUMEN GLOBAL)'!L1094</f>
        <v>0</v>
      </c>
      <c r="B1094" s="6">
        <f>+'[1]VENTAS(RESUMEN GLOBAL)'!M1094</f>
        <v>0</v>
      </c>
      <c r="C1094">
        <f>+'[1]VENTAS(RESUMEN GLOBAL)'!B1094</f>
        <v>0</v>
      </c>
      <c r="D1094" t="e">
        <f>INDEX('[1]CÓDIGOS DE PRODUCTO'!$D$3:$D$1000,MATCH(C1094,'[1]CÓDIGOS DE PRODUCTO'!$A$3:$A$1000,0))</f>
        <v>#N/A</v>
      </c>
      <c r="E1094">
        <f>VLOOKUP(C1094,'[1]CÓDIGOS DE PRODUCTO'!$A$4:$B$156,2,FALSE)</f>
        <v>0</v>
      </c>
      <c r="F1094">
        <f>INDEX('[1]CÓDIGOS DE PRODUCTO'!$C$3:$C$1000,MATCH(C1094,'[1]CÓDIGOS DE PRODUCTO'!$A$3:$A$1000,0))</f>
        <v>0</v>
      </c>
      <c r="G1094">
        <f>+'[1]VENTAS(RESUMEN GLOBAL)'!D1094-'[1]VENTAS(RESUMEN GLOBAL)'!E1094</f>
        <v>0</v>
      </c>
      <c r="H1094" s="9">
        <f>+'[1]VENTAS(RESUMEN GLOBAL)'!K1094</f>
        <v>0</v>
      </c>
      <c r="I1094" s="8">
        <f>+G1094*'[1]VENTAS(RESUMEN GLOBAL)'!F1094</f>
        <v>0</v>
      </c>
      <c r="J1094" s="8">
        <f>'[1]VENTAS(RESUMEN GLOBAL)'!G1094*(1-'[1]VENTAS(RESUMEN GLOBAL)'!H1094)</f>
        <v>0</v>
      </c>
      <c r="K1094" s="8">
        <f t="shared" si="17"/>
        <v>0</v>
      </c>
      <c r="L1094" s="8">
        <f>+'[1]VENTAS(RESUMEN GLOBAL)'!J1094</f>
        <v>0</v>
      </c>
      <c r="M1094" s="8">
        <f>+Tabla1[[#This Row],[utilidad x dia]]*7</f>
        <v>0</v>
      </c>
    </row>
    <row r="1095" spans="1:13" x14ac:dyDescent="0.3">
      <c r="A1095" s="6">
        <f>+'[1]VENTAS(RESUMEN GLOBAL)'!L1095</f>
        <v>0</v>
      </c>
      <c r="B1095" s="6">
        <f>+'[1]VENTAS(RESUMEN GLOBAL)'!M1095</f>
        <v>0</v>
      </c>
      <c r="C1095">
        <f>+'[1]VENTAS(RESUMEN GLOBAL)'!B1095</f>
        <v>0</v>
      </c>
      <c r="D1095" t="e">
        <f>INDEX('[1]CÓDIGOS DE PRODUCTO'!$D$3:$D$1000,MATCH(C1095,'[1]CÓDIGOS DE PRODUCTO'!$A$3:$A$1000,0))</f>
        <v>#N/A</v>
      </c>
      <c r="E1095">
        <f>VLOOKUP(C1095,'[1]CÓDIGOS DE PRODUCTO'!$A$4:$B$156,2,FALSE)</f>
        <v>0</v>
      </c>
      <c r="F1095">
        <f>INDEX('[1]CÓDIGOS DE PRODUCTO'!$C$3:$C$1000,MATCH(C1095,'[1]CÓDIGOS DE PRODUCTO'!$A$3:$A$1000,0))</f>
        <v>0</v>
      </c>
      <c r="G1095">
        <f>+'[1]VENTAS(RESUMEN GLOBAL)'!D1095-'[1]VENTAS(RESUMEN GLOBAL)'!E1095</f>
        <v>0</v>
      </c>
      <c r="H1095" s="9">
        <f>+'[1]VENTAS(RESUMEN GLOBAL)'!K1095</f>
        <v>0</v>
      </c>
      <c r="I1095" s="8">
        <f>+G1095*'[1]VENTAS(RESUMEN GLOBAL)'!F1095</f>
        <v>0</v>
      </c>
      <c r="J1095" s="8">
        <f>'[1]VENTAS(RESUMEN GLOBAL)'!G1095*(1-'[1]VENTAS(RESUMEN GLOBAL)'!H1095)</f>
        <v>0</v>
      </c>
      <c r="K1095" s="8">
        <f t="shared" si="17"/>
        <v>0</v>
      </c>
      <c r="L1095" s="8">
        <f>+'[1]VENTAS(RESUMEN GLOBAL)'!J1095</f>
        <v>0</v>
      </c>
      <c r="M1095" s="8">
        <f>+Tabla1[[#This Row],[utilidad x dia]]*7</f>
        <v>0</v>
      </c>
    </row>
    <row r="1096" spans="1:13" x14ac:dyDescent="0.3">
      <c r="A1096" s="6">
        <f>+'[1]VENTAS(RESUMEN GLOBAL)'!L1096</f>
        <v>0</v>
      </c>
      <c r="B1096" s="6">
        <f>+'[1]VENTAS(RESUMEN GLOBAL)'!M1096</f>
        <v>0</v>
      </c>
      <c r="C1096">
        <f>+'[1]VENTAS(RESUMEN GLOBAL)'!B1096</f>
        <v>0</v>
      </c>
      <c r="D1096" t="e">
        <f>INDEX('[1]CÓDIGOS DE PRODUCTO'!$D$3:$D$1000,MATCH(C1096,'[1]CÓDIGOS DE PRODUCTO'!$A$3:$A$1000,0))</f>
        <v>#N/A</v>
      </c>
      <c r="E1096">
        <f>VLOOKUP(C1096,'[1]CÓDIGOS DE PRODUCTO'!$A$4:$B$156,2,FALSE)</f>
        <v>0</v>
      </c>
      <c r="F1096">
        <f>INDEX('[1]CÓDIGOS DE PRODUCTO'!$C$3:$C$1000,MATCH(C1096,'[1]CÓDIGOS DE PRODUCTO'!$A$3:$A$1000,0))</f>
        <v>0</v>
      </c>
      <c r="G1096">
        <f>+'[1]VENTAS(RESUMEN GLOBAL)'!D1096-'[1]VENTAS(RESUMEN GLOBAL)'!E1096</f>
        <v>0</v>
      </c>
      <c r="H1096" s="9">
        <f>+'[1]VENTAS(RESUMEN GLOBAL)'!K1096</f>
        <v>0</v>
      </c>
      <c r="I1096" s="8">
        <f>+G1096*'[1]VENTAS(RESUMEN GLOBAL)'!F1096</f>
        <v>0</v>
      </c>
      <c r="J1096" s="8">
        <f>'[1]VENTAS(RESUMEN GLOBAL)'!G1096*(1-'[1]VENTAS(RESUMEN GLOBAL)'!H1096)</f>
        <v>0</v>
      </c>
      <c r="K1096" s="8">
        <f t="shared" si="17"/>
        <v>0</v>
      </c>
      <c r="L1096" s="8">
        <f>+'[1]VENTAS(RESUMEN GLOBAL)'!J1096</f>
        <v>0</v>
      </c>
      <c r="M1096" s="8">
        <f>+Tabla1[[#This Row],[utilidad x dia]]*7</f>
        <v>0</v>
      </c>
    </row>
    <row r="1097" spans="1:13" x14ac:dyDescent="0.3">
      <c r="A1097" s="6">
        <f>+'[1]VENTAS(RESUMEN GLOBAL)'!L1097</f>
        <v>0</v>
      </c>
      <c r="B1097" s="6">
        <f>+'[1]VENTAS(RESUMEN GLOBAL)'!M1097</f>
        <v>0</v>
      </c>
      <c r="C1097">
        <f>+'[1]VENTAS(RESUMEN GLOBAL)'!B1097</f>
        <v>0</v>
      </c>
      <c r="D1097" t="e">
        <f>INDEX('[1]CÓDIGOS DE PRODUCTO'!$D$3:$D$1000,MATCH(C1097,'[1]CÓDIGOS DE PRODUCTO'!$A$3:$A$1000,0))</f>
        <v>#N/A</v>
      </c>
      <c r="E1097">
        <f>VLOOKUP(C1097,'[1]CÓDIGOS DE PRODUCTO'!$A$4:$B$156,2,FALSE)</f>
        <v>0</v>
      </c>
      <c r="F1097">
        <f>INDEX('[1]CÓDIGOS DE PRODUCTO'!$C$3:$C$1000,MATCH(C1097,'[1]CÓDIGOS DE PRODUCTO'!$A$3:$A$1000,0))</f>
        <v>0</v>
      </c>
      <c r="G1097">
        <f>+'[1]VENTAS(RESUMEN GLOBAL)'!D1097-'[1]VENTAS(RESUMEN GLOBAL)'!E1097</f>
        <v>0</v>
      </c>
      <c r="H1097" s="9">
        <f>+'[1]VENTAS(RESUMEN GLOBAL)'!K1097</f>
        <v>0</v>
      </c>
      <c r="I1097" s="8">
        <f>+G1097*'[1]VENTAS(RESUMEN GLOBAL)'!F1097</f>
        <v>0</v>
      </c>
      <c r="J1097" s="8">
        <f>'[1]VENTAS(RESUMEN GLOBAL)'!G1097*(1-'[1]VENTAS(RESUMEN GLOBAL)'!H1097)</f>
        <v>0</v>
      </c>
      <c r="K1097" s="8">
        <f t="shared" si="17"/>
        <v>0</v>
      </c>
      <c r="L1097" s="8">
        <f>+'[1]VENTAS(RESUMEN GLOBAL)'!J1097</f>
        <v>0</v>
      </c>
      <c r="M1097" s="8">
        <f>+Tabla1[[#This Row],[utilidad x dia]]*7</f>
        <v>0</v>
      </c>
    </row>
    <row r="1098" spans="1:13" x14ac:dyDescent="0.3">
      <c r="A1098" s="6">
        <f>+'[1]VENTAS(RESUMEN GLOBAL)'!L1098</f>
        <v>0</v>
      </c>
      <c r="B1098" s="6">
        <f>+'[1]VENTAS(RESUMEN GLOBAL)'!M1098</f>
        <v>0</v>
      </c>
      <c r="C1098">
        <f>+'[1]VENTAS(RESUMEN GLOBAL)'!B1098</f>
        <v>0</v>
      </c>
      <c r="D1098" t="e">
        <f>INDEX('[1]CÓDIGOS DE PRODUCTO'!$D$3:$D$1000,MATCH(C1098,'[1]CÓDIGOS DE PRODUCTO'!$A$3:$A$1000,0))</f>
        <v>#N/A</v>
      </c>
      <c r="E1098">
        <f>VLOOKUP(C1098,'[1]CÓDIGOS DE PRODUCTO'!$A$4:$B$156,2,FALSE)</f>
        <v>0</v>
      </c>
      <c r="F1098">
        <f>INDEX('[1]CÓDIGOS DE PRODUCTO'!$C$3:$C$1000,MATCH(C1098,'[1]CÓDIGOS DE PRODUCTO'!$A$3:$A$1000,0))</f>
        <v>0</v>
      </c>
      <c r="G1098">
        <f>+'[1]VENTAS(RESUMEN GLOBAL)'!D1098-'[1]VENTAS(RESUMEN GLOBAL)'!E1098</f>
        <v>0</v>
      </c>
      <c r="H1098" s="9">
        <f>+'[1]VENTAS(RESUMEN GLOBAL)'!K1098</f>
        <v>0</v>
      </c>
      <c r="I1098" s="8">
        <f>+G1098*'[1]VENTAS(RESUMEN GLOBAL)'!F1098</f>
        <v>0</v>
      </c>
      <c r="J1098" s="8">
        <f>'[1]VENTAS(RESUMEN GLOBAL)'!G1098*(1-'[1]VENTAS(RESUMEN GLOBAL)'!H1098)</f>
        <v>0</v>
      </c>
      <c r="K1098" s="8">
        <f t="shared" si="17"/>
        <v>0</v>
      </c>
      <c r="L1098" s="8">
        <f>+'[1]VENTAS(RESUMEN GLOBAL)'!J1098</f>
        <v>0</v>
      </c>
      <c r="M1098" s="8">
        <f>+Tabla1[[#This Row],[utilidad x dia]]*7</f>
        <v>0</v>
      </c>
    </row>
    <row r="1099" spans="1:13" x14ac:dyDescent="0.3">
      <c r="A1099" s="6">
        <f>+'[1]VENTAS(RESUMEN GLOBAL)'!L1099</f>
        <v>0</v>
      </c>
      <c r="B1099" s="6">
        <f>+'[1]VENTAS(RESUMEN GLOBAL)'!M1099</f>
        <v>0</v>
      </c>
      <c r="C1099">
        <f>+'[1]VENTAS(RESUMEN GLOBAL)'!B1099</f>
        <v>0</v>
      </c>
      <c r="D1099" t="e">
        <f>INDEX('[1]CÓDIGOS DE PRODUCTO'!$D$3:$D$1000,MATCH(C1099,'[1]CÓDIGOS DE PRODUCTO'!$A$3:$A$1000,0))</f>
        <v>#N/A</v>
      </c>
      <c r="E1099">
        <f>VLOOKUP(C1099,'[1]CÓDIGOS DE PRODUCTO'!$A$4:$B$156,2,FALSE)</f>
        <v>0</v>
      </c>
      <c r="F1099">
        <f>INDEX('[1]CÓDIGOS DE PRODUCTO'!$C$3:$C$1000,MATCH(C1099,'[1]CÓDIGOS DE PRODUCTO'!$A$3:$A$1000,0))</f>
        <v>0</v>
      </c>
      <c r="G1099">
        <f>+'[1]VENTAS(RESUMEN GLOBAL)'!D1099-'[1]VENTAS(RESUMEN GLOBAL)'!E1099</f>
        <v>0</v>
      </c>
      <c r="H1099" s="9">
        <f>+'[1]VENTAS(RESUMEN GLOBAL)'!K1099</f>
        <v>0</v>
      </c>
      <c r="I1099" s="8">
        <f>+G1099*'[1]VENTAS(RESUMEN GLOBAL)'!F1099</f>
        <v>0</v>
      </c>
      <c r="J1099" s="8">
        <f>'[1]VENTAS(RESUMEN GLOBAL)'!G1099*(1-'[1]VENTAS(RESUMEN GLOBAL)'!H1099)</f>
        <v>0</v>
      </c>
      <c r="K1099" s="8">
        <f t="shared" si="17"/>
        <v>0</v>
      </c>
      <c r="L1099" s="8">
        <f>+'[1]VENTAS(RESUMEN GLOBAL)'!J1099</f>
        <v>0</v>
      </c>
      <c r="M1099" s="8">
        <f>+Tabla1[[#This Row],[utilidad x dia]]*7</f>
        <v>0</v>
      </c>
    </row>
    <row r="1100" spans="1:13" x14ac:dyDescent="0.3">
      <c r="A1100" s="6">
        <f>+'[1]VENTAS(RESUMEN GLOBAL)'!L1100</f>
        <v>0</v>
      </c>
      <c r="B1100" s="6">
        <f>+'[1]VENTAS(RESUMEN GLOBAL)'!M1100</f>
        <v>0</v>
      </c>
      <c r="C1100">
        <f>+'[1]VENTAS(RESUMEN GLOBAL)'!B1100</f>
        <v>0</v>
      </c>
      <c r="D1100" t="e">
        <f>INDEX('[1]CÓDIGOS DE PRODUCTO'!$D$3:$D$1000,MATCH(C1100,'[1]CÓDIGOS DE PRODUCTO'!$A$3:$A$1000,0))</f>
        <v>#N/A</v>
      </c>
      <c r="E1100">
        <f>VLOOKUP(C1100,'[1]CÓDIGOS DE PRODUCTO'!$A$4:$B$156,2,FALSE)</f>
        <v>0</v>
      </c>
      <c r="F1100">
        <f>INDEX('[1]CÓDIGOS DE PRODUCTO'!$C$3:$C$1000,MATCH(C1100,'[1]CÓDIGOS DE PRODUCTO'!$A$3:$A$1000,0))</f>
        <v>0</v>
      </c>
      <c r="G1100">
        <f>+'[1]VENTAS(RESUMEN GLOBAL)'!D1100-'[1]VENTAS(RESUMEN GLOBAL)'!E1100</f>
        <v>0</v>
      </c>
      <c r="H1100" s="9">
        <f>+'[1]VENTAS(RESUMEN GLOBAL)'!K1100</f>
        <v>0</v>
      </c>
      <c r="I1100" s="8">
        <f>+G1100*'[1]VENTAS(RESUMEN GLOBAL)'!F1100</f>
        <v>0</v>
      </c>
      <c r="J1100" s="8">
        <f>'[1]VENTAS(RESUMEN GLOBAL)'!G1100*(1-'[1]VENTAS(RESUMEN GLOBAL)'!H1100)</f>
        <v>0</v>
      </c>
      <c r="K1100" s="8">
        <f t="shared" si="17"/>
        <v>0</v>
      </c>
      <c r="L1100" s="8">
        <f>+'[1]VENTAS(RESUMEN GLOBAL)'!J1100</f>
        <v>0</v>
      </c>
      <c r="M1100" s="8">
        <f>+Tabla1[[#This Row],[utilidad x dia]]*7</f>
        <v>0</v>
      </c>
    </row>
    <row r="1101" spans="1:13" x14ac:dyDescent="0.3">
      <c r="A1101" s="6">
        <f>+'[1]VENTAS(RESUMEN GLOBAL)'!L1101</f>
        <v>0</v>
      </c>
      <c r="B1101" s="6">
        <f>+'[1]VENTAS(RESUMEN GLOBAL)'!M1101</f>
        <v>0</v>
      </c>
      <c r="C1101">
        <f>+'[1]VENTAS(RESUMEN GLOBAL)'!B1101</f>
        <v>0</v>
      </c>
      <c r="D1101" t="e">
        <f>INDEX('[1]CÓDIGOS DE PRODUCTO'!$D$3:$D$1000,MATCH(C1101,'[1]CÓDIGOS DE PRODUCTO'!$A$3:$A$1000,0))</f>
        <v>#N/A</v>
      </c>
      <c r="E1101">
        <f>VLOOKUP(C1101,'[1]CÓDIGOS DE PRODUCTO'!$A$4:$B$156,2,FALSE)</f>
        <v>0</v>
      </c>
      <c r="F1101">
        <f>INDEX('[1]CÓDIGOS DE PRODUCTO'!$C$3:$C$1000,MATCH(C1101,'[1]CÓDIGOS DE PRODUCTO'!$A$3:$A$1000,0))</f>
        <v>0</v>
      </c>
      <c r="G1101">
        <f>+'[1]VENTAS(RESUMEN GLOBAL)'!D1101-'[1]VENTAS(RESUMEN GLOBAL)'!E1101</f>
        <v>0</v>
      </c>
      <c r="H1101" s="9">
        <f>+'[1]VENTAS(RESUMEN GLOBAL)'!K1101</f>
        <v>0</v>
      </c>
      <c r="I1101" s="8">
        <f>+G1101*'[1]VENTAS(RESUMEN GLOBAL)'!F1101</f>
        <v>0</v>
      </c>
      <c r="J1101" s="8">
        <f>'[1]VENTAS(RESUMEN GLOBAL)'!G1101*(1-'[1]VENTAS(RESUMEN GLOBAL)'!H1101)</f>
        <v>0</v>
      </c>
      <c r="K1101" s="8">
        <f t="shared" si="17"/>
        <v>0</v>
      </c>
      <c r="L1101" s="8">
        <f>+'[1]VENTAS(RESUMEN GLOBAL)'!J1101</f>
        <v>0</v>
      </c>
      <c r="M1101" s="8">
        <f>+Tabla1[[#This Row],[utilidad x dia]]*7</f>
        <v>0</v>
      </c>
    </row>
    <row r="1102" spans="1:13" x14ac:dyDescent="0.3">
      <c r="A1102" s="6">
        <f>+'[1]VENTAS(RESUMEN GLOBAL)'!L1102</f>
        <v>0</v>
      </c>
      <c r="B1102" s="6">
        <f>+'[1]VENTAS(RESUMEN GLOBAL)'!M1102</f>
        <v>0</v>
      </c>
      <c r="C1102">
        <f>+'[1]VENTAS(RESUMEN GLOBAL)'!B1102</f>
        <v>0</v>
      </c>
      <c r="D1102" t="e">
        <f>INDEX('[1]CÓDIGOS DE PRODUCTO'!$D$3:$D$1000,MATCH(C1102,'[1]CÓDIGOS DE PRODUCTO'!$A$3:$A$1000,0))</f>
        <v>#N/A</v>
      </c>
      <c r="E1102">
        <f>VLOOKUP(C1102,'[1]CÓDIGOS DE PRODUCTO'!$A$4:$B$156,2,FALSE)</f>
        <v>0</v>
      </c>
      <c r="F1102">
        <f>INDEX('[1]CÓDIGOS DE PRODUCTO'!$C$3:$C$1000,MATCH(C1102,'[1]CÓDIGOS DE PRODUCTO'!$A$3:$A$1000,0))</f>
        <v>0</v>
      </c>
      <c r="G1102">
        <f>+'[1]VENTAS(RESUMEN GLOBAL)'!D1102-'[1]VENTAS(RESUMEN GLOBAL)'!E1102</f>
        <v>0</v>
      </c>
      <c r="H1102" s="9">
        <f>+'[1]VENTAS(RESUMEN GLOBAL)'!K1102</f>
        <v>0</v>
      </c>
      <c r="I1102" s="8">
        <f>+G1102*'[1]VENTAS(RESUMEN GLOBAL)'!F1102</f>
        <v>0</v>
      </c>
      <c r="J1102" s="8">
        <f>'[1]VENTAS(RESUMEN GLOBAL)'!G1102*(1-'[1]VENTAS(RESUMEN GLOBAL)'!H1102)</f>
        <v>0</v>
      </c>
      <c r="K1102" s="8">
        <f t="shared" si="17"/>
        <v>0</v>
      </c>
      <c r="L1102" s="8">
        <f>+'[1]VENTAS(RESUMEN GLOBAL)'!J1102</f>
        <v>0</v>
      </c>
      <c r="M1102" s="8">
        <f>+Tabla1[[#This Row],[utilidad x dia]]*7</f>
        <v>0</v>
      </c>
    </row>
    <row r="1103" spans="1:13" x14ac:dyDescent="0.3">
      <c r="A1103" s="6">
        <f>+'[1]VENTAS(RESUMEN GLOBAL)'!L1103</f>
        <v>0</v>
      </c>
      <c r="B1103" s="6">
        <f>+'[1]VENTAS(RESUMEN GLOBAL)'!M1103</f>
        <v>0</v>
      </c>
      <c r="C1103">
        <f>+'[1]VENTAS(RESUMEN GLOBAL)'!B1103</f>
        <v>0</v>
      </c>
      <c r="D1103" t="e">
        <f>INDEX('[1]CÓDIGOS DE PRODUCTO'!$D$3:$D$1000,MATCH(C1103,'[1]CÓDIGOS DE PRODUCTO'!$A$3:$A$1000,0))</f>
        <v>#N/A</v>
      </c>
      <c r="E1103">
        <f>VLOOKUP(C1103,'[1]CÓDIGOS DE PRODUCTO'!$A$4:$B$156,2,FALSE)</f>
        <v>0</v>
      </c>
      <c r="F1103">
        <f>INDEX('[1]CÓDIGOS DE PRODUCTO'!$C$3:$C$1000,MATCH(C1103,'[1]CÓDIGOS DE PRODUCTO'!$A$3:$A$1000,0))</f>
        <v>0</v>
      </c>
      <c r="G1103">
        <f>+'[1]VENTAS(RESUMEN GLOBAL)'!D1103-'[1]VENTAS(RESUMEN GLOBAL)'!E1103</f>
        <v>0</v>
      </c>
      <c r="H1103" s="9">
        <f>+'[1]VENTAS(RESUMEN GLOBAL)'!K1103</f>
        <v>0</v>
      </c>
      <c r="I1103" s="8">
        <f>+G1103*'[1]VENTAS(RESUMEN GLOBAL)'!F1103</f>
        <v>0</v>
      </c>
      <c r="J1103" s="8">
        <f>'[1]VENTAS(RESUMEN GLOBAL)'!G1103*(1-'[1]VENTAS(RESUMEN GLOBAL)'!H1103)</f>
        <v>0</v>
      </c>
      <c r="K1103" s="8">
        <f t="shared" si="17"/>
        <v>0</v>
      </c>
      <c r="L1103" s="8">
        <f>+'[1]VENTAS(RESUMEN GLOBAL)'!J1103</f>
        <v>0</v>
      </c>
      <c r="M1103" s="8">
        <f>+Tabla1[[#This Row],[utilidad x dia]]*7</f>
        <v>0</v>
      </c>
    </row>
    <row r="1104" spans="1:13" x14ac:dyDescent="0.3">
      <c r="A1104" s="6">
        <f>+'[1]VENTAS(RESUMEN GLOBAL)'!L1104</f>
        <v>0</v>
      </c>
      <c r="B1104" s="6">
        <f>+'[1]VENTAS(RESUMEN GLOBAL)'!M1104</f>
        <v>0</v>
      </c>
      <c r="C1104">
        <f>+'[1]VENTAS(RESUMEN GLOBAL)'!B1104</f>
        <v>0</v>
      </c>
      <c r="D1104" t="e">
        <f>INDEX('[1]CÓDIGOS DE PRODUCTO'!$D$3:$D$1000,MATCH(C1104,'[1]CÓDIGOS DE PRODUCTO'!$A$3:$A$1000,0))</f>
        <v>#N/A</v>
      </c>
      <c r="E1104">
        <f>VLOOKUP(C1104,'[1]CÓDIGOS DE PRODUCTO'!$A$4:$B$156,2,FALSE)</f>
        <v>0</v>
      </c>
      <c r="F1104">
        <f>INDEX('[1]CÓDIGOS DE PRODUCTO'!$C$3:$C$1000,MATCH(C1104,'[1]CÓDIGOS DE PRODUCTO'!$A$3:$A$1000,0))</f>
        <v>0</v>
      </c>
      <c r="G1104">
        <f>+'[1]VENTAS(RESUMEN GLOBAL)'!D1104-'[1]VENTAS(RESUMEN GLOBAL)'!E1104</f>
        <v>0</v>
      </c>
      <c r="H1104" s="9">
        <f>+'[1]VENTAS(RESUMEN GLOBAL)'!K1104</f>
        <v>0</v>
      </c>
      <c r="I1104" s="8">
        <f>+G1104*'[1]VENTAS(RESUMEN GLOBAL)'!F1104</f>
        <v>0</v>
      </c>
      <c r="J1104" s="8">
        <f>'[1]VENTAS(RESUMEN GLOBAL)'!G1104*(1-'[1]VENTAS(RESUMEN GLOBAL)'!H1104)</f>
        <v>0</v>
      </c>
      <c r="K1104" s="8">
        <f t="shared" si="17"/>
        <v>0</v>
      </c>
      <c r="L1104" s="8">
        <f>+'[1]VENTAS(RESUMEN GLOBAL)'!J1104</f>
        <v>0</v>
      </c>
      <c r="M1104" s="8">
        <f>+Tabla1[[#This Row],[utilidad x dia]]*7</f>
        <v>0</v>
      </c>
    </row>
    <row r="1105" spans="1:13" x14ac:dyDescent="0.3">
      <c r="A1105" s="6">
        <f>+'[1]VENTAS(RESUMEN GLOBAL)'!L1105</f>
        <v>0</v>
      </c>
      <c r="B1105" s="6">
        <f>+'[1]VENTAS(RESUMEN GLOBAL)'!M1105</f>
        <v>0</v>
      </c>
      <c r="C1105">
        <f>+'[1]VENTAS(RESUMEN GLOBAL)'!B1105</f>
        <v>0</v>
      </c>
      <c r="D1105" t="e">
        <f>INDEX('[1]CÓDIGOS DE PRODUCTO'!$D$3:$D$1000,MATCH(C1105,'[1]CÓDIGOS DE PRODUCTO'!$A$3:$A$1000,0))</f>
        <v>#N/A</v>
      </c>
      <c r="E1105">
        <f>VLOOKUP(C1105,'[1]CÓDIGOS DE PRODUCTO'!$A$4:$B$156,2,FALSE)</f>
        <v>0</v>
      </c>
      <c r="F1105">
        <f>INDEX('[1]CÓDIGOS DE PRODUCTO'!$C$3:$C$1000,MATCH(C1105,'[1]CÓDIGOS DE PRODUCTO'!$A$3:$A$1000,0))</f>
        <v>0</v>
      </c>
      <c r="G1105">
        <f>+'[1]VENTAS(RESUMEN GLOBAL)'!D1105-'[1]VENTAS(RESUMEN GLOBAL)'!E1105</f>
        <v>0</v>
      </c>
      <c r="H1105" s="9">
        <f>+'[1]VENTAS(RESUMEN GLOBAL)'!K1105</f>
        <v>0</v>
      </c>
      <c r="I1105" s="8">
        <f>+G1105*'[1]VENTAS(RESUMEN GLOBAL)'!F1105</f>
        <v>0</v>
      </c>
      <c r="J1105" s="8">
        <f>'[1]VENTAS(RESUMEN GLOBAL)'!G1105*(1-'[1]VENTAS(RESUMEN GLOBAL)'!H1105)</f>
        <v>0</v>
      </c>
      <c r="K1105" s="8">
        <f t="shared" si="17"/>
        <v>0</v>
      </c>
      <c r="L1105" s="8">
        <f>+'[1]VENTAS(RESUMEN GLOBAL)'!J1105</f>
        <v>0</v>
      </c>
      <c r="M1105" s="8">
        <f>+Tabla1[[#This Row],[utilidad x dia]]*7</f>
        <v>0</v>
      </c>
    </row>
    <row r="1106" spans="1:13" x14ac:dyDescent="0.3">
      <c r="A1106" s="6">
        <f>+'[1]VENTAS(RESUMEN GLOBAL)'!L1106</f>
        <v>0</v>
      </c>
      <c r="B1106" s="6">
        <f>+'[1]VENTAS(RESUMEN GLOBAL)'!M1106</f>
        <v>0</v>
      </c>
      <c r="C1106">
        <f>+'[1]VENTAS(RESUMEN GLOBAL)'!B1106</f>
        <v>0</v>
      </c>
      <c r="D1106" t="e">
        <f>INDEX('[1]CÓDIGOS DE PRODUCTO'!$D$3:$D$1000,MATCH(C1106,'[1]CÓDIGOS DE PRODUCTO'!$A$3:$A$1000,0))</f>
        <v>#N/A</v>
      </c>
      <c r="E1106">
        <f>VLOOKUP(C1106,'[1]CÓDIGOS DE PRODUCTO'!$A$4:$B$156,2,FALSE)</f>
        <v>0</v>
      </c>
      <c r="F1106">
        <f>INDEX('[1]CÓDIGOS DE PRODUCTO'!$C$3:$C$1000,MATCH(C1106,'[1]CÓDIGOS DE PRODUCTO'!$A$3:$A$1000,0))</f>
        <v>0</v>
      </c>
      <c r="G1106">
        <f>+'[1]VENTAS(RESUMEN GLOBAL)'!D1106-'[1]VENTAS(RESUMEN GLOBAL)'!E1106</f>
        <v>0</v>
      </c>
      <c r="H1106" s="9">
        <f>+'[1]VENTAS(RESUMEN GLOBAL)'!K1106</f>
        <v>0</v>
      </c>
      <c r="I1106" s="8">
        <f>+G1106*'[1]VENTAS(RESUMEN GLOBAL)'!F1106</f>
        <v>0</v>
      </c>
      <c r="J1106" s="8">
        <f>'[1]VENTAS(RESUMEN GLOBAL)'!G1106*(1-'[1]VENTAS(RESUMEN GLOBAL)'!H1106)</f>
        <v>0</v>
      </c>
      <c r="K1106" s="8">
        <f t="shared" si="17"/>
        <v>0</v>
      </c>
      <c r="L1106" s="8">
        <f>+'[1]VENTAS(RESUMEN GLOBAL)'!J1106</f>
        <v>0</v>
      </c>
      <c r="M1106" s="8">
        <f>+Tabla1[[#This Row],[utilidad x dia]]*7</f>
        <v>0</v>
      </c>
    </row>
    <row r="1107" spans="1:13" x14ac:dyDescent="0.3">
      <c r="A1107" s="6">
        <f>+'[1]VENTAS(RESUMEN GLOBAL)'!L1107</f>
        <v>0</v>
      </c>
      <c r="B1107" s="6">
        <f>+'[1]VENTAS(RESUMEN GLOBAL)'!M1107</f>
        <v>0</v>
      </c>
      <c r="C1107">
        <f>+'[1]VENTAS(RESUMEN GLOBAL)'!B1107</f>
        <v>0</v>
      </c>
      <c r="D1107" t="e">
        <f>INDEX('[1]CÓDIGOS DE PRODUCTO'!$D$3:$D$1000,MATCH(C1107,'[1]CÓDIGOS DE PRODUCTO'!$A$3:$A$1000,0))</f>
        <v>#N/A</v>
      </c>
      <c r="E1107">
        <f>VLOOKUP(C1107,'[1]CÓDIGOS DE PRODUCTO'!$A$4:$B$156,2,FALSE)</f>
        <v>0</v>
      </c>
      <c r="F1107">
        <f>INDEX('[1]CÓDIGOS DE PRODUCTO'!$C$3:$C$1000,MATCH(C1107,'[1]CÓDIGOS DE PRODUCTO'!$A$3:$A$1000,0))</f>
        <v>0</v>
      </c>
      <c r="G1107">
        <f>+'[1]VENTAS(RESUMEN GLOBAL)'!D1107-'[1]VENTAS(RESUMEN GLOBAL)'!E1107</f>
        <v>0</v>
      </c>
      <c r="H1107" s="9">
        <f>+'[1]VENTAS(RESUMEN GLOBAL)'!K1107</f>
        <v>0</v>
      </c>
      <c r="I1107" s="8">
        <f>+G1107*'[1]VENTAS(RESUMEN GLOBAL)'!F1107</f>
        <v>0</v>
      </c>
      <c r="J1107" s="8">
        <f>'[1]VENTAS(RESUMEN GLOBAL)'!G1107*(1-'[1]VENTAS(RESUMEN GLOBAL)'!H1107)</f>
        <v>0</v>
      </c>
      <c r="K1107" s="8">
        <f t="shared" si="17"/>
        <v>0</v>
      </c>
      <c r="L1107" s="8">
        <f>+'[1]VENTAS(RESUMEN GLOBAL)'!J1107</f>
        <v>0</v>
      </c>
      <c r="M1107" s="8">
        <f>+Tabla1[[#This Row],[utilidad x dia]]*7</f>
        <v>0</v>
      </c>
    </row>
    <row r="1108" spans="1:13" x14ac:dyDescent="0.3">
      <c r="A1108" s="6">
        <f>+'[1]VENTAS(RESUMEN GLOBAL)'!L1108</f>
        <v>0</v>
      </c>
      <c r="B1108" s="6">
        <f>+'[1]VENTAS(RESUMEN GLOBAL)'!M1108</f>
        <v>0</v>
      </c>
      <c r="C1108">
        <f>+'[1]VENTAS(RESUMEN GLOBAL)'!B1108</f>
        <v>0</v>
      </c>
      <c r="D1108" t="e">
        <f>INDEX('[1]CÓDIGOS DE PRODUCTO'!$D$3:$D$1000,MATCH(C1108,'[1]CÓDIGOS DE PRODUCTO'!$A$3:$A$1000,0))</f>
        <v>#N/A</v>
      </c>
      <c r="E1108">
        <f>VLOOKUP(C1108,'[1]CÓDIGOS DE PRODUCTO'!$A$4:$B$156,2,FALSE)</f>
        <v>0</v>
      </c>
      <c r="F1108">
        <f>INDEX('[1]CÓDIGOS DE PRODUCTO'!$C$3:$C$1000,MATCH(C1108,'[1]CÓDIGOS DE PRODUCTO'!$A$3:$A$1000,0))</f>
        <v>0</v>
      </c>
      <c r="G1108">
        <f>+'[1]VENTAS(RESUMEN GLOBAL)'!D1108-'[1]VENTAS(RESUMEN GLOBAL)'!E1108</f>
        <v>0</v>
      </c>
      <c r="H1108" s="9">
        <f>+'[1]VENTAS(RESUMEN GLOBAL)'!K1108</f>
        <v>0</v>
      </c>
      <c r="I1108" s="8">
        <f>+G1108*'[1]VENTAS(RESUMEN GLOBAL)'!F1108</f>
        <v>0</v>
      </c>
      <c r="J1108" s="8">
        <f>'[1]VENTAS(RESUMEN GLOBAL)'!G1108*(1-'[1]VENTAS(RESUMEN GLOBAL)'!H1108)</f>
        <v>0</v>
      </c>
      <c r="K1108" s="8">
        <f t="shared" si="17"/>
        <v>0</v>
      </c>
      <c r="L1108" s="8">
        <f>+'[1]VENTAS(RESUMEN GLOBAL)'!J1108</f>
        <v>0</v>
      </c>
      <c r="M1108" s="8">
        <f>+Tabla1[[#This Row],[utilidad x dia]]*7</f>
        <v>0</v>
      </c>
    </row>
    <row r="1109" spans="1:13" x14ac:dyDescent="0.3">
      <c r="A1109" s="6">
        <f>+'[1]VENTAS(RESUMEN GLOBAL)'!L1109</f>
        <v>0</v>
      </c>
      <c r="B1109" s="6">
        <f>+'[1]VENTAS(RESUMEN GLOBAL)'!M1109</f>
        <v>0</v>
      </c>
      <c r="C1109">
        <f>+'[1]VENTAS(RESUMEN GLOBAL)'!B1109</f>
        <v>0</v>
      </c>
      <c r="D1109" t="e">
        <f>INDEX('[1]CÓDIGOS DE PRODUCTO'!$D$3:$D$1000,MATCH(C1109,'[1]CÓDIGOS DE PRODUCTO'!$A$3:$A$1000,0))</f>
        <v>#N/A</v>
      </c>
      <c r="E1109">
        <f>VLOOKUP(C1109,'[1]CÓDIGOS DE PRODUCTO'!$A$4:$B$156,2,FALSE)</f>
        <v>0</v>
      </c>
      <c r="F1109">
        <f>INDEX('[1]CÓDIGOS DE PRODUCTO'!$C$3:$C$1000,MATCH(C1109,'[1]CÓDIGOS DE PRODUCTO'!$A$3:$A$1000,0))</f>
        <v>0</v>
      </c>
      <c r="G1109">
        <f>+'[1]VENTAS(RESUMEN GLOBAL)'!D1109-'[1]VENTAS(RESUMEN GLOBAL)'!E1109</f>
        <v>0</v>
      </c>
      <c r="H1109" s="9">
        <f>+'[1]VENTAS(RESUMEN GLOBAL)'!K1109</f>
        <v>0</v>
      </c>
      <c r="I1109" s="8">
        <f>+G1109*'[1]VENTAS(RESUMEN GLOBAL)'!F1109</f>
        <v>0</v>
      </c>
      <c r="J1109" s="8">
        <f>'[1]VENTAS(RESUMEN GLOBAL)'!G1109*(1-'[1]VENTAS(RESUMEN GLOBAL)'!H1109)</f>
        <v>0</v>
      </c>
      <c r="K1109" s="8">
        <f t="shared" si="17"/>
        <v>0</v>
      </c>
      <c r="L1109" s="8">
        <f>+'[1]VENTAS(RESUMEN GLOBAL)'!J1109</f>
        <v>0</v>
      </c>
      <c r="M1109" s="8">
        <f>+Tabla1[[#This Row],[utilidad x dia]]*7</f>
        <v>0</v>
      </c>
    </row>
    <row r="1110" spans="1:13" x14ac:dyDescent="0.3">
      <c r="A1110" s="6">
        <f>+'[1]VENTAS(RESUMEN GLOBAL)'!L1110</f>
        <v>0</v>
      </c>
      <c r="B1110" s="6">
        <f>+'[1]VENTAS(RESUMEN GLOBAL)'!M1110</f>
        <v>0</v>
      </c>
      <c r="C1110">
        <f>+'[1]VENTAS(RESUMEN GLOBAL)'!B1110</f>
        <v>0</v>
      </c>
      <c r="D1110" t="e">
        <f>INDEX('[1]CÓDIGOS DE PRODUCTO'!$D$3:$D$1000,MATCH(C1110,'[1]CÓDIGOS DE PRODUCTO'!$A$3:$A$1000,0))</f>
        <v>#N/A</v>
      </c>
      <c r="E1110">
        <f>VLOOKUP(C1110,'[1]CÓDIGOS DE PRODUCTO'!$A$4:$B$156,2,FALSE)</f>
        <v>0</v>
      </c>
      <c r="F1110">
        <f>INDEX('[1]CÓDIGOS DE PRODUCTO'!$C$3:$C$1000,MATCH(C1110,'[1]CÓDIGOS DE PRODUCTO'!$A$3:$A$1000,0))</f>
        <v>0</v>
      </c>
      <c r="G1110">
        <f>+'[1]VENTAS(RESUMEN GLOBAL)'!D1110-'[1]VENTAS(RESUMEN GLOBAL)'!E1110</f>
        <v>0</v>
      </c>
      <c r="H1110" s="9">
        <f>+'[1]VENTAS(RESUMEN GLOBAL)'!K1110</f>
        <v>0</v>
      </c>
      <c r="I1110" s="8">
        <f>+G1110*'[1]VENTAS(RESUMEN GLOBAL)'!F1110</f>
        <v>0</v>
      </c>
      <c r="J1110" s="8">
        <f>'[1]VENTAS(RESUMEN GLOBAL)'!G1110*(1-'[1]VENTAS(RESUMEN GLOBAL)'!H1110)</f>
        <v>0</v>
      </c>
      <c r="K1110" s="8">
        <f t="shared" si="17"/>
        <v>0</v>
      </c>
      <c r="L1110" s="8">
        <f>+'[1]VENTAS(RESUMEN GLOBAL)'!J1110</f>
        <v>0</v>
      </c>
      <c r="M1110" s="8">
        <f>+Tabla1[[#This Row],[utilidad x dia]]*7</f>
        <v>0</v>
      </c>
    </row>
    <row r="1111" spans="1:13" x14ac:dyDescent="0.3">
      <c r="A1111" s="6">
        <f>+'[1]VENTAS(RESUMEN GLOBAL)'!L1111</f>
        <v>0</v>
      </c>
      <c r="B1111" s="6">
        <f>+'[1]VENTAS(RESUMEN GLOBAL)'!M1111</f>
        <v>0</v>
      </c>
      <c r="C1111">
        <f>+'[1]VENTAS(RESUMEN GLOBAL)'!B1111</f>
        <v>0</v>
      </c>
      <c r="D1111" t="e">
        <f>INDEX('[1]CÓDIGOS DE PRODUCTO'!$D$3:$D$1000,MATCH(C1111,'[1]CÓDIGOS DE PRODUCTO'!$A$3:$A$1000,0))</f>
        <v>#N/A</v>
      </c>
      <c r="E1111">
        <f>VLOOKUP(C1111,'[1]CÓDIGOS DE PRODUCTO'!$A$4:$B$156,2,FALSE)</f>
        <v>0</v>
      </c>
      <c r="F1111">
        <f>INDEX('[1]CÓDIGOS DE PRODUCTO'!$C$3:$C$1000,MATCH(C1111,'[1]CÓDIGOS DE PRODUCTO'!$A$3:$A$1000,0))</f>
        <v>0</v>
      </c>
      <c r="G1111">
        <f>+'[1]VENTAS(RESUMEN GLOBAL)'!D1111-'[1]VENTAS(RESUMEN GLOBAL)'!E1111</f>
        <v>0</v>
      </c>
      <c r="H1111" s="9">
        <f>+'[1]VENTAS(RESUMEN GLOBAL)'!K1111</f>
        <v>0</v>
      </c>
      <c r="I1111" s="8">
        <f>+G1111*'[1]VENTAS(RESUMEN GLOBAL)'!F1111</f>
        <v>0</v>
      </c>
      <c r="J1111" s="8">
        <f>'[1]VENTAS(RESUMEN GLOBAL)'!G1111*(1-'[1]VENTAS(RESUMEN GLOBAL)'!H1111)</f>
        <v>0</v>
      </c>
      <c r="K1111" s="8">
        <f t="shared" si="17"/>
        <v>0</v>
      </c>
      <c r="L1111" s="8">
        <f>+'[1]VENTAS(RESUMEN GLOBAL)'!J1111</f>
        <v>0</v>
      </c>
      <c r="M1111" s="8">
        <f>+Tabla1[[#This Row],[utilidad x dia]]*7</f>
        <v>0</v>
      </c>
    </row>
    <row r="1112" spans="1:13" x14ac:dyDescent="0.3">
      <c r="A1112" s="6">
        <f>+'[1]VENTAS(RESUMEN GLOBAL)'!L1112</f>
        <v>0</v>
      </c>
      <c r="B1112" s="6">
        <f>+'[1]VENTAS(RESUMEN GLOBAL)'!M1112</f>
        <v>0</v>
      </c>
      <c r="C1112">
        <f>+'[1]VENTAS(RESUMEN GLOBAL)'!B1112</f>
        <v>0</v>
      </c>
      <c r="D1112" t="e">
        <f>INDEX('[1]CÓDIGOS DE PRODUCTO'!$D$3:$D$1000,MATCH(C1112,'[1]CÓDIGOS DE PRODUCTO'!$A$3:$A$1000,0))</f>
        <v>#N/A</v>
      </c>
      <c r="E1112">
        <f>VLOOKUP(C1112,'[1]CÓDIGOS DE PRODUCTO'!$A$4:$B$156,2,FALSE)</f>
        <v>0</v>
      </c>
      <c r="F1112">
        <f>INDEX('[1]CÓDIGOS DE PRODUCTO'!$C$3:$C$1000,MATCH(C1112,'[1]CÓDIGOS DE PRODUCTO'!$A$3:$A$1000,0))</f>
        <v>0</v>
      </c>
      <c r="G1112">
        <f>+'[1]VENTAS(RESUMEN GLOBAL)'!D1112-'[1]VENTAS(RESUMEN GLOBAL)'!E1112</f>
        <v>0</v>
      </c>
      <c r="H1112" s="9">
        <f>+'[1]VENTAS(RESUMEN GLOBAL)'!K1112</f>
        <v>0</v>
      </c>
      <c r="I1112" s="8">
        <f>+G1112*'[1]VENTAS(RESUMEN GLOBAL)'!F1112</f>
        <v>0</v>
      </c>
      <c r="J1112" s="8">
        <f>'[1]VENTAS(RESUMEN GLOBAL)'!G1112*(1-'[1]VENTAS(RESUMEN GLOBAL)'!H1112)</f>
        <v>0</v>
      </c>
      <c r="K1112" s="8">
        <f t="shared" si="17"/>
        <v>0</v>
      </c>
      <c r="L1112" s="8">
        <f>+'[1]VENTAS(RESUMEN GLOBAL)'!J1112</f>
        <v>0</v>
      </c>
      <c r="M1112" s="8">
        <f>+Tabla1[[#This Row],[utilidad x dia]]*7</f>
        <v>0</v>
      </c>
    </row>
    <row r="1113" spans="1:13" x14ac:dyDescent="0.3">
      <c r="A1113" s="6">
        <f>+'[1]VENTAS(RESUMEN GLOBAL)'!L1113</f>
        <v>0</v>
      </c>
      <c r="B1113" s="6">
        <f>+'[1]VENTAS(RESUMEN GLOBAL)'!M1113</f>
        <v>0</v>
      </c>
      <c r="C1113">
        <f>+'[1]VENTAS(RESUMEN GLOBAL)'!B1113</f>
        <v>0</v>
      </c>
      <c r="D1113" t="e">
        <f>INDEX('[1]CÓDIGOS DE PRODUCTO'!$D$3:$D$1000,MATCH(C1113,'[1]CÓDIGOS DE PRODUCTO'!$A$3:$A$1000,0))</f>
        <v>#N/A</v>
      </c>
      <c r="E1113">
        <f>VLOOKUP(C1113,'[1]CÓDIGOS DE PRODUCTO'!$A$4:$B$156,2,FALSE)</f>
        <v>0</v>
      </c>
      <c r="F1113">
        <f>INDEX('[1]CÓDIGOS DE PRODUCTO'!$C$3:$C$1000,MATCH(C1113,'[1]CÓDIGOS DE PRODUCTO'!$A$3:$A$1000,0))</f>
        <v>0</v>
      </c>
      <c r="G1113">
        <f>+'[1]VENTAS(RESUMEN GLOBAL)'!D1113-'[1]VENTAS(RESUMEN GLOBAL)'!E1113</f>
        <v>0</v>
      </c>
      <c r="H1113" s="9">
        <f>+'[1]VENTAS(RESUMEN GLOBAL)'!K1113</f>
        <v>0</v>
      </c>
      <c r="I1113" s="8">
        <f>+G1113*'[1]VENTAS(RESUMEN GLOBAL)'!F1113</f>
        <v>0</v>
      </c>
      <c r="J1113" s="8">
        <f>'[1]VENTAS(RESUMEN GLOBAL)'!G1113*(1-'[1]VENTAS(RESUMEN GLOBAL)'!H1113)</f>
        <v>0</v>
      </c>
      <c r="K1113" s="8">
        <f t="shared" si="17"/>
        <v>0</v>
      </c>
      <c r="L1113" s="8">
        <f>+'[1]VENTAS(RESUMEN GLOBAL)'!J1113</f>
        <v>0</v>
      </c>
      <c r="M1113" s="8">
        <f>+Tabla1[[#This Row],[utilidad x dia]]*7</f>
        <v>0</v>
      </c>
    </row>
    <row r="1114" spans="1:13" x14ac:dyDescent="0.3">
      <c r="A1114" s="6">
        <f>+'[1]VENTAS(RESUMEN GLOBAL)'!L1114</f>
        <v>0</v>
      </c>
      <c r="B1114" s="6">
        <f>+'[1]VENTAS(RESUMEN GLOBAL)'!M1114</f>
        <v>0</v>
      </c>
      <c r="C1114">
        <f>+'[1]VENTAS(RESUMEN GLOBAL)'!B1114</f>
        <v>0</v>
      </c>
      <c r="D1114" t="e">
        <f>INDEX('[1]CÓDIGOS DE PRODUCTO'!$D$3:$D$1000,MATCH(C1114,'[1]CÓDIGOS DE PRODUCTO'!$A$3:$A$1000,0))</f>
        <v>#N/A</v>
      </c>
      <c r="E1114">
        <f>VLOOKUP(C1114,'[1]CÓDIGOS DE PRODUCTO'!$A$4:$B$156,2,FALSE)</f>
        <v>0</v>
      </c>
      <c r="F1114">
        <f>INDEX('[1]CÓDIGOS DE PRODUCTO'!$C$3:$C$1000,MATCH(C1114,'[1]CÓDIGOS DE PRODUCTO'!$A$3:$A$1000,0))</f>
        <v>0</v>
      </c>
      <c r="G1114">
        <f>+'[1]VENTAS(RESUMEN GLOBAL)'!D1114-'[1]VENTAS(RESUMEN GLOBAL)'!E1114</f>
        <v>0</v>
      </c>
      <c r="H1114" s="9">
        <f>+'[1]VENTAS(RESUMEN GLOBAL)'!K1114</f>
        <v>0</v>
      </c>
      <c r="I1114" s="8">
        <f>+G1114*'[1]VENTAS(RESUMEN GLOBAL)'!F1114</f>
        <v>0</v>
      </c>
      <c r="J1114" s="8">
        <f>'[1]VENTAS(RESUMEN GLOBAL)'!G1114*(1-'[1]VENTAS(RESUMEN GLOBAL)'!H1114)</f>
        <v>0</v>
      </c>
      <c r="K1114" s="8">
        <f t="shared" si="17"/>
        <v>0</v>
      </c>
      <c r="L1114" s="8">
        <f>+'[1]VENTAS(RESUMEN GLOBAL)'!J1114</f>
        <v>0</v>
      </c>
      <c r="M1114" s="8">
        <f>+Tabla1[[#This Row],[utilidad x dia]]*7</f>
        <v>0</v>
      </c>
    </row>
    <row r="1115" spans="1:13" x14ac:dyDescent="0.3">
      <c r="A1115" s="6">
        <f>+'[1]VENTAS(RESUMEN GLOBAL)'!L1115</f>
        <v>0</v>
      </c>
      <c r="B1115" s="6">
        <f>+'[1]VENTAS(RESUMEN GLOBAL)'!M1115</f>
        <v>0</v>
      </c>
      <c r="C1115">
        <f>+'[1]VENTAS(RESUMEN GLOBAL)'!B1115</f>
        <v>0</v>
      </c>
      <c r="D1115" t="e">
        <f>INDEX('[1]CÓDIGOS DE PRODUCTO'!$D$3:$D$1000,MATCH(C1115,'[1]CÓDIGOS DE PRODUCTO'!$A$3:$A$1000,0))</f>
        <v>#N/A</v>
      </c>
      <c r="E1115">
        <f>VLOOKUP(C1115,'[1]CÓDIGOS DE PRODUCTO'!$A$4:$B$156,2,FALSE)</f>
        <v>0</v>
      </c>
      <c r="F1115">
        <f>INDEX('[1]CÓDIGOS DE PRODUCTO'!$C$3:$C$1000,MATCH(C1115,'[1]CÓDIGOS DE PRODUCTO'!$A$3:$A$1000,0))</f>
        <v>0</v>
      </c>
      <c r="G1115">
        <f>+'[1]VENTAS(RESUMEN GLOBAL)'!D1115-'[1]VENTAS(RESUMEN GLOBAL)'!E1115</f>
        <v>0</v>
      </c>
      <c r="H1115" s="9">
        <f>+'[1]VENTAS(RESUMEN GLOBAL)'!K1115</f>
        <v>0</v>
      </c>
      <c r="I1115" s="8">
        <f>+G1115*'[1]VENTAS(RESUMEN GLOBAL)'!F1115</f>
        <v>0</v>
      </c>
      <c r="J1115" s="8">
        <f>'[1]VENTAS(RESUMEN GLOBAL)'!G1115*(1-'[1]VENTAS(RESUMEN GLOBAL)'!H1115)</f>
        <v>0</v>
      </c>
      <c r="K1115" s="8">
        <f t="shared" si="17"/>
        <v>0</v>
      </c>
      <c r="L1115" s="8">
        <f>+'[1]VENTAS(RESUMEN GLOBAL)'!J1115</f>
        <v>0</v>
      </c>
      <c r="M1115" s="8">
        <f>+Tabla1[[#This Row],[utilidad x dia]]*7</f>
        <v>0</v>
      </c>
    </row>
    <row r="1116" spans="1:13" x14ac:dyDescent="0.3">
      <c r="A1116" s="6">
        <f>+'[1]VENTAS(RESUMEN GLOBAL)'!L1116</f>
        <v>0</v>
      </c>
      <c r="B1116" s="6">
        <f>+'[1]VENTAS(RESUMEN GLOBAL)'!M1116</f>
        <v>0</v>
      </c>
      <c r="C1116">
        <f>+'[1]VENTAS(RESUMEN GLOBAL)'!B1116</f>
        <v>0</v>
      </c>
      <c r="D1116" t="e">
        <f>INDEX('[1]CÓDIGOS DE PRODUCTO'!$D$3:$D$1000,MATCH(C1116,'[1]CÓDIGOS DE PRODUCTO'!$A$3:$A$1000,0))</f>
        <v>#N/A</v>
      </c>
      <c r="E1116">
        <f>VLOOKUP(C1116,'[1]CÓDIGOS DE PRODUCTO'!$A$4:$B$156,2,FALSE)</f>
        <v>0</v>
      </c>
      <c r="F1116">
        <f>INDEX('[1]CÓDIGOS DE PRODUCTO'!$C$3:$C$1000,MATCH(C1116,'[1]CÓDIGOS DE PRODUCTO'!$A$3:$A$1000,0))</f>
        <v>0</v>
      </c>
      <c r="G1116">
        <f>+'[1]VENTAS(RESUMEN GLOBAL)'!D1116-'[1]VENTAS(RESUMEN GLOBAL)'!E1116</f>
        <v>0</v>
      </c>
      <c r="H1116" s="9">
        <f>+'[1]VENTAS(RESUMEN GLOBAL)'!K1116</f>
        <v>0</v>
      </c>
      <c r="I1116" s="8">
        <f>+G1116*'[1]VENTAS(RESUMEN GLOBAL)'!F1116</f>
        <v>0</v>
      </c>
      <c r="J1116" s="8">
        <f>'[1]VENTAS(RESUMEN GLOBAL)'!G1116*(1-'[1]VENTAS(RESUMEN GLOBAL)'!H1116)</f>
        <v>0</v>
      </c>
      <c r="K1116" s="8">
        <f t="shared" si="17"/>
        <v>0</v>
      </c>
      <c r="L1116" s="8">
        <f>+'[1]VENTAS(RESUMEN GLOBAL)'!J1116</f>
        <v>0</v>
      </c>
      <c r="M1116" s="8">
        <f>+Tabla1[[#This Row],[utilidad x dia]]*7</f>
        <v>0</v>
      </c>
    </row>
    <row r="1117" spans="1:13" x14ac:dyDescent="0.3">
      <c r="A1117" s="6">
        <f>+'[1]VENTAS(RESUMEN GLOBAL)'!L1117</f>
        <v>0</v>
      </c>
      <c r="B1117" s="6">
        <f>+'[1]VENTAS(RESUMEN GLOBAL)'!M1117</f>
        <v>0</v>
      </c>
      <c r="C1117">
        <f>+'[1]VENTAS(RESUMEN GLOBAL)'!B1117</f>
        <v>0</v>
      </c>
      <c r="D1117" t="e">
        <f>INDEX('[1]CÓDIGOS DE PRODUCTO'!$D$3:$D$1000,MATCH(C1117,'[1]CÓDIGOS DE PRODUCTO'!$A$3:$A$1000,0))</f>
        <v>#N/A</v>
      </c>
      <c r="E1117">
        <f>VLOOKUP(C1117,'[1]CÓDIGOS DE PRODUCTO'!$A$4:$B$156,2,FALSE)</f>
        <v>0</v>
      </c>
      <c r="F1117">
        <f>INDEX('[1]CÓDIGOS DE PRODUCTO'!$C$3:$C$1000,MATCH(C1117,'[1]CÓDIGOS DE PRODUCTO'!$A$3:$A$1000,0))</f>
        <v>0</v>
      </c>
      <c r="G1117">
        <f>+'[1]VENTAS(RESUMEN GLOBAL)'!D1117-'[1]VENTAS(RESUMEN GLOBAL)'!E1117</f>
        <v>0</v>
      </c>
      <c r="H1117" s="9">
        <f>+'[1]VENTAS(RESUMEN GLOBAL)'!K1117</f>
        <v>0</v>
      </c>
      <c r="I1117" s="8">
        <f>+G1117*'[1]VENTAS(RESUMEN GLOBAL)'!F1117</f>
        <v>0</v>
      </c>
      <c r="J1117" s="8">
        <f>'[1]VENTAS(RESUMEN GLOBAL)'!G1117*(1-'[1]VENTAS(RESUMEN GLOBAL)'!H1117)</f>
        <v>0</v>
      </c>
      <c r="K1117" s="8">
        <f t="shared" si="17"/>
        <v>0</v>
      </c>
      <c r="L1117" s="8">
        <f>+'[1]VENTAS(RESUMEN GLOBAL)'!J1117</f>
        <v>0</v>
      </c>
      <c r="M1117" s="8">
        <f>+Tabla1[[#This Row],[utilidad x dia]]*7</f>
        <v>0</v>
      </c>
    </row>
    <row r="1118" spans="1:13" x14ac:dyDescent="0.3">
      <c r="A1118" s="6">
        <f>+'[1]VENTAS(RESUMEN GLOBAL)'!L1118</f>
        <v>0</v>
      </c>
      <c r="B1118" s="6">
        <f>+'[1]VENTAS(RESUMEN GLOBAL)'!M1118</f>
        <v>0</v>
      </c>
      <c r="C1118">
        <f>+'[1]VENTAS(RESUMEN GLOBAL)'!B1118</f>
        <v>0</v>
      </c>
      <c r="D1118" t="e">
        <f>INDEX('[1]CÓDIGOS DE PRODUCTO'!$D$3:$D$1000,MATCH(C1118,'[1]CÓDIGOS DE PRODUCTO'!$A$3:$A$1000,0))</f>
        <v>#N/A</v>
      </c>
      <c r="E1118">
        <f>VLOOKUP(C1118,'[1]CÓDIGOS DE PRODUCTO'!$A$4:$B$156,2,FALSE)</f>
        <v>0</v>
      </c>
      <c r="F1118">
        <f>INDEX('[1]CÓDIGOS DE PRODUCTO'!$C$3:$C$1000,MATCH(C1118,'[1]CÓDIGOS DE PRODUCTO'!$A$3:$A$1000,0))</f>
        <v>0</v>
      </c>
      <c r="G1118">
        <f>+'[1]VENTAS(RESUMEN GLOBAL)'!D1118-'[1]VENTAS(RESUMEN GLOBAL)'!E1118</f>
        <v>0</v>
      </c>
      <c r="H1118" s="9">
        <f>+'[1]VENTAS(RESUMEN GLOBAL)'!K1118</f>
        <v>0</v>
      </c>
      <c r="I1118" s="8">
        <f>+G1118*'[1]VENTAS(RESUMEN GLOBAL)'!F1118</f>
        <v>0</v>
      </c>
      <c r="J1118" s="8">
        <f>'[1]VENTAS(RESUMEN GLOBAL)'!G1118*(1-'[1]VENTAS(RESUMEN GLOBAL)'!H1118)</f>
        <v>0</v>
      </c>
      <c r="K1118" s="8">
        <f t="shared" si="17"/>
        <v>0</v>
      </c>
      <c r="L1118" s="8">
        <f>+'[1]VENTAS(RESUMEN GLOBAL)'!J1118</f>
        <v>0</v>
      </c>
      <c r="M1118" s="8">
        <f>+Tabla1[[#This Row],[utilidad x dia]]*7</f>
        <v>0</v>
      </c>
    </row>
    <row r="1119" spans="1:13" x14ac:dyDescent="0.3">
      <c r="A1119" s="6">
        <f>+'[1]VENTAS(RESUMEN GLOBAL)'!L1119</f>
        <v>0</v>
      </c>
      <c r="B1119" s="6">
        <f>+'[1]VENTAS(RESUMEN GLOBAL)'!M1119</f>
        <v>0</v>
      </c>
      <c r="C1119">
        <f>+'[1]VENTAS(RESUMEN GLOBAL)'!B1119</f>
        <v>0</v>
      </c>
      <c r="D1119" t="e">
        <f>INDEX('[1]CÓDIGOS DE PRODUCTO'!$D$3:$D$1000,MATCH(C1119,'[1]CÓDIGOS DE PRODUCTO'!$A$3:$A$1000,0))</f>
        <v>#N/A</v>
      </c>
      <c r="E1119">
        <f>VLOOKUP(C1119,'[1]CÓDIGOS DE PRODUCTO'!$A$4:$B$156,2,FALSE)</f>
        <v>0</v>
      </c>
      <c r="F1119">
        <f>INDEX('[1]CÓDIGOS DE PRODUCTO'!$C$3:$C$1000,MATCH(C1119,'[1]CÓDIGOS DE PRODUCTO'!$A$3:$A$1000,0))</f>
        <v>0</v>
      </c>
      <c r="G1119">
        <f>+'[1]VENTAS(RESUMEN GLOBAL)'!D1119-'[1]VENTAS(RESUMEN GLOBAL)'!E1119</f>
        <v>0</v>
      </c>
      <c r="H1119" s="9">
        <f>+'[1]VENTAS(RESUMEN GLOBAL)'!K1119</f>
        <v>0</v>
      </c>
      <c r="I1119" s="8">
        <f>+G1119*'[1]VENTAS(RESUMEN GLOBAL)'!F1119</f>
        <v>0</v>
      </c>
      <c r="J1119" s="8">
        <f>'[1]VENTAS(RESUMEN GLOBAL)'!G1119*(1-'[1]VENTAS(RESUMEN GLOBAL)'!H1119)</f>
        <v>0</v>
      </c>
      <c r="K1119" s="8">
        <f t="shared" si="17"/>
        <v>0</v>
      </c>
      <c r="L1119" s="8">
        <f>+'[1]VENTAS(RESUMEN GLOBAL)'!J1119</f>
        <v>0</v>
      </c>
      <c r="M1119" s="8">
        <f>+Tabla1[[#This Row],[utilidad x dia]]*7</f>
        <v>0</v>
      </c>
    </row>
    <row r="1120" spans="1:13" x14ac:dyDescent="0.3">
      <c r="A1120" s="6">
        <f>+'[1]VENTAS(RESUMEN GLOBAL)'!L1120</f>
        <v>0</v>
      </c>
      <c r="B1120" s="6">
        <f>+'[1]VENTAS(RESUMEN GLOBAL)'!M1120</f>
        <v>0</v>
      </c>
      <c r="C1120">
        <f>+'[1]VENTAS(RESUMEN GLOBAL)'!B1120</f>
        <v>0</v>
      </c>
      <c r="D1120" t="e">
        <f>INDEX('[1]CÓDIGOS DE PRODUCTO'!$D$3:$D$1000,MATCH(C1120,'[1]CÓDIGOS DE PRODUCTO'!$A$3:$A$1000,0))</f>
        <v>#N/A</v>
      </c>
      <c r="E1120">
        <f>VLOOKUP(C1120,'[1]CÓDIGOS DE PRODUCTO'!$A$4:$B$156,2,FALSE)</f>
        <v>0</v>
      </c>
      <c r="F1120">
        <f>INDEX('[1]CÓDIGOS DE PRODUCTO'!$C$3:$C$1000,MATCH(C1120,'[1]CÓDIGOS DE PRODUCTO'!$A$3:$A$1000,0))</f>
        <v>0</v>
      </c>
      <c r="G1120">
        <f>+'[1]VENTAS(RESUMEN GLOBAL)'!D1120-'[1]VENTAS(RESUMEN GLOBAL)'!E1120</f>
        <v>0</v>
      </c>
      <c r="H1120" s="9">
        <f>+'[1]VENTAS(RESUMEN GLOBAL)'!K1120</f>
        <v>0</v>
      </c>
      <c r="I1120" s="8">
        <f>+G1120*'[1]VENTAS(RESUMEN GLOBAL)'!F1120</f>
        <v>0</v>
      </c>
      <c r="J1120" s="8">
        <f>'[1]VENTAS(RESUMEN GLOBAL)'!G1120*(1-'[1]VENTAS(RESUMEN GLOBAL)'!H1120)</f>
        <v>0</v>
      </c>
      <c r="K1120" s="8">
        <f t="shared" si="17"/>
        <v>0</v>
      </c>
      <c r="L1120" s="8">
        <f>+'[1]VENTAS(RESUMEN GLOBAL)'!J1120</f>
        <v>0</v>
      </c>
      <c r="M1120" s="8">
        <f>+Tabla1[[#This Row],[utilidad x dia]]*7</f>
        <v>0</v>
      </c>
    </row>
    <row r="1121" spans="1:13" x14ac:dyDescent="0.3">
      <c r="A1121" s="6">
        <f>+'[1]VENTAS(RESUMEN GLOBAL)'!L1121</f>
        <v>0</v>
      </c>
      <c r="B1121" s="6">
        <f>+'[1]VENTAS(RESUMEN GLOBAL)'!M1121</f>
        <v>0</v>
      </c>
      <c r="C1121">
        <f>+'[1]VENTAS(RESUMEN GLOBAL)'!B1121</f>
        <v>0</v>
      </c>
      <c r="D1121" t="e">
        <f>INDEX('[1]CÓDIGOS DE PRODUCTO'!$D$3:$D$1000,MATCH(C1121,'[1]CÓDIGOS DE PRODUCTO'!$A$3:$A$1000,0))</f>
        <v>#N/A</v>
      </c>
      <c r="E1121">
        <f>VLOOKUP(C1121,'[1]CÓDIGOS DE PRODUCTO'!$A$4:$B$156,2,FALSE)</f>
        <v>0</v>
      </c>
      <c r="F1121">
        <f>INDEX('[1]CÓDIGOS DE PRODUCTO'!$C$3:$C$1000,MATCH(C1121,'[1]CÓDIGOS DE PRODUCTO'!$A$3:$A$1000,0))</f>
        <v>0</v>
      </c>
      <c r="G1121">
        <f>+'[1]VENTAS(RESUMEN GLOBAL)'!D1121-'[1]VENTAS(RESUMEN GLOBAL)'!E1121</f>
        <v>0</v>
      </c>
      <c r="H1121" s="9">
        <f>+'[1]VENTAS(RESUMEN GLOBAL)'!K1121</f>
        <v>0</v>
      </c>
      <c r="I1121" s="8">
        <f>+G1121*'[1]VENTAS(RESUMEN GLOBAL)'!F1121</f>
        <v>0</v>
      </c>
      <c r="J1121" s="8">
        <f>'[1]VENTAS(RESUMEN GLOBAL)'!G1121*(1-'[1]VENTAS(RESUMEN GLOBAL)'!H1121)</f>
        <v>0</v>
      </c>
      <c r="K1121" s="8">
        <f t="shared" si="17"/>
        <v>0</v>
      </c>
      <c r="L1121" s="8">
        <f>+'[1]VENTAS(RESUMEN GLOBAL)'!J1121</f>
        <v>0</v>
      </c>
      <c r="M1121" s="8">
        <f>+Tabla1[[#This Row],[utilidad x dia]]*7</f>
        <v>0</v>
      </c>
    </row>
    <row r="1122" spans="1:13" x14ac:dyDescent="0.3">
      <c r="A1122" s="6">
        <f>+'[1]VENTAS(RESUMEN GLOBAL)'!L1122</f>
        <v>0</v>
      </c>
      <c r="B1122" s="6">
        <f>+'[1]VENTAS(RESUMEN GLOBAL)'!M1122</f>
        <v>0</v>
      </c>
      <c r="C1122">
        <f>+'[1]VENTAS(RESUMEN GLOBAL)'!B1122</f>
        <v>0</v>
      </c>
      <c r="D1122" t="e">
        <f>INDEX('[1]CÓDIGOS DE PRODUCTO'!$D$3:$D$1000,MATCH(C1122,'[1]CÓDIGOS DE PRODUCTO'!$A$3:$A$1000,0))</f>
        <v>#N/A</v>
      </c>
      <c r="E1122">
        <f>VLOOKUP(C1122,'[1]CÓDIGOS DE PRODUCTO'!$A$4:$B$156,2,FALSE)</f>
        <v>0</v>
      </c>
      <c r="F1122">
        <f>INDEX('[1]CÓDIGOS DE PRODUCTO'!$C$3:$C$1000,MATCH(C1122,'[1]CÓDIGOS DE PRODUCTO'!$A$3:$A$1000,0))</f>
        <v>0</v>
      </c>
      <c r="G1122">
        <f>+'[1]VENTAS(RESUMEN GLOBAL)'!D1122-'[1]VENTAS(RESUMEN GLOBAL)'!E1122</f>
        <v>0</v>
      </c>
      <c r="H1122" s="9">
        <f>+'[1]VENTAS(RESUMEN GLOBAL)'!K1122</f>
        <v>0</v>
      </c>
      <c r="I1122" s="8">
        <f>+G1122*'[1]VENTAS(RESUMEN GLOBAL)'!F1122</f>
        <v>0</v>
      </c>
      <c r="J1122" s="8">
        <f>'[1]VENTAS(RESUMEN GLOBAL)'!G1122*(1-'[1]VENTAS(RESUMEN GLOBAL)'!H1122)</f>
        <v>0</v>
      </c>
      <c r="K1122" s="8">
        <f t="shared" si="17"/>
        <v>0</v>
      </c>
      <c r="L1122" s="8">
        <f>+'[1]VENTAS(RESUMEN GLOBAL)'!J1122</f>
        <v>0</v>
      </c>
      <c r="M1122" s="8">
        <f>+Tabla1[[#This Row],[utilidad x dia]]*7</f>
        <v>0</v>
      </c>
    </row>
    <row r="1123" spans="1:13" x14ac:dyDescent="0.3">
      <c r="A1123" s="6">
        <f>+'[1]VENTAS(RESUMEN GLOBAL)'!L1123</f>
        <v>0</v>
      </c>
      <c r="B1123" s="6">
        <f>+'[1]VENTAS(RESUMEN GLOBAL)'!M1123</f>
        <v>0</v>
      </c>
      <c r="C1123">
        <f>+'[1]VENTAS(RESUMEN GLOBAL)'!B1123</f>
        <v>0</v>
      </c>
      <c r="D1123" t="e">
        <f>INDEX('[1]CÓDIGOS DE PRODUCTO'!$D$3:$D$1000,MATCH(C1123,'[1]CÓDIGOS DE PRODUCTO'!$A$3:$A$1000,0))</f>
        <v>#N/A</v>
      </c>
      <c r="E1123">
        <f>VLOOKUP(C1123,'[1]CÓDIGOS DE PRODUCTO'!$A$4:$B$156,2,FALSE)</f>
        <v>0</v>
      </c>
      <c r="F1123">
        <f>INDEX('[1]CÓDIGOS DE PRODUCTO'!$C$3:$C$1000,MATCH(C1123,'[1]CÓDIGOS DE PRODUCTO'!$A$3:$A$1000,0))</f>
        <v>0</v>
      </c>
      <c r="G1123">
        <f>+'[1]VENTAS(RESUMEN GLOBAL)'!D1123-'[1]VENTAS(RESUMEN GLOBAL)'!E1123</f>
        <v>0</v>
      </c>
      <c r="H1123" s="9">
        <f>+'[1]VENTAS(RESUMEN GLOBAL)'!K1123</f>
        <v>0</v>
      </c>
      <c r="I1123" s="8">
        <f>+G1123*'[1]VENTAS(RESUMEN GLOBAL)'!F1123</f>
        <v>0</v>
      </c>
      <c r="J1123" s="8">
        <f>'[1]VENTAS(RESUMEN GLOBAL)'!G1123*(1-'[1]VENTAS(RESUMEN GLOBAL)'!H1123)</f>
        <v>0</v>
      </c>
      <c r="K1123" s="8">
        <f t="shared" si="17"/>
        <v>0</v>
      </c>
      <c r="L1123" s="8">
        <f>+'[1]VENTAS(RESUMEN GLOBAL)'!J1123</f>
        <v>0</v>
      </c>
      <c r="M1123" s="8">
        <f>+Tabla1[[#This Row],[utilidad x dia]]*7</f>
        <v>0</v>
      </c>
    </row>
    <row r="1124" spans="1:13" x14ac:dyDescent="0.3">
      <c r="A1124" s="6">
        <f>+'[1]VENTAS(RESUMEN GLOBAL)'!L1124</f>
        <v>0</v>
      </c>
      <c r="B1124" s="6">
        <f>+'[1]VENTAS(RESUMEN GLOBAL)'!M1124</f>
        <v>0</v>
      </c>
      <c r="C1124">
        <f>+'[1]VENTAS(RESUMEN GLOBAL)'!B1124</f>
        <v>0</v>
      </c>
      <c r="D1124" t="e">
        <f>INDEX('[1]CÓDIGOS DE PRODUCTO'!$D$3:$D$1000,MATCH(C1124,'[1]CÓDIGOS DE PRODUCTO'!$A$3:$A$1000,0))</f>
        <v>#N/A</v>
      </c>
      <c r="E1124">
        <f>VLOOKUP(C1124,'[1]CÓDIGOS DE PRODUCTO'!$A$4:$B$156,2,FALSE)</f>
        <v>0</v>
      </c>
      <c r="F1124">
        <f>INDEX('[1]CÓDIGOS DE PRODUCTO'!$C$3:$C$1000,MATCH(C1124,'[1]CÓDIGOS DE PRODUCTO'!$A$3:$A$1000,0))</f>
        <v>0</v>
      </c>
      <c r="G1124">
        <f>+'[1]VENTAS(RESUMEN GLOBAL)'!D1124-'[1]VENTAS(RESUMEN GLOBAL)'!E1124</f>
        <v>0</v>
      </c>
      <c r="H1124" s="9">
        <f>+'[1]VENTAS(RESUMEN GLOBAL)'!K1124</f>
        <v>0</v>
      </c>
      <c r="I1124" s="8">
        <f>+G1124*'[1]VENTAS(RESUMEN GLOBAL)'!F1124</f>
        <v>0</v>
      </c>
      <c r="J1124" s="8">
        <f>'[1]VENTAS(RESUMEN GLOBAL)'!G1124*(1-'[1]VENTAS(RESUMEN GLOBAL)'!H1124)</f>
        <v>0</v>
      </c>
      <c r="K1124" s="8">
        <f t="shared" si="17"/>
        <v>0</v>
      </c>
      <c r="L1124" s="8">
        <f>+'[1]VENTAS(RESUMEN GLOBAL)'!J1124</f>
        <v>0</v>
      </c>
      <c r="M1124" s="8">
        <f>+Tabla1[[#This Row],[utilidad x dia]]*7</f>
        <v>0</v>
      </c>
    </row>
    <row r="1125" spans="1:13" x14ac:dyDescent="0.3">
      <c r="A1125" s="6">
        <f>+'[1]VENTAS(RESUMEN GLOBAL)'!L1125</f>
        <v>0</v>
      </c>
      <c r="B1125" s="6">
        <f>+'[1]VENTAS(RESUMEN GLOBAL)'!M1125</f>
        <v>0</v>
      </c>
      <c r="C1125">
        <f>+'[1]VENTAS(RESUMEN GLOBAL)'!B1125</f>
        <v>0</v>
      </c>
      <c r="D1125" t="e">
        <f>INDEX('[1]CÓDIGOS DE PRODUCTO'!$D$3:$D$1000,MATCH(C1125,'[1]CÓDIGOS DE PRODUCTO'!$A$3:$A$1000,0))</f>
        <v>#N/A</v>
      </c>
      <c r="E1125">
        <f>VLOOKUP(C1125,'[1]CÓDIGOS DE PRODUCTO'!$A$4:$B$156,2,FALSE)</f>
        <v>0</v>
      </c>
      <c r="F1125">
        <f>INDEX('[1]CÓDIGOS DE PRODUCTO'!$C$3:$C$1000,MATCH(C1125,'[1]CÓDIGOS DE PRODUCTO'!$A$3:$A$1000,0))</f>
        <v>0</v>
      </c>
      <c r="G1125">
        <f>+'[1]VENTAS(RESUMEN GLOBAL)'!D1125-'[1]VENTAS(RESUMEN GLOBAL)'!E1125</f>
        <v>0</v>
      </c>
      <c r="H1125" s="9">
        <f>+'[1]VENTAS(RESUMEN GLOBAL)'!K1125</f>
        <v>0</v>
      </c>
      <c r="I1125" s="8">
        <f>+G1125*'[1]VENTAS(RESUMEN GLOBAL)'!F1125</f>
        <v>0</v>
      </c>
      <c r="J1125" s="8">
        <f>'[1]VENTAS(RESUMEN GLOBAL)'!G1125*(1-'[1]VENTAS(RESUMEN GLOBAL)'!H1125)</f>
        <v>0</v>
      </c>
      <c r="K1125" s="8">
        <f t="shared" si="17"/>
        <v>0</v>
      </c>
      <c r="L1125" s="8">
        <f>+'[1]VENTAS(RESUMEN GLOBAL)'!J1125</f>
        <v>0</v>
      </c>
      <c r="M1125" s="8">
        <f>+Tabla1[[#This Row],[utilidad x dia]]*7</f>
        <v>0</v>
      </c>
    </row>
    <row r="1126" spans="1:13" x14ac:dyDescent="0.3">
      <c r="A1126" s="6">
        <f>+'[1]VENTAS(RESUMEN GLOBAL)'!L1126</f>
        <v>0</v>
      </c>
      <c r="B1126" s="6">
        <f>+'[1]VENTAS(RESUMEN GLOBAL)'!M1126</f>
        <v>0</v>
      </c>
      <c r="C1126">
        <f>+'[1]VENTAS(RESUMEN GLOBAL)'!B1126</f>
        <v>0</v>
      </c>
      <c r="D1126" t="e">
        <f>INDEX('[1]CÓDIGOS DE PRODUCTO'!$D$3:$D$1000,MATCH(C1126,'[1]CÓDIGOS DE PRODUCTO'!$A$3:$A$1000,0))</f>
        <v>#N/A</v>
      </c>
      <c r="E1126">
        <f>VLOOKUP(C1126,'[1]CÓDIGOS DE PRODUCTO'!$A$4:$B$156,2,FALSE)</f>
        <v>0</v>
      </c>
      <c r="F1126">
        <f>INDEX('[1]CÓDIGOS DE PRODUCTO'!$C$3:$C$1000,MATCH(C1126,'[1]CÓDIGOS DE PRODUCTO'!$A$3:$A$1000,0))</f>
        <v>0</v>
      </c>
      <c r="G1126">
        <f>+'[1]VENTAS(RESUMEN GLOBAL)'!D1126-'[1]VENTAS(RESUMEN GLOBAL)'!E1126</f>
        <v>0</v>
      </c>
      <c r="H1126" s="9">
        <f>+'[1]VENTAS(RESUMEN GLOBAL)'!K1126</f>
        <v>0</v>
      </c>
      <c r="I1126" s="8">
        <f>+G1126*'[1]VENTAS(RESUMEN GLOBAL)'!F1126</f>
        <v>0</v>
      </c>
      <c r="J1126" s="8">
        <f>'[1]VENTAS(RESUMEN GLOBAL)'!G1126*(1-'[1]VENTAS(RESUMEN GLOBAL)'!H1126)</f>
        <v>0</v>
      </c>
      <c r="K1126" s="8">
        <f t="shared" si="17"/>
        <v>0</v>
      </c>
      <c r="L1126" s="8">
        <f>+'[1]VENTAS(RESUMEN GLOBAL)'!J1126</f>
        <v>0</v>
      </c>
      <c r="M1126" s="8">
        <f>+Tabla1[[#This Row],[utilidad x dia]]*7</f>
        <v>0</v>
      </c>
    </row>
    <row r="1127" spans="1:13" x14ac:dyDescent="0.3">
      <c r="A1127" s="6">
        <f>+'[1]VENTAS(RESUMEN GLOBAL)'!L1127</f>
        <v>0</v>
      </c>
      <c r="B1127" s="6">
        <f>+'[1]VENTAS(RESUMEN GLOBAL)'!M1127</f>
        <v>0</v>
      </c>
      <c r="C1127">
        <f>+'[1]VENTAS(RESUMEN GLOBAL)'!B1127</f>
        <v>0</v>
      </c>
      <c r="D1127" t="e">
        <f>INDEX('[1]CÓDIGOS DE PRODUCTO'!$D$3:$D$1000,MATCH(C1127,'[1]CÓDIGOS DE PRODUCTO'!$A$3:$A$1000,0))</f>
        <v>#N/A</v>
      </c>
      <c r="E1127">
        <f>VLOOKUP(C1127,'[1]CÓDIGOS DE PRODUCTO'!$A$4:$B$156,2,FALSE)</f>
        <v>0</v>
      </c>
      <c r="F1127">
        <f>INDEX('[1]CÓDIGOS DE PRODUCTO'!$C$3:$C$1000,MATCH(C1127,'[1]CÓDIGOS DE PRODUCTO'!$A$3:$A$1000,0))</f>
        <v>0</v>
      </c>
      <c r="G1127">
        <f>+'[1]VENTAS(RESUMEN GLOBAL)'!D1127-'[1]VENTAS(RESUMEN GLOBAL)'!E1127</f>
        <v>0</v>
      </c>
      <c r="H1127" s="9">
        <f>+'[1]VENTAS(RESUMEN GLOBAL)'!K1127</f>
        <v>0</v>
      </c>
      <c r="I1127" s="8">
        <f>+G1127*'[1]VENTAS(RESUMEN GLOBAL)'!F1127</f>
        <v>0</v>
      </c>
      <c r="J1127" s="8">
        <f>'[1]VENTAS(RESUMEN GLOBAL)'!G1127*(1-'[1]VENTAS(RESUMEN GLOBAL)'!H1127)</f>
        <v>0</v>
      </c>
      <c r="K1127" s="8">
        <f t="shared" si="17"/>
        <v>0</v>
      </c>
      <c r="L1127" s="8">
        <f>+'[1]VENTAS(RESUMEN GLOBAL)'!J1127</f>
        <v>0</v>
      </c>
      <c r="M1127" s="8">
        <f>+Tabla1[[#This Row],[utilidad x dia]]*7</f>
        <v>0</v>
      </c>
    </row>
    <row r="1128" spans="1:13" x14ac:dyDescent="0.3">
      <c r="A1128" s="6">
        <f>+'[1]VENTAS(RESUMEN GLOBAL)'!L1128</f>
        <v>0</v>
      </c>
      <c r="B1128" s="6">
        <f>+'[1]VENTAS(RESUMEN GLOBAL)'!M1128</f>
        <v>0</v>
      </c>
      <c r="C1128">
        <f>+'[1]VENTAS(RESUMEN GLOBAL)'!B1128</f>
        <v>0</v>
      </c>
      <c r="D1128" t="e">
        <f>INDEX('[1]CÓDIGOS DE PRODUCTO'!$D$3:$D$1000,MATCH(C1128,'[1]CÓDIGOS DE PRODUCTO'!$A$3:$A$1000,0))</f>
        <v>#N/A</v>
      </c>
      <c r="E1128">
        <f>VLOOKUP(C1128,'[1]CÓDIGOS DE PRODUCTO'!$A$4:$B$156,2,FALSE)</f>
        <v>0</v>
      </c>
      <c r="F1128">
        <f>INDEX('[1]CÓDIGOS DE PRODUCTO'!$C$3:$C$1000,MATCH(C1128,'[1]CÓDIGOS DE PRODUCTO'!$A$3:$A$1000,0))</f>
        <v>0</v>
      </c>
      <c r="G1128">
        <f>+'[1]VENTAS(RESUMEN GLOBAL)'!D1128-'[1]VENTAS(RESUMEN GLOBAL)'!E1128</f>
        <v>0</v>
      </c>
      <c r="H1128" s="9">
        <f>+'[1]VENTAS(RESUMEN GLOBAL)'!K1128</f>
        <v>0</v>
      </c>
      <c r="I1128" s="8">
        <f>+G1128*'[1]VENTAS(RESUMEN GLOBAL)'!F1128</f>
        <v>0</v>
      </c>
      <c r="J1128" s="8">
        <f>'[1]VENTAS(RESUMEN GLOBAL)'!G1128*(1-'[1]VENTAS(RESUMEN GLOBAL)'!H1128)</f>
        <v>0</v>
      </c>
      <c r="K1128" s="8">
        <f t="shared" si="17"/>
        <v>0</v>
      </c>
      <c r="L1128" s="8">
        <f>+'[1]VENTAS(RESUMEN GLOBAL)'!J1128</f>
        <v>0</v>
      </c>
      <c r="M1128" s="8">
        <f>+Tabla1[[#This Row],[utilidad x dia]]*7</f>
        <v>0</v>
      </c>
    </row>
    <row r="1129" spans="1:13" x14ac:dyDescent="0.3">
      <c r="A1129" s="6">
        <f>+'[1]VENTAS(RESUMEN GLOBAL)'!L1129</f>
        <v>0</v>
      </c>
      <c r="B1129" s="6">
        <f>+'[1]VENTAS(RESUMEN GLOBAL)'!M1129</f>
        <v>0</v>
      </c>
      <c r="C1129">
        <f>+'[1]VENTAS(RESUMEN GLOBAL)'!B1129</f>
        <v>0</v>
      </c>
      <c r="D1129" t="e">
        <f>INDEX('[1]CÓDIGOS DE PRODUCTO'!$D$3:$D$1000,MATCH(C1129,'[1]CÓDIGOS DE PRODUCTO'!$A$3:$A$1000,0))</f>
        <v>#N/A</v>
      </c>
      <c r="E1129">
        <f>VLOOKUP(C1129,'[1]CÓDIGOS DE PRODUCTO'!$A$4:$B$156,2,FALSE)</f>
        <v>0</v>
      </c>
      <c r="F1129">
        <f>INDEX('[1]CÓDIGOS DE PRODUCTO'!$C$3:$C$1000,MATCH(C1129,'[1]CÓDIGOS DE PRODUCTO'!$A$3:$A$1000,0))</f>
        <v>0</v>
      </c>
      <c r="G1129">
        <f>+'[1]VENTAS(RESUMEN GLOBAL)'!D1129-'[1]VENTAS(RESUMEN GLOBAL)'!E1129</f>
        <v>0</v>
      </c>
      <c r="H1129" s="9">
        <f>+'[1]VENTAS(RESUMEN GLOBAL)'!K1129</f>
        <v>0</v>
      </c>
      <c r="I1129" s="8">
        <f>+G1129*'[1]VENTAS(RESUMEN GLOBAL)'!F1129</f>
        <v>0</v>
      </c>
      <c r="J1129" s="8">
        <f>'[1]VENTAS(RESUMEN GLOBAL)'!G1129*(1-'[1]VENTAS(RESUMEN GLOBAL)'!H1129)</f>
        <v>0</v>
      </c>
      <c r="K1129" s="8">
        <f t="shared" si="17"/>
        <v>0</v>
      </c>
      <c r="L1129" s="8">
        <f>+'[1]VENTAS(RESUMEN GLOBAL)'!J1129</f>
        <v>0</v>
      </c>
      <c r="M1129" s="8">
        <f>+Tabla1[[#This Row],[utilidad x dia]]*7</f>
        <v>0</v>
      </c>
    </row>
    <row r="1130" spans="1:13" x14ac:dyDescent="0.3">
      <c r="A1130" s="6">
        <f>+'[1]VENTAS(RESUMEN GLOBAL)'!L1130</f>
        <v>0</v>
      </c>
      <c r="B1130" s="6">
        <f>+'[1]VENTAS(RESUMEN GLOBAL)'!M1130</f>
        <v>0</v>
      </c>
      <c r="C1130">
        <f>+'[1]VENTAS(RESUMEN GLOBAL)'!B1130</f>
        <v>0</v>
      </c>
      <c r="D1130" t="e">
        <f>INDEX('[1]CÓDIGOS DE PRODUCTO'!$D$3:$D$1000,MATCH(C1130,'[1]CÓDIGOS DE PRODUCTO'!$A$3:$A$1000,0))</f>
        <v>#N/A</v>
      </c>
      <c r="E1130">
        <f>VLOOKUP(C1130,'[1]CÓDIGOS DE PRODUCTO'!$A$4:$B$156,2,FALSE)</f>
        <v>0</v>
      </c>
      <c r="F1130">
        <f>INDEX('[1]CÓDIGOS DE PRODUCTO'!$C$3:$C$1000,MATCH(C1130,'[1]CÓDIGOS DE PRODUCTO'!$A$3:$A$1000,0))</f>
        <v>0</v>
      </c>
      <c r="G1130">
        <f>+'[1]VENTAS(RESUMEN GLOBAL)'!D1130-'[1]VENTAS(RESUMEN GLOBAL)'!E1130</f>
        <v>0</v>
      </c>
      <c r="H1130" s="9">
        <f>+'[1]VENTAS(RESUMEN GLOBAL)'!K1130</f>
        <v>0</v>
      </c>
      <c r="I1130" s="8">
        <f>+G1130*'[1]VENTAS(RESUMEN GLOBAL)'!F1130</f>
        <v>0</v>
      </c>
      <c r="J1130" s="8">
        <f>'[1]VENTAS(RESUMEN GLOBAL)'!G1130*(1-'[1]VENTAS(RESUMEN GLOBAL)'!H1130)</f>
        <v>0</v>
      </c>
      <c r="K1130" s="8">
        <f t="shared" si="17"/>
        <v>0</v>
      </c>
      <c r="L1130" s="8">
        <f>+'[1]VENTAS(RESUMEN GLOBAL)'!J1130</f>
        <v>0</v>
      </c>
      <c r="M1130" s="8">
        <f>+Tabla1[[#This Row],[utilidad x dia]]*7</f>
        <v>0</v>
      </c>
    </row>
    <row r="1131" spans="1:13" x14ac:dyDescent="0.3">
      <c r="A1131" s="6">
        <f>+'[1]VENTAS(RESUMEN GLOBAL)'!L1131</f>
        <v>0</v>
      </c>
      <c r="B1131" s="6">
        <f>+'[1]VENTAS(RESUMEN GLOBAL)'!M1131</f>
        <v>0</v>
      </c>
      <c r="C1131">
        <f>+'[1]VENTAS(RESUMEN GLOBAL)'!B1131</f>
        <v>0</v>
      </c>
      <c r="D1131" t="e">
        <f>INDEX('[1]CÓDIGOS DE PRODUCTO'!$D$3:$D$1000,MATCH(C1131,'[1]CÓDIGOS DE PRODUCTO'!$A$3:$A$1000,0))</f>
        <v>#N/A</v>
      </c>
      <c r="E1131">
        <f>VLOOKUP(C1131,'[1]CÓDIGOS DE PRODUCTO'!$A$4:$B$156,2,FALSE)</f>
        <v>0</v>
      </c>
      <c r="F1131">
        <f>INDEX('[1]CÓDIGOS DE PRODUCTO'!$C$3:$C$1000,MATCH(C1131,'[1]CÓDIGOS DE PRODUCTO'!$A$3:$A$1000,0))</f>
        <v>0</v>
      </c>
      <c r="G1131">
        <f>+'[1]VENTAS(RESUMEN GLOBAL)'!D1131-'[1]VENTAS(RESUMEN GLOBAL)'!E1131</f>
        <v>0</v>
      </c>
      <c r="H1131" s="9">
        <f>+'[1]VENTAS(RESUMEN GLOBAL)'!K1131</f>
        <v>0</v>
      </c>
      <c r="I1131" s="8">
        <f>+G1131*'[1]VENTAS(RESUMEN GLOBAL)'!F1131</f>
        <v>0</v>
      </c>
      <c r="J1131" s="8">
        <f>'[1]VENTAS(RESUMEN GLOBAL)'!G1131*(1-'[1]VENTAS(RESUMEN GLOBAL)'!H1131)</f>
        <v>0</v>
      </c>
      <c r="K1131" s="8">
        <f t="shared" si="17"/>
        <v>0</v>
      </c>
      <c r="L1131" s="8">
        <f>+'[1]VENTAS(RESUMEN GLOBAL)'!J1131</f>
        <v>0</v>
      </c>
      <c r="M1131" s="8">
        <f>+Tabla1[[#This Row],[utilidad x dia]]*7</f>
        <v>0</v>
      </c>
    </row>
    <row r="1132" spans="1:13" x14ac:dyDescent="0.3">
      <c r="A1132" s="6">
        <f>+'[1]VENTAS(RESUMEN GLOBAL)'!L1132</f>
        <v>0</v>
      </c>
      <c r="B1132" s="6">
        <f>+'[1]VENTAS(RESUMEN GLOBAL)'!M1132</f>
        <v>0</v>
      </c>
      <c r="C1132">
        <f>+'[1]VENTAS(RESUMEN GLOBAL)'!B1132</f>
        <v>0</v>
      </c>
      <c r="D1132" t="e">
        <f>INDEX('[1]CÓDIGOS DE PRODUCTO'!$D$3:$D$1000,MATCH(C1132,'[1]CÓDIGOS DE PRODUCTO'!$A$3:$A$1000,0))</f>
        <v>#N/A</v>
      </c>
      <c r="E1132">
        <f>VLOOKUP(C1132,'[1]CÓDIGOS DE PRODUCTO'!$A$4:$B$156,2,FALSE)</f>
        <v>0</v>
      </c>
      <c r="F1132">
        <f>INDEX('[1]CÓDIGOS DE PRODUCTO'!$C$3:$C$1000,MATCH(C1132,'[1]CÓDIGOS DE PRODUCTO'!$A$3:$A$1000,0))</f>
        <v>0</v>
      </c>
      <c r="G1132">
        <f>+'[1]VENTAS(RESUMEN GLOBAL)'!D1132-'[1]VENTAS(RESUMEN GLOBAL)'!E1132</f>
        <v>0</v>
      </c>
      <c r="H1132" s="9">
        <f>+'[1]VENTAS(RESUMEN GLOBAL)'!K1132</f>
        <v>0</v>
      </c>
      <c r="I1132" s="8">
        <f>+G1132*'[1]VENTAS(RESUMEN GLOBAL)'!F1132</f>
        <v>0</v>
      </c>
      <c r="J1132" s="8">
        <f>'[1]VENTAS(RESUMEN GLOBAL)'!G1132*(1-'[1]VENTAS(RESUMEN GLOBAL)'!H1132)</f>
        <v>0</v>
      </c>
      <c r="K1132" s="8">
        <f t="shared" si="17"/>
        <v>0</v>
      </c>
      <c r="L1132" s="8">
        <f>+'[1]VENTAS(RESUMEN GLOBAL)'!J1132</f>
        <v>0</v>
      </c>
      <c r="M1132" s="8">
        <f>+Tabla1[[#This Row],[utilidad x dia]]*7</f>
        <v>0</v>
      </c>
    </row>
    <row r="1133" spans="1:13" x14ac:dyDescent="0.3">
      <c r="A1133" s="6">
        <f>+'[1]VENTAS(RESUMEN GLOBAL)'!L1133</f>
        <v>0</v>
      </c>
      <c r="B1133" s="6">
        <f>+'[1]VENTAS(RESUMEN GLOBAL)'!M1133</f>
        <v>0</v>
      </c>
      <c r="C1133">
        <f>+'[1]VENTAS(RESUMEN GLOBAL)'!B1133</f>
        <v>0</v>
      </c>
      <c r="D1133" t="e">
        <f>INDEX('[1]CÓDIGOS DE PRODUCTO'!$D$3:$D$1000,MATCH(C1133,'[1]CÓDIGOS DE PRODUCTO'!$A$3:$A$1000,0))</f>
        <v>#N/A</v>
      </c>
      <c r="E1133">
        <f>VLOOKUP(C1133,'[1]CÓDIGOS DE PRODUCTO'!$A$4:$B$156,2,FALSE)</f>
        <v>0</v>
      </c>
      <c r="F1133">
        <f>INDEX('[1]CÓDIGOS DE PRODUCTO'!$C$3:$C$1000,MATCH(C1133,'[1]CÓDIGOS DE PRODUCTO'!$A$3:$A$1000,0))</f>
        <v>0</v>
      </c>
      <c r="G1133">
        <f>+'[1]VENTAS(RESUMEN GLOBAL)'!D1133-'[1]VENTAS(RESUMEN GLOBAL)'!E1133</f>
        <v>0</v>
      </c>
      <c r="H1133" s="9">
        <f>+'[1]VENTAS(RESUMEN GLOBAL)'!K1133</f>
        <v>0</v>
      </c>
      <c r="I1133" s="8">
        <f>+G1133*'[1]VENTAS(RESUMEN GLOBAL)'!F1133</f>
        <v>0</v>
      </c>
      <c r="J1133" s="8">
        <f>'[1]VENTAS(RESUMEN GLOBAL)'!G1133*(1-'[1]VENTAS(RESUMEN GLOBAL)'!H1133)</f>
        <v>0</v>
      </c>
      <c r="K1133" s="8">
        <f t="shared" si="17"/>
        <v>0</v>
      </c>
      <c r="L1133" s="8">
        <f>+'[1]VENTAS(RESUMEN GLOBAL)'!J1133</f>
        <v>0</v>
      </c>
      <c r="M1133" s="8">
        <f>+Tabla1[[#This Row],[utilidad x dia]]*7</f>
        <v>0</v>
      </c>
    </row>
    <row r="1134" spans="1:13" x14ac:dyDescent="0.3">
      <c r="A1134" s="6">
        <f>+'[1]VENTAS(RESUMEN GLOBAL)'!L1134</f>
        <v>0</v>
      </c>
      <c r="B1134" s="6">
        <f>+'[1]VENTAS(RESUMEN GLOBAL)'!M1134</f>
        <v>0</v>
      </c>
      <c r="C1134">
        <f>+'[1]VENTAS(RESUMEN GLOBAL)'!B1134</f>
        <v>0</v>
      </c>
      <c r="D1134" t="e">
        <f>INDEX('[1]CÓDIGOS DE PRODUCTO'!$D$3:$D$1000,MATCH(C1134,'[1]CÓDIGOS DE PRODUCTO'!$A$3:$A$1000,0))</f>
        <v>#N/A</v>
      </c>
      <c r="E1134">
        <f>VLOOKUP(C1134,'[1]CÓDIGOS DE PRODUCTO'!$A$4:$B$156,2,FALSE)</f>
        <v>0</v>
      </c>
      <c r="F1134">
        <f>INDEX('[1]CÓDIGOS DE PRODUCTO'!$C$3:$C$1000,MATCH(C1134,'[1]CÓDIGOS DE PRODUCTO'!$A$3:$A$1000,0))</f>
        <v>0</v>
      </c>
      <c r="G1134">
        <f>+'[1]VENTAS(RESUMEN GLOBAL)'!D1134-'[1]VENTAS(RESUMEN GLOBAL)'!E1134</f>
        <v>0</v>
      </c>
      <c r="H1134" s="9">
        <f>+'[1]VENTAS(RESUMEN GLOBAL)'!K1134</f>
        <v>0</v>
      </c>
      <c r="I1134" s="8">
        <f>+G1134*'[1]VENTAS(RESUMEN GLOBAL)'!F1134</f>
        <v>0</v>
      </c>
      <c r="J1134" s="8">
        <f>'[1]VENTAS(RESUMEN GLOBAL)'!G1134*(1-'[1]VENTAS(RESUMEN GLOBAL)'!H1134)</f>
        <v>0</v>
      </c>
      <c r="K1134" s="8">
        <f t="shared" si="17"/>
        <v>0</v>
      </c>
      <c r="L1134" s="8">
        <f>+'[1]VENTAS(RESUMEN GLOBAL)'!J1134</f>
        <v>0</v>
      </c>
      <c r="M1134" s="8">
        <f>+Tabla1[[#This Row],[utilidad x dia]]*7</f>
        <v>0</v>
      </c>
    </row>
    <row r="1135" spans="1:13" x14ac:dyDescent="0.3">
      <c r="A1135" s="6">
        <f>+'[1]VENTAS(RESUMEN GLOBAL)'!L1135</f>
        <v>0</v>
      </c>
      <c r="B1135" s="6">
        <f>+'[1]VENTAS(RESUMEN GLOBAL)'!M1135</f>
        <v>0</v>
      </c>
      <c r="C1135">
        <f>+'[1]VENTAS(RESUMEN GLOBAL)'!B1135</f>
        <v>0</v>
      </c>
      <c r="D1135" t="e">
        <f>INDEX('[1]CÓDIGOS DE PRODUCTO'!$D$3:$D$1000,MATCH(C1135,'[1]CÓDIGOS DE PRODUCTO'!$A$3:$A$1000,0))</f>
        <v>#N/A</v>
      </c>
      <c r="E1135">
        <f>VLOOKUP(C1135,'[1]CÓDIGOS DE PRODUCTO'!$A$4:$B$156,2,FALSE)</f>
        <v>0</v>
      </c>
      <c r="F1135">
        <f>INDEX('[1]CÓDIGOS DE PRODUCTO'!$C$3:$C$1000,MATCH(C1135,'[1]CÓDIGOS DE PRODUCTO'!$A$3:$A$1000,0))</f>
        <v>0</v>
      </c>
      <c r="G1135">
        <f>+'[1]VENTAS(RESUMEN GLOBAL)'!D1135-'[1]VENTAS(RESUMEN GLOBAL)'!E1135</f>
        <v>0</v>
      </c>
      <c r="H1135" s="9">
        <f>+'[1]VENTAS(RESUMEN GLOBAL)'!K1135</f>
        <v>0</v>
      </c>
      <c r="I1135" s="8">
        <f>+G1135*'[1]VENTAS(RESUMEN GLOBAL)'!F1135</f>
        <v>0</v>
      </c>
      <c r="J1135" s="8">
        <f>'[1]VENTAS(RESUMEN GLOBAL)'!G1135*(1-'[1]VENTAS(RESUMEN GLOBAL)'!H1135)</f>
        <v>0</v>
      </c>
      <c r="K1135" s="8">
        <f t="shared" si="17"/>
        <v>0</v>
      </c>
      <c r="L1135" s="8">
        <f>+'[1]VENTAS(RESUMEN GLOBAL)'!J1135</f>
        <v>0</v>
      </c>
      <c r="M1135" s="8">
        <f>+Tabla1[[#This Row],[utilidad x dia]]*7</f>
        <v>0</v>
      </c>
    </row>
    <row r="1136" spans="1:13" x14ac:dyDescent="0.3">
      <c r="A1136" s="6">
        <f>+'[1]VENTAS(RESUMEN GLOBAL)'!L1136</f>
        <v>0</v>
      </c>
      <c r="B1136" s="6">
        <f>+'[1]VENTAS(RESUMEN GLOBAL)'!M1136</f>
        <v>0</v>
      </c>
      <c r="C1136">
        <f>+'[1]VENTAS(RESUMEN GLOBAL)'!B1136</f>
        <v>0</v>
      </c>
      <c r="D1136" t="e">
        <f>INDEX('[1]CÓDIGOS DE PRODUCTO'!$D$3:$D$1000,MATCH(C1136,'[1]CÓDIGOS DE PRODUCTO'!$A$3:$A$1000,0))</f>
        <v>#N/A</v>
      </c>
      <c r="E1136">
        <f>VLOOKUP(C1136,'[1]CÓDIGOS DE PRODUCTO'!$A$4:$B$156,2,FALSE)</f>
        <v>0</v>
      </c>
      <c r="F1136">
        <f>INDEX('[1]CÓDIGOS DE PRODUCTO'!$C$3:$C$1000,MATCH(C1136,'[1]CÓDIGOS DE PRODUCTO'!$A$3:$A$1000,0))</f>
        <v>0</v>
      </c>
      <c r="G1136">
        <f>+'[1]VENTAS(RESUMEN GLOBAL)'!D1136-'[1]VENTAS(RESUMEN GLOBAL)'!E1136</f>
        <v>0</v>
      </c>
      <c r="H1136" s="9">
        <f>+'[1]VENTAS(RESUMEN GLOBAL)'!K1136</f>
        <v>0</v>
      </c>
      <c r="I1136" s="8">
        <f>+G1136*'[1]VENTAS(RESUMEN GLOBAL)'!F1136</f>
        <v>0</v>
      </c>
      <c r="J1136" s="8">
        <f>'[1]VENTAS(RESUMEN GLOBAL)'!G1136*(1-'[1]VENTAS(RESUMEN GLOBAL)'!H1136)</f>
        <v>0</v>
      </c>
      <c r="K1136" s="8">
        <f t="shared" si="17"/>
        <v>0</v>
      </c>
      <c r="L1136" s="8">
        <f>+'[1]VENTAS(RESUMEN GLOBAL)'!J1136</f>
        <v>0</v>
      </c>
      <c r="M1136" s="8">
        <f>+Tabla1[[#This Row],[utilidad x dia]]*7</f>
        <v>0</v>
      </c>
    </row>
    <row r="1137" spans="1:13" x14ac:dyDescent="0.3">
      <c r="A1137" s="6">
        <f>+'[1]VENTAS(RESUMEN GLOBAL)'!L1137</f>
        <v>0</v>
      </c>
      <c r="B1137" s="6">
        <f>+'[1]VENTAS(RESUMEN GLOBAL)'!M1137</f>
        <v>0</v>
      </c>
      <c r="C1137">
        <f>+'[1]VENTAS(RESUMEN GLOBAL)'!B1137</f>
        <v>0</v>
      </c>
      <c r="D1137" t="e">
        <f>INDEX('[1]CÓDIGOS DE PRODUCTO'!$D$3:$D$1000,MATCH(C1137,'[1]CÓDIGOS DE PRODUCTO'!$A$3:$A$1000,0))</f>
        <v>#N/A</v>
      </c>
      <c r="E1137">
        <f>VLOOKUP(C1137,'[1]CÓDIGOS DE PRODUCTO'!$A$4:$B$156,2,FALSE)</f>
        <v>0</v>
      </c>
      <c r="F1137">
        <f>INDEX('[1]CÓDIGOS DE PRODUCTO'!$C$3:$C$1000,MATCH(C1137,'[1]CÓDIGOS DE PRODUCTO'!$A$3:$A$1000,0))</f>
        <v>0</v>
      </c>
      <c r="G1137">
        <f>+'[1]VENTAS(RESUMEN GLOBAL)'!D1137-'[1]VENTAS(RESUMEN GLOBAL)'!E1137</f>
        <v>0</v>
      </c>
      <c r="H1137" s="9">
        <f>+'[1]VENTAS(RESUMEN GLOBAL)'!K1137</f>
        <v>0</v>
      </c>
      <c r="I1137" s="8">
        <f>+G1137*'[1]VENTAS(RESUMEN GLOBAL)'!F1137</f>
        <v>0</v>
      </c>
      <c r="J1137" s="8">
        <f>'[1]VENTAS(RESUMEN GLOBAL)'!G1137*(1-'[1]VENTAS(RESUMEN GLOBAL)'!H1137)</f>
        <v>0</v>
      </c>
      <c r="K1137" s="8">
        <f t="shared" si="17"/>
        <v>0</v>
      </c>
      <c r="L1137" s="8">
        <f>+'[1]VENTAS(RESUMEN GLOBAL)'!J1137</f>
        <v>0</v>
      </c>
      <c r="M1137" s="8">
        <f>+Tabla1[[#This Row],[utilidad x dia]]*7</f>
        <v>0</v>
      </c>
    </row>
    <row r="1138" spans="1:13" x14ac:dyDescent="0.3">
      <c r="A1138" s="6">
        <f>+'[1]VENTAS(RESUMEN GLOBAL)'!L1138</f>
        <v>0</v>
      </c>
      <c r="B1138" s="6">
        <f>+'[1]VENTAS(RESUMEN GLOBAL)'!M1138</f>
        <v>0</v>
      </c>
      <c r="C1138">
        <f>+'[1]VENTAS(RESUMEN GLOBAL)'!B1138</f>
        <v>0</v>
      </c>
      <c r="D1138" t="e">
        <f>INDEX('[1]CÓDIGOS DE PRODUCTO'!$D$3:$D$1000,MATCH(C1138,'[1]CÓDIGOS DE PRODUCTO'!$A$3:$A$1000,0))</f>
        <v>#N/A</v>
      </c>
      <c r="E1138">
        <f>VLOOKUP(C1138,'[1]CÓDIGOS DE PRODUCTO'!$A$4:$B$156,2,FALSE)</f>
        <v>0</v>
      </c>
      <c r="F1138">
        <f>INDEX('[1]CÓDIGOS DE PRODUCTO'!$C$3:$C$1000,MATCH(C1138,'[1]CÓDIGOS DE PRODUCTO'!$A$3:$A$1000,0))</f>
        <v>0</v>
      </c>
      <c r="G1138">
        <f>+'[1]VENTAS(RESUMEN GLOBAL)'!D1138-'[1]VENTAS(RESUMEN GLOBAL)'!E1138</f>
        <v>0</v>
      </c>
      <c r="H1138" s="9">
        <f>+'[1]VENTAS(RESUMEN GLOBAL)'!K1138</f>
        <v>0</v>
      </c>
      <c r="I1138" s="8">
        <f>+G1138*'[1]VENTAS(RESUMEN GLOBAL)'!F1138</f>
        <v>0</v>
      </c>
      <c r="J1138" s="8">
        <f>'[1]VENTAS(RESUMEN GLOBAL)'!G1138*(1-'[1]VENTAS(RESUMEN GLOBAL)'!H1138)</f>
        <v>0</v>
      </c>
      <c r="K1138" s="8">
        <f t="shared" si="17"/>
        <v>0</v>
      </c>
      <c r="L1138" s="8">
        <f>+'[1]VENTAS(RESUMEN GLOBAL)'!J1138</f>
        <v>0</v>
      </c>
      <c r="M1138" s="8">
        <f>+Tabla1[[#This Row],[utilidad x dia]]*7</f>
        <v>0</v>
      </c>
    </row>
    <row r="1139" spans="1:13" x14ac:dyDescent="0.3">
      <c r="A1139" s="6">
        <f>+'[1]VENTAS(RESUMEN GLOBAL)'!L1139</f>
        <v>0</v>
      </c>
      <c r="B1139" s="6">
        <f>+'[1]VENTAS(RESUMEN GLOBAL)'!M1139</f>
        <v>0</v>
      </c>
      <c r="C1139">
        <f>+'[1]VENTAS(RESUMEN GLOBAL)'!B1139</f>
        <v>0</v>
      </c>
      <c r="D1139" t="e">
        <f>INDEX('[1]CÓDIGOS DE PRODUCTO'!$D$3:$D$1000,MATCH(C1139,'[1]CÓDIGOS DE PRODUCTO'!$A$3:$A$1000,0))</f>
        <v>#N/A</v>
      </c>
      <c r="E1139">
        <f>VLOOKUP(C1139,'[1]CÓDIGOS DE PRODUCTO'!$A$4:$B$156,2,FALSE)</f>
        <v>0</v>
      </c>
      <c r="F1139">
        <f>INDEX('[1]CÓDIGOS DE PRODUCTO'!$C$3:$C$1000,MATCH(C1139,'[1]CÓDIGOS DE PRODUCTO'!$A$3:$A$1000,0))</f>
        <v>0</v>
      </c>
      <c r="G1139">
        <f>+'[1]VENTAS(RESUMEN GLOBAL)'!D1139-'[1]VENTAS(RESUMEN GLOBAL)'!E1139</f>
        <v>0</v>
      </c>
      <c r="H1139" s="9">
        <f>+'[1]VENTAS(RESUMEN GLOBAL)'!K1139</f>
        <v>0</v>
      </c>
      <c r="I1139" s="8">
        <f>+G1139*'[1]VENTAS(RESUMEN GLOBAL)'!F1139</f>
        <v>0</v>
      </c>
      <c r="J1139" s="8">
        <f>'[1]VENTAS(RESUMEN GLOBAL)'!G1139*(1-'[1]VENTAS(RESUMEN GLOBAL)'!H1139)</f>
        <v>0</v>
      </c>
      <c r="K1139" s="8">
        <f t="shared" si="17"/>
        <v>0</v>
      </c>
      <c r="L1139" s="8">
        <f>+'[1]VENTAS(RESUMEN GLOBAL)'!J1139</f>
        <v>0</v>
      </c>
      <c r="M1139" s="8">
        <f>+Tabla1[[#This Row],[utilidad x dia]]*7</f>
        <v>0</v>
      </c>
    </row>
    <row r="1140" spans="1:13" x14ac:dyDescent="0.3">
      <c r="A1140" s="6">
        <f>+'[1]VENTAS(RESUMEN GLOBAL)'!L1140</f>
        <v>0</v>
      </c>
      <c r="B1140" s="6">
        <f>+'[1]VENTAS(RESUMEN GLOBAL)'!M1140</f>
        <v>0</v>
      </c>
      <c r="C1140">
        <f>+'[1]VENTAS(RESUMEN GLOBAL)'!B1140</f>
        <v>0</v>
      </c>
      <c r="D1140" t="e">
        <f>INDEX('[1]CÓDIGOS DE PRODUCTO'!$D$3:$D$1000,MATCH(C1140,'[1]CÓDIGOS DE PRODUCTO'!$A$3:$A$1000,0))</f>
        <v>#N/A</v>
      </c>
      <c r="E1140">
        <f>VLOOKUP(C1140,'[1]CÓDIGOS DE PRODUCTO'!$A$4:$B$156,2,FALSE)</f>
        <v>0</v>
      </c>
      <c r="F1140">
        <f>INDEX('[1]CÓDIGOS DE PRODUCTO'!$C$3:$C$1000,MATCH(C1140,'[1]CÓDIGOS DE PRODUCTO'!$A$3:$A$1000,0))</f>
        <v>0</v>
      </c>
      <c r="G1140">
        <f>+'[1]VENTAS(RESUMEN GLOBAL)'!D1140-'[1]VENTAS(RESUMEN GLOBAL)'!E1140</f>
        <v>0</v>
      </c>
      <c r="H1140" s="9">
        <f>+'[1]VENTAS(RESUMEN GLOBAL)'!K1140</f>
        <v>0</v>
      </c>
      <c r="I1140" s="8">
        <f>+G1140*'[1]VENTAS(RESUMEN GLOBAL)'!F1140</f>
        <v>0</v>
      </c>
      <c r="J1140" s="8">
        <f>'[1]VENTAS(RESUMEN GLOBAL)'!G1140*(1-'[1]VENTAS(RESUMEN GLOBAL)'!H1140)</f>
        <v>0</v>
      </c>
      <c r="K1140" s="8">
        <f t="shared" si="17"/>
        <v>0</v>
      </c>
      <c r="L1140" s="8">
        <f>+'[1]VENTAS(RESUMEN GLOBAL)'!J1140</f>
        <v>0</v>
      </c>
      <c r="M1140" s="8">
        <f>+Tabla1[[#This Row],[utilidad x dia]]*7</f>
        <v>0</v>
      </c>
    </row>
    <row r="1141" spans="1:13" x14ac:dyDescent="0.3">
      <c r="A1141" s="6">
        <f>+'[1]VENTAS(RESUMEN GLOBAL)'!L1141</f>
        <v>0</v>
      </c>
      <c r="B1141" s="6">
        <f>+'[1]VENTAS(RESUMEN GLOBAL)'!M1141</f>
        <v>0</v>
      </c>
      <c r="C1141">
        <f>+'[1]VENTAS(RESUMEN GLOBAL)'!B1141</f>
        <v>0</v>
      </c>
      <c r="D1141" t="e">
        <f>INDEX('[1]CÓDIGOS DE PRODUCTO'!$D$3:$D$1000,MATCH(C1141,'[1]CÓDIGOS DE PRODUCTO'!$A$3:$A$1000,0))</f>
        <v>#N/A</v>
      </c>
      <c r="E1141">
        <f>VLOOKUP(C1141,'[1]CÓDIGOS DE PRODUCTO'!$A$4:$B$156,2,FALSE)</f>
        <v>0</v>
      </c>
      <c r="F1141">
        <f>INDEX('[1]CÓDIGOS DE PRODUCTO'!$C$3:$C$1000,MATCH(C1141,'[1]CÓDIGOS DE PRODUCTO'!$A$3:$A$1000,0))</f>
        <v>0</v>
      </c>
      <c r="G1141">
        <f>+'[1]VENTAS(RESUMEN GLOBAL)'!D1141-'[1]VENTAS(RESUMEN GLOBAL)'!E1141</f>
        <v>0</v>
      </c>
      <c r="H1141" s="9">
        <f>+'[1]VENTAS(RESUMEN GLOBAL)'!K1141</f>
        <v>0</v>
      </c>
      <c r="I1141" s="8">
        <f>+G1141*'[1]VENTAS(RESUMEN GLOBAL)'!F1141</f>
        <v>0</v>
      </c>
      <c r="J1141" s="8">
        <f>'[1]VENTAS(RESUMEN GLOBAL)'!G1141*(1-'[1]VENTAS(RESUMEN GLOBAL)'!H1141)</f>
        <v>0</v>
      </c>
      <c r="K1141" s="8">
        <f t="shared" si="17"/>
        <v>0</v>
      </c>
      <c r="L1141" s="8">
        <f>+'[1]VENTAS(RESUMEN GLOBAL)'!J1141</f>
        <v>0</v>
      </c>
      <c r="M1141" s="8">
        <f>+Tabla1[[#This Row],[utilidad x dia]]*7</f>
        <v>0</v>
      </c>
    </row>
    <row r="1142" spans="1:13" x14ac:dyDescent="0.3">
      <c r="A1142" s="6">
        <f>+'[1]VENTAS(RESUMEN GLOBAL)'!L1142</f>
        <v>0</v>
      </c>
      <c r="B1142" s="6">
        <f>+'[1]VENTAS(RESUMEN GLOBAL)'!M1142</f>
        <v>0</v>
      </c>
      <c r="C1142">
        <f>+'[1]VENTAS(RESUMEN GLOBAL)'!B1142</f>
        <v>0</v>
      </c>
      <c r="D1142" t="e">
        <f>INDEX('[1]CÓDIGOS DE PRODUCTO'!$D$3:$D$1000,MATCH(C1142,'[1]CÓDIGOS DE PRODUCTO'!$A$3:$A$1000,0))</f>
        <v>#N/A</v>
      </c>
      <c r="E1142">
        <f>VLOOKUP(C1142,'[1]CÓDIGOS DE PRODUCTO'!$A$4:$B$156,2,FALSE)</f>
        <v>0</v>
      </c>
      <c r="F1142">
        <f>INDEX('[1]CÓDIGOS DE PRODUCTO'!$C$3:$C$1000,MATCH(C1142,'[1]CÓDIGOS DE PRODUCTO'!$A$3:$A$1000,0))</f>
        <v>0</v>
      </c>
      <c r="G1142">
        <f>+'[1]VENTAS(RESUMEN GLOBAL)'!D1142-'[1]VENTAS(RESUMEN GLOBAL)'!E1142</f>
        <v>0</v>
      </c>
      <c r="H1142" s="9">
        <f>+'[1]VENTAS(RESUMEN GLOBAL)'!K1142</f>
        <v>0</v>
      </c>
      <c r="I1142" s="8">
        <f>+G1142*'[1]VENTAS(RESUMEN GLOBAL)'!F1142</f>
        <v>0</v>
      </c>
      <c r="J1142" s="8">
        <f>'[1]VENTAS(RESUMEN GLOBAL)'!G1142*(1-'[1]VENTAS(RESUMEN GLOBAL)'!H1142)</f>
        <v>0</v>
      </c>
      <c r="K1142" s="8">
        <f t="shared" si="17"/>
        <v>0</v>
      </c>
      <c r="L1142" s="8">
        <f>+'[1]VENTAS(RESUMEN GLOBAL)'!J1142</f>
        <v>0</v>
      </c>
      <c r="M1142" s="8">
        <f>+Tabla1[[#This Row],[utilidad x dia]]*7</f>
        <v>0</v>
      </c>
    </row>
    <row r="1143" spans="1:13" x14ac:dyDescent="0.3">
      <c r="A1143" s="6">
        <f>+'[1]VENTAS(RESUMEN GLOBAL)'!L1143</f>
        <v>0</v>
      </c>
      <c r="B1143" s="6">
        <f>+'[1]VENTAS(RESUMEN GLOBAL)'!M1143</f>
        <v>0</v>
      </c>
      <c r="C1143">
        <f>+'[1]VENTAS(RESUMEN GLOBAL)'!B1143</f>
        <v>0</v>
      </c>
      <c r="D1143" t="e">
        <f>INDEX('[1]CÓDIGOS DE PRODUCTO'!$D$3:$D$1000,MATCH(C1143,'[1]CÓDIGOS DE PRODUCTO'!$A$3:$A$1000,0))</f>
        <v>#N/A</v>
      </c>
      <c r="E1143">
        <f>VLOOKUP(C1143,'[1]CÓDIGOS DE PRODUCTO'!$A$4:$B$156,2,FALSE)</f>
        <v>0</v>
      </c>
      <c r="F1143">
        <f>INDEX('[1]CÓDIGOS DE PRODUCTO'!$C$3:$C$1000,MATCH(C1143,'[1]CÓDIGOS DE PRODUCTO'!$A$3:$A$1000,0))</f>
        <v>0</v>
      </c>
      <c r="G1143">
        <f>+'[1]VENTAS(RESUMEN GLOBAL)'!D1143-'[1]VENTAS(RESUMEN GLOBAL)'!E1143</f>
        <v>0</v>
      </c>
      <c r="H1143" s="9">
        <f>+'[1]VENTAS(RESUMEN GLOBAL)'!K1143</f>
        <v>0</v>
      </c>
      <c r="I1143" s="8">
        <f>+G1143*'[1]VENTAS(RESUMEN GLOBAL)'!F1143</f>
        <v>0</v>
      </c>
      <c r="J1143" s="8">
        <f>'[1]VENTAS(RESUMEN GLOBAL)'!G1143*(1-'[1]VENTAS(RESUMEN GLOBAL)'!H1143)</f>
        <v>0</v>
      </c>
      <c r="K1143" s="8">
        <f t="shared" si="17"/>
        <v>0</v>
      </c>
      <c r="L1143" s="8">
        <f>+'[1]VENTAS(RESUMEN GLOBAL)'!J1143</f>
        <v>0</v>
      </c>
      <c r="M1143" s="8">
        <f>+Tabla1[[#This Row],[utilidad x dia]]*7</f>
        <v>0</v>
      </c>
    </row>
    <row r="1144" spans="1:13" x14ac:dyDescent="0.3">
      <c r="A1144" s="6">
        <f>+'[1]VENTAS(RESUMEN GLOBAL)'!L1144</f>
        <v>0</v>
      </c>
      <c r="B1144" s="6">
        <f>+'[1]VENTAS(RESUMEN GLOBAL)'!M1144</f>
        <v>0</v>
      </c>
      <c r="C1144">
        <f>+'[1]VENTAS(RESUMEN GLOBAL)'!B1144</f>
        <v>0</v>
      </c>
      <c r="D1144" t="e">
        <f>INDEX('[1]CÓDIGOS DE PRODUCTO'!$D$3:$D$1000,MATCH(C1144,'[1]CÓDIGOS DE PRODUCTO'!$A$3:$A$1000,0))</f>
        <v>#N/A</v>
      </c>
      <c r="E1144">
        <f>VLOOKUP(C1144,'[1]CÓDIGOS DE PRODUCTO'!$A$4:$B$156,2,FALSE)</f>
        <v>0</v>
      </c>
      <c r="F1144">
        <f>INDEX('[1]CÓDIGOS DE PRODUCTO'!$C$3:$C$1000,MATCH(C1144,'[1]CÓDIGOS DE PRODUCTO'!$A$3:$A$1000,0))</f>
        <v>0</v>
      </c>
      <c r="G1144">
        <f>+'[1]VENTAS(RESUMEN GLOBAL)'!D1144-'[1]VENTAS(RESUMEN GLOBAL)'!E1144</f>
        <v>0</v>
      </c>
      <c r="H1144" s="9">
        <f>+'[1]VENTAS(RESUMEN GLOBAL)'!K1144</f>
        <v>0</v>
      </c>
      <c r="I1144" s="8">
        <f>+G1144*'[1]VENTAS(RESUMEN GLOBAL)'!F1144</f>
        <v>0</v>
      </c>
      <c r="J1144" s="8">
        <f>'[1]VENTAS(RESUMEN GLOBAL)'!G1144*(1-'[1]VENTAS(RESUMEN GLOBAL)'!H1144)</f>
        <v>0</v>
      </c>
      <c r="K1144" s="8">
        <f t="shared" si="17"/>
        <v>0</v>
      </c>
      <c r="L1144" s="8">
        <f>+'[1]VENTAS(RESUMEN GLOBAL)'!J1144</f>
        <v>0</v>
      </c>
      <c r="M1144" s="8">
        <f>+Tabla1[[#This Row],[utilidad x dia]]*7</f>
        <v>0</v>
      </c>
    </row>
    <row r="1145" spans="1:13" x14ac:dyDescent="0.3">
      <c r="A1145" s="6">
        <f>+'[1]VENTAS(RESUMEN GLOBAL)'!L1145</f>
        <v>0</v>
      </c>
      <c r="B1145" s="6">
        <f>+'[1]VENTAS(RESUMEN GLOBAL)'!M1145</f>
        <v>0</v>
      </c>
      <c r="C1145">
        <f>+'[1]VENTAS(RESUMEN GLOBAL)'!B1145</f>
        <v>0</v>
      </c>
      <c r="D1145" t="e">
        <f>INDEX('[1]CÓDIGOS DE PRODUCTO'!$D$3:$D$1000,MATCH(C1145,'[1]CÓDIGOS DE PRODUCTO'!$A$3:$A$1000,0))</f>
        <v>#N/A</v>
      </c>
      <c r="E1145">
        <f>VLOOKUP(C1145,'[1]CÓDIGOS DE PRODUCTO'!$A$4:$B$156,2,FALSE)</f>
        <v>0</v>
      </c>
      <c r="F1145">
        <f>INDEX('[1]CÓDIGOS DE PRODUCTO'!$C$3:$C$1000,MATCH(C1145,'[1]CÓDIGOS DE PRODUCTO'!$A$3:$A$1000,0))</f>
        <v>0</v>
      </c>
      <c r="G1145">
        <f>+'[1]VENTAS(RESUMEN GLOBAL)'!D1145-'[1]VENTAS(RESUMEN GLOBAL)'!E1145</f>
        <v>0</v>
      </c>
      <c r="H1145" s="9">
        <f>+'[1]VENTAS(RESUMEN GLOBAL)'!K1145</f>
        <v>0</v>
      </c>
      <c r="I1145" s="8">
        <f>+G1145*'[1]VENTAS(RESUMEN GLOBAL)'!F1145</f>
        <v>0</v>
      </c>
      <c r="J1145" s="8">
        <f>'[1]VENTAS(RESUMEN GLOBAL)'!G1145*(1-'[1]VENTAS(RESUMEN GLOBAL)'!H1145)</f>
        <v>0</v>
      </c>
      <c r="K1145" s="8">
        <f t="shared" si="17"/>
        <v>0</v>
      </c>
      <c r="L1145" s="8">
        <f>+'[1]VENTAS(RESUMEN GLOBAL)'!J1145</f>
        <v>0</v>
      </c>
      <c r="M1145" s="8">
        <f>+Tabla1[[#This Row],[utilidad x dia]]*7</f>
        <v>0</v>
      </c>
    </row>
    <row r="1146" spans="1:13" x14ac:dyDescent="0.3">
      <c r="A1146" s="6">
        <f>+'[1]VENTAS(RESUMEN GLOBAL)'!L1146</f>
        <v>0</v>
      </c>
      <c r="B1146" s="6">
        <f>+'[1]VENTAS(RESUMEN GLOBAL)'!M1146</f>
        <v>0</v>
      </c>
      <c r="C1146">
        <f>+'[1]VENTAS(RESUMEN GLOBAL)'!B1146</f>
        <v>0</v>
      </c>
      <c r="D1146" t="e">
        <f>INDEX('[1]CÓDIGOS DE PRODUCTO'!$D$3:$D$1000,MATCH(C1146,'[1]CÓDIGOS DE PRODUCTO'!$A$3:$A$1000,0))</f>
        <v>#N/A</v>
      </c>
      <c r="E1146">
        <f>VLOOKUP(C1146,'[1]CÓDIGOS DE PRODUCTO'!$A$4:$B$156,2,FALSE)</f>
        <v>0</v>
      </c>
      <c r="F1146">
        <f>INDEX('[1]CÓDIGOS DE PRODUCTO'!$C$3:$C$1000,MATCH(C1146,'[1]CÓDIGOS DE PRODUCTO'!$A$3:$A$1000,0))</f>
        <v>0</v>
      </c>
      <c r="G1146">
        <f>+'[1]VENTAS(RESUMEN GLOBAL)'!D1146-'[1]VENTAS(RESUMEN GLOBAL)'!E1146</f>
        <v>0</v>
      </c>
      <c r="H1146" s="9">
        <f>+'[1]VENTAS(RESUMEN GLOBAL)'!K1146</f>
        <v>0</v>
      </c>
      <c r="I1146" s="8">
        <f>+G1146*'[1]VENTAS(RESUMEN GLOBAL)'!F1146</f>
        <v>0</v>
      </c>
      <c r="J1146" s="8">
        <f>'[1]VENTAS(RESUMEN GLOBAL)'!G1146*(1-'[1]VENTAS(RESUMEN GLOBAL)'!H1146)</f>
        <v>0</v>
      </c>
      <c r="K1146" s="8">
        <f t="shared" si="17"/>
        <v>0</v>
      </c>
      <c r="L1146" s="8">
        <f>+'[1]VENTAS(RESUMEN GLOBAL)'!J1146</f>
        <v>0</v>
      </c>
      <c r="M1146" s="8">
        <f>+Tabla1[[#This Row],[utilidad x dia]]*7</f>
        <v>0</v>
      </c>
    </row>
    <row r="1147" spans="1:13" x14ac:dyDescent="0.3">
      <c r="A1147" s="6">
        <f>+'[1]VENTAS(RESUMEN GLOBAL)'!L1147</f>
        <v>0</v>
      </c>
      <c r="B1147" s="6">
        <f>+'[1]VENTAS(RESUMEN GLOBAL)'!M1147</f>
        <v>0</v>
      </c>
      <c r="C1147">
        <f>+'[1]VENTAS(RESUMEN GLOBAL)'!B1147</f>
        <v>0</v>
      </c>
      <c r="D1147" t="e">
        <f>INDEX('[1]CÓDIGOS DE PRODUCTO'!$D$3:$D$1000,MATCH(C1147,'[1]CÓDIGOS DE PRODUCTO'!$A$3:$A$1000,0))</f>
        <v>#N/A</v>
      </c>
      <c r="E1147">
        <f>VLOOKUP(C1147,'[1]CÓDIGOS DE PRODUCTO'!$A$4:$B$156,2,FALSE)</f>
        <v>0</v>
      </c>
      <c r="F1147">
        <f>INDEX('[1]CÓDIGOS DE PRODUCTO'!$C$3:$C$1000,MATCH(C1147,'[1]CÓDIGOS DE PRODUCTO'!$A$3:$A$1000,0))</f>
        <v>0</v>
      </c>
      <c r="G1147">
        <f>+'[1]VENTAS(RESUMEN GLOBAL)'!D1147-'[1]VENTAS(RESUMEN GLOBAL)'!E1147</f>
        <v>0</v>
      </c>
      <c r="H1147" s="9">
        <f>+'[1]VENTAS(RESUMEN GLOBAL)'!K1147</f>
        <v>0</v>
      </c>
      <c r="I1147" s="8">
        <f>+G1147*'[1]VENTAS(RESUMEN GLOBAL)'!F1147</f>
        <v>0</v>
      </c>
      <c r="J1147" s="8">
        <f>'[1]VENTAS(RESUMEN GLOBAL)'!G1147*(1-'[1]VENTAS(RESUMEN GLOBAL)'!H1147)</f>
        <v>0</v>
      </c>
      <c r="K1147" s="8">
        <f t="shared" si="17"/>
        <v>0</v>
      </c>
      <c r="L1147" s="8">
        <f>+'[1]VENTAS(RESUMEN GLOBAL)'!J1147</f>
        <v>0</v>
      </c>
      <c r="M1147" s="8">
        <f>+Tabla1[[#This Row],[utilidad x dia]]*7</f>
        <v>0</v>
      </c>
    </row>
    <row r="1148" spans="1:13" x14ac:dyDescent="0.3">
      <c r="A1148" s="6">
        <f>+'[1]VENTAS(RESUMEN GLOBAL)'!L1148</f>
        <v>0</v>
      </c>
      <c r="B1148" s="6">
        <f>+'[1]VENTAS(RESUMEN GLOBAL)'!M1148</f>
        <v>0</v>
      </c>
      <c r="C1148">
        <f>+'[1]VENTAS(RESUMEN GLOBAL)'!B1148</f>
        <v>0</v>
      </c>
      <c r="D1148" t="e">
        <f>INDEX('[1]CÓDIGOS DE PRODUCTO'!$D$3:$D$1000,MATCH(C1148,'[1]CÓDIGOS DE PRODUCTO'!$A$3:$A$1000,0))</f>
        <v>#N/A</v>
      </c>
      <c r="E1148">
        <f>VLOOKUP(C1148,'[1]CÓDIGOS DE PRODUCTO'!$A$4:$B$156,2,FALSE)</f>
        <v>0</v>
      </c>
      <c r="F1148">
        <f>INDEX('[1]CÓDIGOS DE PRODUCTO'!$C$3:$C$1000,MATCH(C1148,'[1]CÓDIGOS DE PRODUCTO'!$A$3:$A$1000,0))</f>
        <v>0</v>
      </c>
      <c r="G1148">
        <f>+'[1]VENTAS(RESUMEN GLOBAL)'!D1148-'[1]VENTAS(RESUMEN GLOBAL)'!E1148</f>
        <v>0</v>
      </c>
      <c r="H1148" s="9">
        <f>+'[1]VENTAS(RESUMEN GLOBAL)'!K1148</f>
        <v>0</v>
      </c>
      <c r="I1148" s="8">
        <f>+G1148*'[1]VENTAS(RESUMEN GLOBAL)'!F1148</f>
        <v>0</v>
      </c>
      <c r="J1148" s="8">
        <f>'[1]VENTAS(RESUMEN GLOBAL)'!G1148*(1-'[1]VENTAS(RESUMEN GLOBAL)'!H1148)</f>
        <v>0</v>
      </c>
      <c r="K1148" s="8">
        <f t="shared" si="17"/>
        <v>0</v>
      </c>
      <c r="L1148" s="8">
        <f>+'[1]VENTAS(RESUMEN GLOBAL)'!J1148</f>
        <v>0</v>
      </c>
      <c r="M1148" s="8">
        <f>+Tabla1[[#This Row],[utilidad x dia]]*7</f>
        <v>0</v>
      </c>
    </row>
    <row r="1149" spans="1:13" x14ac:dyDescent="0.3">
      <c r="A1149" s="6">
        <f>+'[1]VENTAS(RESUMEN GLOBAL)'!L1149</f>
        <v>0</v>
      </c>
      <c r="B1149" s="6">
        <f>+'[1]VENTAS(RESUMEN GLOBAL)'!M1149</f>
        <v>0</v>
      </c>
      <c r="C1149">
        <f>+'[1]VENTAS(RESUMEN GLOBAL)'!B1149</f>
        <v>0</v>
      </c>
      <c r="D1149" t="e">
        <f>INDEX('[1]CÓDIGOS DE PRODUCTO'!$D$3:$D$1000,MATCH(C1149,'[1]CÓDIGOS DE PRODUCTO'!$A$3:$A$1000,0))</f>
        <v>#N/A</v>
      </c>
      <c r="E1149">
        <f>VLOOKUP(C1149,'[1]CÓDIGOS DE PRODUCTO'!$A$4:$B$156,2,FALSE)</f>
        <v>0</v>
      </c>
      <c r="F1149">
        <f>INDEX('[1]CÓDIGOS DE PRODUCTO'!$C$3:$C$1000,MATCH(C1149,'[1]CÓDIGOS DE PRODUCTO'!$A$3:$A$1000,0))</f>
        <v>0</v>
      </c>
      <c r="G1149">
        <f>+'[1]VENTAS(RESUMEN GLOBAL)'!D1149-'[1]VENTAS(RESUMEN GLOBAL)'!E1149</f>
        <v>0</v>
      </c>
      <c r="H1149" s="9">
        <f>+'[1]VENTAS(RESUMEN GLOBAL)'!K1149</f>
        <v>0</v>
      </c>
      <c r="I1149" s="8">
        <f>+G1149*'[1]VENTAS(RESUMEN GLOBAL)'!F1149</f>
        <v>0</v>
      </c>
      <c r="J1149" s="8">
        <f>'[1]VENTAS(RESUMEN GLOBAL)'!G1149*(1-'[1]VENTAS(RESUMEN GLOBAL)'!H1149)</f>
        <v>0</v>
      </c>
      <c r="K1149" s="8">
        <f t="shared" si="17"/>
        <v>0</v>
      </c>
      <c r="L1149" s="8">
        <f>+'[1]VENTAS(RESUMEN GLOBAL)'!J1149</f>
        <v>0</v>
      </c>
      <c r="M1149" s="8">
        <f>+Tabla1[[#This Row],[utilidad x dia]]*7</f>
        <v>0</v>
      </c>
    </row>
    <row r="1150" spans="1:13" x14ac:dyDescent="0.3">
      <c r="A1150" s="6">
        <f>+'[1]VENTAS(RESUMEN GLOBAL)'!L1150</f>
        <v>0</v>
      </c>
      <c r="B1150" s="6">
        <f>+'[1]VENTAS(RESUMEN GLOBAL)'!M1150</f>
        <v>0</v>
      </c>
      <c r="C1150">
        <f>+'[1]VENTAS(RESUMEN GLOBAL)'!B1150</f>
        <v>0</v>
      </c>
      <c r="D1150" t="e">
        <f>INDEX('[1]CÓDIGOS DE PRODUCTO'!$D$3:$D$1000,MATCH(C1150,'[1]CÓDIGOS DE PRODUCTO'!$A$3:$A$1000,0))</f>
        <v>#N/A</v>
      </c>
      <c r="E1150">
        <f>VLOOKUP(C1150,'[1]CÓDIGOS DE PRODUCTO'!$A$4:$B$156,2,FALSE)</f>
        <v>0</v>
      </c>
      <c r="F1150">
        <f>INDEX('[1]CÓDIGOS DE PRODUCTO'!$C$3:$C$1000,MATCH(C1150,'[1]CÓDIGOS DE PRODUCTO'!$A$3:$A$1000,0))</f>
        <v>0</v>
      </c>
      <c r="G1150">
        <f>+'[1]VENTAS(RESUMEN GLOBAL)'!D1150-'[1]VENTAS(RESUMEN GLOBAL)'!E1150</f>
        <v>0</v>
      </c>
      <c r="H1150" s="9">
        <f>+'[1]VENTAS(RESUMEN GLOBAL)'!K1150</f>
        <v>0</v>
      </c>
      <c r="I1150" s="8">
        <f>+G1150*'[1]VENTAS(RESUMEN GLOBAL)'!F1150</f>
        <v>0</v>
      </c>
      <c r="J1150" s="8">
        <f>'[1]VENTAS(RESUMEN GLOBAL)'!G1150*(1-'[1]VENTAS(RESUMEN GLOBAL)'!H1150)</f>
        <v>0</v>
      </c>
      <c r="K1150" s="8">
        <f t="shared" si="17"/>
        <v>0</v>
      </c>
      <c r="L1150" s="8">
        <f>+'[1]VENTAS(RESUMEN GLOBAL)'!J1150</f>
        <v>0</v>
      </c>
      <c r="M1150" s="8">
        <f>+Tabla1[[#This Row],[utilidad x dia]]*7</f>
        <v>0</v>
      </c>
    </row>
    <row r="1151" spans="1:13" x14ac:dyDescent="0.3">
      <c r="A1151" s="6">
        <f>+'[1]VENTAS(RESUMEN GLOBAL)'!L1151</f>
        <v>0</v>
      </c>
      <c r="B1151" s="6">
        <f>+'[1]VENTAS(RESUMEN GLOBAL)'!M1151</f>
        <v>0</v>
      </c>
      <c r="C1151">
        <f>+'[1]VENTAS(RESUMEN GLOBAL)'!B1151</f>
        <v>0</v>
      </c>
      <c r="D1151" t="e">
        <f>INDEX('[1]CÓDIGOS DE PRODUCTO'!$D$3:$D$1000,MATCH(C1151,'[1]CÓDIGOS DE PRODUCTO'!$A$3:$A$1000,0))</f>
        <v>#N/A</v>
      </c>
      <c r="E1151">
        <f>VLOOKUP(C1151,'[1]CÓDIGOS DE PRODUCTO'!$A$4:$B$156,2,FALSE)</f>
        <v>0</v>
      </c>
      <c r="F1151">
        <f>INDEX('[1]CÓDIGOS DE PRODUCTO'!$C$3:$C$1000,MATCH(C1151,'[1]CÓDIGOS DE PRODUCTO'!$A$3:$A$1000,0))</f>
        <v>0</v>
      </c>
      <c r="G1151">
        <f>+'[1]VENTAS(RESUMEN GLOBAL)'!D1151-'[1]VENTAS(RESUMEN GLOBAL)'!E1151</f>
        <v>0</v>
      </c>
      <c r="H1151" s="9">
        <f>+'[1]VENTAS(RESUMEN GLOBAL)'!K1151</f>
        <v>0</v>
      </c>
      <c r="I1151" s="8">
        <f>+G1151*'[1]VENTAS(RESUMEN GLOBAL)'!F1151</f>
        <v>0</v>
      </c>
      <c r="J1151" s="8">
        <f>'[1]VENTAS(RESUMEN GLOBAL)'!G1151*(1-'[1]VENTAS(RESUMEN GLOBAL)'!H1151)</f>
        <v>0</v>
      </c>
      <c r="K1151" s="8">
        <f t="shared" si="17"/>
        <v>0</v>
      </c>
      <c r="L1151" s="8">
        <f>+'[1]VENTAS(RESUMEN GLOBAL)'!J1151</f>
        <v>0</v>
      </c>
      <c r="M1151" s="8">
        <f>+Tabla1[[#This Row],[utilidad x dia]]*7</f>
        <v>0</v>
      </c>
    </row>
    <row r="1152" spans="1:13" x14ac:dyDescent="0.3">
      <c r="A1152" s="6">
        <f>+'[1]VENTAS(RESUMEN GLOBAL)'!L1152</f>
        <v>0</v>
      </c>
      <c r="B1152" s="6">
        <f>+'[1]VENTAS(RESUMEN GLOBAL)'!M1152</f>
        <v>0</v>
      </c>
      <c r="C1152">
        <f>+'[1]VENTAS(RESUMEN GLOBAL)'!B1152</f>
        <v>0</v>
      </c>
      <c r="D1152" t="e">
        <f>INDEX('[1]CÓDIGOS DE PRODUCTO'!$D$3:$D$1000,MATCH(C1152,'[1]CÓDIGOS DE PRODUCTO'!$A$3:$A$1000,0))</f>
        <v>#N/A</v>
      </c>
      <c r="E1152">
        <f>VLOOKUP(C1152,'[1]CÓDIGOS DE PRODUCTO'!$A$4:$B$156,2,FALSE)</f>
        <v>0</v>
      </c>
      <c r="F1152">
        <f>INDEX('[1]CÓDIGOS DE PRODUCTO'!$C$3:$C$1000,MATCH(C1152,'[1]CÓDIGOS DE PRODUCTO'!$A$3:$A$1000,0))</f>
        <v>0</v>
      </c>
      <c r="G1152">
        <f>+'[1]VENTAS(RESUMEN GLOBAL)'!D1152-'[1]VENTAS(RESUMEN GLOBAL)'!E1152</f>
        <v>0</v>
      </c>
      <c r="H1152" s="9">
        <f>+'[1]VENTAS(RESUMEN GLOBAL)'!K1152</f>
        <v>0</v>
      </c>
      <c r="I1152" s="8">
        <f>+G1152*'[1]VENTAS(RESUMEN GLOBAL)'!F1152</f>
        <v>0</v>
      </c>
      <c r="J1152" s="8">
        <f>'[1]VENTAS(RESUMEN GLOBAL)'!G1152*(1-'[1]VENTAS(RESUMEN GLOBAL)'!H1152)</f>
        <v>0</v>
      </c>
      <c r="K1152" s="8">
        <f t="shared" si="17"/>
        <v>0</v>
      </c>
      <c r="L1152" s="8">
        <f>+'[1]VENTAS(RESUMEN GLOBAL)'!J1152</f>
        <v>0</v>
      </c>
      <c r="M1152" s="8">
        <f>+Tabla1[[#This Row],[utilidad x dia]]*7</f>
        <v>0</v>
      </c>
    </row>
    <row r="1153" spans="1:13" x14ac:dyDescent="0.3">
      <c r="A1153" s="6">
        <f>+'[1]VENTAS(RESUMEN GLOBAL)'!L1153</f>
        <v>0</v>
      </c>
      <c r="B1153" s="6">
        <f>+'[1]VENTAS(RESUMEN GLOBAL)'!M1153</f>
        <v>0</v>
      </c>
      <c r="C1153">
        <f>+'[1]VENTAS(RESUMEN GLOBAL)'!B1153</f>
        <v>0</v>
      </c>
      <c r="D1153" t="e">
        <f>INDEX('[1]CÓDIGOS DE PRODUCTO'!$D$3:$D$1000,MATCH(C1153,'[1]CÓDIGOS DE PRODUCTO'!$A$3:$A$1000,0))</f>
        <v>#N/A</v>
      </c>
      <c r="E1153">
        <f>VLOOKUP(C1153,'[1]CÓDIGOS DE PRODUCTO'!$A$4:$B$156,2,FALSE)</f>
        <v>0</v>
      </c>
      <c r="F1153">
        <f>INDEX('[1]CÓDIGOS DE PRODUCTO'!$C$3:$C$1000,MATCH(C1153,'[1]CÓDIGOS DE PRODUCTO'!$A$3:$A$1000,0))</f>
        <v>0</v>
      </c>
      <c r="G1153">
        <f>+'[1]VENTAS(RESUMEN GLOBAL)'!D1153-'[1]VENTAS(RESUMEN GLOBAL)'!E1153</f>
        <v>0</v>
      </c>
      <c r="H1153" s="9">
        <f>+'[1]VENTAS(RESUMEN GLOBAL)'!K1153</f>
        <v>0</v>
      </c>
      <c r="I1153" s="8">
        <f>+G1153*'[1]VENTAS(RESUMEN GLOBAL)'!F1153</f>
        <v>0</v>
      </c>
      <c r="J1153" s="8">
        <f>'[1]VENTAS(RESUMEN GLOBAL)'!G1153*(1-'[1]VENTAS(RESUMEN GLOBAL)'!H1153)</f>
        <v>0</v>
      </c>
      <c r="K1153" s="8">
        <f t="shared" si="17"/>
        <v>0</v>
      </c>
      <c r="L1153" s="8">
        <f>+'[1]VENTAS(RESUMEN GLOBAL)'!J1153</f>
        <v>0</v>
      </c>
      <c r="M1153" s="8">
        <f>+Tabla1[[#This Row],[utilidad x dia]]*7</f>
        <v>0</v>
      </c>
    </row>
    <row r="1154" spans="1:13" x14ac:dyDescent="0.3">
      <c r="A1154" s="6">
        <f>+'[1]VENTAS(RESUMEN GLOBAL)'!L1154</f>
        <v>0</v>
      </c>
      <c r="B1154" s="6">
        <f>+'[1]VENTAS(RESUMEN GLOBAL)'!M1154</f>
        <v>0</v>
      </c>
      <c r="C1154">
        <f>+'[1]VENTAS(RESUMEN GLOBAL)'!B1154</f>
        <v>0</v>
      </c>
      <c r="D1154" t="e">
        <f>INDEX('[1]CÓDIGOS DE PRODUCTO'!$D$3:$D$1000,MATCH(C1154,'[1]CÓDIGOS DE PRODUCTO'!$A$3:$A$1000,0))</f>
        <v>#N/A</v>
      </c>
      <c r="E1154">
        <f>VLOOKUP(C1154,'[1]CÓDIGOS DE PRODUCTO'!$A$4:$B$156,2,FALSE)</f>
        <v>0</v>
      </c>
      <c r="F1154">
        <f>INDEX('[1]CÓDIGOS DE PRODUCTO'!$C$3:$C$1000,MATCH(C1154,'[1]CÓDIGOS DE PRODUCTO'!$A$3:$A$1000,0))</f>
        <v>0</v>
      </c>
      <c r="G1154">
        <f>+'[1]VENTAS(RESUMEN GLOBAL)'!D1154-'[1]VENTAS(RESUMEN GLOBAL)'!E1154</f>
        <v>0</v>
      </c>
      <c r="H1154" s="9">
        <f>+'[1]VENTAS(RESUMEN GLOBAL)'!K1154</f>
        <v>0</v>
      </c>
      <c r="I1154" s="8">
        <f>+G1154*'[1]VENTAS(RESUMEN GLOBAL)'!F1154</f>
        <v>0</v>
      </c>
      <c r="J1154" s="8">
        <f>'[1]VENTAS(RESUMEN GLOBAL)'!G1154*(1-'[1]VENTAS(RESUMEN GLOBAL)'!H1154)</f>
        <v>0</v>
      </c>
      <c r="K1154" s="8">
        <f t="shared" si="17"/>
        <v>0</v>
      </c>
      <c r="L1154" s="8">
        <f>+'[1]VENTAS(RESUMEN GLOBAL)'!J1154</f>
        <v>0</v>
      </c>
      <c r="M1154" s="8">
        <f>+Tabla1[[#This Row],[utilidad x dia]]*7</f>
        <v>0</v>
      </c>
    </row>
    <row r="1155" spans="1:13" x14ac:dyDescent="0.3">
      <c r="A1155" s="6">
        <f>+'[1]VENTAS(RESUMEN GLOBAL)'!L1155</f>
        <v>0</v>
      </c>
      <c r="B1155" s="6">
        <f>+'[1]VENTAS(RESUMEN GLOBAL)'!M1155</f>
        <v>0</v>
      </c>
      <c r="C1155">
        <f>+'[1]VENTAS(RESUMEN GLOBAL)'!B1155</f>
        <v>0</v>
      </c>
      <c r="D1155" t="e">
        <f>INDEX('[1]CÓDIGOS DE PRODUCTO'!$D$3:$D$1000,MATCH(C1155,'[1]CÓDIGOS DE PRODUCTO'!$A$3:$A$1000,0))</f>
        <v>#N/A</v>
      </c>
      <c r="E1155">
        <f>VLOOKUP(C1155,'[1]CÓDIGOS DE PRODUCTO'!$A$4:$B$156,2,FALSE)</f>
        <v>0</v>
      </c>
      <c r="F1155">
        <f>INDEX('[1]CÓDIGOS DE PRODUCTO'!$C$3:$C$1000,MATCH(C1155,'[1]CÓDIGOS DE PRODUCTO'!$A$3:$A$1000,0))</f>
        <v>0</v>
      </c>
      <c r="G1155">
        <f>+'[1]VENTAS(RESUMEN GLOBAL)'!D1155-'[1]VENTAS(RESUMEN GLOBAL)'!E1155</f>
        <v>0</v>
      </c>
      <c r="H1155" s="9">
        <f>+'[1]VENTAS(RESUMEN GLOBAL)'!K1155</f>
        <v>0</v>
      </c>
      <c r="I1155" s="8">
        <f>+G1155*'[1]VENTAS(RESUMEN GLOBAL)'!F1155</f>
        <v>0</v>
      </c>
      <c r="J1155" s="8">
        <f>'[1]VENTAS(RESUMEN GLOBAL)'!G1155*(1-'[1]VENTAS(RESUMEN GLOBAL)'!H1155)</f>
        <v>0</v>
      </c>
      <c r="K1155" s="8">
        <f t="shared" ref="K1155:K1218" si="18">+I1155-J1155</f>
        <v>0</v>
      </c>
      <c r="L1155" s="8">
        <f>+'[1]VENTAS(RESUMEN GLOBAL)'!J1155</f>
        <v>0</v>
      </c>
      <c r="M1155" s="8">
        <f>+Tabla1[[#This Row],[utilidad x dia]]*7</f>
        <v>0</v>
      </c>
    </row>
    <row r="1156" spans="1:13" x14ac:dyDescent="0.3">
      <c r="A1156" s="6">
        <f>+'[1]VENTAS(RESUMEN GLOBAL)'!L1156</f>
        <v>0</v>
      </c>
      <c r="B1156" s="6">
        <f>+'[1]VENTAS(RESUMEN GLOBAL)'!M1156</f>
        <v>0</v>
      </c>
      <c r="C1156">
        <f>+'[1]VENTAS(RESUMEN GLOBAL)'!B1156</f>
        <v>0</v>
      </c>
      <c r="D1156" t="e">
        <f>INDEX('[1]CÓDIGOS DE PRODUCTO'!$D$3:$D$1000,MATCH(C1156,'[1]CÓDIGOS DE PRODUCTO'!$A$3:$A$1000,0))</f>
        <v>#N/A</v>
      </c>
      <c r="E1156">
        <f>VLOOKUP(C1156,'[1]CÓDIGOS DE PRODUCTO'!$A$4:$B$156,2,FALSE)</f>
        <v>0</v>
      </c>
      <c r="F1156">
        <f>INDEX('[1]CÓDIGOS DE PRODUCTO'!$C$3:$C$1000,MATCH(C1156,'[1]CÓDIGOS DE PRODUCTO'!$A$3:$A$1000,0))</f>
        <v>0</v>
      </c>
      <c r="G1156">
        <f>+'[1]VENTAS(RESUMEN GLOBAL)'!D1156-'[1]VENTAS(RESUMEN GLOBAL)'!E1156</f>
        <v>0</v>
      </c>
      <c r="H1156" s="9">
        <f>+'[1]VENTAS(RESUMEN GLOBAL)'!K1156</f>
        <v>0</v>
      </c>
      <c r="I1156" s="8">
        <f>+G1156*'[1]VENTAS(RESUMEN GLOBAL)'!F1156</f>
        <v>0</v>
      </c>
      <c r="J1156" s="8">
        <f>'[1]VENTAS(RESUMEN GLOBAL)'!G1156*(1-'[1]VENTAS(RESUMEN GLOBAL)'!H1156)</f>
        <v>0</v>
      </c>
      <c r="K1156" s="8">
        <f t="shared" si="18"/>
        <v>0</v>
      </c>
      <c r="L1156" s="8">
        <f>+'[1]VENTAS(RESUMEN GLOBAL)'!J1156</f>
        <v>0</v>
      </c>
      <c r="M1156" s="8">
        <f>+Tabla1[[#This Row],[utilidad x dia]]*7</f>
        <v>0</v>
      </c>
    </row>
    <row r="1157" spans="1:13" x14ac:dyDescent="0.3">
      <c r="A1157" s="6">
        <f>+'[1]VENTAS(RESUMEN GLOBAL)'!L1157</f>
        <v>0</v>
      </c>
      <c r="B1157" s="6">
        <f>+'[1]VENTAS(RESUMEN GLOBAL)'!M1157</f>
        <v>0</v>
      </c>
      <c r="C1157">
        <f>+'[1]VENTAS(RESUMEN GLOBAL)'!B1157</f>
        <v>0</v>
      </c>
      <c r="D1157" t="e">
        <f>INDEX('[1]CÓDIGOS DE PRODUCTO'!$D$3:$D$1000,MATCH(C1157,'[1]CÓDIGOS DE PRODUCTO'!$A$3:$A$1000,0))</f>
        <v>#N/A</v>
      </c>
      <c r="E1157">
        <f>VLOOKUP(C1157,'[1]CÓDIGOS DE PRODUCTO'!$A$4:$B$156,2,FALSE)</f>
        <v>0</v>
      </c>
      <c r="F1157">
        <f>INDEX('[1]CÓDIGOS DE PRODUCTO'!$C$3:$C$1000,MATCH(C1157,'[1]CÓDIGOS DE PRODUCTO'!$A$3:$A$1000,0))</f>
        <v>0</v>
      </c>
      <c r="G1157">
        <f>+'[1]VENTAS(RESUMEN GLOBAL)'!D1157-'[1]VENTAS(RESUMEN GLOBAL)'!E1157</f>
        <v>0</v>
      </c>
      <c r="H1157" s="9">
        <f>+'[1]VENTAS(RESUMEN GLOBAL)'!K1157</f>
        <v>0</v>
      </c>
      <c r="I1157" s="8">
        <f>+G1157*'[1]VENTAS(RESUMEN GLOBAL)'!F1157</f>
        <v>0</v>
      </c>
      <c r="J1157" s="8">
        <f>'[1]VENTAS(RESUMEN GLOBAL)'!G1157*(1-'[1]VENTAS(RESUMEN GLOBAL)'!H1157)</f>
        <v>0</v>
      </c>
      <c r="K1157" s="8">
        <f t="shared" si="18"/>
        <v>0</v>
      </c>
      <c r="L1157" s="8">
        <f>+'[1]VENTAS(RESUMEN GLOBAL)'!J1157</f>
        <v>0</v>
      </c>
      <c r="M1157" s="8">
        <f>+Tabla1[[#This Row],[utilidad x dia]]*7</f>
        <v>0</v>
      </c>
    </row>
    <row r="1158" spans="1:13" x14ac:dyDescent="0.3">
      <c r="A1158" s="6">
        <f>+'[1]VENTAS(RESUMEN GLOBAL)'!L1158</f>
        <v>0</v>
      </c>
      <c r="B1158" s="6">
        <f>+'[1]VENTAS(RESUMEN GLOBAL)'!M1158</f>
        <v>0</v>
      </c>
      <c r="C1158">
        <f>+'[1]VENTAS(RESUMEN GLOBAL)'!B1158</f>
        <v>0</v>
      </c>
      <c r="D1158" t="e">
        <f>INDEX('[1]CÓDIGOS DE PRODUCTO'!$D$3:$D$1000,MATCH(C1158,'[1]CÓDIGOS DE PRODUCTO'!$A$3:$A$1000,0))</f>
        <v>#N/A</v>
      </c>
      <c r="E1158">
        <f>VLOOKUP(C1158,'[1]CÓDIGOS DE PRODUCTO'!$A$4:$B$156,2,FALSE)</f>
        <v>0</v>
      </c>
      <c r="F1158">
        <f>INDEX('[1]CÓDIGOS DE PRODUCTO'!$C$3:$C$1000,MATCH(C1158,'[1]CÓDIGOS DE PRODUCTO'!$A$3:$A$1000,0))</f>
        <v>0</v>
      </c>
      <c r="G1158">
        <f>+'[1]VENTAS(RESUMEN GLOBAL)'!D1158-'[1]VENTAS(RESUMEN GLOBAL)'!E1158</f>
        <v>0</v>
      </c>
      <c r="H1158" s="9">
        <f>+'[1]VENTAS(RESUMEN GLOBAL)'!K1158</f>
        <v>0</v>
      </c>
      <c r="I1158" s="8">
        <f>+G1158*'[1]VENTAS(RESUMEN GLOBAL)'!F1158</f>
        <v>0</v>
      </c>
      <c r="J1158" s="8">
        <f>'[1]VENTAS(RESUMEN GLOBAL)'!G1158*(1-'[1]VENTAS(RESUMEN GLOBAL)'!H1158)</f>
        <v>0</v>
      </c>
      <c r="K1158" s="8">
        <f t="shared" si="18"/>
        <v>0</v>
      </c>
      <c r="L1158" s="8">
        <f>+'[1]VENTAS(RESUMEN GLOBAL)'!J1158</f>
        <v>0</v>
      </c>
      <c r="M1158" s="8">
        <f>+Tabla1[[#This Row],[utilidad x dia]]*7</f>
        <v>0</v>
      </c>
    </row>
    <row r="1159" spans="1:13" x14ac:dyDescent="0.3">
      <c r="A1159" s="6">
        <f>+'[1]VENTAS(RESUMEN GLOBAL)'!L1159</f>
        <v>0</v>
      </c>
      <c r="B1159" s="6">
        <f>+'[1]VENTAS(RESUMEN GLOBAL)'!M1159</f>
        <v>0</v>
      </c>
      <c r="C1159">
        <f>+'[1]VENTAS(RESUMEN GLOBAL)'!B1159</f>
        <v>0</v>
      </c>
      <c r="D1159" t="e">
        <f>INDEX('[1]CÓDIGOS DE PRODUCTO'!$D$3:$D$1000,MATCH(C1159,'[1]CÓDIGOS DE PRODUCTO'!$A$3:$A$1000,0))</f>
        <v>#N/A</v>
      </c>
      <c r="E1159">
        <f>VLOOKUP(C1159,'[1]CÓDIGOS DE PRODUCTO'!$A$4:$B$156,2,FALSE)</f>
        <v>0</v>
      </c>
      <c r="F1159">
        <f>INDEX('[1]CÓDIGOS DE PRODUCTO'!$C$3:$C$1000,MATCH(C1159,'[1]CÓDIGOS DE PRODUCTO'!$A$3:$A$1000,0))</f>
        <v>0</v>
      </c>
      <c r="G1159">
        <f>+'[1]VENTAS(RESUMEN GLOBAL)'!D1159-'[1]VENTAS(RESUMEN GLOBAL)'!E1159</f>
        <v>0</v>
      </c>
      <c r="H1159" s="9">
        <f>+'[1]VENTAS(RESUMEN GLOBAL)'!K1159</f>
        <v>0</v>
      </c>
      <c r="I1159" s="8">
        <f>+G1159*'[1]VENTAS(RESUMEN GLOBAL)'!F1159</f>
        <v>0</v>
      </c>
      <c r="J1159" s="8">
        <f>'[1]VENTAS(RESUMEN GLOBAL)'!G1159*(1-'[1]VENTAS(RESUMEN GLOBAL)'!H1159)</f>
        <v>0</v>
      </c>
      <c r="K1159" s="8">
        <f t="shared" si="18"/>
        <v>0</v>
      </c>
      <c r="L1159" s="8">
        <f>+'[1]VENTAS(RESUMEN GLOBAL)'!J1159</f>
        <v>0</v>
      </c>
      <c r="M1159" s="8">
        <f>+Tabla1[[#This Row],[utilidad x dia]]*7</f>
        <v>0</v>
      </c>
    </row>
    <row r="1160" spans="1:13" x14ac:dyDescent="0.3">
      <c r="A1160" s="6">
        <f>+'[1]VENTAS(RESUMEN GLOBAL)'!L1160</f>
        <v>0</v>
      </c>
      <c r="B1160" s="6">
        <f>+'[1]VENTAS(RESUMEN GLOBAL)'!M1160</f>
        <v>0</v>
      </c>
      <c r="C1160">
        <f>+'[1]VENTAS(RESUMEN GLOBAL)'!B1160</f>
        <v>0</v>
      </c>
      <c r="D1160" t="e">
        <f>INDEX('[1]CÓDIGOS DE PRODUCTO'!$D$3:$D$1000,MATCH(C1160,'[1]CÓDIGOS DE PRODUCTO'!$A$3:$A$1000,0))</f>
        <v>#N/A</v>
      </c>
      <c r="E1160">
        <f>VLOOKUP(C1160,'[1]CÓDIGOS DE PRODUCTO'!$A$4:$B$156,2,FALSE)</f>
        <v>0</v>
      </c>
      <c r="F1160">
        <f>INDEX('[1]CÓDIGOS DE PRODUCTO'!$C$3:$C$1000,MATCH(C1160,'[1]CÓDIGOS DE PRODUCTO'!$A$3:$A$1000,0))</f>
        <v>0</v>
      </c>
      <c r="G1160">
        <f>+'[1]VENTAS(RESUMEN GLOBAL)'!D1160-'[1]VENTAS(RESUMEN GLOBAL)'!E1160</f>
        <v>0</v>
      </c>
      <c r="H1160" s="9">
        <f>+'[1]VENTAS(RESUMEN GLOBAL)'!K1160</f>
        <v>0</v>
      </c>
      <c r="I1160" s="8">
        <f>+G1160*'[1]VENTAS(RESUMEN GLOBAL)'!F1160</f>
        <v>0</v>
      </c>
      <c r="J1160" s="8">
        <f>'[1]VENTAS(RESUMEN GLOBAL)'!G1160*(1-'[1]VENTAS(RESUMEN GLOBAL)'!H1160)</f>
        <v>0</v>
      </c>
      <c r="K1160" s="8">
        <f t="shared" si="18"/>
        <v>0</v>
      </c>
      <c r="L1160" s="8">
        <f>+'[1]VENTAS(RESUMEN GLOBAL)'!J1160</f>
        <v>0</v>
      </c>
      <c r="M1160" s="8">
        <f>+Tabla1[[#This Row],[utilidad x dia]]*7</f>
        <v>0</v>
      </c>
    </row>
    <row r="1161" spans="1:13" x14ac:dyDescent="0.3">
      <c r="A1161" s="6">
        <f>+'[1]VENTAS(RESUMEN GLOBAL)'!L1161</f>
        <v>0</v>
      </c>
      <c r="B1161" s="6">
        <f>+'[1]VENTAS(RESUMEN GLOBAL)'!M1161</f>
        <v>0</v>
      </c>
      <c r="C1161">
        <f>+'[1]VENTAS(RESUMEN GLOBAL)'!B1161</f>
        <v>0</v>
      </c>
      <c r="D1161" t="e">
        <f>INDEX('[1]CÓDIGOS DE PRODUCTO'!$D$3:$D$1000,MATCH(C1161,'[1]CÓDIGOS DE PRODUCTO'!$A$3:$A$1000,0))</f>
        <v>#N/A</v>
      </c>
      <c r="E1161">
        <f>VLOOKUP(C1161,'[1]CÓDIGOS DE PRODUCTO'!$A$4:$B$156,2,FALSE)</f>
        <v>0</v>
      </c>
      <c r="F1161">
        <f>INDEX('[1]CÓDIGOS DE PRODUCTO'!$C$3:$C$1000,MATCH(C1161,'[1]CÓDIGOS DE PRODUCTO'!$A$3:$A$1000,0))</f>
        <v>0</v>
      </c>
      <c r="G1161">
        <f>+'[1]VENTAS(RESUMEN GLOBAL)'!D1161-'[1]VENTAS(RESUMEN GLOBAL)'!E1161</f>
        <v>0</v>
      </c>
      <c r="H1161" s="9">
        <f>+'[1]VENTAS(RESUMEN GLOBAL)'!K1161</f>
        <v>0</v>
      </c>
      <c r="I1161" s="8">
        <f>+G1161*'[1]VENTAS(RESUMEN GLOBAL)'!F1161</f>
        <v>0</v>
      </c>
      <c r="J1161" s="8">
        <f>'[1]VENTAS(RESUMEN GLOBAL)'!G1161*(1-'[1]VENTAS(RESUMEN GLOBAL)'!H1161)</f>
        <v>0</v>
      </c>
      <c r="K1161" s="8">
        <f t="shared" si="18"/>
        <v>0</v>
      </c>
      <c r="L1161" s="8">
        <f>+'[1]VENTAS(RESUMEN GLOBAL)'!J1161</f>
        <v>0</v>
      </c>
      <c r="M1161" s="8">
        <f>+Tabla1[[#This Row],[utilidad x dia]]*7</f>
        <v>0</v>
      </c>
    </row>
    <row r="1162" spans="1:13" x14ac:dyDescent="0.3">
      <c r="A1162" s="6">
        <f>+'[1]VENTAS(RESUMEN GLOBAL)'!L1162</f>
        <v>0</v>
      </c>
      <c r="B1162" s="6">
        <f>+'[1]VENTAS(RESUMEN GLOBAL)'!M1162</f>
        <v>0</v>
      </c>
      <c r="C1162">
        <f>+'[1]VENTAS(RESUMEN GLOBAL)'!B1162</f>
        <v>0</v>
      </c>
      <c r="D1162" t="e">
        <f>INDEX('[1]CÓDIGOS DE PRODUCTO'!$D$3:$D$1000,MATCH(C1162,'[1]CÓDIGOS DE PRODUCTO'!$A$3:$A$1000,0))</f>
        <v>#N/A</v>
      </c>
      <c r="E1162">
        <f>VLOOKUP(C1162,'[1]CÓDIGOS DE PRODUCTO'!$A$4:$B$156,2,FALSE)</f>
        <v>0</v>
      </c>
      <c r="F1162">
        <f>INDEX('[1]CÓDIGOS DE PRODUCTO'!$C$3:$C$1000,MATCH(C1162,'[1]CÓDIGOS DE PRODUCTO'!$A$3:$A$1000,0))</f>
        <v>0</v>
      </c>
      <c r="G1162">
        <f>+'[1]VENTAS(RESUMEN GLOBAL)'!D1162-'[1]VENTAS(RESUMEN GLOBAL)'!E1162</f>
        <v>0</v>
      </c>
      <c r="H1162" s="9">
        <f>+'[1]VENTAS(RESUMEN GLOBAL)'!K1162</f>
        <v>0</v>
      </c>
      <c r="I1162" s="8">
        <f>+G1162*'[1]VENTAS(RESUMEN GLOBAL)'!F1162</f>
        <v>0</v>
      </c>
      <c r="J1162" s="8">
        <f>'[1]VENTAS(RESUMEN GLOBAL)'!G1162*(1-'[1]VENTAS(RESUMEN GLOBAL)'!H1162)</f>
        <v>0</v>
      </c>
      <c r="K1162" s="8">
        <f t="shared" si="18"/>
        <v>0</v>
      </c>
      <c r="L1162" s="8">
        <f>+'[1]VENTAS(RESUMEN GLOBAL)'!J1162</f>
        <v>0</v>
      </c>
      <c r="M1162" s="8">
        <f>+Tabla1[[#This Row],[utilidad x dia]]*7</f>
        <v>0</v>
      </c>
    </row>
    <row r="1163" spans="1:13" x14ac:dyDescent="0.3">
      <c r="A1163" s="6">
        <f>+'[1]VENTAS(RESUMEN GLOBAL)'!L1163</f>
        <v>0</v>
      </c>
      <c r="B1163" s="6">
        <f>+'[1]VENTAS(RESUMEN GLOBAL)'!M1163</f>
        <v>0</v>
      </c>
      <c r="C1163">
        <f>+'[1]VENTAS(RESUMEN GLOBAL)'!B1163</f>
        <v>0</v>
      </c>
      <c r="D1163" t="e">
        <f>INDEX('[1]CÓDIGOS DE PRODUCTO'!$D$3:$D$1000,MATCH(C1163,'[1]CÓDIGOS DE PRODUCTO'!$A$3:$A$1000,0))</f>
        <v>#N/A</v>
      </c>
      <c r="E1163">
        <f>VLOOKUP(C1163,'[1]CÓDIGOS DE PRODUCTO'!$A$4:$B$156,2,FALSE)</f>
        <v>0</v>
      </c>
      <c r="F1163">
        <f>INDEX('[1]CÓDIGOS DE PRODUCTO'!$C$3:$C$1000,MATCH(C1163,'[1]CÓDIGOS DE PRODUCTO'!$A$3:$A$1000,0))</f>
        <v>0</v>
      </c>
      <c r="G1163">
        <f>+'[1]VENTAS(RESUMEN GLOBAL)'!D1163-'[1]VENTAS(RESUMEN GLOBAL)'!E1163</f>
        <v>0</v>
      </c>
      <c r="H1163" s="9">
        <f>+'[1]VENTAS(RESUMEN GLOBAL)'!K1163</f>
        <v>0</v>
      </c>
      <c r="I1163" s="8">
        <f>+G1163*'[1]VENTAS(RESUMEN GLOBAL)'!F1163</f>
        <v>0</v>
      </c>
      <c r="J1163" s="8">
        <f>'[1]VENTAS(RESUMEN GLOBAL)'!G1163*(1-'[1]VENTAS(RESUMEN GLOBAL)'!H1163)</f>
        <v>0</v>
      </c>
      <c r="K1163" s="8">
        <f t="shared" si="18"/>
        <v>0</v>
      </c>
      <c r="L1163" s="8">
        <f>+'[1]VENTAS(RESUMEN GLOBAL)'!J1163</f>
        <v>0</v>
      </c>
      <c r="M1163" s="8">
        <f>+Tabla1[[#This Row],[utilidad x dia]]*7</f>
        <v>0</v>
      </c>
    </row>
    <row r="1164" spans="1:13" x14ac:dyDescent="0.3">
      <c r="A1164" s="6">
        <f>+'[1]VENTAS(RESUMEN GLOBAL)'!L1164</f>
        <v>0</v>
      </c>
      <c r="B1164" s="6">
        <f>+'[1]VENTAS(RESUMEN GLOBAL)'!M1164</f>
        <v>0</v>
      </c>
      <c r="C1164">
        <f>+'[1]VENTAS(RESUMEN GLOBAL)'!B1164</f>
        <v>0</v>
      </c>
      <c r="D1164" t="e">
        <f>INDEX('[1]CÓDIGOS DE PRODUCTO'!$D$3:$D$1000,MATCH(C1164,'[1]CÓDIGOS DE PRODUCTO'!$A$3:$A$1000,0))</f>
        <v>#N/A</v>
      </c>
      <c r="E1164">
        <f>VLOOKUP(C1164,'[1]CÓDIGOS DE PRODUCTO'!$A$4:$B$156,2,FALSE)</f>
        <v>0</v>
      </c>
      <c r="F1164">
        <f>INDEX('[1]CÓDIGOS DE PRODUCTO'!$C$3:$C$1000,MATCH(C1164,'[1]CÓDIGOS DE PRODUCTO'!$A$3:$A$1000,0))</f>
        <v>0</v>
      </c>
      <c r="G1164">
        <f>+'[1]VENTAS(RESUMEN GLOBAL)'!D1164-'[1]VENTAS(RESUMEN GLOBAL)'!E1164</f>
        <v>0</v>
      </c>
      <c r="H1164" s="9">
        <f>+'[1]VENTAS(RESUMEN GLOBAL)'!K1164</f>
        <v>0</v>
      </c>
      <c r="I1164" s="8">
        <f>+G1164*'[1]VENTAS(RESUMEN GLOBAL)'!F1164</f>
        <v>0</v>
      </c>
      <c r="J1164" s="8">
        <f>'[1]VENTAS(RESUMEN GLOBAL)'!G1164*(1-'[1]VENTAS(RESUMEN GLOBAL)'!H1164)</f>
        <v>0</v>
      </c>
      <c r="K1164" s="8">
        <f t="shared" si="18"/>
        <v>0</v>
      </c>
      <c r="L1164" s="8">
        <f>+'[1]VENTAS(RESUMEN GLOBAL)'!J1164</f>
        <v>0</v>
      </c>
      <c r="M1164" s="8">
        <f>+Tabla1[[#This Row],[utilidad x dia]]*7</f>
        <v>0</v>
      </c>
    </row>
    <row r="1165" spans="1:13" x14ac:dyDescent="0.3">
      <c r="A1165" s="6">
        <f>+'[1]VENTAS(RESUMEN GLOBAL)'!L1165</f>
        <v>0</v>
      </c>
      <c r="B1165" s="6">
        <f>+'[1]VENTAS(RESUMEN GLOBAL)'!M1165</f>
        <v>0</v>
      </c>
      <c r="C1165">
        <f>+'[1]VENTAS(RESUMEN GLOBAL)'!B1165</f>
        <v>0</v>
      </c>
      <c r="D1165" t="e">
        <f>INDEX('[1]CÓDIGOS DE PRODUCTO'!$D$3:$D$1000,MATCH(C1165,'[1]CÓDIGOS DE PRODUCTO'!$A$3:$A$1000,0))</f>
        <v>#N/A</v>
      </c>
      <c r="E1165">
        <f>VLOOKUP(C1165,'[1]CÓDIGOS DE PRODUCTO'!$A$4:$B$156,2,FALSE)</f>
        <v>0</v>
      </c>
      <c r="F1165">
        <f>INDEX('[1]CÓDIGOS DE PRODUCTO'!$C$3:$C$1000,MATCH(C1165,'[1]CÓDIGOS DE PRODUCTO'!$A$3:$A$1000,0))</f>
        <v>0</v>
      </c>
      <c r="G1165">
        <f>+'[1]VENTAS(RESUMEN GLOBAL)'!D1165-'[1]VENTAS(RESUMEN GLOBAL)'!E1165</f>
        <v>0</v>
      </c>
      <c r="H1165" s="9">
        <f>+'[1]VENTAS(RESUMEN GLOBAL)'!K1165</f>
        <v>0</v>
      </c>
      <c r="I1165" s="8">
        <f>+G1165*'[1]VENTAS(RESUMEN GLOBAL)'!F1165</f>
        <v>0</v>
      </c>
      <c r="J1165" s="8">
        <f>'[1]VENTAS(RESUMEN GLOBAL)'!G1165*(1-'[1]VENTAS(RESUMEN GLOBAL)'!H1165)</f>
        <v>0</v>
      </c>
      <c r="K1165" s="8">
        <f t="shared" si="18"/>
        <v>0</v>
      </c>
      <c r="L1165" s="8">
        <f>+'[1]VENTAS(RESUMEN GLOBAL)'!J1165</f>
        <v>0</v>
      </c>
      <c r="M1165" s="8">
        <f>+Tabla1[[#This Row],[utilidad x dia]]*7</f>
        <v>0</v>
      </c>
    </row>
    <row r="1166" spans="1:13" x14ac:dyDescent="0.3">
      <c r="A1166" s="6">
        <f>+'[1]VENTAS(RESUMEN GLOBAL)'!L1166</f>
        <v>0</v>
      </c>
      <c r="B1166" s="6">
        <f>+'[1]VENTAS(RESUMEN GLOBAL)'!M1166</f>
        <v>0</v>
      </c>
      <c r="C1166">
        <f>+'[1]VENTAS(RESUMEN GLOBAL)'!B1166</f>
        <v>0</v>
      </c>
      <c r="D1166" t="e">
        <f>INDEX('[1]CÓDIGOS DE PRODUCTO'!$D$3:$D$1000,MATCH(C1166,'[1]CÓDIGOS DE PRODUCTO'!$A$3:$A$1000,0))</f>
        <v>#N/A</v>
      </c>
      <c r="E1166">
        <f>VLOOKUP(C1166,'[1]CÓDIGOS DE PRODUCTO'!$A$4:$B$156,2,FALSE)</f>
        <v>0</v>
      </c>
      <c r="F1166">
        <f>INDEX('[1]CÓDIGOS DE PRODUCTO'!$C$3:$C$1000,MATCH(C1166,'[1]CÓDIGOS DE PRODUCTO'!$A$3:$A$1000,0))</f>
        <v>0</v>
      </c>
      <c r="G1166">
        <f>+'[1]VENTAS(RESUMEN GLOBAL)'!D1166-'[1]VENTAS(RESUMEN GLOBAL)'!E1166</f>
        <v>0</v>
      </c>
      <c r="H1166" s="9">
        <f>+'[1]VENTAS(RESUMEN GLOBAL)'!K1166</f>
        <v>0</v>
      </c>
      <c r="I1166" s="8">
        <f>+G1166*'[1]VENTAS(RESUMEN GLOBAL)'!F1166</f>
        <v>0</v>
      </c>
      <c r="J1166" s="8">
        <f>'[1]VENTAS(RESUMEN GLOBAL)'!G1166*(1-'[1]VENTAS(RESUMEN GLOBAL)'!H1166)</f>
        <v>0</v>
      </c>
      <c r="K1166" s="8">
        <f t="shared" si="18"/>
        <v>0</v>
      </c>
      <c r="L1166" s="8">
        <f>+'[1]VENTAS(RESUMEN GLOBAL)'!J1166</f>
        <v>0</v>
      </c>
      <c r="M1166" s="8">
        <f>+Tabla1[[#This Row],[utilidad x dia]]*7</f>
        <v>0</v>
      </c>
    </row>
    <row r="1167" spans="1:13" x14ac:dyDescent="0.3">
      <c r="A1167" s="6">
        <f>+'[1]VENTAS(RESUMEN GLOBAL)'!L1167</f>
        <v>0</v>
      </c>
      <c r="B1167" s="6">
        <f>+'[1]VENTAS(RESUMEN GLOBAL)'!M1167</f>
        <v>0</v>
      </c>
      <c r="C1167">
        <f>+'[1]VENTAS(RESUMEN GLOBAL)'!B1167</f>
        <v>0</v>
      </c>
      <c r="D1167" t="e">
        <f>INDEX('[1]CÓDIGOS DE PRODUCTO'!$D$3:$D$1000,MATCH(C1167,'[1]CÓDIGOS DE PRODUCTO'!$A$3:$A$1000,0))</f>
        <v>#N/A</v>
      </c>
      <c r="E1167">
        <f>VLOOKUP(C1167,'[1]CÓDIGOS DE PRODUCTO'!$A$4:$B$156,2,FALSE)</f>
        <v>0</v>
      </c>
      <c r="F1167">
        <f>INDEX('[1]CÓDIGOS DE PRODUCTO'!$C$3:$C$1000,MATCH(C1167,'[1]CÓDIGOS DE PRODUCTO'!$A$3:$A$1000,0))</f>
        <v>0</v>
      </c>
      <c r="G1167">
        <f>+'[1]VENTAS(RESUMEN GLOBAL)'!D1167-'[1]VENTAS(RESUMEN GLOBAL)'!E1167</f>
        <v>0</v>
      </c>
      <c r="H1167" s="9">
        <f>+'[1]VENTAS(RESUMEN GLOBAL)'!K1167</f>
        <v>0</v>
      </c>
      <c r="I1167" s="8">
        <f>+G1167*'[1]VENTAS(RESUMEN GLOBAL)'!F1167</f>
        <v>0</v>
      </c>
      <c r="J1167" s="8">
        <f>'[1]VENTAS(RESUMEN GLOBAL)'!G1167*(1-'[1]VENTAS(RESUMEN GLOBAL)'!H1167)</f>
        <v>0</v>
      </c>
      <c r="K1167" s="8">
        <f t="shared" si="18"/>
        <v>0</v>
      </c>
      <c r="L1167" s="8">
        <f>+'[1]VENTAS(RESUMEN GLOBAL)'!J1167</f>
        <v>0</v>
      </c>
      <c r="M1167" s="8">
        <f>+Tabla1[[#This Row],[utilidad x dia]]*7</f>
        <v>0</v>
      </c>
    </row>
    <row r="1168" spans="1:13" x14ac:dyDescent="0.3">
      <c r="A1168" s="6">
        <f>+'[1]VENTAS(RESUMEN GLOBAL)'!L1168</f>
        <v>0</v>
      </c>
      <c r="B1168" s="6">
        <f>+'[1]VENTAS(RESUMEN GLOBAL)'!M1168</f>
        <v>0</v>
      </c>
      <c r="C1168">
        <f>+'[1]VENTAS(RESUMEN GLOBAL)'!B1168</f>
        <v>0</v>
      </c>
      <c r="D1168" t="e">
        <f>INDEX('[1]CÓDIGOS DE PRODUCTO'!$D$3:$D$1000,MATCH(C1168,'[1]CÓDIGOS DE PRODUCTO'!$A$3:$A$1000,0))</f>
        <v>#N/A</v>
      </c>
      <c r="E1168">
        <f>VLOOKUP(C1168,'[1]CÓDIGOS DE PRODUCTO'!$A$4:$B$156,2,FALSE)</f>
        <v>0</v>
      </c>
      <c r="F1168">
        <f>INDEX('[1]CÓDIGOS DE PRODUCTO'!$C$3:$C$1000,MATCH(C1168,'[1]CÓDIGOS DE PRODUCTO'!$A$3:$A$1000,0))</f>
        <v>0</v>
      </c>
      <c r="G1168">
        <f>+'[1]VENTAS(RESUMEN GLOBAL)'!D1168-'[1]VENTAS(RESUMEN GLOBAL)'!E1168</f>
        <v>0</v>
      </c>
      <c r="H1168" s="9">
        <f>+'[1]VENTAS(RESUMEN GLOBAL)'!K1168</f>
        <v>0</v>
      </c>
      <c r="I1168" s="8">
        <f>+G1168*'[1]VENTAS(RESUMEN GLOBAL)'!F1168</f>
        <v>0</v>
      </c>
      <c r="J1168" s="8">
        <f>'[1]VENTAS(RESUMEN GLOBAL)'!G1168*(1-'[1]VENTAS(RESUMEN GLOBAL)'!H1168)</f>
        <v>0</v>
      </c>
      <c r="K1168" s="8">
        <f t="shared" si="18"/>
        <v>0</v>
      </c>
      <c r="L1168" s="8">
        <f>+'[1]VENTAS(RESUMEN GLOBAL)'!J1168</f>
        <v>0</v>
      </c>
      <c r="M1168" s="8">
        <f>+Tabla1[[#This Row],[utilidad x dia]]*7</f>
        <v>0</v>
      </c>
    </row>
    <row r="1169" spans="1:13" x14ac:dyDescent="0.3">
      <c r="A1169" s="6">
        <f>+'[1]VENTAS(RESUMEN GLOBAL)'!L1169</f>
        <v>0</v>
      </c>
      <c r="B1169" s="6">
        <f>+'[1]VENTAS(RESUMEN GLOBAL)'!M1169</f>
        <v>0</v>
      </c>
      <c r="C1169">
        <f>+'[1]VENTAS(RESUMEN GLOBAL)'!B1169</f>
        <v>0</v>
      </c>
      <c r="D1169" t="e">
        <f>INDEX('[1]CÓDIGOS DE PRODUCTO'!$D$3:$D$1000,MATCH(C1169,'[1]CÓDIGOS DE PRODUCTO'!$A$3:$A$1000,0))</f>
        <v>#N/A</v>
      </c>
      <c r="E1169">
        <f>VLOOKUP(C1169,'[1]CÓDIGOS DE PRODUCTO'!$A$4:$B$156,2,FALSE)</f>
        <v>0</v>
      </c>
      <c r="F1169">
        <f>INDEX('[1]CÓDIGOS DE PRODUCTO'!$C$3:$C$1000,MATCH(C1169,'[1]CÓDIGOS DE PRODUCTO'!$A$3:$A$1000,0))</f>
        <v>0</v>
      </c>
      <c r="G1169">
        <f>+'[1]VENTAS(RESUMEN GLOBAL)'!D1169-'[1]VENTAS(RESUMEN GLOBAL)'!E1169</f>
        <v>0</v>
      </c>
      <c r="H1169" s="9">
        <f>+'[1]VENTAS(RESUMEN GLOBAL)'!K1169</f>
        <v>0</v>
      </c>
      <c r="I1169" s="8">
        <f>+G1169*'[1]VENTAS(RESUMEN GLOBAL)'!F1169</f>
        <v>0</v>
      </c>
      <c r="J1169" s="8">
        <f>'[1]VENTAS(RESUMEN GLOBAL)'!G1169*(1-'[1]VENTAS(RESUMEN GLOBAL)'!H1169)</f>
        <v>0</v>
      </c>
      <c r="K1169" s="8">
        <f t="shared" si="18"/>
        <v>0</v>
      </c>
      <c r="L1169" s="8">
        <f>+'[1]VENTAS(RESUMEN GLOBAL)'!J1169</f>
        <v>0</v>
      </c>
      <c r="M1169" s="8">
        <f>+Tabla1[[#This Row],[utilidad x dia]]*7</f>
        <v>0</v>
      </c>
    </row>
    <row r="1170" spans="1:13" x14ac:dyDescent="0.3">
      <c r="A1170" s="6">
        <f>+'[1]VENTAS(RESUMEN GLOBAL)'!L1170</f>
        <v>0</v>
      </c>
      <c r="B1170" s="6">
        <f>+'[1]VENTAS(RESUMEN GLOBAL)'!M1170</f>
        <v>0</v>
      </c>
      <c r="C1170">
        <f>+'[1]VENTAS(RESUMEN GLOBAL)'!B1170</f>
        <v>0</v>
      </c>
      <c r="D1170" t="e">
        <f>INDEX('[1]CÓDIGOS DE PRODUCTO'!$D$3:$D$1000,MATCH(C1170,'[1]CÓDIGOS DE PRODUCTO'!$A$3:$A$1000,0))</f>
        <v>#N/A</v>
      </c>
      <c r="E1170">
        <f>VLOOKUP(C1170,'[1]CÓDIGOS DE PRODUCTO'!$A$4:$B$156,2,FALSE)</f>
        <v>0</v>
      </c>
      <c r="F1170">
        <f>INDEX('[1]CÓDIGOS DE PRODUCTO'!$C$3:$C$1000,MATCH(C1170,'[1]CÓDIGOS DE PRODUCTO'!$A$3:$A$1000,0))</f>
        <v>0</v>
      </c>
      <c r="G1170">
        <f>+'[1]VENTAS(RESUMEN GLOBAL)'!D1170-'[1]VENTAS(RESUMEN GLOBAL)'!E1170</f>
        <v>0</v>
      </c>
      <c r="H1170" s="9">
        <f>+'[1]VENTAS(RESUMEN GLOBAL)'!K1170</f>
        <v>0</v>
      </c>
      <c r="I1170" s="8">
        <f>+G1170*'[1]VENTAS(RESUMEN GLOBAL)'!F1170</f>
        <v>0</v>
      </c>
      <c r="J1170" s="8">
        <f>'[1]VENTAS(RESUMEN GLOBAL)'!G1170*(1-'[1]VENTAS(RESUMEN GLOBAL)'!H1170)</f>
        <v>0</v>
      </c>
      <c r="K1170" s="8">
        <f t="shared" si="18"/>
        <v>0</v>
      </c>
      <c r="L1170" s="8">
        <f>+'[1]VENTAS(RESUMEN GLOBAL)'!J1170</f>
        <v>0</v>
      </c>
      <c r="M1170" s="8">
        <f>+Tabla1[[#This Row],[utilidad x dia]]*7</f>
        <v>0</v>
      </c>
    </row>
    <row r="1171" spans="1:13" x14ac:dyDescent="0.3">
      <c r="A1171" s="6">
        <f>+'[1]VENTAS(RESUMEN GLOBAL)'!L1171</f>
        <v>0</v>
      </c>
      <c r="B1171" s="6">
        <f>+'[1]VENTAS(RESUMEN GLOBAL)'!M1171</f>
        <v>0</v>
      </c>
      <c r="C1171">
        <f>+'[1]VENTAS(RESUMEN GLOBAL)'!B1171</f>
        <v>0</v>
      </c>
      <c r="D1171" t="e">
        <f>INDEX('[1]CÓDIGOS DE PRODUCTO'!$D$3:$D$1000,MATCH(C1171,'[1]CÓDIGOS DE PRODUCTO'!$A$3:$A$1000,0))</f>
        <v>#N/A</v>
      </c>
      <c r="E1171">
        <f>VLOOKUP(C1171,'[1]CÓDIGOS DE PRODUCTO'!$A$4:$B$156,2,FALSE)</f>
        <v>0</v>
      </c>
      <c r="F1171">
        <f>INDEX('[1]CÓDIGOS DE PRODUCTO'!$C$3:$C$1000,MATCH(C1171,'[1]CÓDIGOS DE PRODUCTO'!$A$3:$A$1000,0))</f>
        <v>0</v>
      </c>
      <c r="G1171">
        <f>+'[1]VENTAS(RESUMEN GLOBAL)'!D1171-'[1]VENTAS(RESUMEN GLOBAL)'!E1171</f>
        <v>0</v>
      </c>
      <c r="H1171" s="9">
        <f>+'[1]VENTAS(RESUMEN GLOBAL)'!K1171</f>
        <v>0</v>
      </c>
      <c r="I1171" s="8">
        <f>+G1171*'[1]VENTAS(RESUMEN GLOBAL)'!F1171</f>
        <v>0</v>
      </c>
      <c r="J1171" s="8">
        <f>'[1]VENTAS(RESUMEN GLOBAL)'!G1171*(1-'[1]VENTAS(RESUMEN GLOBAL)'!H1171)</f>
        <v>0</v>
      </c>
      <c r="K1171" s="8">
        <f t="shared" si="18"/>
        <v>0</v>
      </c>
      <c r="L1171" s="8">
        <f>+'[1]VENTAS(RESUMEN GLOBAL)'!J1171</f>
        <v>0</v>
      </c>
      <c r="M1171" s="8">
        <f>+Tabla1[[#This Row],[utilidad x dia]]*7</f>
        <v>0</v>
      </c>
    </row>
    <row r="1172" spans="1:13" x14ac:dyDescent="0.3">
      <c r="A1172" s="6">
        <f>+'[1]VENTAS(RESUMEN GLOBAL)'!L1172</f>
        <v>0</v>
      </c>
      <c r="B1172" s="6">
        <f>+'[1]VENTAS(RESUMEN GLOBAL)'!M1172</f>
        <v>0</v>
      </c>
      <c r="C1172">
        <f>+'[1]VENTAS(RESUMEN GLOBAL)'!B1172</f>
        <v>0</v>
      </c>
      <c r="D1172" t="e">
        <f>INDEX('[1]CÓDIGOS DE PRODUCTO'!$D$3:$D$1000,MATCH(C1172,'[1]CÓDIGOS DE PRODUCTO'!$A$3:$A$1000,0))</f>
        <v>#N/A</v>
      </c>
      <c r="E1172">
        <f>VLOOKUP(C1172,'[1]CÓDIGOS DE PRODUCTO'!$A$4:$B$156,2,FALSE)</f>
        <v>0</v>
      </c>
      <c r="F1172">
        <f>INDEX('[1]CÓDIGOS DE PRODUCTO'!$C$3:$C$1000,MATCH(C1172,'[1]CÓDIGOS DE PRODUCTO'!$A$3:$A$1000,0))</f>
        <v>0</v>
      </c>
      <c r="G1172">
        <f>+'[1]VENTAS(RESUMEN GLOBAL)'!D1172-'[1]VENTAS(RESUMEN GLOBAL)'!E1172</f>
        <v>0</v>
      </c>
      <c r="H1172" s="9">
        <f>+'[1]VENTAS(RESUMEN GLOBAL)'!K1172</f>
        <v>0</v>
      </c>
      <c r="I1172" s="8">
        <f>+G1172*'[1]VENTAS(RESUMEN GLOBAL)'!F1172</f>
        <v>0</v>
      </c>
      <c r="J1172" s="8">
        <f>'[1]VENTAS(RESUMEN GLOBAL)'!G1172*(1-'[1]VENTAS(RESUMEN GLOBAL)'!H1172)</f>
        <v>0</v>
      </c>
      <c r="K1172" s="8">
        <f t="shared" si="18"/>
        <v>0</v>
      </c>
      <c r="L1172" s="8">
        <f>+'[1]VENTAS(RESUMEN GLOBAL)'!J1172</f>
        <v>0</v>
      </c>
      <c r="M1172" s="8">
        <f>+Tabla1[[#This Row],[utilidad x dia]]*7</f>
        <v>0</v>
      </c>
    </row>
    <row r="1173" spans="1:13" x14ac:dyDescent="0.3">
      <c r="A1173" s="6">
        <f>+'[1]VENTAS(RESUMEN GLOBAL)'!L1173</f>
        <v>0</v>
      </c>
      <c r="B1173" s="6">
        <f>+'[1]VENTAS(RESUMEN GLOBAL)'!M1173</f>
        <v>0</v>
      </c>
      <c r="C1173">
        <f>+'[1]VENTAS(RESUMEN GLOBAL)'!B1173</f>
        <v>0</v>
      </c>
      <c r="D1173" t="e">
        <f>INDEX('[1]CÓDIGOS DE PRODUCTO'!$D$3:$D$1000,MATCH(C1173,'[1]CÓDIGOS DE PRODUCTO'!$A$3:$A$1000,0))</f>
        <v>#N/A</v>
      </c>
      <c r="E1173">
        <f>VLOOKUP(C1173,'[1]CÓDIGOS DE PRODUCTO'!$A$4:$B$156,2,FALSE)</f>
        <v>0</v>
      </c>
      <c r="F1173">
        <f>INDEX('[1]CÓDIGOS DE PRODUCTO'!$C$3:$C$1000,MATCH(C1173,'[1]CÓDIGOS DE PRODUCTO'!$A$3:$A$1000,0))</f>
        <v>0</v>
      </c>
      <c r="G1173">
        <f>+'[1]VENTAS(RESUMEN GLOBAL)'!D1173-'[1]VENTAS(RESUMEN GLOBAL)'!E1173</f>
        <v>0</v>
      </c>
      <c r="H1173" s="9">
        <f>+'[1]VENTAS(RESUMEN GLOBAL)'!K1173</f>
        <v>0</v>
      </c>
      <c r="I1173" s="8">
        <f>+G1173*'[1]VENTAS(RESUMEN GLOBAL)'!F1173</f>
        <v>0</v>
      </c>
      <c r="J1173" s="8">
        <f>'[1]VENTAS(RESUMEN GLOBAL)'!G1173*(1-'[1]VENTAS(RESUMEN GLOBAL)'!H1173)</f>
        <v>0</v>
      </c>
      <c r="K1173" s="8">
        <f t="shared" si="18"/>
        <v>0</v>
      </c>
      <c r="L1173" s="8">
        <f>+'[1]VENTAS(RESUMEN GLOBAL)'!J1173</f>
        <v>0</v>
      </c>
      <c r="M1173" s="8">
        <f>+Tabla1[[#This Row],[utilidad x dia]]*7</f>
        <v>0</v>
      </c>
    </row>
    <row r="1174" spans="1:13" x14ac:dyDescent="0.3">
      <c r="A1174" s="6">
        <f>+'[1]VENTAS(RESUMEN GLOBAL)'!L1174</f>
        <v>0</v>
      </c>
      <c r="B1174" s="6">
        <f>+'[1]VENTAS(RESUMEN GLOBAL)'!M1174</f>
        <v>0</v>
      </c>
      <c r="C1174">
        <f>+'[1]VENTAS(RESUMEN GLOBAL)'!B1174</f>
        <v>0</v>
      </c>
      <c r="D1174" t="e">
        <f>INDEX('[1]CÓDIGOS DE PRODUCTO'!$D$3:$D$1000,MATCH(C1174,'[1]CÓDIGOS DE PRODUCTO'!$A$3:$A$1000,0))</f>
        <v>#N/A</v>
      </c>
      <c r="E1174">
        <f>VLOOKUP(C1174,'[1]CÓDIGOS DE PRODUCTO'!$A$4:$B$156,2,FALSE)</f>
        <v>0</v>
      </c>
      <c r="F1174">
        <f>INDEX('[1]CÓDIGOS DE PRODUCTO'!$C$3:$C$1000,MATCH(C1174,'[1]CÓDIGOS DE PRODUCTO'!$A$3:$A$1000,0))</f>
        <v>0</v>
      </c>
      <c r="G1174">
        <f>+'[1]VENTAS(RESUMEN GLOBAL)'!D1174-'[1]VENTAS(RESUMEN GLOBAL)'!E1174</f>
        <v>0</v>
      </c>
      <c r="H1174" s="9">
        <f>+'[1]VENTAS(RESUMEN GLOBAL)'!K1174</f>
        <v>0</v>
      </c>
      <c r="I1174" s="8">
        <f>+G1174*'[1]VENTAS(RESUMEN GLOBAL)'!F1174</f>
        <v>0</v>
      </c>
      <c r="J1174" s="8">
        <f>'[1]VENTAS(RESUMEN GLOBAL)'!G1174*(1-'[1]VENTAS(RESUMEN GLOBAL)'!H1174)</f>
        <v>0</v>
      </c>
      <c r="K1174" s="8">
        <f t="shared" si="18"/>
        <v>0</v>
      </c>
      <c r="L1174" s="8">
        <f>+'[1]VENTAS(RESUMEN GLOBAL)'!J1174</f>
        <v>0</v>
      </c>
      <c r="M1174" s="8">
        <f>+Tabla1[[#This Row],[utilidad x dia]]*7</f>
        <v>0</v>
      </c>
    </row>
    <row r="1175" spans="1:13" x14ac:dyDescent="0.3">
      <c r="A1175" s="6">
        <f>+'[1]VENTAS(RESUMEN GLOBAL)'!L1175</f>
        <v>0</v>
      </c>
      <c r="B1175" s="6">
        <f>+'[1]VENTAS(RESUMEN GLOBAL)'!M1175</f>
        <v>0</v>
      </c>
      <c r="C1175">
        <f>+'[1]VENTAS(RESUMEN GLOBAL)'!B1175</f>
        <v>0</v>
      </c>
      <c r="D1175" t="e">
        <f>INDEX('[1]CÓDIGOS DE PRODUCTO'!$D$3:$D$1000,MATCH(C1175,'[1]CÓDIGOS DE PRODUCTO'!$A$3:$A$1000,0))</f>
        <v>#N/A</v>
      </c>
      <c r="E1175">
        <f>VLOOKUP(C1175,'[1]CÓDIGOS DE PRODUCTO'!$A$4:$B$156,2,FALSE)</f>
        <v>0</v>
      </c>
      <c r="F1175">
        <f>INDEX('[1]CÓDIGOS DE PRODUCTO'!$C$3:$C$1000,MATCH(C1175,'[1]CÓDIGOS DE PRODUCTO'!$A$3:$A$1000,0))</f>
        <v>0</v>
      </c>
      <c r="G1175">
        <f>+'[1]VENTAS(RESUMEN GLOBAL)'!D1175-'[1]VENTAS(RESUMEN GLOBAL)'!E1175</f>
        <v>0</v>
      </c>
      <c r="H1175" s="9">
        <f>+'[1]VENTAS(RESUMEN GLOBAL)'!K1175</f>
        <v>0</v>
      </c>
      <c r="I1175" s="8">
        <f>+G1175*'[1]VENTAS(RESUMEN GLOBAL)'!F1175</f>
        <v>0</v>
      </c>
      <c r="J1175" s="8">
        <f>'[1]VENTAS(RESUMEN GLOBAL)'!G1175*(1-'[1]VENTAS(RESUMEN GLOBAL)'!H1175)</f>
        <v>0</v>
      </c>
      <c r="K1175" s="8">
        <f t="shared" si="18"/>
        <v>0</v>
      </c>
      <c r="L1175" s="8">
        <f>+'[1]VENTAS(RESUMEN GLOBAL)'!J1175</f>
        <v>0</v>
      </c>
      <c r="M1175" s="8">
        <f>+Tabla1[[#This Row],[utilidad x dia]]*7</f>
        <v>0</v>
      </c>
    </row>
    <row r="1176" spans="1:13" x14ac:dyDescent="0.3">
      <c r="A1176" s="6">
        <f>+'[1]VENTAS(RESUMEN GLOBAL)'!L1176</f>
        <v>0</v>
      </c>
      <c r="B1176" s="6">
        <f>+'[1]VENTAS(RESUMEN GLOBAL)'!M1176</f>
        <v>0</v>
      </c>
      <c r="C1176">
        <f>+'[1]VENTAS(RESUMEN GLOBAL)'!B1176</f>
        <v>0</v>
      </c>
      <c r="D1176" t="e">
        <f>INDEX('[1]CÓDIGOS DE PRODUCTO'!$D$3:$D$1000,MATCH(C1176,'[1]CÓDIGOS DE PRODUCTO'!$A$3:$A$1000,0))</f>
        <v>#N/A</v>
      </c>
      <c r="E1176">
        <f>VLOOKUP(C1176,'[1]CÓDIGOS DE PRODUCTO'!$A$4:$B$156,2,FALSE)</f>
        <v>0</v>
      </c>
      <c r="F1176">
        <f>INDEX('[1]CÓDIGOS DE PRODUCTO'!$C$3:$C$1000,MATCH(C1176,'[1]CÓDIGOS DE PRODUCTO'!$A$3:$A$1000,0))</f>
        <v>0</v>
      </c>
      <c r="G1176">
        <f>+'[1]VENTAS(RESUMEN GLOBAL)'!D1176-'[1]VENTAS(RESUMEN GLOBAL)'!E1176</f>
        <v>0</v>
      </c>
      <c r="H1176" s="9">
        <f>+'[1]VENTAS(RESUMEN GLOBAL)'!K1176</f>
        <v>0</v>
      </c>
      <c r="I1176" s="8">
        <f>+G1176*'[1]VENTAS(RESUMEN GLOBAL)'!F1176</f>
        <v>0</v>
      </c>
      <c r="J1176" s="8">
        <f>'[1]VENTAS(RESUMEN GLOBAL)'!G1176*(1-'[1]VENTAS(RESUMEN GLOBAL)'!H1176)</f>
        <v>0</v>
      </c>
      <c r="K1176" s="8">
        <f t="shared" si="18"/>
        <v>0</v>
      </c>
      <c r="L1176" s="8">
        <f>+'[1]VENTAS(RESUMEN GLOBAL)'!J1176</f>
        <v>0</v>
      </c>
      <c r="M1176" s="8">
        <f>+Tabla1[[#This Row],[utilidad x dia]]*7</f>
        <v>0</v>
      </c>
    </row>
    <row r="1177" spans="1:13" x14ac:dyDescent="0.3">
      <c r="A1177" s="6">
        <f>+'[1]VENTAS(RESUMEN GLOBAL)'!L1177</f>
        <v>0</v>
      </c>
      <c r="B1177" s="6">
        <f>+'[1]VENTAS(RESUMEN GLOBAL)'!M1177</f>
        <v>0</v>
      </c>
      <c r="C1177">
        <f>+'[1]VENTAS(RESUMEN GLOBAL)'!B1177</f>
        <v>0</v>
      </c>
      <c r="D1177" t="e">
        <f>INDEX('[1]CÓDIGOS DE PRODUCTO'!$D$3:$D$1000,MATCH(C1177,'[1]CÓDIGOS DE PRODUCTO'!$A$3:$A$1000,0))</f>
        <v>#N/A</v>
      </c>
      <c r="E1177">
        <f>VLOOKUP(C1177,'[1]CÓDIGOS DE PRODUCTO'!$A$4:$B$156,2,FALSE)</f>
        <v>0</v>
      </c>
      <c r="F1177">
        <f>INDEX('[1]CÓDIGOS DE PRODUCTO'!$C$3:$C$1000,MATCH(C1177,'[1]CÓDIGOS DE PRODUCTO'!$A$3:$A$1000,0))</f>
        <v>0</v>
      </c>
      <c r="G1177">
        <f>+'[1]VENTAS(RESUMEN GLOBAL)'!D1177-'[1]VENTAS(RESUMEN GLOBAL)'!E1177</f>
        <v>0</v>
      </c>
      <c r="H1177" s="9">
        <f>+'[1]VENTAS(RESUMEN GLOBAL)'!K1177</f>
        <v>0</v>
      </c>
      <c r="I1177" s="8">
        <f>+G1177*'[1]VENTAS(RESUMEN GLOBAL)'!F1177</f>
        <v>0</v>
      </c>
      <c r="J1177" s="8">
        <f>'[1]VENTAS(RESUMEN GLOBAL)'!G1177*(1-'[1]VENTAS(RESUMEN GLOBAL)'!H1177)</f>
        <v>0</v>
      </c>
      <c r="K1177" s="8">
        <f t="shared" si="18"/>
        <v>0</v>
      </c>
      <c r="L1177" s="8">
        <f>+'[1]VENTAS(RESUMEN GLOBAL)'!J1177</f>
        <v>0</v>
      </c>
      <c r="M1177" s="8">
        <f>+Tabla1[[#This Row],[utilidad x dia]]*7</f>
        <v>0</v>
      </c>
    </row>
    <row r="1178" spans="1:13" x14ac:dyDescent="0.3">
      <c r="A1178" s="6">
        <f>+'[1]VENTAS(RESUMEN GLOBAL)'!L1178</f>
        <v>0</v>
      </c>
      <c r="B1178" s="6">
        <f>+'[1]VENTAS(RESUMEN GLOBAL)'!M1178</f>
        <v>0</v>
      </c>
      <c r="C1178">
        <f>+'[1]VENTAS(RESUMEN GLOBAL)'!B1178</f>
        <v>0</v>
      </c>
      <c r="D1178" t="e">
        <f>INDEX('[1]CÓDIGOS DE PRODUCTO'!$D$3:$D$1000,MATCH(C1178,'[1]CÓDIGOS DE PRODUCTO'!$A$3:$A$1000,0))</f>
        <v>#N/A</v>
      </c>
      <c r="E1178">
        <f>VLOOKUP(C1178,'[1]CÓDIGOS DE PRODUCTO'!$A$4:$B$156,2,FALSE)</f>
        <v>0</v>
      </c>
      <c r="F1178">
        <f>INDEX('[1]CÓDIGOS DE PRODUCTO'!$C$3:$C$1000,MATCH(C1178,'[1]CÓDIGOS DE PRODUCTO'!$A$3:$A$1000,0))</f>
        <v>0</v>
      </c>
      <c r="G1178">
        <f>+'[1]VENTAS(RESUMEN GLOBAL)'!D1178-'[1]VENTAS(RESUMEN GLOBAL)'!E1178</f>
        <v>0</v>
      </c>
      <c r="H1178" s="9">
        <f>+'[1]VENTAS(RESUMEN GLOBAL)'!K1178</f>
        <v>0</v>
      </c>
      <c r="I1178" s="8">
        <f>+G1178*'[1]VENTAS(RESUMEN GLOBAL)'!F1178</f>
        <v>0</v>
      </c>
      <c r="J1178" s="8">
        <f>'[1]VENTAS(RESUMEN GLOBAL)'!G1178*(1-'[1]VENTAS(RESUMEN GLOBAL)'!H1178)</f>
        <v>0</v>
      </c>
      <c r="K1178" s="8">
        <f t="shared" si="18"/>
        <v>0</v>
      </c>
      <c r="L1178" s="8">
        <f>+'[1]VENTAS(RESUMEN GLOBAL)'!J1178</f>
        <v>0</v>
      </c>
      <c r="M1178" s="8">
        <f>+Tabla1[[#This Row],[utilidad x dia]]*7</f>
        <v>0</v>
      </c>
    </row>
    <row r="1179" spans="1:13" x14ac:dyDescent="0.3">
      <c r="A1179" s="6">
        <f>+'[1]VENTAS(RESUMEN GLOBAL)'!L1179</f>
        <v>0</v>
      </c>
      <c r="B1179" s="6">
        <f>+'[1]VENTAS(RESUMEN GLOBAL)'!M1179</f>
        <v>0</v>
      </c>
      <c r="C1179">
        <f>+'[1]VENTAS(RESUMEN GLOBAL)'!B1179</f>
        <v>0</v>
      </c>
      <c r="D1179" t="e">
        <f>INDEX('[1]CÓDIGOS DE PRODUCTO'!$D$3:$D$1000,MATCH(C1179,'[1]CÓDIGOS DE PRODUCTO'!$A$3:$A$1000,0))</f>
        <v>#N/A</v>
      </c>
      <c r="E1179">
        <f>VLOOKUP(C1179,'[1]CÓDIGOS DE PRODUCTO'!$A$4:$B$156,2,FALSE)</f>
        <v>0</v>
      </c>
      <c r="F1179">
        <f>INDEX('[1]CÓDIGOS DE PRODUCTO'!$C$3:$C$1000,MATCH(C1179,'[1]CÓDIGOS DE PRODUCTO'!$A$3:$A$1000,0))</f>
        <v>0</v>
      </c>
      <c r="G1179">
        <f>+'[1]VENTAS(RESUMEN GLOBAL)'!D1179-'[1]VENTAS(RESUMEN GLOBAL)'!E1179</f>
        <v>0</v>
      </c>
      <c r="H1179" s="9">
        <f>+'[1]VENTAS(RESUMEN GLOBAL)'!K1179</f>
        <v>0</v>
      </c>
      <c r="I1179" s="8">
        <f>+G1179*'[1]VENTAS(RESUMEN GLOBAL)'!F1179</f>
        <v>0</v>
      </c>
      <c r="J1179" s="8">
        <f>'[1]VENTAS(RESUMEN GLOBAL)'!G1179*(1-'[1]VENTAS(RESUMEN GLOBAL)'!H1179)</f>
        <v>0</v>
      </c>
      <c r="K1179" s="8">
        <f t="shared" si="18"/>
        <v>0</v>
      </c>
      <c r="L1179" s="8">
        <f>+'[1]VENTAS(RESUMEN GLOBAL)'!J1179</f>
        <v>0</v>
      </c>
      <c r="M1179" s="8">
        <f>+Tabla1[[#This Row],[utilidad x dia]]*7</f>
        <v>0</v>
      </c>
    </row>
    <row r="1180" spans="1:13" x14ac:dyDescent="0.3">
      <c r="A1180" s="6">
        <f>+'[1]VENTAS(RESUMEN GLOBAL)'!L1180</f>
        <v>0</v>
      </c>
      <c r="B1180" s="6">
        <f>+'[1]VENTAS(RESUMEN GLOBAL)'!M1180</f>
        <v>0</v>
      </c>
      <c r="C1180">
        <f>+'[1]VENTAS(RESUMEN GLOBAL)'!B1180</f>
        <v>0</v>
      </c>
      <c r="D1180" t="e">
        <f>INDEX('[1]CÓDIGOS DE PRODUCTO'!$D$3:$D$1000,MATCH(C1180,'[1]CÓDIGOS DE PRODUCTO'!$A$3:$A$1000,0))</f>
        <v>#N/A</v>
      </c>
      <c r="E1180">
        <f>VLOOKUP(C1180,'[1]CÓDIGOS DE PRODUCTO'!$A$4:$B$156,2,FALSE)</f>
        <v>0</v>
      </c>
      <c r="F1180">
        <f>INDEX('[1]CÓDIGOS DE PRODUCTO'!$C$3:$C$1000,MATCH(C1180,'[1]CÓDIGOS DE PRODUCTO'!$A$3:$A$1000,0))</f>
        <v>0</v>
      </c>
      <c r="G1180">
        <f>+'[1]VENTAS(RESUMEN GLOBAL)'!D1180-'[1]VENTAS(RESUMEN GLOBAL)'!E1180</f>
        <v>0</v>
      </c>
      <c r="H1180" s="9">
        <f>+'[1]VENTAS(RESUMEN GLOBAL)'!K1180</f>
        <v>0</v>
      </c>
      <c r="I1180" s="8">
        <f>+G1180*'[1]VENTAS(RESUMEN GLOBAL)'!F1180</f>
        <v>0</v>
      </c>
      <c r="J1180" s="8">
        <f>'[1]VENTAS(RESUMEN GLOBAL)'!G1180*(1-'[1]VENTAS(RESUMEN GLOBAL)'!H1180)</f>
        <v>0</v>
      </c>
      <c r="K1180" s="8">
        <f t="shared" si="18"/>
        <v>0</v>
      </c>
      <c r="L1180" s="8">
        <f>+'[1]VENTAS(RESUMEN GLOBAL)'!J1180</f>
        <v>0</v>
      </c>
      <c r="M1180" s="8">
        <f>+Tabla1[[#This Row],[utilidad x dia]]*7</f>
        <v>0</v>
      </c>
    </row>
    <row r="1181" spans="1:13" x14ac:dyDescent="0.3">
      <c r="A1181" s="6">
        <f>+'[1]VENTAS(RESUMEN GLOBAL)'!L1181</f>
        <v>0</v>
      </c>
      <c r="B1181" s="6">
        <f>+'[1]VENTAS(RESUMEN GLOBAL)'!M1181</f>
        <v>0</v>
      </c>
      <c r="C1181">
        <f>+'[1]VENTAS(RESUMEN GLOBAL)'!B1181</f>
        <v>0</v>
      </c>
      <c r="D1181" t="e">
        <f>INDEX('[1]CÓDIGOS DE PRODUCTO'!$D$3:$D$1000,MATCH(C1181,'[1]CÓDIGOS DE PRODUCTO'!$A$3:$A$1000,0))</f>
        <v>#N/A</v>
      </c>
      <c r="E1181">
        <f>VLOOKUP(C1181,'[1]CÓDIGOS DE PRODUCTO'!$A$4:$B$156,2,FALSE)</f>
        <v>0</v>
      </c>
      <c r="F1181">
        <f>INDEX('[1]CÓDIGOS DE PRODUCTO'!$C$3:$C$1000,MATCH(C1181,'[1]CÓDIGOS DE PRODUCTO'!$A$3:$A$1000,0))</f>
        <v>0</v>
      </c>
      <c r="G1181">
        <f>+'[1]VENTAS(RESUMEN GLOBAL)'!D1181-'[1]VENTAS(RESUMEN GLOBAL)'!E1181</f>
        <v>0</v>
      </c>
      <c r="H1181" s="9">
        <f>+'[1]VENTAS(RESUMEN GLOBAL)'!K1181</f>
        <v>0</v>
      </c>
      <c r="I1181" s="8">
        <f>+G1181*'[1]VENTAS(RESUMEN GLOBAL)'!F1181</f>
        <v>0</v>
      </c>
      <c r="J1181" s="8">
        <f>'[1]VENTAS(RESUMEN GLOBAL)'!G1181*(1-'[1]VENTAS(RESUMEN GLOBAL)'!H1181)</f>
        <v>0</v>
      </c>
      <c r="K1181" s="8">
        <f t="shared" si="18"/>
        <v>0</v>
      </c>
      <c r="L1181" s="8">
        <f>+'[1]VENTAS(RESUMEN GLOBAL)'!J1181</f>
        <v>0</v>
      </c>
      <c r="M1181" s="8">
        <f>+Tabla1[[#This Row],[utilidad x dia]]*7</f>
        <v>0</v>
      </c>
    </row>
    <row r="1182" spans="1:13" x14ac:dyDescent="0.3">
      <c r="A1182" s="6">
        <f>+'[1]VENTAS(RESUMEN GLOBAL)'!L1182</f>
        <v>0</v>
      </c>
      <c r="B1182" s="6">
        <f>+'[1]VENTAS(RESUMEN GLOBAL)'!M1182</f>
        <v>0</v>
      </c>
      <c r="C1182">
        <f>+'[1]VENTAS(RESUMEN GLOBAL)'!B1182</f>
        <v>0</v>
      </c>
      <c r="D1182" t="e">
        <f>INDEX('[1]CÓDIGOS DE PRODUCTO'!$D$3:$D$1000,MATCH(C1182,'[1]CÓDIGOS DE PRODUCTO'!$A$3:$A$1000,0))</f>
        <v>#N/A</v>
      </c>
      <c r="E1182">
        <f>VLOOKUP(C1182,'[1]CÓDIGOS DE PRODUCTO'!$A$4:$B$156,2,FALSE)</f>
        <v>0</v>
      </c>
      <c r="F1182">
        <f>INDEX('[1]CÓDIGOS DE PRODUCTO'!$C$3:$C$1000,MATCH(C1182,'[1]CÓDIGOS DE PRODUCTO'!$A$3:$A$1000,0))</f>
        <v>0</v>
      </c>
      <c r="G1182">
        <f>+'[1]VENTAS(RESUMEN GLOBAL)'!D1182-'[1]VENTAS(RESUMEN GLOBAL)'!E1182</f>
        <v>0</v>
      </c>
      <c r="H1182" s="9">
        <f>+'[1]VENTAS(RESUMEN GLOBAL)'!K1182</f>
        <v>0</v>
      </c>
      <c r="I1182" s="8">
        <f>+G1182*'[1]VENTAS(RESUMEN GLOBAL)'!F1182</f>
        <v>0</v>
      </c>
      <c r="J1182" s="8">
        <f>'[1]VENTAS(RESUMEN GLOBAL)'!G1182*(1-'[1]VENTAS(RESUMEN GLOBAL)'!H1182)</f>
        <v>0</v>
      </c>
      <c r="K1182" s="8">
        <f t="shared" si="18"/>
        <v>0</v>
      </c>
      <c r="L1182" s="8">
        <f>+'[1]VENTAS(RESUMEN GLOBAL)'!J1182</f>
        <v>0</v>
      </c>
      <c r="M1182" s="8">
        <f>+Tabla1[[#This Row],[utilidad x dia]]*7</f>
        <v>0</v>
      </c>
    </row>
    <row r="1183" spans="1:13" x14ac:dyDescent="0.3">
      <c r="A1183" s="6">
        <f>+'[1]VENTAS(RESUMEN GLOBAL)'!L1183</f>
        <v>0</v>
      </c>
      <c r="B1183" s="6">
        <f>+'[1]VENTAS(RESUMEN GLOBAL)'!M1183</f>
        <v>0</v>
      </c>
      <c r="C1183">
        <f>+'[1]VENTAS(RESUMEN GLOBAL)'!B1183</f>
        <v>0</v>
      </c>
      <c r="D1183" t="e">
        <f>INDEX('[1]CÓDIGOS DE PRODUCTO'!$D$3:$D$1000,MATCH(C1183,'[1]CÓDIGOS DE PRODUCTO'!$A$3:$A$1000,0))</f>
        <v>#N/A</v>
      </c>
      <c r="E1183">
        <f>VLOOKUP(C1183,'[1]CÓDIGOS DE PRODUCTO'!$A$4:$B$156,2,FALSE)</f>
        <v>0</v>
      </c>
      <c r="F1183">
        <f>INDEX('[1]CÓDIGOS DE PRODUCTO'!$C$3:$C$1000,MATCH(C1183,'[1]CÓDIGOS DE PRODUCTO'!$A$3:$A$1000,0))</f>
        <v>0</v>
      </c>
      <c r="G1183">
        <f>+'[1]VENTAS(RESUMEN GLOBAL)'!D1183-'[1]VENTAS(RESUMEN GLOBAL)'!E1183</f>
        <v>0</v>
      </c>
      <c r="H1183" s="9">
        <f>+'[1]VENTAS(RESUMEN GLOBAL)'!K1183</f>
        <v>0</v>
      </c>
      <c r="I1183" s="8">
        <f>+G1183*'[1]VENTAS(RESUMEN GLOBAL)'!F1183</f>
        <v>0</v>
      </c>
      <c r="J1183" s="8">
        <f>'[1]VENTAS(RESUMEN GLOBAL)'!G1183*(1-'[1]VENTAS(RESUMEN GLOBAL)'!H1183)</f>
        <v>0</v>
      </c>
      <c r="K1183" s="8">
        <f t="shared" si="18"/>
        <v>0</v>
      </c>
      <c r="L1183" s="8">
        <f>+'[1]VENTAS(RESUMEN GLOBAL)'!J1183</f>
        <v>0</v>
      </c>
      <c r="M1183" s="8">
        <f>+Tabla1[[#This Row],[utilidad x dia]]*7</f>
        <v>0</v>
      </c>
    </row>
    <row r="1184" spans="1:13" x14ac:dyDescent="0.3">
      <c r="A1184" s="6">
        <f>+'[1]VENTAS(RESUMEN GLOBAL)'!L1184</f>
        <v>0</v>
      </c>
      <c r="B1184" s="6">
        <f>+'[1]VENTAS(RESUMEN GLOBAL)'!M1184</f>
        <v>0</v>
      </c>
      <c r="C1184">
        <f>+'[1]VENTAS(RESUMEN GLOBAL)'!B1184</f>
        <v>0</v>
      </c>
      <c r="D1184" t="e">
        <f>INDEX('[1]CÓDIGOS DE PRODUCTO'!$D$3:$D$1000,MATCH(C1184,'[1]CÓDIGOS DE PRODUCTO'!$A$3:$A$1000,0))</f>
        <v>#N/A</v>
      </c>
      <c r="E1184">
        <f>VLOOKUP(C1184,'[1]CÓDIGOS DE PRODUCTO'!$A$4:$B$156,2,FALSE)</f>
        <v>0</v>
      </c>
      <c r="F1184">
        <f>INDEX('[1]CÓDIGOS DE PRODUCTO'!$C$3:$C$1000,MATCH(C1184,'[1]CÓDIGOS DE PRODUCTO'!$A$3:$A$1000,0))</f>
        <v>0</v>
      </c>
      <c r="G1184">
        <f>+'[1]VENTAS(RESUMEN GLOBAL)'!D1184-'[1]VENTAS(RESUMEN GLOBAL)'!E1184</f>
        <v>0</v>
      </c>
      <c r="H1184" s="9">
        <f>+'[1]VENTAS(RESUMEN GLOBAL)'!K1184</f>
        <v>0</v>
      </c>
      <c r="I1184" s="8">
        <f>+G1184*'[1]VENTAS(RESUMEN GLOBAL)'!F1184</f>
        <v>0</v>
      </c>
      <c r="J1184" s="8">
        <f>'[1]VENTAS(RESUMEN GLOBAL)'!G1184*(1-'[1]VENTAS(RESUMEN GLOBAL)'!H1184)</f>
        <v>0</v>
      </c>
      <c r="K1184" s="8">
        <f t="shared" si="18"/>
        <v>0</v>
      </c>
      <c r="L1184" s="8">
        <f>+'[1]VENTAS(RESUMEN GLOBAL)'!J1184</f>
        <v>0</v>
      </c>
      <c r="M1184" s="8">
        <f>+Tabla1[[#This Row],[utilidad x dia]]*7</f>
        <v>0</v>
      </c>
    </row>
    <row r="1185" spans="1:13" x14ac:dyDescent="0.3">
      <c r="A1185" s="6">
        <f>+'[1]VENTAS(RESUMEN GLOBAL)'!L1185</f>
        <v>0</v>
      </c>
      <c r="B1185" s="6">
        <f>+'[1]VENTAS(RESUMEN GLOBAL)'!M1185</f>
        <v>0</v>
      </c>
      <c r="C1185">
        <f>+'[1]VENTAS(RESUMEN GLOBAL)'!B1185</f>
        <v>0</v>
      </c>
      <c r="D1185" t="e">
        <f>INDEX('[1]CÓDIGOS DE PRODUCTO'!$D$3:$D$1000,MATCH(C1185,'[1]CÓDIGOS DE PRODUCTO'!$A$3:$A$1000,0))</f>
        <v>#N/A</v>
      </c>
      <c r="E1185">
        <f>VLOOKUP(C1185,'[1]CÓDIGOS DE PRODUCTO'!$A$4:$B$156,2,FALSE)</f>
        <v>0</v>
      </c>
      <c r="F1185">
        <f>INDEX('[1]CÓDIGOS DE PRODUCTO'!$C$3:$C$1000,MATCH(C1185,'[1]CÓDIGOS DE PRODUCTO'!$A$3:$A$1000,0))</f>
        <v>0</v>
      </c>
      <c r="G1185">
        <f>+'[1]VENTAS(RESUMEN GLOBAL)'!D1185-'[1]VENTAS(RESUMEN GLOBAL)'!E1185</f>
        <v>0</v>
      </c>
      <c r="H1185" s="9">
        <f>+'[1]VENTAS(RESUMEN GLOBAL)'!K1185</f>
        <v>0</v>
      </c>
      <c r="I1185" s="8">
        <f>+G1185*'[1]VENTAS(RESUMEN GLOBAL)'!F1185</f>
        <v>0</v>
      </c>
      <c r="J1185" s="8">
        <f>'[1]VENTAS(RESUMEN GLOBAL)'!G1185*(1-'[1]VENTAS(RESUMEN GLOBAL)'!H1185)</f>
        <v>0</v>
      </c>
      <c r="K1185" s="8">
        <f t="shared" si="18"/>
        <v>0</v>
      </c>
      <c r="L1185" s="8">
        <f>+'[1]VENTAS(RESUMEN GLOBAL)'!J1185</f>
        <v>0</v>
      </c>
      <c r="M1185" s="8">
        <f>+Tabla1[[#This Row],[utilidad x dia]]*7</f>
        <v>0</v>
      </c>
    </row>
    <row r="1186" spans="1:13" x14ac:dyDescent="0.3">
      <c r="A1186" s="6">
        <f>+'[1]VENTAS(RESUMEN GLOBAL)'!L1186</f>
        <v>0</v>
      </c>
      <c r="B1186" s="6">
        <f>+'[1]VENTAS(RESUMEN GLOBAL)'!M1186</f>
        <v>0</v>
      </c>
      <c r="C1186">
        <f>+'[1]VENTAS(RESUMEN GLOBAL)'!B1186</f>
        <v>0</v>
      </c>
      <c r="D1186" t="e">
        <f>INDEX('[1]CÓDIGOS DE PRODUCTO'!$D$3:$D$1000,MATCH(C1186,'[1]CÓDIGOS DE PRODUCTO'!$A$3:$A$1000,0))</f>
        <v>#N/A</v>
      </c>
      <c r="E1186">
        <f>VLOOKUP(C1186,'[1]CÓDIGOS DE PRODUCTO'!$A$4:$B$156,2,FALSE)</f>
        <v>0</v>
      </c>
      <c r="F1186">
        <f>INDEX('[1]CÓDIGOS DE PRODUCTO'!$C$3:$C$1000,MATCH(C1186,'[1]CÓDIGOS DE PRODUCTO'!$A$3:$A$1000,0))</f>
        <v>0</v>
      </c>
      <c r="G1186">
        <f>+'[1]VENTAS(RESUMEN GLOBAL)'!D1186-'[1]VENTAS(RESUMEN GLOBAL)'!E1186</f>
        <v>0</v>
      </c>
      <c r="H1186" s="9">
        <f>+'[1]VENTAS(RESUMEN GLOBAL)'!K1186</f>
        <v>0</v>
      </c>
      <c r="I1186" s="8">
        <f>+G1186*'[1]VENTAS(RESUMEN GLOBAL)'!F1186</f>
        <v>0</v>
      </c>
      <c r="J1186" s="8">
        <f>'[1]VENTAS(RESUMEN GLOBAL)'!G1186*(1-'[1]VENTAS(RESUMEN GLOBAL)'!H1186)</f>
        <v>0</v>
      </c>
      <c r="K1186" s="8">
        <f t="shared" si="18"/>
        <v>0</v>
      </c>
      <c r="L1186" s="8">
        <f>+'[1]VENTAS(RESUMEN GLOBAL)'!J1186</f>
        <v>0</v>
      </c>
      <c r="M1186" s="8">
        <f>+Tabla1[[#This Row],[utilidad x dia]]*7</f>
        <v>0</v>
      </c>
    </row>
    <row r="1187" spans="1:13" x14ac:dyDescent="0.3">
      <c r="A1187" s="6">
        <f>+'[1]VENTAS(RESUMEN GLOBAL)'!L1187</f>
        <v>0</v>
      </c>
      <c r="B1187" s="6">
        <f>+'[1]VENTAS(RESUMEN GLOBAL)'!M1187</f>
        <v>0</v>
      </c>
      <c r="C1187">
        <f>+'[1]VENTAS(RESUMEN GLOBAL)'!B1187</f>
        <v>0</v>
      </c>
      <c r="D1187" t="e">
        <f>INDEX('[1]CÓDIGOS DE PRODUCTO'!$D$3:$D$1000,MATCH(C1187,'[1]CÓDIGOS DE PRODUCTO'!$A$3:$A$1000,0))</f>
        <v>#N/A</v>
      </c>
      <c r="E1187">
        <f>VLOOKUP(C1187,'[1]CÓDIGOS DE PRODUCTO'!$A$4:$B$156,2,FALSE)</f>
        <v>0</v>
      </c>
      <c r="F1187">
        <f>INDEX('[1]CÓDIGOS DE PRODUCTO'!$C$3:$C$1000,MATCH(C1187,'[1]CÓDIGOS DE PRODUCTO'!$A$3:$A$1000,0))</f>
        <v>0</v>
      </c>
      <c r="G1187">
        <f>+'[1]VENTAS(RESUMEN GLOBAL)'!D1187-'[1]VENTAS(RESUMEN GLOBAL)'!E1187</f>
        <v>0</v>
      </c>
      <c r="H1187" s="9">
        <f>+'[1]VENTAS(RESUMEN GLOBAL)'!K1187</f>
        <v>0</v>
      </c>
      <c r="I1187" s="8">
        <f>+G1187*'[1]VENTAS(RESUMEN GLOBAL)'!F1187</f>
        <v>0</v>
      </c>
      <c r="J1187" s="8">
        <f>'[1]VENTAS(RESUMEN GLOBAL)'!G1187*(1-'[1]VENTAS(RESUMEN GLOBAL)'!H1187)</f>
        <v>0</v>
      </c>
      <c r="K1187" s="8">
        <f t="shared" si="18"/>
        <v>0</v>
      </c>
      <c r="L1187" s="8">
        <f>+'[1]VENTAS(RESUMEN GLOBAL)'!J1187</f>
        <v>0</v>
      </c>
      <c r="M1187" s="8">
        <f>+Tabla1[[#This Row],[utilidad x dia]]*7</f>
        <v>0</v>
      </c>
    </row>
    <row r="1188" spans="1:13" x14ac:dyDescent="0.3">
      <c r="A1188" s="6">
        <f>+'[1]VENTAS(RESUMEN GLOBAL)'!L1188</f>
        <v>0</v>
      </c>
      <c r="B1188" s="6">
        <f>+'[1]VENTAS(RESUMEN GLOBAL)'!M1188</f>
        <v>0</v>
      </c>
      <c r="C1188">
        <f>+'[1]VENTAS(RESUMEN GLOBAL)'!B1188</f>
        <v>0</v>
      </c>
      <c r="D1188" t="e">
        <f>INDEX('[1]CÓDIGOS DE PRODUCTO'!$D$3:$D$1000,MATCH(C1188,'[1]CÓDIGOS DE PRODUCTO'!$A$3:$A$1000,0))</f>
        <v>#N/A</v>
      </c>
      <c r="E1188">
        <f>VLOOKUP(C1188,'[1]CÓDIGOS DE PRODUCTO'!$A$4:$B$156,2,FALSE)</f>
        <v>0</v>
      </c>
      <c r="F1188">
        <f>INDEX('[1]CÓDIGOS DE PRODUCTO'!$C$3:$C$1000,MATCH(C1188,'[1]CÓDIGOS DE PRODUCTO'!$A$3:$A$1000,0))</f>
        <v>0</v>
      </c>
      <c r="G1188">
        <f>+'[1]VENTAS(RESUMEN GLOBAL)'!D1188-'[1]VENTAS(RESUMEN GLOBAL)'!E1188</f>
        <v>0</v>
      </c>
      <c r="H1188" s="9">
        <f>+'[1]VENTAS(RESUMEN GLOBAL)'!K1188</f>
        <v>0</v>
      </c>
      <c r="I1188" s="8">
        <f>+G1188*'[1]VENTAS(RESUMEN GLOBAL)'!F1188</f>
        <v>0</v>
      </c>
      <c r="J1188" s="8">
        <f>'[1]VENTAS(RESUMEN GLOBAL)'!G1188*(1-'[1]VENTAS(RESUMEN GLOBAL)'!H1188)</f>
        <v>0</v>
      </c>
      <c r="K1188" s="8">
        <f t="shared" si="18"/>
        <v>0</v>
      </c>
      <c r="L1188" s="8">
        <f>+'[1]VENTAS(RESUMEN GLOBAL)'!J1188</f>
        <v>0</v>
      </c>
      <c r="M1188" s="8">
        <f>+Tabla1[[#This Row],[utilidad x dia]]*7</f>
        <v>0</v>
      </c>
    </row>
    <row r="1189" spans="1:13" x14ac:dyDescent="0.3">
      <c r="A1189" s="6">
        <f>+'[1]VENTAS(RESUMEN GLOBAL)'!L1189</f>
        <v>0</v>
      </c>
      <c r="B1189" s="6">
        <f>+'[1]VENTAS(RESUMEN GLOBAL)'!M1189</f>
        <v>0</v>
      </c>
      <c r="C1189">
        <f>+'[1]VENTAS(RESUMEN GLOBAL)'!B1189</f>
        <v>0</v>
      </c>
      <c r="D1189" t="e">
        <f>INDEX('[1]CÓDIGOS DE PRODUCTO'!$D$3:$D$1000,MATCH(C1189,'[1]CÓDIGOS DE PRODUCTO'!$A$3:$A$1000,0))</f>
        <v>#N/A</v>
      </c>
      <c r="E1189">
        <f>VLOOKUP(C1189,'[1]CÓDIGOS DE PRODUCTO'!$A$4:$B$156,2,FALSE)</f>
        <v>0</v>
      </c>
      <c r="F1189">
        <f>INDEX('[1]CÓDIGOS DE PRODUCTO'!$C$3:$C$1000,MATCH(C1189,'[1]CÓDIGOS DE PRODUCTO'!$A$3:$A$1000,0))</f>
        <v>0</v>
      </c>
      <c r="G1189">
        <f>+'[1]VENTAS(RESUMEN GLOBAL)'!D1189-'[1]VENTAS(RESUMEN GLOBAL)'!E1189</f>
        <v>0</v>
      </c>
      <c r="H1189" s="9">
        <f>+'[1]VENTAS(RESUMEN GLOBAL)'!K1189</f>
        <v>0</v>
      </c>
      <c r="I1189" s="8">
        <f>+G1189*'[1]VENTAS(RESUMEN GLOBAL)'!F1189</f>
        <v>0</v>
      </c>
      <c r="J1189" s="8">
        <f>'[1]VENTAS(RESUMEN GLOBAL)'!G1189*(1-'[1]VENTAS(RESUMEN GLOBAL)'!H1189)</f>
        <v>0</v>
      </c>
      <c r="K1189" s="8">
        <f t="shared" si="18"/>
        <v>0</v>
      </c>
      <c r="L1189" s="8">
        <f>+'[1]VENTAS(RESUMEN GLOBAL)'!J1189</f>
        <v>0</v>
      </c>
      <c r="M1189" s="8">
        <f>+Tabla1[[#This Row],[utilidad x dia]]*7</f>
        <v>0</v>
      </c>
    </row>
    <row r="1190" spans="1:13" x14ac:dyDescent="0.3">
      <c r="A1190" s="6">
        <f>+'[1]VENTAS(RESUMEN GLOBAL)'!L1190</f>
        <v>0</v>
      </c>
      <c r="B1190" s="6">
        <f>+'[1]VENTAS(RESUMEN GLOBAL)'!M1190</f>
        <v>0</v>
      </c>
      <c r="C1190">
        <f>+'[1]VENTAS(RESUMEN GLOBAL)'!B1190</f>
        <v>0</v>
      </c>
      <c r="D1190" t="e">
        <f>INDEX('[1]CÓDIGOS DE PRODUCTO'!$D$3:$D$1000,MATCH(C1190,'[1]CÓDIGOS DE PRODUCTO'!$A$3:$A$1000,0))</f>
        <v>#N/A</v>
      </c>
      <c r="E1190">
        <f>VLOOKUP(C1190,'[1]CÓDIGOS DE PRODUCTO'!$A$4:$B$156,2,FALSE)</f>
        <v>0</v>
      </c>
      <c r="F1190">
        <f>INDEX('[1]CÓDIGOS DE PRODUCTO'!$C$3:$C$1000,MATCH(C1190,'[1]CÓDIGOS DE PRODUCTO'!$A$3:$A$1000,0))</f>
        <v>0</v>
      </c>
      <c r="G1190">
        <f>+'[1]VENTAS(RESUMEN GLOBAL)'!D1190-'[1]VENTAS(RESUMEN GLOBAL)'!E1190</f>
        <v>0</v>
      </c>
      <c r="H1190" s="9">
        <f>+'[1]VENTAS(RESUMEN GLOBAL)'!K1190</f>
        <v>0</v>
      </c>
      <c r="I1190" s="8">
        <f>+G1190*'[1]VENTAS(RESUMEN GLOBAL)'!F1190</f>
        <v>0</v>
      </c>
      <c r="J1190" s="8">
        <f>'[1]VENTAS(RESUMEN GLOBAL)'!G1190*(1-'[1]VENTAS(RESUMEN GLOBAL)'!H1190)</f>
        <v>0</v>
      </c>
      <c r="K1190" s="8">
        <f t="shared" si="18"/>
        <v>0</v>
      </c>
      <c r="L1190" s="8">
        <f>+'[1]VENTAS(RESUMEN GLOBAL)'!J1190</f>
        <v>0</v>
      </c>
      <c r="M1190" s="8">
        <f>+Tabla1[[#This Row],[utilidad x dia]]*7</f>
        <v>0</v>
      </c>
    </row>
    <row r="1191" spans="1:13" x14ac:dyDescent="0.3">
      <c r="A1191" s="6">
        <f>+'[1]VENTAS(RESUMEN GLOBAL)'!L1191</f>
        <v>0</v>
      </c>
      <c r="B1191" s="6">
        <f>+'[1]VENTAS(RESUMEN GLOBAL)'!M1191</f>
        <v>0</v>
      </c>
      <c r="C1191">
        <f>+'[1]VENTAS(RESUMEN GLOBAL)'!B1191</f>
        <v>0</v>
      </c>
      <c r="D1191" t="e">
        <f>INDEX('[1]CÓDIGOS DE PRODUCTO'!$D$3:$D$1000,MATCH(C1191,'[1]CÓDIGOS DE PRODUCTO'!$A$3:$A$1000,0))</f>
        <v>#N/A</v>
      </c>
      <c r="E1191">
        <f>VLOOKUP(C1191,'[1]CÓDIGOS DE PRODUCTO'!$A$4:$B$156,2,FALSE)</f>
        <v>0</v>
      </c>
      <c r="F1191">
        <f>INDEX('[1]CÓDIGOS DE PRODUCTO'!$C$3:$C$1000,MATCH(C1191,'[1]CÓDIGOS DE PRODUCTO'!$A$3:$A$1000,0))</f>
        <v>0</v>
      </c>
      <c r="G1191">
        <f>+'[1]VENTAS(RESUMEN GLOBAL)'!D1191-'[1]VENTAS(RESUMEN GLOBAL)'!E1191</f>
        <v>0</v>
      </c>
      <c r="H1191" s="9">
        <f>+'[1]VENTAS(RESUMEN GLOBAL)'!K1191</f>
        <v>0</v>
      </c>
      <c r="I1191" s="8">
        <f>+G1191*'[1]VENTAS(RESUMEN GLOBAL)'!F1191</f>
        <v>0</v>
      </c>
      <c r="J1191" s="8">
        <f>'[1]VENTAS(RESUMEN GLOBAL)'!G1191*(1-'[1]VENTAS(RESUMEN GLOBAL)'!H1191)</f>
        <v>0</v>
      </c>
      <c r="K1191" s="8">
        <f t="shared" si="18"/>
        <v>0</v>
      </c>
      <c r="L1191" s="8">
        <f>+'[1]VENTAS(RESUMEN GLOBAL)'!J1191</f>
        <v>0</v>
      </c>
      <c r="M1191" s="8">
        <f>+Tabla1[[#This Row],[utilidad x dia]]*7</f>
        <v>0</v>
      </c>
    </row>
    <row r="1192" spans="1:13" x14ac:dyDescent="0.3">
      <c r="A1192" s="6">
        <f>+'[1]VENTAS(RESUMEN GLOBAL)'!L1192</f>
        <v>0</v>
      </c>
      <c r="B1192" s="6">
        <f>+'[1]VENTAS(RESUMEN GLOBAL)'!M1192</f>
        <v>0</v>
      </c>
      <c r="C1192">
        <f>+'[1]VENTAS(RESUMEN GLOBAL)'!B1192</f>
        <v>0</v>
      </c>
      <c r="D1192" t="e">
        <f>INDEX('[1]CÓDIGOS DE PRODUCTO'!$D$3:$D$1000,MATCH(C1192,'[1]CÓDIGOS DE PRODUCTO'!$A$3:$A$1000,0))</f>
        <v>#N/A</v>
      </c>
      <c r="E1192">
        <f>VLOOKUP(C1192,'[1]CÓDIGOS DE PRODUCTO'!$A$4:$B$156,2,FALSE)</f>
        <v>0</v>
      </c>
      <c r="F1192">
        <f>INDEX('[1]CÓDIGOS DE PRODUCTO'!$C$3:$C$1000,MATCH(C1192,'[1]CÓDIGOS DE PRODUCTO'!$A$3:$A$1000,0))</f>
        <v>0</v>
      </c>
      <c r="G1192">
        <f>+'[1]VENTAS(RESUMEN GLOBAL)'!D1192-'[1]VENTAS(RESUMEN GLOBAL)'!E1192</f>
        <v>0</v>
      </c>
      <c r="H1192" s="9">
        <f>+'[1]VENTAS(RESUMEN GLOBAL)'!K1192</f>
        <v>0</v>
      </c>
      <c r="I1192" s="8">
        <f>+G1192*'[1]VENTAS(RESUMEN GLOBAL)'!F1192</f>
        <v>0</v>
      </c>
      <c r="J1192" s="8">
        <f>'[1]VENTAS(RESUMEN GLOBAL)'!G1192*(1-'[1]VENTAS(RESUMEN GLOBAL)'!H1192)</f>
        <v>0</v>
      </c>
      <c r="K1192" s="8">
        <f t="shared" si="18"/>
        <v>0</v>
      </c>
      <c r="L1192" s="8">
        <f>+'[1]VENTAS(RESUMEN GLOBAL)'!J1192</f>
        <v>0</v>
      </c>
      <c r="M1192" s="8">
        <f>+Tabla1[[#This Row],[utilidad x dia]]*7</f>
        <v>0</v>
      </c>
    </row>
    <row r="1193" spans="1:13" x14ac:dyDescent="0.3">
      <c r="A1193" s="6">
        <f>+'[1]VENTAS(RESUMEN GLOBAL)'!L1193</f>
        <v>0</v>
      </c>
      <c r="B1193" s="6">
        <f>+'[1]VENTAS(RESUMEN GLOBAL)'!M1193</f>
        <v>0</v>
      </c>
      <c r="C1193">
        <f>+'[1]VENTAS(RESUMEN GLOBAL)'!B1193</f>
        <v>0</v>
      </c>
      <c r="D1193" t="e">
        <f>INDEX('[1]CÓDIGOS DE PRODUCTO'!$D$3:$D$1000,MATCH(C1193,'[1]CÓDIGOS DE PRODUCTO'!$A$3:$A$1000,0))</f>
        <v>#N/A</v>
      </c>
      <c r="E1193">
        <f>VLOOKUP(C1193,'[1]CÓDIGOS DE PRODUCTO'!$A$4:$B$156,2,FALSE)</f>
        <v>0</v>
      </c>
      <c r="F1193">
        <f>INDEX('[1]CÓDIGOS DE PRODUCTO'!$C$3:$C$1000,MATCH(C1193,'[1]CÓDIGOS DE PRODUCTO'!$A$3:$A$1000,0))</f>
        <v>0</v>
      </c>
      <c r="G1193">
        <f>+'[1]VENTAS(RESUMEN GLOBAL)'!D1193-'[1]VENTAS(RESUMEN GLOBAL)'!E1193</f>
        <v>0</v>
      </c>
      <c r="H1193" s="9">
        <f>+'[1]VENTAS(RESUMEN GLOBAL)'!K1193</f>
        <v>0</v>
      </c>
      <c r="I1193" s="8">
        <f>+G1193*'[1]VENTAS(RESUMEN GLOBAL)'!F1193</f>
        <v>0</v>
      </c>
      <c r="J1193" s="8">
        <f>'[1]VENTAS(RESUMEN GLOBAL)'!G1193*(1-'[1]VENTAS(RESUMEN GLOBAL)'!H1193)</f>
        <v>0</v>
      </c>
      <c r="K1193" s="8">
        <f t="shared" si="18"/>
        <v>0</v>
      </c>
      <c r="L1193" s="8">
        <f>+'[1]VENTAS(RESUMEN GLOBAL)'!J1193</f>
        <v>0</v>
      </c>
      <c r="M1193" s="8">
        <f>+Tabla1[[#This Row],[utilidad x dia]]*7</f>
        <v>0</v>
      </c>
    </row>
    <row r="1194" spans="1:13" x14ac:dyDescent="0.3">
      <c r="A1194" s="6">
        <f>+'[1]VENTAS(RESUMEN GLOBAL)'!L1194</f>
        <v>0</v>
      </c>
      <c r="B1194" s="6">
        <f>+'[1]VENTAS(RESUMEN GLOBAL)'!M1194</f>
        <v>0</v>
      </c>
      <c r="C1194">
        <f>+'[1]VENTAS(RESUMEN GLOBAL)'!B1194</f>
        <v>0</v>
      </c>
      <c r="D1194" t="e">
        <f>INDEX('[1]CÓDIGOS DE PRODUCTO'!$D$3:$D$1000,MATCH(C1194,'[1]CÓDIGOS DE PRODUCTO'!$A$3:$A$1000,0))</f>
        <v>#N/A</v>
      </c>
      <c r="E1194">
        <f>VLOOKUP(C1194,'[1]CÓDIGOS DE PRODUCTO'!$A$4:$B$156,2,FALSE)</f>
        <v>0</v>
      </c>
      <c r="F1194">
        <f>INDEX('[1]CÓDIGOS DE PRODUCTO'!$C$3:$C$1000,MATCH(C1194,'[1]CÓDIGOS DE PRODUCTO'!$A$3:$A$1000,0))</f>
        <v>0</v>
      </c>
      <c r="G1194">
        <f>+'[1]VENTAS(RESUMEN GLOBAL)'!D1194-'[1]VENTAS(RESUMEN GLOBAL)'!E1194</f>
        <v>0</v>
      </c>
      <c r="H1194" s="9">
        <f>+'[1]VENTAS(RESUMEN GLOBAL)'!K1194</f>
        <v>0</v>
      </c>
      <c r="I1194" s="8">
        <f>+G1194*'[1]VENTAS(RESUMEN GLOBAL)'!F1194</f>
        <v>0</v>
      </c>
      <c r="J1194" s="8">
        <f>'[1]VENTAS(RESUMEN GLOBAL)'!G1194*(1-'[1]VENTAS(RESUMEN GLOBAL)'!H1194)</f>
        <v>0</v>
      </c>
      <c r="K1194" s="8">
        <f t="shared" si="18"/>
        <v>0</v>
      </c>
      <c r="L1194" s="8">
        <f>+'[1]VENTAS(RESUMEN GLOBAL)'!J1194</f>
        <v>0</v>
      </c>
      <c r="M1194" s="8">
        <f>+Tabla1[[#This Row],[utilidad x dia]]*7</f>
        <v>0</v>
      </c>
    </row>
    <row r="1195" spans="1:13" x14ac:dyDescent="0.3">
      <c r="A1195" s="6">
        <f>+'[1]VENTAS(RESUMEN GLOBAL)'!L1195</f>
        <v>0</v>
      </c>
      <c r="B1195" s="6">
        <f>+'[1]VENTAS(RESUMEN GLOBAL)'!M1195</f>
        <v>0</v>
      </c>
      <c r="C1195">
        <f>+'[1]VENTAS(RESUMEN GLOBAL)'!B1195</f>
        <v>0</v>
      </c>
      <c r="D1195" t="e">
        <f>INDEX('[1]CÓDIGOS DE PRODUCTO'!$D$3:$D$1000,MATCH(C1195,'[1]CÓDIGOS DE PRODUCTO'!$A$3:$A$1000,0))</f>
        <v>#N/A</v>
      </c>
      <c r="E1195">
        <f>VLOOKUP(C1195,'[1]CÓDIGOS DE PRODUCTO'!$A$4:$B$156,2,FALSE)</f>
        <v>0</v>
      </c>
      <c r="F1195">
        <f>INDEX('[1]CÓDIGOS DE PRODUCTO'!$C$3:$C$1000,MATCH(C1195,'[1]CÓDIGOS DE PRODUCTO'!$A$3:$A$1000,0))</f>
        <v>0</v>
      </c>
      <c r="G1195">
        <f>+'[1]VENTAS(RESUMEN GLOBAL)'!D1195-'[1]VENTAS(RESUMEN GLOBAL)'!E1195</f>
        <v>0</v>
      </c>
      <c r="H1195" s="9">
        <f>+'[1]VENTAS(RESUMEN GLOBAL)'!K1195</f>
        <v>0</v>
      </c>
      <c r="I1195" s="8">
        <f>+G1195*'[1]VENTAS(RESUMEN GLOBAL)'!F1195</f>
        <v>0</v>
      </c>
      <c r="J1195" s="8">
        <f>'[1]VENTAS(RESUMEN GLOBAL)'!G1195*(1-'[1]VENTAS(RESUMEN GLOBAL)'!H1195)</f>
        <v>0</v>
      </c>
      <c r="K1195" s="8">
        <f t="shared" si="18"/>
        <v>0</v>
      </c>
      <c r="L1195" s="8">
        <f>+'[1]VENTAS(RESUMEN GLOBAL)'!J1195</f>
        <v>0</v>
      </c>
      <c r="M1195" s="8">
        <f>+Tabla1[[#This Row],[utilidad x dia]]*7</f>
        <v>0</v>
      </c>
    </row>
    <row r="1196" spans="1:13" x14ac:dyDescent="0.3">
      <c r="A1196" s="6">
        <f>+'[1]VENTAS(RESUMEN GLOBAL)'!L1196</f>
        <v>0</v>
      </c>
      <c r="B1196" s="6">
        <f>+'[1]VENTAS(RESUMEN GLOBAL)'!M1196</f>
        <v>0</v>
      </c>
      <c r="C1196">
        <f>+'[1]VENTAS(RESUMEN GLOBAL)'!B1196</f>
        <v>0</v>
      </c>
      <c r="D1196" t="e">
        <f>INDEX('[1]CÓDIGOS DE PRODUCTO'!$D$3:$D$1000,MATCH(C1196,'[1]CÓDIGOS DE PRODUCTO'!$A$3:$A$1000,0))</f>
        <v>#N/A</v>
      </c>
      <c r="E1196">
        <f>VLOOKUP(C1196,'[1]CÓDIGOS DE PRODUCTO'!$A$4:$B$156,2,FALSE)</f>
        <v>0</v>
      </c>
      <c r="F1196">
        <f>INDEX('[1]CÓDIGOS DE PRODUCTO'!$C$3:$C$1000,MATCH(C1196,'[1]CÓDIGOS DE PRODUCTO'!$A$3:$A$1000,0))</f>
        <v>0</v>
      </c>
      <c r="G1196">
        <f>+'[1]VENTAS(RESUMEN GLOBAL)'!D1196-'[1]VENTAS(RESUMEN GLOBAL)'!E1196</f>
        <v>0</v>
      </c>
      <c r="H1196" s="9">
        <f>+'[1]VENTAS(RESUMEN GLOBAL)'!K1196</f>
        <v>0</v>
      </c>
      <c r="I1196" s="8">
        <f>+G1196*'[1]VENTAS(RESUMEN GLOBAL)'!F1196</f>
        <v>0</v>
      </c>
      <c r="J1196" s="8">
        <f>'[1]VENTAS(RESUMEN GLOBAL)'!G1196*(1-'[1]VENTAS(RESUMEN GLOBAL)'!H1196)</f>
        <v>0</v>
      </c>
      <c r="K1196" s="8">
        <f t="shared" si="18"/>
        <v>0</v>
      </c>
      <c r="L1196" s="8">
        <f>+'[1]VENTAS(RESUMEN GLOBAL)'!J1196</f>
        <v>0</v>
      </c>
      <c r="M1196" s="8">
        <f>+Tabla1[[#This Row],[utilidad x dia]]*7</f>
        <v>0</v>
      </c>
    </row>
    <row r="1197" spans="1:13" x14ac:dyDescent="0.3">
      <c r="A1197" s="6">
        <f>+'[1]VENTAS(RESUMEN GLOBAL)'!L1197</f>
        <v>0</v>
      </c>
      <c r="B1197" s="6">
        <f>+'[1]VENTAS(RESUMEN GLOBAL)'!M1197</f>
        <v>0</v>
      </c>
      <c r="C1197">
        <f>+'[1]VENTAS(RESUMEN GLOBAL)'!B1197</f>
        <v>0</v>
      </c>
      <c r="D1197" t="e">
        <f>INDEX('[1]CÓDIGOS DE PRODUCTO'!$D$3:$D$1000,MATCH(C1197,'[1]CÓDIGOS DE PRODUCTO'!$A$3:$A$1000,0))</f>
        <v>#N/A</v>
      </c>
      <c r="E1197">
        <f>VLOOKUP(C1197,'[1]CÓDIGOS DE PRODUCTO'!$A$4:$B$156,2,FALSE)</f>
        <v>0</v>
      </c>
      <c r="F1197">
        <f>INDEX('[1]CÓDIGOS DE PRODUCTO'!$C$3:$C$1000,MATCH(C1197,'[1]CÓDIGOS DE PRODUCTO'!$A$3:$A$1000,0))</f>
        <v>0</v>
      </c>
      <c r="G1197">
        <f>+'[1]VENTAS(RESUMEN GLOBAL)'!D1197-'[1]VENTAS(RESUMEN GLOBAL)'!E1197</f>
        <v>0</v>
      </c>
      <c r="H1197" s="9">
        <f>+'[1]VENTAS(RESUMEN GLOBAL)'!K1197</f>
        <v>0</v>
      </c>
      <c r="I1197" s="8">
        <f>+G1197*'[1]VENTAS(RESUMEN GLOBAL)'!F1197</f>
        <v>0</v>
      </c>
      <c r="J1197" s="8">
        <f>'[1]VENTAS(RESUMEN GLOBAL)'!G1197*(1-'[1]VENTAS(RESUMEN GLOBAL)'!H1197)</f>
        <v>0</v>
      </c>
      <c r="K1197" s="8">
        <f t="shared" si="18"/>
        <v>0</v>
      </c>
      <c r="L1197" s="8">
        <f>+'[1]VENTAS(RESUMEN GLOBAL)'!J1197</f>
        <v>0</v>
      </c>
      <c r="M1197" s="8">
        <f>+Tabla1[[#This Row],[utilidad x dia]]*7</f>
        <v>0</v>
      </c>
    </row>
    <row r="1198" spans="1:13" x14ac:dyDescent="0.3">
      <c r="A1198" s="6">
        <f>+'[1]VENTAS(RESUMEN GLOBAL)'!L1198</f>
        <v>0</v>
      </c>
      <c r="B1198" s="6">
        <f>+'[1]VENTAS(RESUMEN GLOBAL)'!M1198</f>
        <v>0</v>
      </c>
      <c r="C1198">
        <f>+'[1]VENTAS(RESUMEN GLOBAL)'!B1198</f>
        <v>0</v>
      </c>
      <c r="D1198" t="e">
        <f>INDEX('[1]CÓDIGOS DE PRODUCTO'!$D$3:$D$1000,MATCH(C1198,'[1]CÓDIGOS DE PRODUCTO'!$A$3:$A$1000,0))</f>
        <v>#N/A</v>
      </c>
      <c r="E1198">
        <f>VLOOKUP(C1198,'[1]CÓDIGOS DE PRODUCTO'!$A$4:$B$156,2,FALSE)</f>
        <v>0</v>
      </c>
      <c r="F1198">
        <f>INDEX('[1]CÓDIGOS DE PRODUCTO'!$C$3:$C$1000,MATCH(C1198,'[1]CÓDIGOS DE PRODUCTO'!$A$3:$A$1000,0))</f>
        <v>0</v>
      </c>
      <c r="G1198">
        <f>+'[1]VENTAS(RESUMEN GLOBAL)'!D1198-'[1]VENTAS(RESUMEN GLOBAL)'!E1198</f>
        <v>0</v>
      </c>
      <c r="H1198" s="9">
        <f>+'[1]VENTAS(RESUMEN GLOBAL)'!K1198</f>
        <v>0</v>
      </c>
      <c r="I1198" s="8">
        <f>+G1198*'[1]VENTAS(RESUMEN GLOBAL)'!F1198</f>
        <v>0</v>
      </c>
      <c r="J1198" s="8">
        <f>'[1]VENTAS(RESUMEN GLOBAL)'!G1198*(1-'[1]VENTAS(RESUMEN GLOBAL)'!H1198)</f>
        <v>0</v>
      </c>
      <c r="K1198" s="8">
        <f t="shared" si="18"/>
        <v>0</v>
      </c>
      <c r="L1198" s="8">
        <f>+'[1]VENTAS(RESUMEN GLOBAL)'!J1198</f>
        <v>0</v>
      </c>
      <c r="M1198" s="8">
        <f>+Tabla1[[#This Row],[utilidad x dia]]*7</f>
        <v>0</v>
      </c>
    </row>
    <row r="1199" spans="1:13" x14ac:dyDescent="0.3">
      <c r="A1199" s="6">
        <f>+'[1]VENTAS(RESUMEN GLOBAL)'!L1199</f>
        <v>0</v>
      </c>
      <c r="B1199" s="6">
        <f>+'[1]VENTAS(RESUMEN GLOBAL)'!M1199</f>
        <v>0</v>
      </c>
      <c r="C1199">
        <f>+'[1]VENTAS(RESUMEN GLOBAL)'!B1199</f>
        <v>0</v>
      </c>
      <c r="D1199" t="e">
        <f>INDEX('[1]CÓDIGOS DE PRODUCTO'!$D$3:$D$1000,MATCH(C1199,'[1]CÓDIGOS DE PRODUCTO'!$A$3:$A$1000,0))</f>
        <v>#N/A</v>
      </c>
      <c r="E1199">
        <f>VLOOKUP(C1199,'[1]CÓDIGOS DE PRODUCTO'!$A$4:$B$156,2,FALSE)</f>
        <v>0</v>
      </c>
      <c r="F1199">
        <f>INDEX('[1]CÓDIGOS DE PRODUCTO'!$C$3:$C$1000,MATCH(C1199,'[1]CÓDIGOS DE PRODUCTO'!$A$3:$A$1000,0))</f>
        <v>0</v>
      </c>
      <c r="G1199">
        <f>+'[1]VENTAS(RESUMEN GLOBAL)'!D1199-'[1]VENTAS(RESUMEN GLOBAL)'!E1199</f>
        <v>0</v>
      </c>
      <c r="H1199" s="9">
        <f>+'[1]VENTAS(RESUMEN GLOBAL)'!K1199</f>
        <v>0</v>
      </c>
      <c r="I1199" s="8">
        <f>+G1199*'[1]VENTAS(RESUMEN GLOBAL)'!F1199</f>
        <v>0</v>
      </c>
      <c r="J1199" s="8">
        <f>'[1]VENTAS(RESUMEN GLOBAL)'!G1199*(1-'[1]VENTAS(RESUMEN GLOBAL)'!H1199)</f>
        <v>0</v>
      </c>
      <c r="K1199" s="8">
        <f t="shared" si="18"/>
        <v>0</v>
      </c>
      <c r="L1199" s="8">
        <f>+'[1]VENTAS(RESUMEN GLOBAL)'!J1199</f>
        <v>0</v>
      </c>
      <c r="M1199" s="8">
        <f>+Tabla1[[#This Row],[utilidad x dia]]*7</f>
        <v>0</v>
      </c>
    </row>
    <row r="1200" spans="1:13" x14ac:dyDescent="0.3">
      <c r="A1200" s="6">
        <f>+'[1]VENTAS(RESUMEN GLOBAL)'!L1200</f>
        <v>0</v>
      </c>
      <c r="B1200" s="6">
        <f>+'[1]VENTAS(RESUMEN GLOBAL)'!M1200</f>
        <v>0</v>
      </c>
      <c r="C1200">
        <f>+'[1]VENTAS(RESUMEN GLOBAL)'!B1200</f>
        <v>0</v>
      </c>
      <c r="D1200" t="e">
        <f>INDEX('[1]CÓDIGOS DE PRODUCTO'!$D$3:$D$1000,MATCH(C1200,'[1]CÓDIGOS DE PRODUCTO'!$A$3:$A$1000,0))</f>
        <v>#N/A</v>
      </c>
      <c r="E1200">
        <f>VLOOKUP(C1200,'[1]CÓDIGOS DE PRODUCTO'!$A$4:$B$156,2,FALSE)</f>
        <v>0</v>
      </c>
      <c r="F1200">
        <f>INDEX('[1]CÓDIGOS DE PRODUCTO'!$C$3:$C$1000,MATCH(C1200,'[1]CÓDIGOS DE PRODUCTO'!$A$3:$A$1000,0))</f>
        <v>0</v>
      </c>
      <c r="G1200">
        <f>+'[1]VENTAS(RESUMEN GLOBAL)'!D1200-'[1]VENTAS(RESUMEN GLOBAL)'!E1200</f>
        <v>0</v>
      </c>
      <c r="H1200" s="9">
        <f>+'[1]VENTAS(RESUMEN GLOBAL)'!K1200</f>
        <v>0</v>
      </c>
      <c r="I1200" s="8">
        <f>+G1200*'[1]VENTAS(RESUMEN GLOBAL)'!F1200</f>
        <v>0</v>
      </c>
      <c r="J1200" s="8">
        <f>'[1]VENTAS(RESUMEN GLOBAL)'!G1200*(1-'[1]VENTAS(RESUMEN GLOBAL)'!H1200)</f>
        <v>0</v>
      </c>
      <c r="K1200" s="8">
        <f t="shared" si="18"/>
        <v>0</v>
      </c>
      <c r="L1200" s="8">
        <f>+'[1]VENTAS(RESUMEN GLOBAL)'!J1200</f>
        <v>0</v>
      </c>
      <c r="M1200" s="8">
        <f>+Tabla1[[#This Row],[utilidad x dia]]*7</f>
        <v>0</v>
      </c>
    </row>
    <row r="1201" spans="1:13" x14ac:dyDescent="0.3">
      <c r="A1201" s="6">
        <f>+'[1]VENTAS(RESUMEN GLOBAL)'!L1201</f>
        <v>0</v>
      </c>
      <c r="B1201" s="6">
        <f>+'[1]VENTAS(RESUMEN GLOBAL)'!M1201</f>
        <v>0</v>
      </c>
      <c r="C1201">
        <f>+'[1]VENTAS(RESUMEN GLOBAL)'!B1201</f>
        <v>0</v>
      </c>
      <c r="D1201" t="e">
        <f>INDEX('[1]CÓDIGOS DE PRODUCTO'!$D$3:$D$1000,MATCH(C1201,'[1]CÓDIGOS DE PRODUCTO'!$A$3:$A$1000,0))</f>
        <v>#N/A</v>
      </c>
      <c r="E1201">
        <f>VLOOKUP(C1201,'[1]CÓDIGOS DE PRODUCTO'!$A$4:$B$156,2,FALSE)</f>
        <v>0</v>
      </c>
      <c r="F1201">
        <f>INDEX('[1]CÓDIGOS DE PRODUCTO'!$C$3:$C$1000,MATCH(C1201,'[1]CÓDIGOS DE PRODUCTO'!$A$3:$A$1000,0))</f>
        <v>0</v>
      </c>
      <c r="G1201">
        <f>+'[1]VENTAS(RESUMEN GLOBAL)'!D1201-'[1]VENTAS(RESUMEN GLOBAL)'!E1201</f>
        <v>0</v>
      </c>
      <c r="H1201" s="9">
        <f>+'[1]VENTAS(RESUMEN GLOBAL)'!K1201</f>
        <v>0</v>
      </c>
      <c r="I1201" s="8">
        <f>+G1201*'[1]VENTAS(RESUMEN GLOBAL)'!F1201</f>
        <v>0</v>
      </c>
      <c r="J1201" s="8">
        <f>'[1]VENTAS(RESUMEN GLOBAL)'!G1201*(1-'[1]VENTAS(RESUMEN GLOBAL)'!H1201)</f>
        <v>0</v>
      </c>
      <c r="K1201" s="8">
        <f t="shared" si="18"/>
        <v>0</v>
      </c>
      <c r="L1201" s="8">
        <f>+'[1]VENTAS(RESUMEN GLOBAL)'!J1201</f>
        <v>0</v>
      </c>
      <c r="M1201" s="8">
        <f>+Tabla1[[#This Row],[utilidad x dia]]*7</f>
        <v>0</v>
      </c>
    </row>
    <row r="1202" spans="1:13" x14ac:dyDescent="0.3">
      <c r="A1202" s="6">
        <f>+'[1]VENTAS(RESUMEN GLOBAL)'!L1202</f>
        <v>0</v>
      </c>
      <c r="B1202" s="6">
        <f>+'[1]VENTAS(RESUMEN GLOBAL)'!M1202</f>
        <v>0</v>
      </c>
      <c r="C1202">
        <f>+'[1]VENTAS(RESUMEN GLOBAL)'!B1202</f>
        <v>0</v>
      </c>
      <c r="D1202" t="e">
        <f>INDEX('[1]CÓDIGOS DE PRODUCTO'!$D$3:$D$1000,MATCH(C1202,'[1]CÓDIGOS DE PRODUCTO'!$A$3:$A$1000,0))</f>
        <v>#N/A</v>
      </c>
      <c r="E1202">
        <f>VLOOKUP(C1202,'[1]CÓDIGOS DE PRODUCTO'!$A$4:$B$156,2,FALSE)</f>
        <v>0</v>
      </c>
      <c r="F1202">
        <f>INDEX('[1]CÓDIGOS DE PRODUCTO'!$C$3:$C$1000,MATCH(C1202,'[1]CÓDIGOS DE PRODUCTO'!$A$3:$A$1000,0))</f>
        <v>0</v>
      </c>
      <c r="G1202">
        <f>+'[1]VENTAS(RESUMEN GLOBAL)'!D1202-'[1]VENTAS(RESUMEN GLOBAL)'!E1202</f>
        <v>0</v>
      </c>
      <c r="H1202" s="9">
        <f>+'[1]VENTAS(RESUMEN GLOBAL)'!K1202</f>
        <v>0</v>
      </c>
      <c r="I1202" s="8">
        <f>+G1202*'[1]VENTAS(RESUMEN GLOBAL)'!F1202</f>
        <v>0</v>
      </c>
      <c r="J1202" s="8">
        <f>'[1]VENTAS(RESUMEN GLOBAL)'!G1202*(1-'[1]VENTAS(RESUMEN GLOBAL)'!H1202)</f>
        <v>0</v>
      </c>
      <c r="K1202" s="8">
        <f t="shared" si="18"/>
        <v>0</v>
      </c>
      <c r="L1202" s="8">
        <f>+'[1]VENTAS(RESUMEN GLOBAL)'!J1202</f>
        <v>0</v>
      </c>
      <c r="M1202" s="8">
        <f>+Tabla1[[#This Row],[utilidad x dia]]*7</f>
        <v>0</v>
      </c>
    </row>
    <row r="1203" spans="1:13" x14ac:dyDescent="0.3">
      <c r="A1203" s="6">
        <f>+'[1]VENTAS(RESUMEN GLOBAL)'!L1203</f>
        <v>0</v>
      </c>
      <c r="B1203" s="6">
        <f>+'[1]VENTAS(RESUMEN GLOBAL)'!M1203</f>
        <v>0</v>
      </c>
      <c r="C1203">
        <f>+'[1]VENTAS(RESUMEN GLOBAL)'!B1203</f>
        <v>0</v>
      </c>
      <c r="D1203" t="e">
        <f>INDEX('[1]CÓDIGOS DE PRODUCTO'!$D$3:$D$1000,MATCH(C1203,'[1]CÓDIGOS DE PRODUCTO'!$A$3:$A$1000,0))</f>
        <v>#N/A</v>
      </c>
      <c r="E1203">
        <f>VLOOKUP(C1203,'[1]CÓDIGOS DE PRODUCTO'!$A$4:$B$156,2,FALSE)</f>
        <v>0</v>
      </c>
      <c r="F1203">
        <f>INDEX('[1]CÓDIGOS DE PRODUCTO'!$C$3:$C$1000,MATCH(C1203,'[1]CÓDIGOS DE PRODUCTO'!$A$3:$A$1000,0))</f>
        <v>0</v>
      </c>
      <c r="G1203">
        <f>+'[1]VENTAS(RESUMEN GLOBAL)'!D1203-'[1]VENTAS(RESUMEN GLOBAL)'!E1203</f>
        <v>0</v>
      </c>
      <c r="H1203" s="9">
        <f>+'[1]VENTAS(RESUMEN GLOBAL)'!K1203</f>
        <v>0</v>
      </c>
      <c r="I1203" s="8">
        <f>+G1203*'[1]VENTAS(RESUMEN GLOBAL)'!F1203</f>
        <v>0</v>
      </c>
      <c r="J1203" s="8">
        <f>'[1]VENTAS(RESUMEN GLOBAL)'!G1203*(1-'[1]VENTAS(RESUMEN GLOBAL)'!H1203)</f>
        <v>0</v>
      </c>
      <c r="K1203" s="8">
        <f t="shared" si="18"/>
        <v>0</v>
      </c>
      <c r="L1203" s="8">
        <f>+'[1]VENTAS(RESUMEN GLOBAL)'!J1203</f>
        <v>0</v>
      </c>
      <c r="M1203" s="8">
        <f>+Tabla1[[#This Row],[utilidad x dia]]*7</f>
        <v>0</v>
      </c>
    </row>
    <row r="1204" spans="1:13" x14ac:dyDescent="0.3">
      <c r="A1204" s="6">
        <f>+'[1]VENTAS(RESUMEN GLOBAL)'!L1204</f>
        <v>0</v>
      </c>
      <c r="B1204" s="6">
        <f>+'[1]VENTAS(RESUMEN GLOBAL)'!M1204</f>
        <v>0</v>
      </c>
      <c r="C1204">
        <f>+'[1]VENTAS(RESUMEN GLOBAL)'!B1204</f>
        <v>0</v>
      </c>
      <c r="D1204" t="e">
        <f>INDEX('[1]CÓDIGOS DE PRODUCTO'!$D$3:$D$1000,MATCH(C1204,'[1]CÓDIGOS DE PRODUCTO'!$A$3:$A$1000,0))</f>
        <v>#N/A</v>
      </c>
      <c r="E1204">
        <f>VLOOKUP(C1204,'[1]CÓDIGOS DE PRODUCTO'!$A$4:$B$156,2,FALSE)</f>
        <v>0</v>
      </c>
      <c r="F1204">
        <f>INDEX('[1]CÓDIGOS DE PRODUCTO'!$C$3:$C$1000,MATCH(C1204,'[1]CÓDIGOS DE PRODUCTO'!$A$3:$A$1000,0))</f>
        <v>0</v>
      </c>
      <c r="G1204">
        <f>+'[1]VENTAS(RESUMEN GLOBAL)'!D1204-'[1]VENTAS(RESUMEN GLOBAL)'!E1204</f>
        <v>0</v>
      </c>
      <c r="H1204" s="9">
        <f>+'[1]VENTAS(RESUMEN GLOBAL)'!K1204</f>
        <v>0</v>
      </c>
      <c r="I1204" s="8">
        <f>+G1204*'[1]VENTAS(RESUMEN GLOBAL)'!F1204</f>
        <v>0</v>
      </c>
      <c r="J1204" s="8">
        <f>'[1]VENTAS(RESUMEN GLOBAL)'!G1204*(1-'[1]VENTAS(RESUMEN GLOBAL)'!H1204)</f>
        <v>0</v>
      </c>
      <c r="K1204" s="8">
        <f t="shared" si="18"/>
        <v>0</v>
      </c>
      <c r="L1204" s="8">
        <f>+'[1]VENTAS(RESUMEN GLOBAL)'!J1204</f>
        <v>0</v>
      </c>
      <c r="M1204" s="8">
        <f>+Tabla1[[#This Row],[utilidad x dia]]*7</f>
        <v>0</v>
      </c>
    </row>
    <row r="1205" spans="1:13" x14ac:dyDescent="0.3">
      <c r="A1205" s="6">
        <f>+'[1]VENTAS(RESUMEN GLOBAL)'!L1205</f>
        <v>0</v>
      </c>
      <c r="B1205" s="6">
        <f>+'[1]VENTAS(RESUMEN GLOBAL)'!M1205</f>
        <v>0</v>
      </c>
      <c r="C1205">
        <f>+'[1]VENTAS(RESUMEN GLOBAL)'!B1205</f>
        <v>0</v>
      </c>
      <c r="D1205" t="e">
        <f>INDEX('[1]CÓDIGOS DE PRODUCTO'!$D$3:$D$1000,MATCH(C1205,'[1]CÓDIGOS DE PRODUCTO'!$A$3:$A$1000,0))</f>
        <v>#N/A</v>
      </c>
      <c r="E1205">
        <f>VLOOKUP(C1205,'[1]CÓDIGOS DE PRODUCTO'!$A$4:$B$156,2,FALSE)</f>
        <v>0</v>
      </c>
      <c r="F1205">
        <f>INDEX('[1]CÓDIGOS DE PRODUCTO'!$C$3:$C$1000,MATCH(C1205,'[1]CÓDIGOS DE PRODUCTO'!$A$3:$A$1000,0))</f>
        <v>0</v>
      </c>
      <c r="G1205">
        <f>+'[1]VENTAS(RESUMEN GLOBAL)'!D1205-'[1]VENTAS(RESUMEN GLOBAL)'!E1205</f>
        <v>0</v>
      </c>
      <c r="H1205" s="9">
        <f>+'[1]VENTAS(RESUMEN GLOBAL)'!K1205</f>
        <v>0</v>
      </c>
      <c r="I1205" s="8">
        <f>+G1205*'[1]VENTAS(RESUMEN GLOBAL)'!F1205</f>
        <v>0</v>
      </c>
      <c r="J1205" s="8">
        <f>'[1]VENTAS(RESUMEN GLOBAL)'!G1205*(1-'[1]VENTAS(RESUMEN GLOBAL)'!H1205)</f>
        <v>0</v>
      </c>
      <c r="K1205" s="8">
        <f t="shared" si="18"/>
        <v>0</v>
      </c>
      <c r="L1205" s="8">
        <f>+'[1]VENTAS(RESUMEN GLOBAL)'!J1205</f>
        <v>0</v>
      </c>
      <c r="M1205" s="8">
        <f>+Tabla1[[#This Row],[utilidad x dia]]*7</f>
        <v>0</v>
      </c>
    </row>
    <row r="1206" spans="1:13" x14ac:dyDescent="0.3">
      <c r="A1206" s="6">
        <f>+'[1]VENTAS(RESUMEN GLOBAL)'!L1206</f>
        <v>0</v>
      </c>
      <c r="B1206" s="6">
        <f>+'[1]VENTAS(RESUMEN GLOBAL)'!M1206</f>
        <v>0</v>
      </c>
      <c r="C1206">
        <f>+'[1]VENTAS(RESUMEN GLOBAL)'!B1206</f>
        <v>0</v>
      </c>
      <c r="D1206" t="e">
        <f>INDEX('[1]CÓDIGOS DE PRODUCTO'!$D$3:$D$1000,MATCH(C1206,'[1]CÓDIGOS DE PRODUCTO'!$A$3:$A$1000,0))</f>
        <v>#N/A</v>
      </c>
      <c r="E1206">
        <f>VLOOKUP(C1206,'[1]CÓDIGOS DE PRODUCTO'!$A$4:$B$156,2,FALSE)</f>
        <v>0</v>
      </c>
      <c r="F1206">
        <f>INDEX('[1]CÓDIGOS DE PRODUCTO'!$C$3:$C$1000,MATCH(C1206,'[1]CÓDIGOS DE PRODUCTO'!$A$3:$A$1000,0))</f>
        <v>0</v>
      </c>
      <c r="G1206">
        <f>+'[1]VENTAS(RESUMEN GLOBAL)'!D1206-'[1]VENTAS(RESUMEN GLOBAL)'!E1206</f>
        <v>0</v>
      </c>
      <c r="H1206" s="9">
        <f>+'[1]VENTAS(RESUMEN GLOBAL)'!K1206</f>
        <v>0</v>
      </c>
      <c r="I1206" s="8">
        <f>+G1206*'[1]VENTAS(RESUMEN GLOBAL)'!F1206</f>
        <v>0</v>
      </c>
      <c r="J1206" s="8">
        <f>'[1]VENTAS(RESUMEN GLOBAL)'!G1206*(1-'[1]VENTAS(RESUMEN GLOBAL)'!H1206)</f>
        <v>0</v>
      </c>
      <c r="K1206" s="8">
        <f t="shared" si="18"/>
        <v>0</v>
      </c>
      <c r="L1206" s="8">
        <f>+'[1]VENTAS(RESUMEN GLOBAL)'!J1206</f>
        <v>0</v>
      </c>
      <c r="M1206" s="8">
        <f>+Tabla1[[#This Row],[utilidad x dia]]*7</f>
        <v>0</v>
      </c>
    </row>
    <row r="1207" spans="1:13" x14ac:dyDescent="0.3">
      <c r="A1207" s="6">
        <f>+'[1]VENTAS(RESUMEN GLOBAL)'!L1207</f>
        <v>0</v>
      </c>
      <c r="B1207" s="6">
        <f>+'[1]VENTAS(RESUMEN GLOBAL)'!M1207</f>
        <v>0</v>
      </c>
      <c r="C1207">
        <f>+'[1]VENTAS(RESUMEN GLOBAL)'!B1207</f>
        <v>0</v>
      </c>
      <c r="D1207" t="e">
        <f>INDEX('[1]CÓDIGOS DE PRODUCTO'!$D$3:$D$1000,MATCH(C1207,'[1]CÓDIGOS DE PRODUCTO'!$A$3:$A$1000,0))</f>
        <v>#N/A</v>
      </c>
      <c r="E1207">
        <f>VLOOKUP(C1207,'[1]CÓDIGOS DE PRODUCTO'!$A$4:$B$156,2,FALSE)</f>
        <v>0</v>
      </c>
      <c r="F1207">
        <f>INDEX('[1]CÓDIGOS DE PRODUCTO'!$C$3:$C$1000,MATCH(C1207,'[1]CÓDIGOS DE PRODUCTO'!$A$3:$A$1000,0))</f>
        <v>0</v>
      </c>
      <c r="G1207">
        <f>+'[1]VENTAS(RESUMEN GLOBAL)'!D1207-'[1]VENTAS(RESUMEN GLOBAL)'!E1207</f>
        <v>0</v>
      </c>
      <c r="H1207" s="9">
        <f>+'[1]VENTAS(RESUMEN GLOBAL)'!K1207</f>
        <v>0</v>
      </c>
      <c r="I1207" s="8">
        <f>+G1207*'[1]VENTAS(RESUMEN GLOBAL)'!F1207</f>
        <v>0</v>
      </c>
      <c r="J1207" s="8">
        <f>'[1]VENTAS(RESUMEN GLOBAL)'!G1207*(1-'[1]VENTAS(RESUMEN GLOBAL)'!H1207)</f>
        <v>0</v>
      </c>
      <c r="K1207" s="8">
        <f t="shared" si="18"/>
        <v>0</v>
      </c>
      <c r="L1207" s="8">
        <f>+'[1]VENTAS(RESUMEN GLOBAL)'!J1207</f>
        <v>0</v>
      </c>
      <c r="M1207" s="8">
        <f>+Tabla1[[#This Row],[utilidad x dia]]*7</f>
        <v>0</v>
      </c>
    </row>
    <row r="1208" spans="1:13" x14ac:dyDescent="0.3">
      <c r="A1208" s="6">
        <f>+'[1]VENTAS(RESUMEN GLOBAL)'!L1208</f>
        <v>0</v>
      </c>
      <c r="B1208" s="6">
        <f>+'[1]VENTAS(RESUMEN GLOBAL)'!M1208</f>
        <v>0</v>
      </c>
      <c r="C1208">
        <f>+'[1]VENTAS(RESUMEN GLOBAL)'!B1208</f>
        <v>0</v>
      </c>
      <c r="D1208" t="e">
        <f>INDEX('[1]CÓDIGOS DE PRODUCTO'!$D$3:$D$1000,MATCH(C1208,'[1]CÓDIGOS DE PRODUCTO'!$A$3:$A$1000,0))</f>
        <v>#N/A</v>
      </c>
      <c r="E1208">
        <f>VLOOKUP(C1208,'[1]CÓDIGOS DE PRODUCTO'!$A$4:$B$156,2,FALSE)</f>
        <v>0</v>
      </c>
      <c r="F1208">
        <f>INDEX('[1]CÓDIGOS DE PRODUCTO'!$C$3:$C$1000,MATCH(C1208,'[1]CÓDIGOS DE PRODUCTO'!$A$3:$A$1000,0))</f>
        <v>0</v>
      </c>
      <c r="G1208">
        <f>+'[1]VENTAS(RESUMEN GLOBAL)'!D1208-'[1]VENTAS(RESUMEN GLOBAL)'!E1208</f>
        <v>0</v>
      </c>
      <c r="H1208" s="9">
        <f>+'[1]VENTAS(RESUMEN GLOBAL)'!K1208</f>
        <v>0</v>
      </c>
      <c r="I1208" s="8">
        <f>+G1208*'[1]VENTAS(RESUMEN GLOBAL)'!F1208</f>
        <v>0</v>
      </c>
      <c r="J1208" s="8">
        <f>'[1]VENTAS(RESUMEN GLOBAL)'!G1208*(1-'[1]VENTAS(RESUMEN GLOBAL)'!H1208)</f>
        <v>0</v>
      </c>
      <c r="K1208" s="8">
        <f t="shared" si="18"/>
        <v>0</v>
      </c>
      <c r="L1208" s="8">
        <f>+'[1]VENTAS(RESUMEN GLOBAL)'!J1208</f>
        <v>0</v>
      </c>
      <c r="M1208" s="8">
        <f>+Tabla1[[#This Row],[utilidad x dia]]*7</f>
        <v>0</v>
      </c>
    </row>
    <row r="1209" spans="1:13" x14ac:dyDescent="0.3">
      <c r="A1209" s="6">
        <f>+'[1]VENTAS(RESUMEN GLOBAL)'!L1209</f>
        <v>0</v>
      </c>
      <c r="B1209" s="6">
        <f>+'[1]VENTAS(RESUMEN GLOBAL)'!M1209</f>
        <v>0</v>
      </c>
      <c r="C1209">
        <f>+'[1]VENTAS(RESUMEN GLOBAL)'!B1209</f>
        <v>0</v>
      </c>
      <c r="D1209" t="e">
        <f>INDEX('[1]CÓDIGOS DE PRODUCTO'!$D$3:$D$1000,MATCH(C1209,'[1]CÓDIGOS DE PRODUCTO'!$A$3:$A$1000,0))</f>
        <v>#N/A</v>
      </c>
      <c r="E1209">
        <f>VLOOKUP(C1209,'[1]CÓDIGOS DE PRODUCTO'!$A$4:$B$156,2,FALSE)</f>
        <v>0</v>
      </c>
      <c r="F1209">
        <f>INDEX('[1]CÓDIGOS DE PRODUCTO'!$C$3:$C$1000,MATCH(C1209,'[1]CÓDIGOS DE PRODUCTO'!$A$3:$A$1000,0))</f>
        <v>0</v>
      </c>
      <c r="G1209">
        <f>+'[1]VENTAS(RESUMEN GLOBAL)'!D1209-'[1]VENTAS(RESUMEN GLOBAL)'!E1209</f>
        <v>0</v>
      </c>
      <c r="H1209" s="9">
        <f>+'[1]VENTAS(RESUMEN GLOBAL)'!K1209</f>
        <v>0</v>
      </c>
      <c r="I1209" s="8">
        <f>+G1209*'[1]VENTAS(RESUMEN GLOBAL)'!F1209</f>
        <v>0</v>
      </c>
      <c r="J1209" s="8">
        <f>'[1]VENTAS(RESUMEN GLOBAL)'!G1209*(1-'[1]VENTAS(RESUMEN GLOBAL)'!H1209)</f>
        <v>0</v>
      </c>
      <c r="K1209" s="8">
        <f t="shared" si="18"/>
        <v>0</v>
      </c>
      <c r="L1209" s="8">
        <f>+'[1]VENTAS(RESUMEN GLOBAL)'!J1209</f>
        <v>0</v>
      </c>
      <c r="M1209" s="8">
        <f>+Tabla1[[#This Row],[utilidad x dia]]*7</f>
        <v>0</v>
      </c>
    </row>
    <row r="1210" spans="1:13" x14ac:dyDescent="0.3">
      <c r="A1210" s="6">
        <f>+'[1]VENTAS(RESUMEN GLOBAL)'!L1210</f>
        <v>0</v>
      </c>
      <c r="B1210" s="6">
        <f>+'[1]VENTAS(RESUMEN GLOBAL)'!M1210</f>
        <v>0</v>
      </c>
      <c r="C1210">
        <f>+'[1]VENTAS(RESUMEN GLOBAL)'!B1210</f>
        <v>0</v>
      </c>
      <c r="D1210" t="e">
        <f>INDEX('[1]CÓDIGOS DE PRODUCTO'!$D$3:$D$1000,MATCH(C1210,'[1]CÓDIGOS DE PRODUCTO'!$A$3:$A$1000,0))</f>
        <v>#N/A</v>
      </c>
      <c r="E1210">
        <f>VLOOKUP(C1210,'[1]CÓDIGOS DE PRODUCTO'!$A$4:$B$156,2,FALSE)</f>
        <v>0</v>
      </c>
      <c r="F1210">
        <f>INDEX('[1]CÓDIGOS DE PRODUCTO'!$C$3:$C$1000,MATCH(C1210,'[1]CÓDIGOS DE PRODUCTO'!$A$3:$A$1000,0))</f>
        <v>0</v>
      </c>
      <c r="G1210">
        <f>+'[1]VENTAS(RESUMEN GLOBAL)'!D1210-'[1]VENTAS(RESUMEN GLOBAL)'!E1210</f>
        <v>0</v>
      </c>
      <c r="H1210" s="9">
        <f>+'[1]VENTAS(RESUMEN GLOBAL)'!K1210</f>
        <v>0</v>
      </c>
      <c r="I1210" s="8">
        <f>+G1210*'[1]VENTAS(RESUMEN GLOBAL)'!F1210</f>
        <v>0</v>
      </c>
      <c r="J1210" s="8">
        <f>'[1]VENTAS(RESUMEN GLOBAL)'!G1210*(1-'[1]VENTAS(RESUMEN GLOBAL)'!H1210)</f>
        <v>0</v>
      </c>
      <c r="K1210" s="8">
        <f t="shared" si="18"/>
        <v>0</v>
      </c>
      <c r="L1210" s="8">
        <f>+'[1]VENTAS(RESUMEN GLOBAL)'!J1210</f>
        <v>0</v>
      </c>
      <c r="M1210" s="8">
        <f>+Tabla1[[#This Row],[utilidad x dia]]*7</f>
        <v>0</v>
      </c>
    </row>
    <row r="1211" spans="1:13" x14ac:dyDescent="0.3">
      <c r="A1211" s="6">
        <f>+'[1]VENTAS(RESUMEN GLOBAL)'!L1211</f>
        <v>0</v>
      </c>
      <c r="B1211" s="6">
        <f>+'[1]VENTAS(RESUMEN GLOBAL)'!M1211</f>
        <v>0</v>
      </c>
      <c r="C1211">
        <f>+'[1]VENTAS(RESUMEN GLOBAL)'!B1211</f>
        <v>0</v>
      </c>
      <c r="D1211" t="e">
        <f>INDEX('[1]CÓDIGOS DE PRODUCTO'!$D$3:$D$1000,MATCH(C1211,'[1]CÓDIGOS DE PRODUCTO'!$A$3:$A$1000,0))</f>
        <v>#N/A</v>
      </c>
      <c r="E1211">
        <f>VLOOKUP(C1211,'[1]CÓDIGOS DE PRODUCTO'!$A$4:$B$156,2,FALSE)</f>
        <v>0</v>
      </c>
      <c r="F1211">
        <f>INDEX('[1]CÓDIGOS DE PRODUCTO'!$C$3:$C$1000,MATCH(C1211,'[1]CÓDIGOS DE PRODUCTO'!$A$3:$A$1000,0))</f>
        <v>0</v>
      </c>
      <c r="G1211">
        <f>+'[1]VENTAS(RESUMEN GLOBAL)'!D1211-'[1]VENTAS(RESUMEN GLOBAL)'!E1211</f>
        <v>0</v>
      </c>
      <c r="H1211" s="9">
        <f>+'[1]VENTAS(RESUMEN GLOBAL)'!K1211</f>
        <v>0</v>
      </c>
      <c r="I1211" s="8">
        <f>+G1211*'[1]VENTAS(RESUMEN GLOBAL)'!F1211</f>
        <v>0</v>
      </c>
      <c r="J1211" s="8">
        <f>'[1]VENTAS(RESUMEN GLOBAL)'!G1211*(1-'[1]VENTAS(RESUMEN GLOBAL)'!H1211)</f>
        <v>0</v>
      </c>
      <c r="K1211" s="8">
        <f t="shared" si="18"/>
        <v>0</v>
      </c>
      <c r="L1211" s="8">
        <f>+'[1]VENTAS(RESUMEN GLOBAL)'!J1211</f>
        <v>0</v>
      </c>
      <c r="M1211" s="8">
        <f>+Tabla1[[#This Row],[utilidad x dia]]*7</f>
        <v>0</v>
      </c>
    </row>
    <row r="1212" spans="1:13" x14ac:dyDescent="0.3">
      <c r="A1212" s="6">
        <f>+'[1]VENTAS(RESUMEN GLOBAL)'!L1212</f>
        <v>0</v>
      </c>
      <c r="B1212" s="6">
        <f>+'[1]VENTAS(RESUMEN GLOBAL)'!M1212</f>
        <v>0</v>
      </c>
      <c r="C1212">
        <f>+'[1]VENTAS(RESUMEN GLOBAL)'!B1212</f>
        <v>0</v>
      </c>
      <c r="D1212" t="e">
        <f>INDEX('[1]CÓDIGOS DE PRODUCTO'!$D$3:$D$1000,MATCH(C1212,'[1]CÓDIGOS DE PRODUCTO'!$A$3:$A$1000,0))</f>
        <v>#N/A</v>
      </c>
      <c r="E1212">
        <f>VLOOKUP(C1212,'[1]CÓDIGOS DE PRODUCTO'!$A$4:$B$156,2,FALSE)</f>
        <v>0</v>
      </c>
      <c r="F1212">
        <f>INDEX('[1]CÓDIGOS DE PRODUCTO'!$C$3:$C$1000,MATCH(C1212,'[1]CÓDIGOS DE PRODUCTO'!$A$3:$A$1000,0))</f>
        <v>0</v>
      </c>
      <c r="G1212">
        <f>+'[1]VENTAS(RESUMEN GLOBAL)'!D1212-'[1]VENTAS(RESUMEN GLOBAL)'!E1212</f>
        <v>0</v>
      </c>
      <c r="H1212" s="9">
        <f>+'[1]VENTAS(RESUMEN GLOBAL)'!K1212</f>
        <v>0</v>
      </c>
      <c r="I1212" s="8">
        <f>+G1212*'[1]VENTAS(RESUMEN GLOBAL)'!F1212</f>
        <v>0</v>
      </c>
      <c r="J1212" s="8">
        <f>'[1]VENTAS(RESUMEN GLOBAL)'!G1212*(1-'[1]VENTAS(RESUMEN GLOBAL)'!H1212)</f>
        <v>0</v>
      </c>
      <c r="K1212" s="8">
        <f t="shared" si="18"/>
        <v>0</v>
      </c>
      <c r="L1212" s="8">
        <f>+'[1]VENTAS(RESUMEN GLOBAL)'!J1212</f>
        <v>0</v>
      </c>
      <c r="M1212" s="8">
        <f>+Tabla1[[#This Row],[utilidad x dia]]*7</f>
        <v>0</v>
      </c>
    </row>
    <row r="1213" spans="1:13" x14ac:dyDescent="0.3">
      <c r="A1213" s="6">
        <f>+'[1]VENTAS(RESUMEN GLOBAL)'!L1213</f>
        <v>0</v>
      </c>
      <c r="B1213" s="6">
        <f>+'[1]VENTAS(RESUMEN GLOBAL)'!M1213</f>
        <v>0</v>
      </c>
      <c r="C1213">
        <f>+'[1]VENTAS(RESUMEN GLOBAL)'!B1213</f>
        <v>0</v>
      </c>
      <c r="D1213" t="e">
        <f>INDEX('[1]CÓDIGOS DE PRODUCTO'!$D$3:$D$1000,MATCH(C1213,'[1]CÓDIGOS DE PRODUCTO'!$A$3:$A$1000,0))</f>
        <v>#N/A</v>
      </c>
      <c r="E1213">
        <f>VLOOKUP(C1213,'[1]CÓDIGOS DE PRODUCTO'!$A$4:$B$156,2,FALSE)</f>
        <v>0</v>
      </c>
      <c r="F1213">
        <f>INDEX('[1]CÓDIGOS DE PRODUCTO'!$C$3:$C$1000,MATCH(C1213,'[1]CÓDIGOS DE PRODUCTO'!$A$3:$A$1000,0))</f>
        <v>0</v>
      </c>
      <c r="G1213">
        <f>+'[1]VENTAS(RESUMEN GLOBAL)'!D1213-'[1]VENTAS(RESUMEN GLOBAL)'!E1213</f>
        <v>0</v>
      </c>
      <c r="H1213" s="9">
        <f>+'[1]VENTAS(RESUMEN GLOBAL)'!K1213</f>
        <v>0</v>
      </c>
      <c r="I1213" s="8">
        <f>+G1213*'[1]VENTAS(RESUMEN GLOBAL)'!F1213</f>
        <v>0</v>
      </c>
      <c r="J1213" s="8">
        <f>'[1]VENTAS(RESUMEN GLOBAL)'!G1213*(1-'[1]VENTAS(RESUMEN GLOBAL)'!H1213)</f>
        <v>0</v>
      </c>
      <c r="K1213" s="8">
        <f t="shared" si="18"/>
        <v>0</v>
      </c>
      <c r="L1213" s="8">
        <f>+'[1]VENTAS(RESUMEN GLOBAL)'!J1213</f>
        <v>0</v>
      </c>
      <c r="M1213" s="8">
        <f>+Tabla1[[#This Row],[utilidad x dia]]*7</f>
        <v>0</v>
      </c>
    </row>
    <row r="1214" spans="1:13" x14ac:dyDescent="0.3">
      <c r="A1214" s="6">
        <f>+'[1]VENTAS(RESUMEN GLOBAL)'!L1214</f>
        <v>0</v>
      </c>
      <c r="B1214" s="6">
        <f>+'[1]VENTAS(RESUMEN GLOBAL)'!M1214</f>
        <v>0</v>
      </c>
      <c r="C1214">
        <f>+'[1]VENTAS(RESUMEN GLOBAL)'!B1214</f>
        <v>0</v>
      </c>
      <c r="D1214" t="e">
        <f>INDEX('[1]CÓDIGOS DE PRODUCTO'!$D$3:$D$1000,MATCH(C1214,'[1]CÓDIGOS DE PRODUCTO'!$A$3:$A$1000,0))</f>
        <v>#N/A</v>
      </c>
      <c r="E1214">
        <f>VLOOKUP(C1214,'[1]CÓDIGOS DE PRODUCTO'!$A$4:$B$156,2,FALSE)</f>
        <v>0</v>
      </c>
      <c r="F1214">
        <f>INDEX('[1]CÓDIGOS DE PRODUCTO'!$C$3:$C$1000,MATCH(C1214,'[1]CÓDIGOS DE PRODUCTO'!$A$3:$A$1000,0))</f>
        <v>0</v>
      </c>
      <c r="G1214">
        <f>+'[1]VENTAS(RESUMEN GLOBAL)'!D1214-'[1]VENTAS(RESUMEN GLOBAL)'!E1214</f>
        <v>0</v>
      </c>
      <c r="H1214" s="9">
        <f>+'[1]VENTAS(RESUMEN GLOBAL)'!K1214</f>
        <v>0</v>
      </c>
      <c r="I1214" s="8">
        <f>+G1214*'[1]VENTAS(RESUMEN GLOBAL)'!F1214</f>
        <v>0</v>
      </c>
      <c r="J1214" s="8">
        <f>'[1]VENTAS(RESUMEN GLOBAL)'!G1214*(1-'[1]VENTAS(RESUMEN GLOBAL)'!H1214)</f>
        <v>0</v>
      </c>
      <c r="K1214" s="8">
        <f t="shared" si="18"/>
        <v>0</v>
      </c>
      <c r="L1214" s="8">
        <f>+'[1]VENTAS(RESUMEN GLOBAL)'!J1214</f>
        <v>0</v>
      </c>
      <c r="M1214" s="8">
        <f>+Tabla1[[#This Row],[utilidad x dia]]*7</f>
        <v>0</v>
      </c>
    </row>
    <row r="1215" spans="1:13" x14ac:dyDescent="0.3">
      <c r="A1215" s="6">
        <f>+'[1]VENTAS(RESUMEN GLOBAL)'!L1215</f>
        <v>0</v>
      </c>
      <c r="B1215" s="6">
        <f>+'[1]VENTAS(RESUMEN GLOBAL)'!M1215</f>
        <v>0</v>
      </c>
      <c r="C1215">
        <f>+'[1]VENTAS(RESUMEN GLOBAL)'!B1215</f>
        <v>0</v>
      </c>
      <c r="D1215" t="e">
        <f>INDEX('[1]CÓDIGOS DE PRODUCTO'!$D$3:$D$1000,MATCH(C1215,'[1]CÓDIGOS DE PRODUCTO'!$A$3:$A$1000,0))</f>
        <v>#N/A</v>
      </c>
      <c r="E1215">
        <f>VLOOKUP(C1215,'[1]CÓDIGOS DE PRODUCTO'!$A$4:$B$156,2,FALSE)</f>
        <v>0</v>
      </c>
      <c r="F1215">
        <f>INDEX('[1]CÓDIGOS DE PRODUCTO'!$C$3:$C$1000,MATCH(C1215,'[1]CÓDIGOS DE PRODUCTO'!$A$3:$A$1000,0))</f>
        <v>0</v>
      </c>
      <c r="G1215">
        <f>+'[1]VENTAS(RESUMEN GLOBAL)'!D1215-'[1]VENTAS(RESUMEN GLOBAL)'!E1215</f>
        <v>0</v>
      </c>
      <c r="H1215" s="9">
        <f>+'[1]VENTAS(RESUMEN GLOBAL)'!K1215</f>
        <v>0</v>
      </c>
      <c r="I1215" s="8">
        <f>+G1215*'[1]VENTAS(RESUMEN GLOBAL)'!F1215</f>
        <v>0</v>
      </c>
      <c r="J1215" s="8">
        <f>'[1]VENTAS(RESUMEN GLOBAL)'!G1215*(1-'[1]VENTAS(RESUMEN GLOBAL)'!H1215)</f>
        <v>0</v>
      </c>
      <c r="K1215" s="8">
        <f t="shared" si="18"/>
        <v>0</v>
      </c>
      <c r="L1215" s="8">
        <f>+'[1]VENTAS(RESUMEN GLOBAL)'!J1215</f>
        <v>0</v>
      </c>
      <c r="M1215" s="8">
        <f>+Tabla1[[#This Row],[utilidad x dia]]*7</f>
        <v>0</v>
      </c>
    </row>
    <row r="1216" spans="1:13" x14ac:dyDescent="0.3">
      <c r="A1216" s="6">
        <f>+'[1]VENTAS(RESUMEN GLOBAL)'!L1216</f>
        <v>0</v>
      </c>
      <c r="B1216" s="6">
        <f>+'[1]VENTAS(RESUMEN GLOBAL)'!M1216</f>
        <v>0</v>
      </c>
      <c r="C1216">
        <f>+'[1]VENTAS(RESUMEN GLOBAL)'!B1216</f>
        <v>0</v>
      </c>
      <c r="D1216" t="e">
        <f>INDEX('[1]CÓDIGOS DE PRODUCTO'!$D$3:$D$1000,MATCH(C1216,'[1]CÓDIGOS DE PRODUCTO'!$A$3:$A$1000,0))</f>
        <v>#N/A</v>
      </c>
      <c r="E1216">
        <f>VLOOKUP(C1216,'[1]CÓDIGOS DE PRODUCTO'!$A$4:$B$156,2,FALSE)</f>
        <v>0</v>
      </c>
      <c r="F1216">
        <f>INDEX('[1]CÓDIGOS DE PRODUCTO'!$C$3:$C$1000,MATCH(C1216,'[1]CÓDIGOS DE PRODUCTO'!$A$3:$A$1000,0))</f>
        <v>0</v>
      </c>
      <c r="G1216">
        <f>+'[1]VENTAS(RESUMEN GLOBAL)'!D1216-'[1]VENTAS(RESUMEN GLOBAL)'!E1216</f>
        <v>0</v>
      </c>
      <c r="H1216" s="9">
        <f>+'[1]VENTAS(RESUMEN GLOBAL)'!K1216</f>
        <v>0</v>
      </c>
      <c r="I1216" s="8">
        <f>+G1216*'[1]VENTAS(RESUMEN GLOBAL)'!F1216</f>
        <v>0</v>
      </c>
      <c r="J1216" s="8">
        <f>'[1]VENTAS(RESUMEN GLOBAL)'!G1216*(1-'[1]VENTAS(RESUMEN GLOBAL)'!H1216)</f>
        <v>0</v>
      </c>
      <c r="K1216" s="8">
        <f t="shared" si="18"/>
        <v>0</v>
      </c>
      <c r="L1216" s="8">
        <f>+'[1]VENTAS(RESUMEN GLOBAL)'!J1216</f>
        <v>0</v>
      </c>
      <c r="M1216" s="8">
        <f>+Tabla1[[#This Row],[utilidad x dia]]*7</f>
        <v>0</v>
      </c>
    </row>
    <row r="1217" spans="1:13" x14ac:dyDescent="0.3">
      <c r="A1217" s="6">
        <f>+'[1]VENTAS(RESUMEN GLOBAL)'!L1217</f>
        <v>0</v>
      </c>
      <c r="B1217" s="6">
        <f>+'[1]VENTAS(RESUMEN GLOBAL)'!M1217</f>
        <v>0</v>
      </c>
      <c r="C1217">
        <f>+'[1]VENTAS(RESUMEN GLOBAL)'!B1217</f>
        <v>0</v>
      </c>
      <c r="D1217" t="e">
        <f>INDEX('[1]CÓDIGOS DE PRODUCTO'!$D$3:$D$1000,MATCH(C1217,'[1]CÓDIGOS DE PRODUCTO'!$A$3:$A$1000,0))</f>
        <v>#N/A</v>
      </c>
      <c r="E1217">
        <f>VLOOKUP(C1217,'[1]CÓDIGOS DE PRODUCTO'!$A$4:$B$156,2,FALSE)</f>
        <v>0</v>
      </c>
      <c r="F1217">
        <f>INDEX('[1]CÓDIGOS DE PRODUCTO'!$C$3:$C$1000,MATCH(C1217,'[1]CÓDIGOS DE PRODUCTO'!$A$3:$A$1000,0))</f>
        <v>0</v>
      </c>
      <c r="G1217">
        <f>+'[1]VENTAS(RESUMEN GLOBAL)'!D1217-'[1]VENTAS(RESUMEN GLOBAL)'!E1217</f>
        <v>0</v>
      </c>
      <c r="H1217" s="9">
        <f>+'[1]VENTAS(RESUMEN GLOBAL)'!K1217</f>
        <v>0</v>
      </c>
      <c r="I1217" s="8">
        <f>+G1217*'[1]VENTAS(RESUMEN GLOBAL)'!F1217</f>
        <v>0</v>
      </c>
      <c r="J1217" s="8">
        <f>'[1]VENTAS(RESUMEN GLOBAL)'!G1217*(1-'[1]VENTAS(RESUMEN GLOBAL)'!H1217)</f>
        <v>0</v>
      </c>
      <c r="K1217" s="8">
        <f t="shared" si="18"/>
        <v>0</v>
      </c>
      <c r="L1217" s="8">
        <f>+'[1]VENTAS(RESUMEN GLOBAL)'!J1217</f>
        <v>0</v>
      </c>
      <c r="M1217" s="8">
        <f>+Tabla1[[#This Row],[utilidad x dia]]*7</f>
        <v>0</v>
      </c>
    </row>
    <row r="1218" spans="1:13" x14ac:dyDescent="0.3">
      <c r="A1218" s="6">
        <f>+'[1]VENTAS(RESUMEN GLOBAL)'!L1218</f>
        <v>0</v>
      </c>
      <c r="B1218" s="6">
        <f>+'[1]VENTAS(RESUMEN GLOBAL)'!M1218</f>
        <v>0</v>
      </c>
      <c r="C1218">
        <f>+'[1]VENTAS(RESUMEN GLOBAL)'!B1218</f>
        <v>0</v>
      </c>
      <c r="D1218" t="e">
        <f>INDEX('[1]CÓDIGOS DE PRODUCTO'!$D$3:$D$1000,MATCH(C1218,'[1]CÓDIGOS DE PRODUCTO'!$A$3:$A$1000,0))</f>
        <v>#N/A</v>
      </c>
      <c r="E1218">
        <f>VLOOKUP(C1218,'[1]CÓDIGOS DE PRODUCTO'!$A$4:$B$156,2,FALSE)</f>
        <v>0</v>
      </c>
      <c r="F1218">
        <f>INDEX('[1]CÓDIGOS DE PRODUCTO'!$C$3:$C$1000,MATCH(C1218,'[1]CÓDIGOS DE PRODUCTO'!$A$3:$A$1000,0))</f>
        <v>0</v>
      </c>
      <c r="G1218">
        <f>+'[1]VENTAS(RESUMEN GLOBAL)'!D1218-'[1]VENTAS(RESUMEN GLOBAL)'!E1218</f>
        <v>0</v>
      </c>
      <c r="H1218" s="9">
        <f>+'[1]VENTAS(RESUMEN GLOBAL)'!K1218</f>
        <v>0</v>
      </c>
      <c r="I1218" s="8">
        <f>+G1218*'[1]VENTAS(RESUMEN GLOBAL)'!F1218</f>
        <v>0</v>
      </c>
      <c r="J1218" s="8">
        <f>'[1]VENTAS(RESUMEN GLOBAL)'!G1218*(1-'[1]VENTAS(RESUMEN GLOBAL)'!H1218)</f>
        <v>0</v>
      </c>
      <c r="K1218" s="8">
        <f t="shared" si="18"/>
        <v>0</v>
      </c>
      <c r="L1218" s="8">
        <f>+'[1]VENTAS(RESUMEN GLOBAL)'!J1218</f>
        <v>0</v>
      </c>
      <c r="M1218" s="8">
        <f>+Tabla1[[#This Row],[utilidad x dia]]*7</f>
        <v>0</v>
      </c>
    </row>
    <row r="1219" spans="1:13" x14ac:dyDescent="0.3">
      <c r="A1219" s="6">
        <f>+'[1]VENTAS(RESUMEN GLOBAL)'!L1219</f>
        <v>0</v>
      </c>
      <c r="B1219" s="6">
        <f>+'[1]VENTAS(RESUMEN GLOBAL)'!M1219</f>
        <v>0</v>
      </c>
      <c r="C1219">
        <f>+'[1]VENTAS(RESUMEN GLOBAL)'!B1219</f>
        <v>0</v>
      </c>
      <c r="D1219" t="e">
        <f>INDEX('[1]CÓDIGOS DE PRODUCTO'!$D$3:$D$1000,MATCH(C1219,'[1]CÓDIGOS DE PRODUCTO'!$A$3:$A$1000,0))</f>
        <v>#N/A</v>
      </c>
      <c r="E1219">
        <f>VLOOKUP(C1219,'[1]CÓDIGOS DE PRODUCTO'!$A$4:$B$156,2,FALSE)</f>
        <v>0</v>
      </c>
      <c r="F1219">
        <f>INDEX('[1]CÓDIGOS DE PRODUCTO'!$C$3:$C$1000,MATCH(C1219,'[1]CÓDIGOS DE PRODUCTO'!$A$3:$A$1000,0))</f>
        <v>0</v>
      </c>
      <c r="G1219">
        <f>+'[1]VENTAS(RESUMEN GLOBAL)'!D1219-'[1]VENTAS(RESUMEN GLOBAL)'!E1219</f>
        <v>0</v>
      </c>
      <c r="H1219" s="9">
        <f>+'[1]VENTAS(RESUMEN GLOBAL)'!K1219</f>
        <v>0</v>
      </c>
      <c r="I1219" s="8">
        <f>+G1219*'[1]VENTAS(RESUMEN GLOBAL)'!F1219</f>
        <v>0</v>
      </c>
      <c r="J1219" s="8">
        <f>'[1]VENTAS(RESUMEN GLOBAL)'!G1219*(1-'[1]VENTAS(RESUMEN GLOBAL)'!H1219)</f>
        <v>0</v>
      </c>
      <c r="K1219" s="8">
        <f t="shared" ref="K1219:K1282" si="19">+I1219-J1219</f>
        <v>0</v>
      </c>
      <c r="L1219" s="8">
        <f>+'[1]VENTAS(RESUMEN GLOBAL)'!J1219</f>
        <v>0</v>
      </c>
      <c r="M1219" s="8">
        <f>+Tabla1[[#This Row],[utilidad x dia]]*7</f>
        <v>0</v>
      </c>
    </row>
    <row r="1220" spans="1:13" x14ac:dyDescent="0.3">
      <c r="A1220" s="6">
        <f>+'[1]VENTAS(RESUMEN GLOBAL)'!L1220</f>
        <v>0</v>
      </c>
      <c r="B1220" s="6">
        <f>+'[1]VENTAS(RESUMEN GLOBAL)'!M1220</f>
        <v>0</v>
      </c>
      <c r="C1220">
        <f>+'[1]VENTAS(RESUMEN GLOBAL)'!B1220</f>
        <v>0</v>
      </c>
      <c r="D1220" t="e">
        <f>INDEX('[1]CÓDIGOS DE PRODUCTO'!$D$3:$D$1000,MATCH(C1220,'[1]CÓDIGOS DE PRODUCTO'!$A$3:$A$1000,0))</f>
        <v>#N/A</v>
      </c>
      <c r="E1220">
        <f>VLOOKUP(C1220,'[1]CÓDIGOS DE PRODUCTO'!$A$4:$B$156,2,FALSE)</f>
        <v>0</v>
      </c>
      <c r="F1220">
        <f>INDEX('[1]CÓDIGOS DE PRODUCTO'!$C$3:$C$1000,MATCH(C1220,'[1]CÓDIGOS DE PRODUCTO'!$A$3:$A$1000,0))</f>
        <v>0</v>
      </c>
      <c r="G1220">
        <f>+'[1]VENTAS(RESUMEN GLOBAL)'!D1220-'[1]VENTAS(RESUMEN GLOBAL)'!E1220</f>
        <v>0</v>
      </c>
      <c r="H1220" s="9">
        <f>+'[1]VENTAS(RESUMEN GLOBAL)'!K1220</f>
        <v>0</v>
      </c>
      <c r="I1220" s="8">
        <f>+G1220*'[1]VENTAS(RESUMEN GLOBAL)'!F1220</f>
        <v>0</v>
      </c>
      <c r="J1220" s="8">
        <f>'[1]VENTAS(RESUMEN GLOBAL)'!G1220*(1-'[1]VENTAS(RESUMEN GLOBAL)'!H1220)</f>
        <v>0</v>
      </c>
      <c r="K1220" s="8">
        <f t="shared" si="19"/>
        <v>0</v>
      </c>
      <c r="L1220" s="8">
        <f>+'[1]VENTAS(RESUMEN GLOBAL)'!J1220</f>
        <v>0</v>
      </c>
      <c r="M1220" s="8">
        <f>+Tabla1[[#This Row],[utilidad x dia]]*7</f>
        <v>0</v>
      </c>
    </row>
    <row r="1221" spans="1:13" x14ac:dyDescent="0.3">
      <c r="A1221" s="6">
        <f>+'[1]VENTAS(RESUMEN GLOBAL)'!L1221</f>
        <v>0</v>
      </c>
      <c r="B1221" s="6">
        <f>+'[1]VENTAS(RESUMEN GLOBAL)'!M1221</f>
        <v>0</v>
      </c>
      <c r="C1221">
        <f>+'[1]VENTAS(RESUMEN GLOBAL)'!B1221</f>
        <v>0</v>
      </c>
      <c r="D1221" t="e">
        <f>INDEX('[1]CÓDIGOS DE PRODUCTO'!$D$3:$D$1000,MATCH(C1221,'[1]CÓDIGOS DE PRODUCTO'!$A$3:$A$1000,0))</f>
        <v>#N/A</v>
      </c>
      <c r="E1221">
        <f>VLOOKUP(C1221,'[1]CÓDIGOS DE PRODUCTO'!$A$4:$B$156,2,FALSE)</f>
        <v>0</v>
      </c>
      <c r="F1221">
        <f>INDEX('[1]CÓDIGOS DE PRODUCTO'!$C$3:$C$1000,MATCH(C1221,'[1]CÓDIGOS DE PRODUCTO'!$A$3:$A$1000,0))</f>
        <v>0</v>
      </c>
      <c r="G1221">
        <f>+'[1]VENTAS(RESUMEN GLOBAL)'!D1221-'[1]VENTAS(RESUMEN GLOBAL)'!E1221</f>
        <v>0</v>
      </c>
      <c r="H1221" s="9">
        <f>+'[1]VENTAS(RESUMEN GLOBAL)'!K1221</f>
        <v>0</v>
      </c>
      <c r="I1221" s="8">
        <f>+G1221*'[1]VENTAS(RESUMEN GLOBAL)'!F1221</f>
        <v>0</v>
      </c>
      <c r="J1221" s="8">
        <f>'[1]VENTAS(RESUMEN GLOBAL)'!G1221*(1-'[1]VENTAS(RESUMEN GLOBAL)'!H1221)</f>
        <v>0</v>
      </c>
      <c r="K1221" s="8">
        <f t="shared" si="19"/>
        <v>0</v>
      </c>
      <c r="L1221" s="8">
        <f>+'[1]VENTAS(RESUMEN GLOBAL)'!J1221</f>
        <v>0</v>
      </c>
      <c r="M1221" s="8">
        <f>+Tabla1[[#This Row],[utilidad x dia]]*7</f>
        <v>0</v>
      </c>
    </row>
    <row r="1222" spans="1:13" x14ac:dyDescent="0.3">
      <c r="A1222" s="6">
        <f>+'[1]VENTAS(RESUMEN GLOBAL)'!L1222</f>
        <v>0</v>
      </c>
      <c r="B1222" s="6">
        <f>+'[1]VENTAS(RESUMEN GLOBAL)'!M1222</f>
        <v>0</v>
      </c>
      <c r="C1222">
        <f>+'[1]VENTAS(RESUMEN GLOBAL)'!B1222</f>
        <v>0</v>
      </c>
      <c r="D1222" t="e">
        <f>INDEX('[1]CÓDIGOS DE PRODUCTO'!$D$3:$D$1000,MATCH(C1222,'[1]CÓDIGOS DE PRODUCTO'!$A$3:$A$1000,0))</f>
        <v>#N/A</v>
      </c>
      <c r="E1222">
        <f>VLOOKUP(C1222,'[1]CÓDIGOS DE PRODUCTO'!$A$4:$B$156,2,FALSE)</f>
        <v>0</v>
      </c>
      <c r="F1222">
        <f>INDEX('[1]CÓDIGOS DE PRODUCTO'!$C$3:$C$1000,MATCH(C1222,'[1]CÓDIGOS DE PRODUCTO'!$A$3:$A$1000,0))</f>
        <v>0</v>
      </c>
      <c r="G1222">
        <f>+'[1]VENTAS(RESUMEN GLOBAL)'!D1222-'[1]VENTAS(RESUMEN GLOBAL)'!E1222</f>
        <v>0</v>
      </c>
      <c r="H1222" s="9">
        <f>+'[1]VENTAS(RESUMEN GLOBAL)'!K1222</f>
        <v>0</v>
      </c>
      <c r="I1222" s="8">
        <f>+G1222*'[1]VENTAS(RESUMEN GLOBAL)'!F1222</f>
        <v>0</v>
      </c>
      <c r="J1222" s="8">
        <f>'[1]VENTAS(RESUMEN GLOBAL)'!G1222*(1-'[1]VENTAS(RESUMEN GLOBAL)'!H1222)</f>
        <v>0</v>
      </c>
      <c r="K1222" s="8">
        <f t="shared" si="19"/>
        <v>0</v>
      </c>
      <c r="L1222" s="8">
        <f>+'[1]VENTAS(RESUMEN GLOBAL)'!J1222</f>
        <v>0</v>
      </c>
      <c r="M1222" s="8">
        <f>+Tabla1[[#This Row],[utilidad x dia]]*7</f>
        <v>0</v>
      </c>
    </row>
    <row r="1223" spans="1:13" x14ac:dyDescent="0.3">
      <c r="A1223" s="6">
        <f>+'[1]VENTAS(RESUMEN GLOBAL)'!L1223</f>
        <v>0</v>
      </c>
      <c r="B1223" s="6">
        <f>+'[1]VENTAS(RESUMEN GLOBAL)'!M1223</f>
        <v>0</v>
      </c>
      <c r="C1223">
        <f>+'[1]VENTAS(RESUMEN GLOBAL)'!B1223</f>
        <v>0</v>
      </c>
      <c r="D1223" t="e">
        <f>INDEX('[1]CÓDIGOS DE PRODUCTO'!$D$3:$D$1000,MATCH(C1223,'[1]CÓDIGOS DE PRODUCTO'!$A$3:$A$1000,0))</f>
        <v>#N/A</v>
      </c>
      <c r="E1223">
        <f>VLOOKUP(C1223,'[1]CÓDIGOS DE PRODUCTO'!$A$4:$B$156,2,FALSE)</f>
        <v>0</v>
      </c>
      <c r="F1223">
        <f>INDEX('[1]CÓDIGOS DE PRODUCTO'!$C$3:$C$1000,MATCH(C1223,'[1]CÓDIGOS DE PRODUCTO'!$A$3:$A$1000,0))</f>
        <v>0</v>
      </c>
      <c r="G1223">
        <f>+'[1]VENTAS(RESUMEN GLOBAL)'!D1223-'[1]VENTAS(RESUMEN GLOBAL)'!E1223</f>
        <v>0</v>
      </c>
      <c r="H1223" s="9">
        <f>+'[1]VENTAS(RESUMEN GLOBAL)'!K1223</f>
        <v>0</v>
      </c>
      <c r="I1223" s="8">
        <f>+G1223*'[1]VENTAS(RESUMEN GLOBAL)'!F1223</f>
        <v>0</v>
      </c>
      <c r="J1223" s="8">
        <f>'[1]VENTAS(RESUMEN GLOBAL)'!G1223*(1-'[1]VENTAS(RESUMEN GLOBAL)'!H1223)</f>
        <v>0</v>
      </c>
      <c r="K1223" s="8">
        <f t="shared" si="19"/>
        <v>0</v>
      </c>
      <c r="L1223" s="8">
        <f>+'[1]VENTAS(RESUMEN GLOBAL)'!J1223</f>
        <v>0</v>
      </c>
      <c r="M1223" s="8">
        <f>+Tabla1[[#This Row],[utilidad x dia]]*7</f>
        <v>0</v>
      </c>
    </row>
    <row r="1224" spans="1:13" x14ac:dyDescent="0.3">
      <c r="A1224" s="6">
        <f>+'[1]VENTAS(RESUMEN GLOBAL)'!L1224</f>
        <v>0</v>
      </c>
      <c r="B1224" s="6">
        <f>+'[1]VENTAS(RESUMEN GLOBAL)'!M1224</f>
        <v>0</v>
      </c>
      <c r="C1224">
        <f>+'[1]VENTAS(RESUMEN GLOBAL)'!B1224</f>
        <v>0</v>
      </c>
      <c r="D1224" t="e">
        <f>INDEX('[1]CÓDIGOS DE PRODUCTO'!$D$3:$D$1000,MATCH(C1224,'[1]CÓDIGOS DE PRODUCTO'!$A$3:$A$1000,0))</f>
        <v>#N/A</v>
      </c>
      <c r="E1224">
        <f>VLOOKUP(C1224,'[1]CÓDIGOS DE PRODUCTO'!$A$4:$B$156,2,FALSE)</f>
        <v>0</v>
      </c>
      <c r="F1224">
        <f>INDEX('[1]CÓDIGOS DE PRODUCTO'!$C$3:$C$1000,MATCH(C1224,'[1]CÓDIGOS DE PRODUCTO'!$A$3:$A$1000,0))</f>
        <v>0</v>
      </c>
      <c r="G1224">
        <f>+'[1]VENTAS(RESUMEN GLOBAL)'!D1224-'[1]VENTAS(RESUMEN GLOBAL)'!E1224</f>
        <v>0</v>
      </c>
      <c r="H1224" s="9">
        <f>+'[1]VENTAS(RESUMEN GLOBAL)'!K1224</f>
        <v>0</v>
      </c>
      <c r="I1224" s="8">
        <f>+G1224*'[1]VENTAS(RESUMEN GLOBAL)'!F1224</f>
        <v>0</v>
      </c>
      <c r="J1224" s="8">
        <f>'[1]VENTAS(RESUMEN GLOBAL)'!G1224*(1-'[1]VENTAS(RESUMEN GLOBAL)'!H1224)</f>
        <v>0</v>
      </c>
      <c r="K1224" s="8">
        <f t="shared" si="19"/>
        <v>0</v>
      </c>
      <c r="L1224" s="8">
        <f>+'[1]VENTAS(RESUMEN GLOBAL)'!J1224</f>
        <v>0</v>
      </c>
      <c r="M1224" s="8">
        <f>+Tabla1[[#This Row],[utilidad x dia]]*7</f>
        <v>0</v>
      </c>
    </row>
    <row r="1225" spans="1:13" x14ac:dyDescent="0.3">
      <c r="A1225" s="6">
        <f>+'[1]VENTAS(RESUMEN GLOBAL)'!L1225</f>
        <v>0</v>
      </c>
      <c r="B1225" s="6">
        <f>+'[1]VENTAS(RESUMEN GLOBAL)'!M1225</f>
        <v>0</v>
      </c>
      <c r="C1225">
        <f>+'[1]VENTAS(RESUMEN GLOBAL)'!B1225</f>
        <v>0</v>
      </c>
      <c r="D1225" t="e">
        <f>INDEX('[1]CÓDIGOS DE PRODUCTO'!$D$3:$D$1000,MATCH(C1225,'[1]CÓDIGOS DE PRODUCTO'!$A$3:$A$1000,0))</f>
        <v>#N/A</v>
      </c>
      <c r="E1225">
        <f>VLOOKUP(C1225,'[1]CÓDIGOS DE PRODUCTO'!$A$4:$B$156,2,FALSE)</f>
        <v>0</v>
      </c>
      <c r="F1225">
        <f>INDEX('[1]CÓDIGOS DE PRODUCTO'!$C$3:$C$1000,MATCH(C1225,'[1]CÓDIGOS DE PRODUCTO'!$A$3:$A$1000,0))</f>
        <v>0</v>
      </c>
      <c r="G1225">
        <f>+'[1]VENTAS(RESUMEN GLOBAL)'!D1225-'[1]VENTAS(RESUMEN GLOBAL)'!E1225</f>
        <v>0</v>
      </c>
      <c r="H1225" s="9">
        <f>+'[1]VENTAS(RESUMEN GLOBAL)'!K1225</f>
        <v>0</v>
      </c>
      <c r="I1225" s="8">
        <f>+G1225*'[1]VENTAS(RESUMEN GLOBAL)'!F1225</f>
        <v>0</v>
      </c>
      <c r="J1225" s="8">
        <f>'[1]VENTAS(RESUMEN GLOBAL)'!G1225*(1-'[1]VENTAS(RESUMEN GLOBAL)'!H1225)</f>
        <v>0</v>
      </c>
      <c r="K1225" s="8">
        <f t="shared" si="19"/>
        <v>0</v>
      </c>
      <c r="L1225" s="8">
        <f>+'[1]VENTAS(RESUMEN GLOBAL)'!J1225</f>
        <v>0</v>
      </c>
      <c r="M1225" s="8">
        <f>+Tabla1[[#This Row],[utilidad x dia]]*7</f>
        <v>0</v>
      </c>
    </row>
    <row r="1226" spans="1:13" x14ac:dyDescent="0.3">
      <c r="A1226" s="6">
        <f>+'[1]VENTAS(RESUMEN GLOBAL)'!L1226</f>
        <v>0</v>
      </c>
      <c r="B1226" s="6">
        <f>+'[1]VENTAS(RESUMEN GLOBAL)'!M1226</f>
        <v>0</v>
      </c>
      <c r="C1226">
        <f>+'[1]VENTAS(RESUMEN GLOBAL)'!B1226</f>
        <v>0</v>
      </c>
      <c r="D1226" t="e">
        <f>INDEX('[1]CÓDIGOS DE PRODUCTO'!$D$3:$D$1000,MATCH(C1226,'[1]CÓDIGOS DE PRODUCTO'!$A$3:$A$1000,0))</f>
        <v>#N/A</v>
      </c>
      <c r="E1226">
        <f>VLOOKUP(C1226,'[1]CÓDIGOS DE PRODUCTO'!$A$4:$B$156,2,FALSE)</f>
        <v>0</v>
      </c>
      <c r="F1226">
        <f>INDEX('[1]CÓDIGOS DE PRODUCTO'!$C$3:$C$1000,MATCH(C1226,'[1]CÓDIGOS DE PRODUCTO'!$A$3:$A$1000,0))</f>
        <v>0</v>
      </c>
      <c r="G1226">
        <f>+'[1]VENTAS(RESUMEN GLOBAL)'!D1226-'[1]VENTAS(RESUMEN GLOBAL)'!E1226</f>
        <v>0</v>
      </c>
      <c r="H1226" s="9">
        <f>+'[1]VENTAS(RESUMEN GLOBAL)'!K1226</f>
        <v>0</v>
      </c>
      <c r="I1226" s="8">
        <f>+G1226*'[1]VENTAS(RESUMEN GLOBAL)'!F1226</f>
        <v>0</v>
      </c>
      <c r="J1226" s="8">
        <f>'[1]VENTAS(RESUMEN GLOBAL)'!G1226*(1-'[1]VENTAS(RESUMEN GLOBAL)'!H1226)</f>
        <v>0</v>
      </c>
      <c r="K1226" s="8">
        <f t="shared" si="19"/>
        <v>0</v>
      </c>
      <c r="L1226" s="8">
        <f>+'[1]VENTAS(RESUMEN GLOBAL)'!J1226</f>
        <v>0</v>
      </c>
      <c r="M1226" s="8">
        <f>+Tabla1[[#This Row],[utilidad x dia]]*7</f>
        <v>0</v>
      </c>
    </row>
    <row r="1227" spans="1:13" x14ac:dyDescent="0.3">
      <c r="A1227" s="6">
        <f>+'[1]VENTAS(RESUMEN GLOBAL)'!L1227</f>
        <v>0</v>
      </c>
      <c r="B1227" s="6">
        <f>+'[1]VENTAS(RESUMEN GLOBAL)'!M1227</f>
        <v>0</v>
      </c>
      <c r="C1227">
        <f>+'[1]VENTAS(RESUMEN GLOBAL)'!B1227</f>
        <v>0</v>
      </c>
      <c r="D1227" t="e">
        <f>INDEX('[1]CÓDIGOS DE PRODUCTO'!$D$3:$D$1000,MATCH(C1227,'[1]CÓDIGOS DE PRODUCTO'!$A$3:$A$1000,0))</f>
        <v>#N/A</v>
      </c>
      <c r="E1227">
        <f>VLOOKUP(C1227,'[1]CÓDIGOS DE PRODUCTO'!$A$4:$B$156,2,FALSE)</f>
        <v>0</v>
      </c>
      <c r="F1227">
        <f>INDEX('[1]CÓDIGOS DE PRODUCTO'!$C$3:$C$1000,MATCH(C1227,'[1]CÓDIGOS DE PRODUCTO'!$A$3:$A$1000,0))</f>
        <v>0</v>
      </c>
      <c r="G1227">
        <f>+'[1]VENTAS(RESUMEN GLOBAL)'!D1227-'[1]VENTAS(RESUMEN GLOBAL)'!E1227</f>
        <v>0</v>
      </c>
      <c r="H1227" s="9">
        <f>+'[1]VENTAS(RESUMEN GLOBAL)'!K1227</f>
        <v>0</v>
      </c>
      <c r="I1227" s="8">
        <f>+G1227*'[1]VENTAS(RESUMEN GLOBAL)'!F1227</f>
        <v>0</v>
      </c>
      <c r="J1227" s="8">
        <f>'[1]VENTAS(RESUMEN GLOBAL)'!G1227*(1-'[1]VENTAS(RESUMEN GLOBAL)'!H1227)</f>
        <v>0</v>
      </c>
      <c r="K1227" s="8">
        <f t="shared" si="19"/>
        <v>0</v>
      </c>
      <c r="L1227" s="8">
        <f>+'[1]VENTAS(RESUMEN GLOBAL)'!J1227</f>
        <v>0</v>
      </c>
      <c r="M1227" s="8">
        <f>+Tabla1[[#This Row],[utilidad x dia]]*7</f>
        <v>0</v>
      </c>
    </row>
    <row r="1228" spans="1:13" x14ac:dyDescent="0.3">
      <c r="A1228" s="6">
        <f>+'[1]VENTAS(RESUMEN GLOBAL)'!L1228</f>
        <v>0</v>
      </c>
      <c r="B1228" s="6">
        <f>+'[1]VENTAS(RESUMEN GLOBAL)'!M1228</f>
        <v>0</v>
      </c>
      <c r="C1228">
        <f>+'[1]VENTAS(RESUMEN GLOBAL)'!B1228</f>
        <v>0</v>
      </c>
      <c r="D1228" t="e">
        <f>INDEX('[1]CÓDIGOS DE PRODUCTO'!$D$3:$D$1000,MATCH(C1228,'[1]CÓDIGOS DE PRODUCTO'!$A$3:$A$1000,0))</f>
        <v>#N/A</v>
      </c>
      <c r="E1228">
        <f>VLOOKUP(C1228,'[1]CÓDIGOS DE PRODUCTO'!$A$4:$B$156,2,FALSE)</f>
        <v>0</v>
      </c>
      <c r="F1228">
        <f>INDEX('[1]CÓDIGOS DE PRODUCTO'!$C$3:$C$1000,MATCH(C1228,'[1]CÓDIGOS DE PRODUCTO'!$A$3:$A$1000,0))</f>
        <v>0</v>
      </c>
      <c r="G1228">
        <f>+'[1]VENTAS(RESUMEN GLOBAL)'!D1228-'[1]VENTAS(RESUMEN GLOBAL)'!E1228</f>
        <v>0</v>
      </c>
      <c r="H1228" s="9">
        <f>+'[1]VENTAS(RESUMEN GLOBAL)'!K1228</f>
        <v>0</v>
      </c>
      <c r="I1228" s="8">
        <f>+G1228*'[1]VENTAS(RESUMEN GLOBAL)'!F1228</f>
        <v>0</v>
      </c>
      <c r="J1228" s="8">
        <f>'[1]VENTAS(RESUMEN GLOBAL)'!G1228*(1-'[1]VENTAS(RESUMEN GLOBAL)'!H1228)</f>
        <v>0</v>
      </c>
      <c r="K1228" s="8">
        <f t="shared" si="19"/>
        <v>0</v>
      </c>
      <c r="L1228" s="8">
        <f>+'[1]VENTAS(RESUMEN GLOBAL)'!J1228</f>
        <v>0</v>
      </c>
      <c r="M1228" s="8">
        <f>+Tabla1[[#This Row],[utilidad x dia]]*7</f>
        <v>0</v>
      </c>
    </row>
    <row r="1229" spans="1:13" x14ac:dyDescent="0.3">
      <c r="A1229" s="6">
        <f>+'[1]VENTAS(RESUMEN GLOBAL)'!L1229</f>
        <v>0</v>
      </c>
      <c r="B1229" s="6">
        <f>+'[1]VENTAS(RESUMEN GLOBAL)'!M1229</f>
        <v>0</v>
      </c>
      <c r="C1229">
        <f>+'[1]VENTAS(RESUMEN GLOBAL)'!B1229</f>
        <v>0</v>
      </c>
      <c r="D1229" t="e">
        <f>INDEX('[1]CÓDIGOS DE PRODUCTO'!$D$3:$D$1000,MATCH(C1229,'[1]CÓDIGOS DE PRODUCTO'!$A$3:$A$1000,0))</f>
        <v>#N/A</v>
      </c>
      <c r="E1229">
        <f>VLOOKUP(C1229,'[1]CÓDIGOS DE PRODUCTO'!$A$4:$B$156,2,FALSE)</f>
        <v>0</v>
      </c>
      <c r="F1229">
        <f>INDEX('[1]CÓDIGOS DE PRODUCTO'!$C$3:$C$1000,MATCH(C1229,'[1]CÓDIGOS DE PRODUCTO'!$A$3:$A$1000,0))</f>
        <v>0</v>
      </c>
      <c r="G1229">
        <f>+'[1]VENTAS(RESUMEN GLOBAL)'!D1229-'[1]VENTAS(RESUMEN GLOBAL)'!E1229</f>
        <v>0</v>
      </c>
      <c r="H1229" s="9">
        <f>+'[1]VENTAS(RESUMEN GLOBAL)'!K1229</f>
        <v>0</v>
      </c>
      <c r="I1229" s="8">
        <f>+G1229*'[1]VENTAS(RESUMEN GLOBAL)'!F1229</f>
        <v>0</v>
      </c>
      <c r="J1229" s="8">
        <f>'[1]VENTAS(RESUMEN GLOBAL)'!G1229*(1-'[1]VENTAS(RESUMEN GLOBAL)'!H1229)</f>
        <v>0</v>
      </c>
      <c r="K1229" s="8">
        <f t="shared" si="19"/>
        <v>0</v>
      </c>
      <c r="L1229" s="8">
        <f>+'[1]VENTAS(RESUMEN GLOBAL)'!J1229</f>
        <v>0</v>
      </c>
      <c r="M1229" s="8">
        <f>+Tabla1[[#This Row],[utilidad x dia]]*7</f>
        <v>0</v>
      </c>
    </row>
    <row r="1230" spans="1:13" x14ac:dyDescent="0.3">
      <c r="A1230" s="6">
        <f>+'[1]VENTAS(RESUMEN GLOBAL)'!L1230</f>
        <v>0</v>
      </c>
      <c r="B1230" s="6">
        <f>+'[1]VENTAS(RESUMEN GLOBAL)'!M1230</f>
        <v>0</v>
      </c>
      <c r="C1230">
        <f>+'[1]VENTAS(RESUMEN GLOBAL)'!B1230</f>
        <v>0</v>
      </c>
      <c r="D1230" t="e">
        <f>INDEX('[1]CÓDIGOS DE PRODUCTO'!$D$3:$D$1000,MATCH(C1230,'[1]CÓDIGOS DE PRODUCTO'!$A$3:$A$1000,0))</f>
        <v>#N/A</v>
      </c>
      <c r="E1230">
        <f>VLOOKUP(C1230,'[1]CÓDIGOS DE PRODUCTO'!$A$4:$B$156,2,FALSE)</f>
        <v>0</v>
      </c>
      <c r="F1230">
        <f>INDEX('[1]CÓDIGOS DE PRODUCTO'!$C$3:$C$1000,MATCH(C1230,'[1]CÓDIGOS DE PRODUCTO'!$A$3:$A$1000,0))</f>
        <v>0</v>
      </c>
      <c r="G1230">
        <f>+'[1]VENTAS(RESUMEN GLOBAL)'!D1230-'[1]VENTAS(RESUMEN GLOBAL)'!E1230</f>
        <v>0</v>
      </c>
      <c r="H1230" s="9">
        <f>+'[1]VENTAS(RESUMEN GLOBAL)'!K1230</f>
        <v>0</v>
      </c>
      <c r="I1230" s="8">
        <f>+G1230*'[1]VENTAS(RESUMEN GLOBAL)'!F1230</f>
        <v>0</v>
      </c>
      <c r="J1230" s="8">
        <f>'[1]VENTAS(RESUMEN GLOBAL)'!G1230*(1-'[1]VENTAS(RESUMEN GLOBAL)'!H1230)</f>
        <v>0</v>
      </c>
      <c r="K1230" s="8">
        <f t="shared" si="19"/>
        <v>0</v>
      </c>
      <c r="L1230" s="8">
        <f>+'[1]VENTAS(RESUMEN GLOBAL)'!J1230</f>
        <v>0</v>
      </c>
      <c r="M1230" s="8">
        <f>+Tabla1[[#This Row],[utilidad x dia]]*7</f>
        <v>0</v>
      </c>
    </row>
    <row r="1231" spans="1:13" x14ac:dyDescent="0.3">
      <c r="A1231" s="6">
        <f>+'[1]VENTAS(RESUMEN GLOBAL)'!L1231</f>
        <v>0</v>
      </c>
      <c r="B1231" s="6">
        <f>+'[1]VENTAS(RESUMEN GLOBAL)'!M1231</f>
        <v>0</v>
      </c>
      <c r="C1231">
        <f>+'[1]VENTAS(RESUMEN GLOBAL)'!B1231</f>
        <v>0</v>
      </c>
      <c r="D1231" t="e">
        <f>INDEX('[1]CÓDIGOS DE PRODUCTO'!$D$3:$D$1000,MATCH(C1231,'[1]CÓDIGOS DE PRODUCTO'!$A$3:$A$1000,0))</f>
        <v>#N/A</v>
      </c>
      <c r="E1231">
        <f>VLOOKUP(C1231,'[1]CÓDIGOS DE PRODUCTO'!$A$4:$B$156,2,FALSE)</f>
        <v>0</v>
      </c>
      <c r="F1231">
        <f>INDEX('[1]CÓDIGOS DE PRODUCTO'!$C$3:$C$1000,MATCH(C1231,'[1]CÓDIGOS DE PRODUCTO'!$A$3:$A$1000,0))</f>
        <v>0</v>
      </c>
      <c r="G1231">
        <f>+'[1]VENTAS(RESUMEN GLOBAL)'!D1231-'[1]VENTAS(RESUMEN GLOBAL)'!E1231</f>
        <v>0</v>
      </c>
      <c r="H1231" s="9">
        <f>+'[1]VENTAS(RESUMEN GLOBAL)'!K1231</f>
        <v>0</v>
      </c>
      <c r="I1231" s="8">
        <f>+G1231*'[1]VENTAS(RESUMEN GLOBAL)'!F1231</f>
        <v>0</v>
      </c>
      <c r="J1231" s="8">
        <f>'[1]VENTAS(RESUMEN GLOBAL)'!G1231*(1-'[1]VENTAS(RESUMEN GLOBAL)'!H1231)</f>
        <v>0</v>
      </c>
      <c r="K1231" s="8">
        <f t="shared" si="19"/>
        <v>0</v>
      </c>
      <c r="L1231" s="8">
        <f>+'[1]VENTAS(RESUMEN GLOBAL)'!J1231</f>
        <v>0</v>
      </c>
      <c r="M1231" s="8">
        <f>+Tabla1[[#This Row],[utilidad x dia]]*7</f>
        <v>0</v>
      </c>
    </row>
    <row r="1232" spans="1:13" x14ac:dyDescent="0.3">
      <c r="A1232" s="6">
        <f>+'[1]VENTAS(RESUMEN GLOBAL)'!L1232</f>
        <v>0</v>
      </c>
      <c r="B1232" s="6">
        <f>+'[1]VENTAS(RESUMEN GLOBAL)'!M1232</f>
        <v>0</v>
      </c>
      <c r="C1232">
        <f>+'[1]VENTAS(RESUMEN GLOBAL)'!B1232</f>
        <v>0</v>
      </c>
      <c r="D1232" t="e">
        <f>INDEX('[1]CÓDIGOS DE PRODUCTO'!$D$3:$D$1000,MATCH(C1232,'[1]CÓDIGOS DE PRODUCTO'!$A$3:$A$1000,0))</f>
        <v>#N/A</v>
      </c>
      <c r="E1232">
        <f>VLOOKUP(C1232,'[1]CÓDIGOS DE PRODUCTO'!$A$4:$B$156,2,FALSE)</f>
        <v>0</v>
      </c>
      <c r="F1232">
        <f>INDEX('[1]CÓDIGOS DE PRODUCTO'!$C$3:$C$1000,MATCH(C1232,'[1]CÓDIGOS DE PRODUCTO'!$A$3:$A$1000,0))</f>
        <v>0</v>
      </c>
      <c r="G1232">
        <f>+'[1]VENTAS(RESUMEN GLOBAL)'!D1232-'[1]VENTAS(RESUMEN GLOBAL)'!E1232</f>
        <v>0</v>
      </c>
      <c r="H1232" s="9">
        <f>+'[1]VENTAS(RESUMEN GLOBAL)'!K1232</f>
        <v>0</v>
      </c>
      <c r="I1232" s="8">
        <f>+G1232*'[1]VENTAS(RESUMEN GLOBAL)'!F1232</f>
        <v>0</v>
      </c>
      <c r="J1232" s="8">
        <f>'[1]VENTAS(RESUMEN GLOBAL)'!G1232*(1-'[1]VENTAS(RESUMEN GLOBAL)'!H1232)</f>
        <v>0</v>
      </c>
      <c r="K1232" s="8">
        <f t="shared" si="19"/>
        <v>0</v>
      </c>
      <c r="L1232" s="8">
        <f>+'[1]VENTAS(RESUMEN GLOBAL)'!J1232</f>
        <v>0</v>
      </c>
      <c r="M1232" s="8">
        <f>+Tabla1[[#This Row],[utilidad x dia]]*7</f>
        <v>0</v>
      </c>
    </row>
    <row r="1233" spans="1:13" x14ac:dyDescent="0.3">
      <c r="A1233" s="6">
        <f>+'[1]VENTAS(RESUMEN GLOBAL)'!L1233</f>
        <v>0</v>
      </c>
      <c r="B1233" s="6">
        <f>+'[1]VENTAS(RESUMEN GLOBAL)'!M1233</f>
        <v>0</v>
      </c>
      <c r="C1233">
        <f>+'[1]VENTAS(RESUMEN GLOBAL)'!B1233</f>
        <v>0</v>
      </c>
      <c r="D1233" t="e">
        <f>INDEX('[1]CÓDIGOS DE PRODUCTO'!$D$3:$D$1000,MATCH(C1233,'[1]CÓDIGOS DE PRODUCTO'!$A$3:$A$1000,0))</f>
        <v>#N/A</v>
      </c>
      <c r="E1233">
        <f>VLOOKUP(C1233,'[1]CÓDIGOS DE PRODUCTO'!$A$4:$B$156,2,FALSE)</f>
        <v>0</v>
      </c>
      <c r="F1233">
        <f>INDEX('[1]CÓDIGOS DE PRODUCTO'!$C$3:$C$1000,MATCH(C1233,'[1]CÓDIGOS DE PRODUCTO'!$A$3:$A$1000,0))</f>
        <v>0</v>
      </c>
      <c r="G1233">
        <f>+'[1]VENTAS(RESUMEN GLOBAL)'!D1233-'[1]VENTAS(RESUMEN GLOBAL)'!E1233</f>
        <v>0</v>
      </c>
      <c r="H1233" s="9">
        <f>+'[1]VENTAS(RESUMEN GLOBAL)'!K1233</f>
        <v>0</v>
      </c>
      <c r="I1233" s="8">
        <f>+G1233*'[1]VENTAS(RESUMEN GLOBAL)'!F1233</f>
        <v>0</v>
      </c>
      <c r="J1233" s="8">
        <f>'[1]VENTAS(RESUMEN GLOBAL)'!G1233*(1-'[1]VENTAS(RESUMEN GLOBAL)'!H1233)</f>
        <v>0</v>
      </c>
      <c r="K1233" s="8">
        <f t="shared" si="19"/>
        <v>0</v>
      </c>
      <c r="L1233" s="8">
        <f>+'[1]VENTAS(RESUMEN GLOBAL)'!J1233</f>
        <v>0</v>
      </c>
      <c r="M1233" s="8">
        <f>+Tabla1[[#This Row],[utilidad x dia]]*7</f>
        <v>0</v>
      </c>
    </row>
    <row r="1234" spans="1:13" x14ac:dyDescent="0.3">
      <c r="A1234" s="6">
        <f>+'[1]VENTAS(RESUMEN GLOBAL)'!L1234</f>
        <v>0</v>
      </c>
      <c r="B1234" s="6">
        <f>+'[1]VENTAS(RESUMEN GLOBAL)'!M1234</f>
        <v>0</v>
      </c>
      <c r="C1234">
        <f>+'[1]VENTAS(RESUMEN GLOBAL)'!B1234</f>
        <v>0</v>
      </c>
      <c r="D1234" t="e">
        <f>INDEX('[1]CÓDIGOS DE PRODUCTO'!$D$3:$D$1000,MATCH(C1234,'[1]CÓDIGOS DE PRODUCTO'!$A$3:$A$1000,0))</f>
        <v>#N/A</v>
      </c>
      <c r="E1234">
        <f>VLOOKUP(C1234,'[1]CÓDIGOS DE PRODUCTO'!$A$4:$B$156,2,FALSE)</f>
        <v>0</v>
      </c>
      <c r="F1234">
        <f>INDEX('[1]CÓDIGOS DE PRODUCTO'!$C$3:$C$1000,MATCH(C1234,'[1]CÓDIGOS DE PRODUCTO'!$A$3:$A$1000,0))</f>
        <v>0</v>
      </c>
      <c r="G1234">
        <f>+'[1]VENTAS(RESUMEN GLOBAL)'!D1234-'[1]VENTAS(RESUMEN GLOBAL)'!E1234</f>
        <v>0</v>
      </c>
      <c r="H1234" s="9">
        <f>+'[1]VENTAS(RESUMEN GLOBAL)'!K1234</f>
        <v>0</v>
      </c>
      <c r="I1234" s="8">
        <f>+G1234*'[1]VENTAS(RESUMEN GLOBAL)'!F1234</f>
        <v>0</v>
      </c>
      <c r="J1234" s="8">
        <f>'[1]VENTAS(RESUMEN GLOBAL)'!G1234*(1-'[1]VENTAS(RESUMEN GLOBAL)'!H1234)</f>
        <v>0</v>
      </c>
      <c r="K1234" s="8">
        <f t="shared" si="19"/>
        <v>0</v>
      </c>
      <c r="L1234" s="8">
        <f>+'[1]VENTAS(RESUMEN GLOBAL)'!J1234</f>
        <v>0</v>
      </c>
      <c r="M1234" s="8">
        <f>+Tabla1[[#This Row],[utilidad x dia]]*7</f>
        <v>0</v>
      </c>
    </row>
    <row r="1235" spans="1:13" x14ac:dyDescent="0.3">
      <c r="A1235" s="6">
        <f>+'[1]VENTAS(RESUMEN GLOBAL)'!L1235</f>
        <v>0</v>
      </c>
      <c r="B1235" s="6">
        <f>+'[1]VENTAS(RESUMEN GLOBAL)'!M1235</f>
        <v>0</v>
      </c>
      <c r="C1235">
        <f>+'[1]VENTAS(RESUMEN GLOBAL)'!B1235</f>
        <v>0</v>
      </c>
      <c r="D1235" t="e">
        <f>INDEX('[1]CÓDIGOS DE PRODUCTO'!$D$3:$D$1000,MATCH(C1235,'[1]CÓDIGOS DE PRODUCTO'!$A$3:$A$1000,0))</f>
        <v>#N/A</v>
      </c>
      <c r="E1235">
        <f>VLOOKUP(C1235,'[1]CÓDIGOS DE PRODUCTO'!$A$4:$B$156,2,FALSE)</f>
        <v>0</v>
      </c>
      <c r="F1235">
        <f>INDEX('[1]CÓDIGOS DE PRODUCTO'!$C$3:$C$1000,MATCH(C1235,'[1]CÓDIGOS DE PRODUCTO'!$A$3:$A$1000,0))</f>
        <v>0</v>
      </c>
      <c r="G1235">
        <f>+'[1]VENTAS(RESUMEN GLOBAL)'!D1235-'[1]VENTAS(RESUMEN GLOBAL)'!E1235</f>
        <v>0</v>
      </c>
      <c r="H1235" s="9">
        <f>+'[1]VENTAS(RESUMEN GLOBAL)'!K1235</f>
        <v>0</v>
      </c>
      <c r="I1235" s="8">
        <f>+G1235*'[1]VENTAS(RESUMEN GLOBAL)'!F1235</f>
        <v>0</v>
      </c>
      <c r="J1235" s="8">
        <f>'[1]VENTAS(RESUMEN GLOBAL)'!G1235*(1-'[1]VENTAS(RESUMEN GLOBAL)'!H1235)</f>
        <v>0</v>
      </c>
      <c r="K1235" s="8">
        <f t="shared" si="19"/>
        <v>0</v>
      </c>
      <c r="L1235" s="8">
        <f>+'[1]VENTAS(RESUMEN GLOBAL)'!J1235</f>
        <v>0</v>
      </c>
      <c r="M1235" s="8">
        <f>+Tabla1[[#This Row],[utilidad x dia]]*7</f>
        <v>0</v>
      </c>
    </row>
    <row r="1236" spans="1:13" x14ac:dyDescent="0.3">
      <c r="A1236" s="6">
        <f>+'[1]VENTAS(RESUMEN GLOBAL)'!L1236</f>
        <v>0</v>
      </c>
      <c r="B1236" s="6">
        <f>+'[1]VENTAS(RESUMEN GLOBAL)'!M1236</f>
        <v>0</v>
      </c>
      <c r="C1236">
        <f>+'[1]VENTAS(RESUMEN GLOBAL)'!B1236</f>
        <v>0</v>
      </c>
      <c r="D1236" t="e">
        <f>INDEX('[1]CÓDIGOS DE PRODUCTO'!$D$3:$D$1000,MATCH(C1236,'[1]CÓDIGOS DE PRODUCTO'!$A$3:$A$1000,0))</f>
        <v>#N/A</v>
      </c>
      <c r="E1236">
        <f>VLOOKUP(C1236,'[1]CÓDIGOS DE PRODUCTO'!$A$4:$B$156,2,FALSE)</f>
        <v>0</v>
      </c>
      <c r="F1236">
        <f>INDEX('[1]CÓDIGOS DE PRODUCTO'!$C$3:$C$1000,MATCH(C1236,'[1]CÓDIGOS DE PRODUCTO'!$A$3:$A$1000,0))</f>
        <v>0</v>
      </c>
      <c r="G1236">
        <f>+'[1]VENTAS(RESUMEN GLOBAL)'!D1236-'[1]VENTAS(RESUMEN GLOBAL)'!E1236</f>
        <v>0</v>
      </c>
      <c r="H1236" s="9">
        <f>+'[1]VENTAS(RESUMEN GLOBAL)'!K1236</f>
        <v>0</v>
      </c>
      <c r="I1236" s="8">
        <f>+G1236*'[1]VENTAS(RESUMEN GLOBAL)'!F1236</f>
        <v>0</v>
      </c>
      <c r="J1236" s="8">
        <f>'[1]VENTAS(RESUMEN GLOBAL)'!G1236*(1-'[1]VENTAS(RESUMEN GLOBAL)'!H1236)</f>
        <v>0</v>
      </c>
      <c r="K1236" s="8">
        <f t="shared" si="19"/>
        <v>0</v>
      </c>
      <c r="L1236" s="8">
        <f>+'[1]VENTAS(RESUMEN GLOBAL)'!J1236</f>
        <v>0</v>
      </c>
      <c r="M1236" s="8">
        <f>+Tabla1[[#This Row],[utilidad x dia]]*7</f>
        <v>0</v>
      </c>
    </row>
    <row r="1237" spans="1:13" x14ac:dyDescent="0.3">
      <c r="A1237" s="6">
        <f>+'[1]VENTAS(RESUMEN GLOBAL)'!L1237</f>
        <v>0</v>
      </c>
      <c r="B1237" s="6">
        <f>+'[1]VENTAS(RESUMEN GLOBAL)'!M1237</f>
        <v>0</v>
      </c>
      <c r="C1237">
        <f>+'[1]VENTAS(RESUMEN GLOBAL)'!B1237</f>
        <v>0</v>
      </c>
      <c r="D1237" t="e">
        <f>INDEX('[1]CÓDIGOS DE PRODUCTO'!$D$3:$D$1000,MATCH(C1237,'[1]CÓDIGOS DE PRODUCTO'!$A$3:$A$1000,0))</f>
        <v>#N/A</v>
      </c>
      <c r="E1237">
        <f>VLOOKUP(C1237,'[1]CÓDIGOS DE PRODUCTO'!$A$4:$B$156,2,FALSE)</f>
        <v>0</v>
      </c>
      <c r="F1237">
        <f>INDEX('[1]CÓDIGOS DE PRODUCTO'!$C$3:$C$1000,MATCH(C1237,'[1]CÓDIGOS DE PRODUCTO'!$A$3:$A$1000,0))</f>
        <v>0</v>
      </c>
      <c r="G1237">
        <f>+'[1]VENTAS(RESUMEN GLOBAL)'!D1237-'[1]VENTAS(RESUMEN GLOBAL)'!E1237</f>
        <v>0</v>
      </c>
      <c r="H1237" s="9">
        <f>+'[1]VENTAS(RESUMEN GLOBAL)'!K1237</f>
        <v>0</v>
      </c>
      <c r="I1237" s="8">
        <f>+G1237*'[1]VENTAS(RESUMEN GLOBAL)'!F1237</f>
        <v>0</v>
      </c>
      <c r="J1237" s="8">
        <f>'[1]VENTAS(RESUMEN GLOBAL)'!G1237*(1-'[1]VENTAS(RESUMEN GLOBAL)'!H1237)</f>
        <v>0</v>
      </c>
      <c r="K1237" s="8">
        <f t="shared" si="19"/>
        <v>0</v>
      </c>
      <c r="L1237" s="8">
        <f>+'[1]VENTAS(RESUMEN GLOBAL)'!J1237</f>
        <v>0</v>
      </c>
      <c r="M1237" s="8">
        <f>+Tabla1[[#This Row],[utilidad x dia]]*7</f>
        <v>0</v>
      </c>
    </row>
    <row r="1238" spans="1:13" x14ac:dyDescent="0.3">
      <c r="A1238" s="6">
        <f>+'[1]VENTAS(RESUMEN GLOBAL)'!L1238</f>
        <v>0</v>
      </c>
      <c r="B1238" s="6">
        <f>+'[1]VENTAS(RESUMEN GLOBAL)'!M1238</f>
        <v>0</v>
      </c>
      <c r="C1238">
        <f>+'[1]VENTAS(RESUMEN GLOBAL)'!B1238</f>
        <v>0</v>
      </c>
      <c r="D1238" t="e">
        <f>INDEX('[1]CÓDIGOS DE PRODUCTO'!$D$3:$D$1000,MATCH(C1238,'[1]CÓDIGOS DE PRODUCTO'!$A$3:$A$1000,0))</f>
        <v>#N/A</v>
      </c>
      <c r="E1238">
        <f>VLOOKUP(C1238,'[1]CÓDIGOS DE PRODUCTO'!$A$4:$B$156,2,FALSE)</f>
        <v>0</v>
      </c>
      <c r="F1238">
        <f>INDEX('[1]CÓDIGOS DE PRODUCTO'!$C$3:$C$1000,MATCH(C1238,'[1]CÓDIGOS DE PRODUCTO'!$A$3:$A$1000,0))</f>
        <v>0</v>
      </c>
      <c r="G1238">
        <f>+'[1]VENTAS(RESUMEN GLOBAL)'!D1238-'[1]VENTAS(RESUMEN GLOBAL)'!E1238</f>
        <v>0</v>
      </c>
      <c r="H1238" s="9">
        <f>+'[1]VENTAS(RESUMEN GLOBAL)'!K1238</f>
        <v>0</v>
      </c>
      <c r="I1238" s="8">
        <f>+G1238*'[1]VENTAS(RESUMEN GLOBAL)'!F1238</f>
        <v>0</v>
      </c>
      <c r="J1238" s="8">
        <f>'[1]VENTAS(RESUMEN GLOBAL)'!G1238*(1-'[1]VENTAS(RESUMEN GLOBAL)'!H1238)</f>
        <v>0</v>
      </c>
      <c r="K1238" s="8">
        <f t="shared" si="19"/>
        <v>0</v>
      </c>
      <c r="L1238" s="8">
        <f>+'[1]VENTAS(RESUMEN GLOBAL)'!J1238</f>
        <v>0</v>
      </c>
      <c r="M1238" s="8">
        <f>+Tabla1[[#This Row],[utilidad x dia]]*7</f>
        <v>0</v>
      </c>
    </row>
    <row r="1239" spans="1:13" x14ac:dyDescent="0.3">
      <c r="A1239" s="6">
        <f>+'[1]VENTAS(RESUMEN GLOBAL)'!L1239</f>
        <v>0</v>
      </c>
      <c r="B1239" s="6">
        <f>+'[1]VENTAS(RESUMEN GLOBAL)'!M1239</f>
        <v>0</v>
      </c>
      <c r="C1239">
        <f>+'[1]VENTAS(RESUMEN GLOBAL)'!B1239</f>
        <v>0</v>
      </c>
      <c r="D1239" t="e">
        <f>INDEX('[1]CÓDIGOS DE PRODUCTO'!$D$3:$D$1000,MATCH(C1239,'[1]CÓDIGOS DE PRODUCTO'!$A$3:$A$1000,0))</f>
        <v>#N/A</v>
      </c>
      <c r="E1239">
        <f>VLOOKUP(C1239,'[1]CÓDIGOS DE PRODUCTO'!$A$4:$B$156,2,FALSE)</f>
        <v>0</v>
      </c>
      <c r="F1239">
        <f>INDEX('[1]CÓDIGOS DE PRODUCTO'!$C$3:$C$1000,MATCH(C1239,'[1]CÓDIGOS DE PRODUCTO'!$A$3:$A$1000,0))</f>
        <v>0</v>
      </c>
      <c r="G1239">
        <f>+'[1]VENTAS(RESUMEN GLOBAL)'!D1239-'[1]VENTAS(RESUMEN GLOBAL)'!E1239</f>
        <v>0</v>
      </c>
      <c r="H1239" s="9">
        <f>+'[1]VENTAS(RESUMEN GLOBAL)'!K1239</f>
        <v>0</v>
      </c>
      <c r="I1239" s="8">
        <f>+G1239*'[1]VENTAS(RESUMEN GLOBAL)'!F1239</f>
        <v>0</v>
      </c>
      <c r="J1239" s="8">
        <f>'[1]VENTAS(RESUMEN GLOBAL)'!G1239*(1-'[1]VENTAS(RESUMEN GLOBAL)'!H1239)</f>
        <v>0</v>
      </c>
      <c r="K1239" s="8">
        <f t="shared" si="19"/>
        <v>0</v>
      </c>
      <c r="L1239" s="8">
        <f>+'[1]VENTAS(RESUMEN GLOBAL)'!J1239</f>
        <v>0</v>
      </c>
      <c r="M1239" s="8">
        <f>+Tabla1[[#This Row],[utilidad x dia]]*7</f>
        <v>0</v>
      </c>
    </row>
    <row r="1240" spans="1:13" x14ac:dyDescent="0.3">
      <c r="A1240" s="6">
        <f>+'[1]VENTAS(RESUMEN GLOBAL)'!L1240</f>
        <v>0</v>
      </c>
      <c r="B1240" s="6">
        <f>+'[1]VENTAS(RESUMEN GLOBAL)'!M1240</f>
        <v>0</v>
      </c>
      <c r="C1240">
        <f>+'[1]VENTAS(RESUMEN GLOBAL)'!B1240</f>
        <v>0</v>
      </c>
      <c r="D1240" t="e">
        <f>INDEX('[1]CÓDIGOS DE PRODUCTO'!$D$3:$D$1000,MATCH(C1240,'[1]CÓDIGOS DE PRODUCTO'!$A$3:$A$1000,0))</f>
        <v>#N/A</v>
      </c>
      <c r="E1240">
        <f>VLOOKUP(C1240,'[1]CÓDIGOS DE PRODUCTO'!$A$4:$B$156,2,FALSE)</f>
        <v>0</v>
      </c>
      <c r="F1240">
        <f>INDEX('[1]CÓDIGOS DE PRODUCTO'!$C$3:$C$1000,MATCH(C1240,'[1]CÓDIGOS DE PRODUCTO'!$A$3:$A$1000,0))</f>
        <v>0</v>
      </c>
      <c r="G1240">
        <f>+'[1]VENTAS(RESUMEN GLOBAL)'!D1240-'[1]VENTAS(RESUMEN GLOBAL)'!E1240</f>
        <v>0</v>
      </c>
      <c r="H1240" s="9">
        <f>+'[1]VENTAS(RESUMEN GLOBAL)'!K1240</f>
        <v>0</v>
      </c>
      <c r="I1240" s="8">
        <f>+G1240*'[1]VENTAS(RESUMEN GLOBAL)'!F1240</f>
        <v>0</v>
      </c>
      <c r="J1240" s="8">
        <f>'[1]VENTAS(RESUMEN GLOBAL)'!G1240*(1-'[1]VENTAS(RESUMEN GLOBAL)'!H1240)</f>
        <v>0</v>
      </c>
      <c r="K1240" s="8">
        <f t="shared" si="19"/>
        <v>0</v>
      </c>
      <c r="L1240" s="8">
        <f>+'[1]VENTAS(RESUMEN GLOBAL)'!J1240</f>
        <v>0</v>
      </c>
      <c r="M1240" s="8">
        <f>+Tabla1[[#This Row],[utilidad x dia]]*7</f>
        <v>0</v>
      </c>
    </row>
    <row r="1241" spans="1:13" x14ac:dyDescent="0.3">
      <c r="A1241" s="6">
        <f>+'[1]VENTAS(RESUMEN GLOBAL)'!L1241</f>
        <v>0</v>
      </c>
      <c r="B1241" s="6">
        <f>+'[1]VENTAS(RESUMEN GLOBAL)'!M1241</f>
        <v>0</v>
      </c>
      <c r="C1241">
        <f>+'[1]VENTAS(RESUMEN GLOBAL)'!B1241</f>
        <v>0</v>
      </c>
      <c r="D1241" t="e">
        <f>INDEX('[1]CÓDIGOS DE PRODUCTO'!$D$3:$D$1000,MATCH(C1241,'[1]CÓDIGOS DE PRODUCTO'!$A$3:$A$1000,0))</f>
        <v>#N/A</v>
      </c>
      <c r="E1241">
        <f>VLOOKUP(C1241,'[1]CÓDIGOS DE PRODUCTO'!$A$4:$B$156,2,FALSE)</f>
        <v>0</v>
      </c>
      <c r="F1241">
        <f>INDEX('[1]CÓDIGOS DE PRODUCTO'!$C$3:$C$1000,MATCH(C1241,'[1]CÓDIGOS DE PRODUCTO'!$A$3:$A$1000,0))</f>
        <v>0</v>
      </c>
      <c r="G1241">
        <f>+'[1]VENTAS(RESUMEN GLOBAL)'!D1241-'[1]VENTAS(RESUMEN GLOBAL)'!E1241</f>
        <v>0</v>
      </c>
      <c r="H1241" s="9">
        <f>+'[1]VENTAS(RESUMEN GLOBAL)'!K1241</f>
        <v>0</v>
      </c>
      <c r="I1241" s="8">
        <f>+G1241*'[1]VENTAS(RESUMEN GLOBAL)'!F1241</f>
        <v>0</v>
      </c>
      <c r="J1241" s="8">
        <f>'[1]VENTAS(RESUMEN GLOBAL)'!G1241*(1-'[1]VENTAS(RESUMEN GLOBAL)'!H1241)</f>
        <v>0</v>
      </c>
      <c r="K1241" s="8">
        <f t="shared" si="19"/>
        <v>0</v>
      </c>
      <c r="L1241" s="8">
        <f>+'[1]VENTAS(RESUMEN GLOBAL)'!J1241</f>
        <v>0</v>
      </c>
      <c r="M1241" s="8">
        <f>+Tabla1[[#This Row],[utilidad x dia]]*7</f>
        <v>0</v>
      </c>
    </row>
    <row r="1242" spans="1:13" x14ac:dyDescent="0.3">
      <c r="A1242" s="6">
        <f>+'[1]VENTAS(RESUMEN GLOBAL)'!L1242</f>
        <v>0</v>
      </c>
      <c r="B1242" s="6">
        <f>+'[1]VENTAS(RESUMEN GLOBAL)'!M1242</f>
        <v>0</v>
      </c>
      <c r="C1242">
        <f>+'[1]VENTAS(RESUMEN GLOBAL)'!B1242</f>
        <v>0</v>
      </c>
      <c r="D1242" t="e">
        <f>INDEX('[1]CÓDIGOS DE PRODUCTO'!$D$3:$D$1000,MATCH(C1242,'[1]CÓDIGOS DE PRODUCTO'!$A$3:$A$1000,0))</f>
        <v>#N/A</v>
      </c>
      <c r="E1242">
        <f>VLOOKUP(C1242,'[1]CÓDIGOS DE PRODUCTO'!$A$4:$B$156,2,FALSE)</f>
        <v>0</v>
      </c>
      <c r="F1242">
        <f>INDEX('[1]CÓDIGOS DE PRODUCTO'!$C$3:$C$1000,MATCH(C1242,'[1]CÓDIGOS DE PRODUCTO'!$A$3:$A$1000,0))</f>
        <v>0</v>
      </c>
      <c r="G1242">
        <f>+'[1]VENTAS(RESUMEN GLOBAL)'!D1242-'[1]VENTAS(RESUMEN GLOBAL)'!E1242</f>
        <v>0</v>
      </c>
      <c r="H1242" s="9">
        <f>+'[1]VENTAS(RESUMEN GLOBAL)'!K1242</f>
        <v>0</v>
      </c>
      <c r="I1242" s="8">
        <f>+G1242*'[1]VENTAS(RESUMEN GLOBAL)'!F1242</f>
        <v>0</v>
      </c>
      <c r="J1242" s="8">
        <f>'[1]VENTAS(RESUMEN GLOBAL)'!G1242*(1-'[1]VENTAS(RESUMEN GLOBAL)'!H1242)</f>
        <v>0</v>
      </c>
      <c r="K1242" s="8">
        <f t="shared" si="19"/>
        <v>0</v>
      </c>
      <c r="L1242" s="8">
        <f>+'[1]VENTAS(RESUMEN GLOBAL)'!J1242</f>
        <v>0</v>
      </c>
      <c r="M1242" s="8">
        <f>+Tabla1[[#This Row],[utilidad x dia]]*7</f>
        <v>0</v>
      </c>
    </row>
    <row r="1243" spans="1:13" x14ac:dyDescent="0.3">
      <c r="A1243" s="6">
        <f>+'[1]VENTAS(RESUMEN GLOBAL)'!L1243</f>
        <v>0</v>
      </c>
      <c r="B1243" s="6">
        <f>+'[1]VENTAS(RESUMEN GLOBAL)'!M1243</f>
        <v>0</v>
      </c>
      <c r="C1243">
        <f>+'[1]VENTAS(RESUMEN GLOBAL)'!B1243</f>
        <v>0</v>
      </c>
      <c r="D1243" t="e">
        <f>INDEX('[1]CÓDIGOS DE PRODUCTO'!$D$3:$D$1000,MATCH(C1243,'[1]CÓDIGOS DE PRODUCTO'!$A$3:$A$1000,0))</f>
        <v>#N/A</v>
      </c>
      <c r="E1243">
        <f>VLOOKUP(C1243,'[1]CÓDIGOS DE PRODUCTO'!$A$4:$B$156,2,FALSE)</f>
        <v>0</v>
      </c>
      <c r="F1243">
        <f>INDEX('[1]CÓDIGOS DE PRODUCTO'!$C$3:$C$1000,MATCH(C1243,'[1]CÓDIGOS DE PRODUCTO'!$A$3:$A$1000,0))</f>
        <v>0</v>
      </c>
      <c r="G1243">
        <f>+'[1]VENTAS(RESUMEN GLOBAL)'!D1243-'[1]VENTAS(RESUMEN GLOBAL)'!E1243</f>
        <v>0</v>
      </c>
      <c r="H1243" s="9">
        <f>+'[1]VENTAS(RESUMEN GLOBAL)'!K1243</f>
        <v>0</v>
      </c>
      <c r="I1243" s="8">
        <f>+G1243*'[1]VENTAS(RESUMEN GLOBAL)'!F1243</f>
        <v>0</v>
      </c>
      <c r="J1243" s="8">
        <f>'[1]VENTAS(RESUMEN GLOBAL)'!G1243*(1-'[1]VENTAS(RESUMEN GLOBAL)'!H1243)</f>
        <v>0</v>
      </c>
      <c r="K1243" s="8">
        <f t="shared" si="19"/>
        <v>0</v>
      </c>
      <c r="L1243" s="8">
        <f>+'[1]VENTAS(RESUMEN GLOBAL)'!J1243</f>
        <v>0</v>
      </c>
      <c r="M1243" s="8">
        <f>+Tabla1[[#This Row],[utilidad x dia]]*7</f>
        <v>0</v>
      </c>
    </row>
    <row r="1244" spans="1:13" x14ac:dyDescent="0.3">
      <c r="A1244" s="6">
        <f>+'[1]VENTAS(RESUMEN GLOBAL)'!L1244</f>
        <v>0</v>
      </c>
      <c r="B1244" s="6">
        <f>+'[1]VENTAS(RESUMEN GLOBAL)'!M1244</f>
        <v>0</v>
      </c>
      <c r="C1244">
        <f>+'[1]VENTAS(RESUMEN GLOBAL)'!B1244</f>
        <v>0</v>
      </c>
      <c r="D1244" t="e">
        <f>INDEX('[1]CÓDIGOS DE PRODUCTO'!$D$3:$D$1000,MATCH(C1244,'[1]CÓDIGOS DE PRODUCTO'!$A$3:$A$1000,0))</f>
        <v>#N/A</v>
      </c>
      <c r="E1244">
        <f>VLOOKUP(C1244,'[1]CÓDIGOS DE PRODUCTO'!$A$4:$B$156,2,FALSE)</f>
        <v>0</v>
      </c>
      <c r="F1244">
        <f>INDEX('[1]CÓDIGOS DE PRODUCTO'!$C$3:$C$1000,MATCH(C1244,'[1]CÓDIGOS DE PRODUCTO'!$A$3:$A$1000,0))</f>
        <v>0</v>
      </c>
      <c r="G1244">
        <f>+'[1]VENTAS(RESUMEN GLOBAL)'!D1244-'[1]VENTAS(RESUMEN GLOBAL)'!E1244</f>
        <v>0</v>
      </c>
      <c r="H1244" s="9">
        <f>+'[1]VENTAS(RESUMEN GLOBAL)'!K1244</f>
        <v>0</v>
      </c>
      <c r="I1244" s="8">
        <f>+G1244*'[1]VENTAS(RESUMEN GLOBAL)'!F1244</f>
        <v>0</v>
      </c>
      <c r="J1244" s="8">
        <f>'[1]VENTAS(RESUMEN GLOBAL)'!G1244*(1-'[1]VENTAS(RESUMEN GLOBAL)'!H1244)</f>
        <v>0</v>
      </c>
      <c r="K1244" s="8">
        <f t="shared" si="19"/>
        <v>0</v>
      </c>
      <c r="L1244" s="8">
        <f>+'[1]VENTAS(RESUMEN GLOBAL)'!J1244</f>
        <v>0</v>
      </c>
      <c r="M1244" s="8">
        <f>+Tabla1[[#This Row],[utilidad x dia]]*7</f>
        <v>0</v>
      </c>
    </row>
    <row r="1245" spans="1:13" x14ac:dyDescent="0.3">
      <c r="A1245" s="6">
        <f>+'[1]VENTAS(RESUMEN GLOBAL)'!L1245</f>
        <v>0</v>
      </c>
      <c r="B1245" s="6">
        <f>+'[1]VENTAS(RESUMEN GLOBAL)'!M1245</f>
        <v>0</v>
      </c>
      <c r="C1245">
        <f>+'[1]VENTAS(RESUMEN GLOBAL)'!B1245</f>
        <v>0</v>
      </c>
      <c r="D1245" t="e">
        <f>INDEX('[1]CÓDIGOS DE PRODUCTO'!$D$3:$D$1000,MATCH(C1245,'[1]CÓDIGOS DE PRODUCTO'!$A$3:$A$1000,0))</f>
        <v>#N/A</v>
      </c>
      <c r="E1245">
        <f>VLOOKUP(C1245,'[1]CÓDIGOS DE PRODUCTO'!$A$4:$B$156,2,FALSE)</f>
        <v>0</v>
      </c>
      <c r="F1245">
        <f>INDEX('[1]CÓDIGOS DE PRODUCTO'!$C$3:$C$1000,MATCH(C1245,'[1]CÓDIGOS DE PRODUCTO'!$A$3:$A$1000,0))</f>
        <v>0</v>
      </c>
      <c r="G1245">
        <f>+'[1]VENTAS(RESUMEN GLOBAL)'!D1245-'[1]VENTAS(RESUMEN GLOBAL)'!E1245</f>
        <v>0</v>
      </c>
      <c r="H1245" s="9">
        <f>+'[1]VENTAS(RESUMEN GLOBAL)'!K1245</f>
        <v>0</v>
      </c>
      <c r="I1245" s="8">
        <f>+G1245*'[1]VENTAS(RESUMEN GLOBAL)'!F1245</f>
        <v>0</v>
      </c>
      <c r="J1245" s="8">
        <f>'[1]VENTAS(RESUMEN GLOBAL)'!G1245*(1-'[1]VENTAS(RESUMEN GLOBAL)'!H1245)</f>
        <v>0</v>
      </c>
      <c r="K1245" s="8">
        <f t="shared" si="19"/>
        <v>0</v>
      </c>
      <c r="L1245" s="8">
        <f>+'[1]VENTAS(RESUMEN GLOBAL)'!J1245</f>
        <v>0</v>
      </c>
      <c r="M1245" s="8">
        <f>+Tabla1[[#This Row],[utilidad x dia]]*7</f>
        <v>0</v>
      </c>
    </row>
    <row r="1246" spans="1:13" x14ac:dyDescent="0.3">
      <c r="A1246" s="6">
        <f>+'[1]VENTAS(RESUMEN GLOBAL)'!L1246</f>
        <v>0</v>
      </c>
      <c r="B1246" s="6">
        <f>+'[1]VENTAS(RESUMEN GLOBAL)'!M1246</f>
        <v>0</v>
      </c>
      <c r="C1246">
        <f>+'[1]VENTAS(RESUMEN GLOBAL)'!B1246</f>
        <v>0</v>
      </c>
      <c r="D1246" t="e">
        <f>INDEX('[1]CÓDIGOS DE PRODUCTO'!$D$3:$D$1000,MATCH(C1246,'[1]CÓDIGOS DE PRODUCTO'!$A$3:$A$1000,0))</f>
        <v>#N/A</v>
      </c>
      <c r="E1246">
        <f>VLOOKUP(C1246,'[1]CÓDIGOS DE PRODUCTO'!$A$4:$B$156,2,FALSE)</f>
        <v>0</v>
      </c>
      <c r="F1246">
        <f>INDEX('[1]CÓDIGOS DE PRODUCTO'!$C$3:$C$1000,MATCH(C1246,'[1]CÓDIGOS DE PRODUCTO'!$A$3:$A$1000,0))</f>
        <v>0</v>
      </c>
      <c r="G1246">
        <f>+'[1]VENTAS(RESUMEN GLOBAL)'!D1246-'[1]VENTAS(RESUMEN GLOBAL)'!E1246</f>
        <v>0</v>
      </c>
      <c r="H1246" s="9">
        <f>+'[1]VENTAS(RESUMEN GLOBAL)'!K1246</f>
        <v>0</v>
      </c>
      <c r="I1246" s="8">
        <f>+G1246*'[1]VENTAS(RESUMEN GLOBAL)'!F1246</f>
        <v>0</v>
      </c>
      <c r="J1246" s="8">
        <f>'[1]VENTAS(RESUMEN GLOBAL)'!G1246*(1-'[1]VENTAS(RESUMEN GLOBAL)'!H1246)</f>
        <v>0</v>
      </c>
      <c r="K1246" s="8">
        <f t="shared" si="19"/>
        <v>0</v>
      </c>
      <c r="L1246" s="8">
        <f>+'[1]VENTAS(RESUMEN GLOBAL)'!J1246</f>
        <v>0</v>
      </c>
      <c r="M1246" s="8">
        <f>+Tabla1[[#This Row],[utilidad x dia]]*7</f>
        <v>0</v>
      </c>
    </row>
    <row r="1247" spans="1:13" x14ac:dyDescent="0.3">
      <c r="A1247" s="6">
        <f>+'[1]VENTAS(RESUMEN GLOBAL)'!L1247</f>
        <v>0</v>
      </c>
      <c r="B1247" s="6">
        <f>+'[1]VENTAS(RESUMEN GLOBAL)'!M1247</f>
        <v>0</v>
      </c>
      <c r="C1247">
        <f>+'[1]VENTAS(RESUMEN GLOBAL)'!B1247</f>
        <v>0</v>
      </c>
      <c r="D1247" t="e">
        <f>INDEX('[1]CÓDIGOS DE PRODUCTO'!$D$3:$D$1000,MATCH(C1247,'[1]CÓDIGOS DE PRODUCTO'!$A$3:$A$1000,0))</f>
        <v>#N/A</v>
      </c>
      <c r="E1247">
        <f>VLOOKUP(C1247,'[1]CÓDIGOS DE PRODUCTO'!$A$4:$B$156,2,FALSE)</f>
        <v>0</v>
      </c>
      <c r="F1247">
        <f>INDEX('[1]CÓDIGOS DE PRODUCTO'!$C$3:$C$1000,MATCH(C1247,'[1]CÓDIGOS DE PRODUCTO'!$A$3:$A$1000,0))</f>
        <v>0</v>
      </c>
      <c r="G1247">
        <f>+'[1]VENTAS(RESUMEN GLOBAL)'!D1247-'[1]VENTAS(RESUMEN GLOBAL)'!E1247</f>
        <v>0</v>
      </c>
      <c r="H1247" s="9">
        <f>+'[1]VENTAS(RESUMEN GLOBAL)'!K1247</f>
        <v>0</v>
      </c>
      <c r="I1247" s="8">
        <f>+G1247*'[1]VENTAS(RESUMEN GLOBAL)'!F1247</f>
        <v>0</v>
      </c>
      <c r="J1247" s="8">
        <f>'[1]VENTAS(RESUMEN GLOBAL)'!G1247*(1-'[1]VENTAS(RESUMEN GLOBAL)'!H1247)</f>
        <v>0</v>
      </c>
      <c r="K1247" s="8">
        <f t="shared" si="19"/>
        <v>0</v>
      </c>
      <c r="L1247" s="8">
        <f>+'[1]VENTAS(RESUMEN GLOBAL)'!J1247</f>
        <v>0</v>
      </c>
      <c r="M1247" s="8">
        <f>+Tabla1[[#This Row],[utilidad x dia]]*7</f>
        <v>0</v>
      </c>
    </row>
    <row r="1248" spans="1:13" x14ac:dyDescent="0.3">
      <c r="A1248" s="6">
        <f>+'[1]VENTAS(RESUMEN GLOBAL)'!L1248</f>
        <v>0</v>
      </c>
      <c r="B1248" s="6">
        <f>+'[1]VENTAS(RESUMEN GLOBAL)'!M1248</f>
        <v>0</v>
      </c>
      <c r="C1248">
        <f>+'[1]VENTAS(RESUMEN GLOBAL)'!B1248</f>
        <v>0</v>
      </c>
      <c r="D1248" t="e">
        <f>INDEX('[1]CÓDIGOS DE PRODUCTO'!$D$3:$D$1000,MATCH(C1248,'[1]CÓDIGOS DE PRODUCTO'!$A$3:$A$1000,0))</f>
        <v>#N/A</v>
      </c>
      <c r="E1248">
        <f>VLOOKUP(C1248,'[1]CÓDIGOS DE PRODUCTO'!$A$4:$B$156,2,FALSE)</f>
        <v>0</v>
      </c>
      <c r="F1248">
        <f>INDEX('[1]CÓDIGOS DE PRODUCTO'!$C$3:$C$1000,MATCH(C1248,'[1]CÓDIGOS DE PRODUCTO'!$A$3:$A$1000,0))</f>
        <v>0</v>
      </c>
      <c r="G1248">
        <f>+'[1]VENTAS(RESUMEN GLOBAL)'!D1248-'[1]VENTAS(RESUMEN GLOBAL)'!E1248</f>
        <v>0</v>
      </c>
      <c r="H1248" s="9">
        <f>+'[1]VENTAS(RESUMEN GLOBAL)'!K1248</f>
        <v>0</v>
      </c>
      <c r="I1248" s="8">
        <f>+G1248*'[1]VENTAS(RESUMEN GLOBAL)'!F1248</f>
        <v>0</v>
      </c>
      <c r="J1248" s="8">
        <f>'[1]VENTAS(RESUMEN GLOBAL)'!G1248*(1-'[1]VENTAS(RESUMEN GLOBAL)'!H1248)</f>
        <v>0</v>
      </c>
      <c r="K1248" s="8">
        <f t="shared" si="19"/>
        <v>0</v>
      </c>
      <c r="L1248" s="8">
        <f>+'[1]VENTAS(RESUMEN GLOBAL)'!J1248</f>
        <v>0</v>
      </c>
      <c r="M1248" s="8">
        <f>+Tabla1[[#This Row],[utilidad x dia]]*7</f>
        <v>0</v>
      </c>
    </row>
    <row r="1249" spans="1:13" x14ac:dyDescent="0.3">
      <c r="A1249" s="6">
        <f>+'[1]VENTAS(RESUMEN GLOBAL)'!L1249</f>
        <v>0</v>
      </c>
      <c r="B1249" s="6">
        <f>+'[1]VENTAS(RESUMEN GLOBAL)'!M1249</f>
        <v>0</v>
      </c>
      <c r="C1249">
        <f>+'[1]VENTAS(RESUMEN GLOBAL)'!B1249</f>
        <v>0</v>
      </c>
      <c r="D1249" t="e">
        <f>INDEX('[1]CÓDIGOS DE PRODUCTO'!$D$3:$D$1000,MATCH(C1249,'[1]CÓDIGOS DE PRODUCTO'!$A$3:$A$1000,0))</f>
        <v>#N/A</v>
      </c>
      <c r="E1249">
        <f>VLOOKUP(C1249,'[1]CÓDIGOS DE PRODUCTO'!$A$4:$B$156,2,FALSE)</f>
        <v>0</v>
      </c>
      <c r="F1249">
        <f>INDEX('[1]CÓDIGOS DE PRODUCTO'!$C$3:$C$1000,MATCH(C1249,'[1]CÓDIGOS DE PRODUCTO'!$A$3:$A$1000,0))</f>
        <v>0</v>
      </c>
      <c r="G1249">
        <f>+'[1]VENTAS(RESUMEN GLOBAL)'!D1249-'[1]VENTAS(RESUMEN GLOBAL)'!E1249</f>
        <v>0</v>
      </c>
      <c r="H1249" s="9">
        <f>+'[1]VENTAS(RESUMEN GLOBAL)'!K1249</f>
        <v>0</v>
      </c>
      <c r="I1249" s="8">
        <f>+G1249*'[1]VENTAS(RESUMEN GLOBAL)'!F1249</f>
        <v>0</v>
      </c>
      <c r="J1249" s="8">
        <f>'[1]VENTAS(RESUMEN GLOBAL)'!G1249*(1-'[1]VENTAS(RESUMEN GLOBAL)'!H1249)</f>
        <v>0</v>
      </c>
      <c r="K1249" s="8">
        <f t="shared" si="19"/>
        <v>0</v>
      </c>
      <c r="L1249" s="8">
        <f>+'[1]VENTAS(RESUMEN GLOBAL)'!J1249</f>
        <v>0</v>
      </c>
      <c r="M1249" s="8">
        <f>+Tabla1[[#This Row],[utilidad x dia]]*7</f>
        <v>0</v>
      </c>
    </row>
    <row r="1250" spans="1:13" x14ac:dyDescent="0.3">
      <c r="A1250" s="6">
        <f>+'[1]VENTAS(RESUMEN GLOBAL)'!L1250</f>
        <v>0</v>
      </c>
      <c r="B1250" s="6">
        <f>+'[1]VENTAS(RESUMEN GLOBAL)'!M1250</f>
        <v>0</v>
      </c>
      <c r="C1250">
        <f>+'[1]VENTAS(RESUMEN GLOBAL)'!B1250</f>
        <v>0</v>
      </c>
      <c r="D1250" t="e">
        <f>INDEX('[1]CÓDIGOS DE PRODUCTO'!$D$3:$D$1000,MATCH(C1250,'[1]CÓDIGOS DE PRODUCTO'!$A$3:$A$1000,0))</f>
        <v>#N/A</v>
      </c>
      <c r="E1250">
        <f>VLOOKUP(C1250,'[1]CÓDIGOS DE PRODUCTO'!$A$4:$B$156,2,FALSE)</f>
        <v>0</v>
      </c>
      <c r="F1250">
        <f>INDEX('[1]CÓDIGOS DE PRODUCTO'!$C$3:$C$1000,MATCH(C1250,'[1]CÓDIGOS DE PRODUCTO'!$A$3:$A$1000,0))</f>
        <v>0</v>
      </c>
      <c r="G1250">
        <f>+'[1]VENTAS(RESUMEN GLOBAL)'!D1250-'[1]VENTAS(RESUMEN GLOBAL)'!E1250</f>
        <v>0</v>
      </c>
      <c r="H1250" s="9">
        <f>+'[1]VENTAS(RESUMEN GLOBAL)'!K1250</f>
        <v>0</v>
      </c>
      <c r="I1250" s="8">
        <f>+G1250*'[1]VENTAS(RESUMEN GLOBAL)'!F1250</f>
        <v>0</v>
      </c>
      <c r="J1250" s="8">
        <f>'[1]VENTAS(RESUMEN GLOBAL)'!G1250*(1-'[1]VENTAS(RESUMEN GLOBAL)'!H1250)</f>
        <v>0</v>
      </c>
      <c r="K1250" s="8">
        <f t="shared" si="19"/>
        <v>0</v>
      </c>
      <c r="L1250" s="8">
        <f>+'[1]VENTAS(RESUMEN GLOBAL)'!J1250</f>
        <v>0</v>
      </c>
      <c r="M1250" s="8">
        <f>+Tabla1[[#This Row],[utilidad x dia]]*7</f>
        <v>0</v>
      </c>
    </row>
    <row r="1251" spans="1:13" x14ac:dyDescent="0.3">
      <c r="A1251" s="6">
        <f>+'[1]VENTAS(RESUMEN GLOBAL)'!L1251</f>
        <v>0</v>
      </c>
      <c r="B1251" s="6">
        <f>+'[1]VENTAS(RESUMEN GLOBAL)'!M1251</f>
        <v>0</v>
      </c>
      <c r="C1251">
        <f>+'[1]VENTAS(RESUMEN GLOBAL)'!B1251</f>
        <v>0</v>
      </c>
      <c r="D1251" t="e">
        <f>INDEX('[1]CÓDIGOS DE PRODUCTO'!$D$3:$D$1000,MATCH(C1251,'[1]CÓDIGOS DE PRODUCTO'!$A$3:$A$1000,0))</f>
        <v>#N/A</v>
      </c>
      <c r="E1251">
        <f>VLOOKUP(C1251,'[1]CÓDIGOS DE PRODUCTO'!$A$4:$B$156,2,FALSE)</f>
        <v>0</v>
      </c>
      <c r="F1251">
        <f>INDEX('[1]CÓDIGOS DE PRODUCTO'!$C$3:$C$1000,MATCH(C1251,'[1]CÓDIGOS DE PRODUCTO'!$A$3:$A$1000,0))</f>
        <v>0</v>
      </c>
      <c r="G1251">
        <f>+'[1]VENTAS(RESUMEN GLOBAL)'!D1251-'[1]VENTAS(RESUMEN GLOBAL)'!E1251</f>
        <v>0</v>
      </c>
      <c r="H1251" s="9">
        <f>+'[1]VENTAS(RESUMEN GLOBAL)'!K1251</f>
        <v>0</v>
      </c>
      <c r="I1251" s="8">
        <f>+G1251*'[1]VENTAS(RESUMEN GLOBAL)'!F1251</f>
        <v>0</v>
      </c>
      <c r="J1251" s="8">
        <f>'[1]VENTAS(RESUMEN GLOBAL)'!G1251*(1-'[1]VENTAS(RESUMEN GLOBAL)'!H1251)</f>
        <v>0</v>
      </c>
      <c r="K1251" s="8">
        <f t="shared" si="19"/>
        <v>0</v>
      </c>
      <c r="L1251" s="8">
        <f>+'[1]VENTAS(RESUMEN GLOBAL)'!J1251</f>
        <v>0</v>
      </c>
      <c r="M1251" s="8">
        <f>+Tabla1[[#This Row],[utilidad x dia]]*7</f>
        <v>0</v>
      </c>
    </row>
    <row r="1252" spans="1:13" x14ac:dyDescent="0.3">
      <c r="A1252" s="6">
        <f>+'[1]VENTAS(RESUMEN GLOBAL)'!L1252</f>
        <v>0</v>
      </c>
      <c r="B1252" s="6">
        <f>+'[1]VENTAS(RESUMEN GLOBAL)'!M1252</f>
        <v>0</v>
      </c>
      <c r="C1252">
        <f>+'[1]VENTAS(RESUMEN GLOBAL)'!B1252</f>
        <v>0</v>
      </c>
      <c r="D1252" t="e">
        <f>INDEX('[1]CÓDIGOS DE PRODUCTO'!$D$3:$D$1000,MATCH(C1252,'[1]CÓDIGOS DE PRODUCTO'!$A$3:$A$1000,0))</f>
        <v>#N/A</v>
      </c>
      <c r="E1252">
        <f>VLOOKUP(C1252,'[1]CÓDIGOS DE PRODUCTO'!$A$4:$B$156,2,FALSE)</f>
        <v>0</v>
      </c>
      <c r="F1252">
        <f>INDEX('[1]CÓDIGOS DE PRODUCTO'!$C$3:$C$1000,MATCH(C1252,'[1]CÓDIGOS DE PRODUCTO'!$A$3:$A$1000,0))</f>
        <v>0</v>
      </c>
      <c r="G1252">
        <f>+'[1]VENTAS(RESUMEN GLOBAL)'!D1252-'[1]VENTAS(RESUMEN GLOBAL)'!E1252</f>
        <v>0</v>
      </c>
      <c r="H1252" s="9">
        <f>+'[1]VENTAS(RESUMEN GLOBAL)'!K1252</f>
        <v>0</v>
      </c>
      <c r="I1252" s="8">
        <f>+G1252*'[1]VENTAS(RESUMEN GLOBAL)'!F1252</f>
        <v>0</v>
      </c>
      <c r="J1252" s="8">
        <f>'[1]VENTAS(RESUMEN GLOBAL)'!G1252*(1-'[1]VENTAS(RESUMEN GLOBAL)'!H1252)</f>
        <v>0</v>
      </c>
      <c r="K1252" s="8">
        <f t="shared" si="19"/>
        <v>0</v>
      </c>
      <c r="L1252" s="8">
        <f>+'[1]VENTAS(RESUMEN GLOBAL)'!J1252</f>
        <v>0</v>
      </c>
      <c r="M1252" s="8">
        <f>+Tabla1[[#This Row],[utilidad x dia]]*7</f>
        <v>0</v>
      </c>
    </row>
    <row r="1253" spans="1:13" x14ac:dyDescent="0.3">
      <c r="A1253" s="6">
        <f>+'[1]VENTAS(RESUMEN GLOBAL)'!L1253</f>
        <v>0</v>
      </c>
      <c r="B1253" s="6">
        <f>+'[1]VENTAS(RESUMEN GLOBAL)'!M1253</f>
        <v>0</v>
      </c>
      <c r="C1253">
        <f>+'[1]VENTAS(RESUMEN GLOBAL)'!B1253</f>
        <v>0</v>
      </c>
      <c r="D1253" t="e">
        <f>INDEX('[1]CÓDIGOS DE PRODUCTO'!$D$3:$D$1000,MATCH(C1253,'[1]CÓDIGOS DE PRODUCTO'!$A$3:$A$1000,0))</f>
        <v>#N/A</v>
      </c>
      <c r="E1253">
        <f>VLOOKUP(C1253,'[1]CÓDIGOS DE PRODUCTO'!$A$4:$B$156,2,FALSE)</f>
        <v>0</v>
      </c>
      <c r="F1253">
        <f>INDEX('[1]CÓDIGOS DE PRODUCTO'!$C$3:$C$1000,MATCH(C1253,'[1]CÓDIGOS DE PRODUCTO'!$A$3:$A$1000,0))</f>
        <v>0</v>
      </c>
      <c r="G1253">
        <f>+'[1]VENTAS(RESUMEN GLOBAL)'!D1253-'[1]VENTAS(RESUMEN GLOBAL)'!E1253</f>
        <v>0</v>
      </c>
      <c r="H1253" s="9">
        <f>+'[1]VENTAS(RESUMEN GLOBAL)'!K1253</f>
        <v>0</v>
      </c>
      <c r="I1253" s="8">
        <f>+G1253*'[1]VENTAS(RESUMEN GLOBAL)'!F1253</f>
        <v>0</v>
      </c>
      <c r="J1253" s="8">
        <f>'[1]VENTAS(RESUMEN GLOBAL)'!G1253*(1-'[1]VENTAS(RESUMEN GLOBAL)'!H1253)</f>
        <v>0</v>
      </c>
      <c r="K1253" s="8">
        <f t="shared" si="19"/>
        <v>0</v>
      </c>
      <c r="L1253" s="8">
        <f>+'[1]VENTAS(RESUMEN GLOBAL)'!J1253</f>
        <v>0</v>
      </c>
      <c r="M1253" s="8">
        <f>+Tabla1[[#This Row],[utilidad x dia]]*7</f>
        <v>0</v>
      </c>
    </row>
    <row r="1254" spans="1:13" x14ac:dyDescent="0.3">
      <c r="A1254" s="6">
        <f>+'[1]VENTAS(RESUMEN GLOBAL)'!L1254</f>
        <v>0</v>
      </c>
      <c r="B1254" s="6">
        <f>+'[1]VENTAS(RESUMEN GLOBAL)'!M1254</f>
        <v>0</v>
      </c>
      <c r="C1254">
        <f>+'[1]VENTAS(RESUMEN GLOBAL)'!B1254</f>
        <v>0</v>
      </c>
      <c r="D1254" t="e">
        <f>INDEX('[1]CÓDIGOS DE PRODUCTO'!$D$3:$D$1000,MATCH(C1254,'[1]CÓDIGOS DE PRODUCTO'!$A$3:$A$1000,0))</f>
        <v>#N/A</v>
      </c>
      <c r="E1254">
        <f>VLOOKUP(C1254,'[1]CÓDIGOS DE PRODUCTO'!$A$4:$B$156,2,FALSE)</f>
        <v>0</v>
      </c>
      <c r="F1254">
        <f>INDEX('[1]CÓDIGOS DE PRODUCTO'!$C$3:$C$1000,MATCH(C1254,'[1]CÓDIGOS DE PRODUCTO'!$A$3:$A$1000,0))</f>
        <v>0</v>
      </c>
      <c r="G1254">
        <f>+'[1]VENTAS(RESUMEN GLOBAL)'!D1254-'[1]VENTAS(RESUMEN GLOBAL)'!E1254</f>
        <v>0</v>
      </c>
      <c r="H1254" s="9">
        <f>+'[1]VENTAS(RESUMEN GLOBAL)'!K1254</f>
        <v>0</v>
      </c>
      <c r="I1254" s="8">
        <f>+G1254*'[1]VENTAS(RESUMEN GLOBAL)'!F1254</f>
        <v>0</v>
      </c>
      <c r="J1254" s="8">
        <f>'[1]VENTAS(RESUMEN GLOBAL)'!G1254*(1-'[1]VENTAS(RESUMEN GLOBAL)'!H1254)</f>
        <v>0</v>
      </c>
      <c r="K1254" s="8">
        <f t="shared" si="19"/>
        <v>0</v>
      </c>
      <c r="L1254" s="8">
        <f>+'[1]VENTAS(RESUMEN GLOBAL)'!J1254</f>
        <v>0</v>
      </c>
      <c r="M1254" s="8">
        <f>+Tabla1[[#This Row],[utilidad x dia]]*7</f>
        <v>0</v>
      </c>
    </row>
    <row r="1255" spans="1:13" x14ac:dyDescent="0.3">
      <c r="A1255" s="6">
        <f>+'[1]VENTAS(RESUMEN GLOBAL)'!L1255</f>
        <v>0</v>
      </c>
      <c r="B1255" s="6">
        <f>+'[1]VENTAS(RESUMEN GLOBAL)'!M1255</f>
        <v>0</v>
      </c>
      <c r="C1255">
        <f>+'[1]VENTAS(RESUMEN GLOBAL)'!B1255</f>
        <v>0</v>
      </c>
      <c r="D1255" t="e">
        <f>INDEX('[1]CÓDIGOS DE PRODUCTO'!$D$3:$D$1000,MATCH(C1255,'[1]CÓDIGOS DE PRODUCTO'!$A$3:$A$1000,0))</f>
        <v>#N/A</v>
      </c>
      <c r="E1255">
        <f>VLOOKUP(C1255,'[1]CÓDIGOS DE PRODUCTO'!$A$4:$B$156,2,FALSE)</f>
        <v>0</v>
      </c>
      <c r="F1255">
        <f>INDEX('[1]CÓDIGOS DE PRODUCTO'!$C$3:$C$1000,MATCH(C1255,'[1]CÓDIGOS DE PRODUCTO'!$A$3:$A$1000,0))</f>
        <v>0</v>
      </c>
      <c r="G1255">
        <f>+'[1]VENTAS(RESUMEN GLOBAL)'!D1255-'[1]VENTAS(RESUMEN GLOBAL)'!E1255</f>
        <v>0</v>
      </c>
      <c r="H1255" s="9">
        <f>+'[1]VENTAS(RESUMEN GLOBAL)'!K1255</f>
        <v>0</v>
      </c>
      <c r="I1255" s="8">
        <f>+G1255*'[1]VENTAS(RESUMEN GLOBAL)'!F1255</f>
        <v>0</v>
      </c>
      <c r="J1255" s="8">
        <f>'[1]VENTAS(RESUMEN GLOBAL)'!G1255*(1-'[1]VENTAS(RESUMEN GLOBAL)'!H1255)</f>
        <v>0</v>
      </c>
      <c r="K1255" s="8">
        <f t="shared" si="19"/>
        <v>0</v>
      </c>
      <c r="L1255" s="8">
        <f>+'[1]VENTAS(RESUMEN GLOBAL)'!J1255</f>
        <v>0</v>
      </c>
      <c r="M1255" s="8">
        <f>+Tabla1[[#This Row],[utilidad x dia]]*7</f>
        <v>0</v>
      </c>
    </row>
    <row r="1256" spans="1:13" x14ac:dyDescent="0.3">
      <c r="A1256" s="6">
        <f>+'[1]VENTAS(RESUMEN GLOBAL)'!L1256</f>
        <v>0</v>
      </c>
      <c r="B1256" s="6">
        <f>+'[1]VENTAS(RESUMEN GLOBAL)'!M1256</f>
        <v>0</v>
      </c>
      <c r="C1256">
        <f>+'[1]VENTAS(RESUMEN GLOBAL)'!B1256</f>
        <v>0</v>
      </c>
      <c r="D1256" t="e">
        <f>INDEX('[1]CÓDIGOS DE PRODUCTO'!$D$3:$D$1000,MATCH(C1256,'[1]CÓDIGOS DE PRODUCTO'!$A$3:$A$1000,0))</f>
        <v>#N/A</v>
      </c>
      <c r="E1256">
        <f>VLOOKUP(C1256,'[1]CÓDIGOS DE PRODUCTO'!$A$4:$B$156,2,FALSE)</f>
        <v>0</v>
      </c>
      <c r="F1256">
        <f>INDEX('[1]CÓDIGOS DE PRODUCTO'!$C$3:$C$1000,MATCH(C1256,'[1]CÓDIGOS DE PRODUCTO'!$A$3:$A$1000,0))</f>
        <v>0</v>
      </c>
      <c r="G1256">
        <f>+'[1]VENTAS(RESUMEN GLOBAL)'!D1256-'[1]VENTAS(RESUMEN GLOBAL)'!E1256</f>
        <v>0</v>
      </c>
      <c r="H1256" s="9">
        <f>+'[1]VENTAS(RESUMEN GLOBAL)'!K1256</f>
        <v>0</v>
      </c>
      <c r="I1256" s="8">
        <f>+G1256*'[1]VENTAS(RESUMEN GLOBAL)'!F1256</f>
        <v>0</v>
      </c>
      <c r="J1256" s="8">
        <f>'[1]VENTAS(RESUMEN GLOBAL)'!G1256*(1-'[1]VENTAS(RESUMEN GLOBAL)'!H1256)</f>
        <v>0</v>
      </c>
      <c r="K1256" s="8">
        <f t="shared" si="19"/>
        <v>0</v>
      </c>
      <c r="L1256" s="8">
        <f>+'[1]VENTAS(RESUMEN GLOBAL)'!J1256</f>
        <v>0</v>
      </c>
      <c r="M1256" s="8">
        <f>+Tabla1[[#This Row],[utilidad x dia]]*7</f>
        <v>0</v>
      </c>
    </row>
    <row r="1257" spans="1:13" x14ac:dyDescent="0.3">
      <c r="A1257" s="6">
        <f>+'[1]VENTAS(RESUMEN GLOBAL)'!L1257</f>
        <v>0</v>
      </c>
      <c r="B1257" s="6">
        <f>+'[1]VENTAS(RESUMEN GLOBAL)'!M1257</f>
        <v>0</v>
      </c>
      <c r="C1257">
        <f>+'[1]VENTAS(RESUMEN GLOBAL)'!B1257</f>
        <v>0</v>
      </c>
      <c r="D1257" t="e">
        <f>INDEX('[1]CÓDIGOS DE PRODUCTO'!$D$3:$D$1000,MATCH(C1257,'[1]CÓDIGOS DE PRODUCTO'!$A$3:$A$1000,0))</f>
        <v>#N/A</v>
      </c>
      <c r="E1257">
        <f>VLOOKUP(C1257,'[1]CÓDIGOS DE PRODUCTO'!$A$4:$B$156,2,FALSE)</f>
        <v>0</v>
      </c>
      <c r="F1257">
        <f>INDEX('[1]CÓDIGOS DE PRODUCTO'!$C$3:$C$1000,MATCH(C1257,'[1]CÓDIGOS DE PRODUCTO'!$A$3:$A$1000,0))</f>
        <v>0</v>
      </c>
      <c r="G1257">
        <f>+'[1]VENTAS(RESUMEN GLOBAL)'!D1257-'[1]VENTAS(RESUMEN GLOBAL)'!E1257</f>
        <v>0</v>
      </c>
      <c r="H1257" s="9">
        <f>+'[1]VENTAS(RESUMEN GLOBAL)'!K1257</f>
        <v>0</v>
      </c>
      <c r="I1257" s="8">
        <f>+G1257*'[1]VENTAS(RESUMEN GLOBAL)'!F1257</f>
        <v>0</v>
      </c>
      <c r="J1257" s="8">
        <f>'[1]VENTAS(RESUMEN GLOBAL)'!G1257*(1-'[1]VENTAS(RESUMEN GLOBAL)'!H1257)</f>
        <v>0</v>
      </c>
      <c r="K1257" s="8">
        <f t="shared" si="19"/>
        <v>0</v>
      </c>
      <c r="L1257" s="8">
        <f>+'[1]VENTAS(RESUMEN GLOBAL)'!J1257</f>
        <v>0</v>
      </c>
      <c r="M1257" s="8">
        <f>+Tabla1[[#This Row],[utilidad x dia]]*7</f>
        <v>0</v>
      </c>
    </row>
    <row r="1258" spans="1:13" x14ac:dyDescent="0.3">
      <c r="A1258" s="6">
        <f>+'[1]VENTAS(RESUMEN GLOBAL)'!L1258</f>
        <v>0</v>
      </c>
      <c r="B1258" s="6">
        <f>+'[1]VENTAS(RESUMEN GLOBAL)'!M1258</f>
        <v>0</v>
      </c>
      <c r="C1258">
        <f>+'[1]VENTAS(RESUMEN GLOBAL)'!B1258</f>
        <v>0</v>
      </c>
      <c r="D1258" t="e">
        <f>INDEX('[1]CÓDIGOS DE PRODUCTO'!$D$3:$D$1000,MATCH(C1258,'[1]CÓDIGOS DE PRODUCTO'!$A$3:$A$1000,0))</f>
        <v>#N/A</v>
      </c>
      <c r="E1258">
        <f>VLOOKUP(C1258,'[1]CÓDIGOS DE PRODUCTO'!$A$4:$B$156,2,FALSE)</f>
        <v>0</v>
      </c>
      <c r="F1258">
        <f>INDEX('[1]CÓDIGOS DE PRODUCTO'!$C$3:$C$1000,MATCH(C1258,'[1]CÓDIGOS DE PRODUCTO'!$A$3:$A$1000,0))</f>
        <v>0</v>
      </c>
      <c r="G1258">
        <f>+'[1]VENTAS(RESUMEN GLOBAL)'!D1258-'[1]VENTAS(RESUMEN GLOBAL)'!E1258</f>
        <v>0</v>
      </c>
      <c r="H1258" s="9">
        <f>+'[1]VENTAS(RESUMEN GLOBAL)'!K1258</f>
        <v>0</v>
      </c>
      <c r="I1258" s="8">
        <f>+G1258*'[1]VENTAS(RESUMEN GLOBAL)'!F1258</f>
        <v>0</v>
      </c>
      <c r="J1258" s="8">
        <f>'[1]VENTAS(RESUMEN GLOBAL)'!G1258*(1-'[1]VENTAS(RESUMEN GLOBAL)'!H1258)</f>
        <v>0</v>
      </c>
      <c r="K1258" s="8">
        <f t="shared" si="19"/>
        <v>0</v>
      </c>
      <c r="L1258" s="8">
        <f>+'[1]VENTAS(RESUMEN GLOBAL)'!J1258</f>
        <v>0</v>
      </c>
      <c r="M1258" s="8">
        <f>+Tabla1[[#This Row],[utilidad x dia]]*7</f>
        <v>0</v>
      </c>
    </row>
    <row r="1259" spans="1:13" x14ac:dyDescent="0.3">
      <c r="A1259" s="6">
        <f>+'[1]VENTAS(RESUMEN GLOBAL)'!L1259</f>
        <v>0</v>
      </c>
      <c r="B1259" s="6">
        <f>+'[1]VENTAS(RESUMEN GLOBAL)'!M1259</f>
        <v>0</v>
      </c>
      <c r="C1259">
        <f>+'[1]VENTAS(RESUMEN GLOBAL)'!B1259</f>
        <v>0</v>
      </c>
      <c r="D1259" t="e">
        <f>INDEX('[1]CÓDIGOS DE PRODUCTO'!$D$3:$D$1000,MATCH(C1259,'[1]CÓDIGOS DE PRODUCTO'!$A$3:$A$1000,0))</f>
        <v>#N/A</v>
      </c>
      <c r="E1259">
        <f>VLOOKUP(C1259,'[1]CÓDIGOS DE PRODUCTO'!$A$4:$B$156,2,FALSE)</f>
        <v>0</v>
      </c>
      <c r="F1259">
        <f>INDEX('[1]CÓDIGOS DE PRODUCTO'!$C$3:$C$1000,MATCH(C1259,'[1]CÓDIGOS DE PRODUCTO'!$A$3:$A$1000,0))</f>
        <v>0</v>
      </c>
      <c r="G1259">
        <f>+'[1]VENTAS(RESUMEN GLOBAL)'!D1259-'[1]VENTAS(RESUMEN GLOBAL)'!E1259</f>
        <v>0</v>
      </c>
      <c r="H1259" s="9">
        <f>+'[1]VENTAS(RESUMEN GLOBAL)'!K1259</f>
        <v>0</v>
      </c>
      <c r="I1259" s="8">
        <f>+G1259*'[1]VENTAS(RESUMEN GLOBAL)'!F1259</f>
        <v>0</v>
      </c>
      <c r="J1259" s="8">
        <f>'[1]VENTAS(RESUMEN GLOBAL)'!G1259*(1-'[1]VENTAS(RESUMEN GLOBAL)'!H1259)</f>
        <v>0</v>
      </c>
      <c r="K1259" s="8">
        <f t="shared" si="19"/>
        <v>0</v>
      </c>
      <c r="L1259" s="8">
        <f>+'[1]VENTAS(RESUMEN GLOBAL)'!J1259</f>
        <v>0</v>
      </c>
      <c r="M1259" s="8">
        <f>+Tabla1[[#This Row],[utilidad x dia]]*7</f>
        <v>0</v>
      </c>
    </row>
    <row r="1260" spans="1:13" x14ac:dyDescent="0.3">
      <c r="A1260" s="6">
        <f>+'[1]VENTAS(RESUMEN GLOBAL)'!L1260</f>
        <v>0</v>
      </c>
      <c r="B1260" s="6">
        <f>+'[1]VENTAS(RESUMEN GLOBAL)'!M1260</f>
        <v>0</v>
      </c>
      <c r="C1260">
        <f>+'[1]VENTAS(RESUMEN GLOBAL)'!B1260</f>
        <v>0</v>
      </c>
      <c r="D1260" t="e">
        <f>INDEX('[1]CÓDIGOS DE PRODUCTO'!$D$3:$D$1000,MATCH(C1260,'[1]CÓDIGOS DE PRODUCTO'!$A$3:$A$1000,0))</f>
        <v>#N/A</v>
      </c>
      <c r="E1260">
        <f>VLOOKUP(C1260,'[1]CÓDIGOS DE PRODUCTO'!$A$4:$B$156,2,FALSE)</f>
        <v>0</v>
      </c>
      <c r="F1260">
        <f>INDEX('[1]CÓDIGOS DE PRODUCTO'!$C$3:$C$1000,MATCH(C1260,'[1]CÓDIGOS DE PRODUCTO'!$A$3:$A$1000,0))</f>
        <v>0</v>
      </c>
      <c r="G1260">
        <f>+'[1]VENTAS(RESUMEN GLOBAL)'!D1260-'[1]VENTAS(RESUMEN GLOBAL)'!E1260</f>
        <v>0</v>
      </c>
      <c r="H1260" s="9">
        <f>+'[1]VENTAS(RESUMEN GLOBAL)'!K1260</f>
        <v>0</v>
      </c>
      <c r="I1260" s="8">
        <f>+G1260*'[1]VENTAS(RESUMEN GLOBAL)'!F1260</f>
        <v>0</v>
      </c>
      <c r="J1260" s="8">
        <f>'[1]VENTAS(RESUMEN GLOBAL)'!G1260*(1-'[1]VENTAS(RESUMEN GLOBAL)'!H1260)</f>
        <v>0</v>
      </c>
      <c r="K1260" s="8">
        <f t="shared" si="19"/>
        <v>0</v>
      </c>
      <c r="L1260" s="8">
        <f>+'[1]VENTAS(RESUMEN GLOBAL)'!J1260</f>
        <v>0</v>
      </c>
      <c r="M1260" s="8">
        <f>+Tabla1[[#This Row],[utilidad x dia]]*7</f>
        <v>0</v>
      </c>
    </row>
    <row r="1261" spans="1:13" x14ac:dyDescent="0.3">
      <c r="A1261" s="6">
        <f>+'[1]VENTAS(RESUMEN GLOBAL)'!L1261</f>
        <v>0</v>
      </c>
      <c r="B1261" s="6">
        <f>+'[1]VENTAS(RESUMEN GLOBAL)'!M1261</f>
        <v>0</v>
      </c>
      <c r="C1261">
        <f>+'[1]VENTAS(RESUMEN GLOBAL)'!B1261</f>
        <v>0</v>
      </c>
      <c r="D1261" t="e">
        <f>INDEX('[1]CÓDIGOS DE PRODUCTO'!$D$3:$D$1000,MATCH(C1261,'[1]CÓDIGOS DE PRODUCTO'!$A$3:$A$1000,0))</f>
        <v>#N/A</v>
      </c>
      <c r="E1261">
        <f>VLOOKUP(C1261,'[1]CÓDIGOS DE PRODUCTO'!$A$4:$B$156,2,FALSE)</f>
        <v>0</v>
      </c>
      <c r="F1261">
        <f>INDEX('[1]CÓDIGOS DE PRODUCTO'!$C$3:$C$1000,MATCH(C1261,'[1]CÓDIGOS DE PRODUCTO'!$A$3:$A$1000,0))</f>
        <v>0</v>
      </c>
      <c r="G1261">
        <f>+'[1]VENTAS(RESUMEN GLOBAL)'!D1261-'[1]VENTAS(RESUMEN GLOBAL)'!E1261</f>
        <v>0</v>
      </c>
      <c r="H1261" s="9">
        <f>+'[1]VENTAS(RESUMEN GLOBAL)'!K1261</f>
        <v>0</v>
      </c>
      <c r="I1261" s="8">
        <f>+G1261*'[1]VENTAS(RESUMEN GLOBAL)'!F1261</f>
        <v>0</v>
      </c>
      <c r="J1261" s="8">
        <f>'[1]VENTAS(RESUMEN GLOBAL)'!G1261*(1-'[1]VENTAS(RESUMEN GLOBAL)'!H1261)</f>
        <v>0</v>
      </c>
      <c r="K1261" s="8">
        <f t="shared" si="19"/>
        <v>0</v>
      </c>
      <c r="L1261" s="8">
        <f>+'[1]VENTAS(RESUMEN GLOBAL)'!J1261</f>
        <v>0</v>
      </c>
      <c r="M1261" s="8">
        <f>+Tabla1[[#This Row],[utilidad x dia]]*7</f>
        <v>0</v>
      </c>
    </row>
    <row r="1262" spans="1:13" x14ac:dyDescent="0.3">
      <c r="A1262" s="6">
        <f>+'[1]VENTAS(RESUMEN GLOBAL)'!L1262</f>
        <v>0</v>
      </c>
      <c r="B1262" s="6">
        <f>+'[1]VENTAS(RESUMEN GLOBAL)'!M1262</f>
        <v>0</v>
      </c>
      <c r="C1262">
        <f>+'[1]VENTAS(RESUMEN GLOBAL)'!B1262</f>
        <v>0</v>
      </c>
      <c r="D1262" t="e">
        <f>INDEX('[1]CÓDIGOS DE PRODUCTO'!$D$3:$D$1000,MATCH(C1262,'[1]CÓDIGOS DE PRODUCTO'!$A$3:$A$1000,0))</f>
        <v>#N/A</v>
      </c>
      <c r="E1262">
        <f>VLOOKUP(C1262,'[1]CÓDIGOS DE PRODUCTO'!$A$4:$B$156,2,FALSE)</f>
        <v>0</v>
      </c>
      <c r="F1262">
        <f>INDEX('[1]CÓDIGOS DE PRODUCTO'!$C$3:$C$1000,MATCH(C1262,'[1]CÓDIGOS DE PRODUCTO'!$A$3:$A$1000,0))</f>
        <v>0</v>
      </c>
      <c r="G1262">
        <f>+'[1]VENTAS(RESUMEN GLOBAL)'!D1262-'[1]VENTAS(RESUMEN GLOBAL)'!E1262</f>
        <v>0</v>
      </c>
      <c r="H1262" s="9">
        <f>+'[1]VENTAS(RESUMEN GLOBAL)'!K1262</f>
        <v>0</v>
      </c>
      <c r="I1262" s="8">
        <f>+G1262*'[1]VENTAS(RESUMEN GLOBAL)'!F1262</f>
        <v>0</v>
      </c>
      <c r="J1262" s="8">
        <f>'[1]VENTAS(RESUMEN GLOBAL)'!G1262*(1-'[1]VENTAS(RESUMEN GLOBAL)'!H1262)</f>
        <v>0</v>
      </c>
      <c r="K1262" s="8">
        <f t="shared" si="19"/>
        <v>0</v>
      </c>
      <c r="L1262" s="8">
        <f>+'[1]VENTAS(RESUMEN GLOBAL)'!J1262</f>
        <v>0</v>
      </c>
      <c r="M1262" s="8">
        <f>+Tabla1[[#This Row],[utilidad x dia]]*7</f>
        <v>0</v>
      </c>
    </row>
    <row r="1263" spans="1:13" x14ac:dyDescent="0.3">
      <c r="A1263" s="6">
        <f>+'[1]VENTAS(RESUMEN GLOBAL)'!L1263</f>
        <v>0</v>
      </c>
      <c r="B1263" s="6">
        <f>+'[1]VENTAS(RESUMEN GLOBAL)'!M1263</f>
        <v>0</v>
      </c>
      <c r="C1263">
        <f>+'[1]VENTAS(RESUMEN GLOBAL)'!B1263</f>
        <v>0</v>
      </c>
      <c r="D1263" t="e">
        <f>INDEX('[1]CÓDIGOS DE PRODUCTO'!$D$3:$D$1000,MATCH(C1263,'[1]CÓDIGOS DE PRODUCTO'!$A$3:$A$1000,0))</f>
        <v>#N/A</v>
      </c>
      <c r="E1263">
        <f>VLOOKUP(C1263,'[1]CÓDIGOS DE PRODUCTO'!$A$4:$B$156,2,FALSE)</f>
        <v>0</v>
      </c>
      <c r="F1263">
        <f>INDEX('[1]CÓDIGOS DE PRODUCTO'!$C$3:$C$1000,MATCH(C1263,'[1]CÓDIGOS DE PRODUCTO'!$A$3:$A$1000,0))</f>
        <v>0</v>
      </c>
      <c r="G1263">
        <f>+'[1]VENTAS(RESUMEN GLOBAL)'!D1263-'[1]VENTAS(RESUMEN GLOBAL)'!E1263</f>
        <v>0</v>
      </c>
      <c r="H1263" s="9">
        <f>+'[1]VENTAS(RESUMEN GLOBAL)'!K1263</f>
        <v>0</v>
      </c>
      <c r="I1263" s="8">
        <f>+G1263*'[1]VENTAS(RESUMEN GLOBAL)'!F1263</f>
        <v>0</v>
      </c>
      <c r="J1263" s="8">
        <f>'[1]VENTAS(RESUMEN GLOBAL)'!G1263*(1-'[1]VENTAS(RESUMEN GLOBAL)'!H1263)</f>
        <v>0</v>
      </c>
      <c r="K1263" s="8">
        <f t="shared" si="19"/>
        <v>0</v>
      </c>
      <c r="L1263" s="8">
        <f>+'[1]VENTAS(RESUMEN GLOBAL)'!J1263</f>
        <v>0</v>
      </c>
      <c r="M1263" s="8">
        <f>+Tabla1[[#This Row],[utilidad x dia]]*7</f>
        <v>0</v>
      </c>
    </row>
    <row r="1264" spans="1:13" x14ac:dyDescent="0.3">
      <c r="A1264" s="6">
        <f>+'[1]VENTAS(RESUMEN GLOBAL)'!L1264</f>
        <v>0</v>
      </c>
      <c r="B1264" s="6">
        <f>+'[1]VENTAS(RESUMEN GLOBAL)'!M1264</f>
        <v>0</v>
      </c>
      <c r="C1264">
        <f>+'[1]VENTAS(RESUMEN GLOBAL)'!B1264</f>
        <v>0</v>
      </c>
      <c r="D1264" t="e">
        <f>INDEX('[1]CÓDIGOS DE PRODUCTO'!$D$3:$D$1000,MATCH(C1264,'[1]CÓDIGOS DE PRODUCTO'!$A$3:$A$1000,0))</f>
        <v>#N/A</v>
      </c>
      <c r="E1264">
        <f>VLOOKUP(C1264,'[1]CÓDIGOS DE PRODUCTO'!$A$4:$B$156,2,FALSE)</f>
        <v>0</v>
      </c>
      <c r="F1264">
        <f>INDEX('[1]CÓDIGOS DE PRODUCTO'!$C$3:$C$1000,MATCH(C1264,'[1]CÓDIGOS DE PRODUCTO'!$A$3:$A$1000,0))</f>
        <v>0</v>
      </c>
      <c r="G1264">
        <f>+'[1]VENTAS(RESUMEN GLOBAL)'!D1264-'[1]VENTAS(RESUMEN GLOBAL)'!E1264</f>
        <v>0</v>
      </c>
      <c r="H1264" s="9">
        <f>+'[1]VENTAS(RESUMEN GLOBAL)'!K1264</f>
        <v>0</v>
      </c>
      <c r="I1264" s="8">
        <f>+G1264*'[1]VENTAS(RESUMEN GLOBAL)'!F1264</f>
        <v>0</v>
      </c>
      <c r="J1264" s="8">
        <f>'[1]VENTAS(RESUMEN GLOBAL)'!G1264*(1-'[1]VENTAS(RESUMEN GLOBAL)'!H1264)</f>
        <v>0</v>
      </c>
      <c r="K1264" s="8">
        <f t="shared" si="19"/>
        <v>0</v>
      </c>
      <c r="L1264" s="8">
        <f>+'[1]VENTAS(RESUMEN GLOBAL)'!J1264</f>
        <v>0</v>
      </c>
      <c r="M1264" s="8">
        <f>+Tabla1[[#This Row],[utilidad x dia]]*7</f>
        <v>0</v>
      </c>
    </row>
    <row r="1265" spans="1:13" x14ac:dyDescent="0.3">
      <c r="A1265" s="6">
        <f>+'[1]VENTAS(RESUMEN GLOBAL)'!L1265</f>
        <v>0</v>
      </c>
      <c r="B1265" s="6">
        <f>+'[1]VENTAS(RESUMEN GLOBAL)'!M1265</f>
        <v>0</v>
      </c>
      <c r="C1265">
        <f>+'[1]VENTAS(RESUMEN GLOBAL)'!B1265</f>
        <v>0</v>
      </c>
      <c r="D1265" t="e">
        <f>INDEX('[1]CÓDIGOS DE PRODUCTO'!$D$3:$D$1000,MATCH(C1265,'[1]CÓDIGOS DE PRODUCTO'!$A$3:$A$1000,0))</f>
        <v>#N/A</v>
      </c>
      <c r="E1265">
        <f>VLOOKUP(C1265,'[1]CÓDIGOS DE PRODUCTO'!$A$4:$B$156,2,FALSE)</f>
        <v>0</v>
      </c>
      <c r="F1265">
        <f>INDEX('[1]CÓDIGOS DE PRODUCTO'!$C$3:$C$1000,MATCH(C1265,'[1]CÓDIGOS DE PRODUCTO'!$A$3:$A$1000,0))</f>
        <v>0</v>
      </c>
      <c r="G1265">
        <f>+'[1]VENTAS(RESUMEN GLOBAL)'!D1265-'[1]VENTAS(RESUMEN GLOBAL)'!E1265</f>
        <v>0</v>
      </c>
      <c r="H1265" s="9">
        <f>+'[1]VENTAS(RESUMEN GLOBAL)'!K1265</f>
        <v>0</v>
      </c>
      <c r="I1265" s="8">
        <f>+G1265*'[1]VENTAS(RESUMEN GLOBAL)'!F1265</f>
        <v>0</v>
      </c>
      <c r="J1265" s="8">
        <f>'[1]VENTAS(RESUMEN GLOBAL)'!G1265*(1-'[1]VENTAS(RESUMEN GLOBAL)'!H1265)</f>
        <v>0</v>
      </c>
      <c r="K1265" s="8">
        <f t="shared" si="19"/>
        <v>0</v>
      </c>
      <c r="L1265" s="8">
        <f>+'[1]VENTAS(RESUMEN GLOBAL)'!J1265</f>
        <v>0</v>
      </c>
      <c r="M1265" s="8">
        <f>+Tabla1[[#This Row],[utilidad x dia]]*7</f>
        <v>0</v>
      </c>
    </row>
    <row r="1266" spans="1:13" x14ac:dyDescent="0.3">
      <c r="A1266" s="6">
        <f>+'[1]VENTAS(RESUMEN GLOBAL)'!L1266</f>
        <v>0</v>
      </c>
      <c r="B1266" s="6">
        <f>+'[1]VENTAS(RESUMEN GLOBAL)'!M1266</f>
        <v>0</v>
      </c>
      <c r="C1266">
        <f>+'[1]VENTAS(RESUMEN GLOBAL)'!B1266</f>
        <v>0</v>
      </c>
      <c r="D1266" t="e">
        <f>INDEX('[1]CÓDIGOS DE PRODUCTO'!$D$3:$D$1000,MATCH(C1266,'[1]CÓDIGOS DE PRODUCTO'!$A$3:$A$1000,0))</f>
        <v>#N/A</v>
      </c>
      <c r="E1266">
        <f>VLOOKUP(C1266,'[1]CÓDIGOS DE PRODUCTO'!$A$4:$B$156,2,FALSE)</f>
        <v>0</v>
      </c>
      <c r="F1266">
        <f>INDEX('[1]CÓDIGOS DE PRODUCTO'!$C$3:$C$1000,MATCH(C1266,'[1]CÓDIGOS DE PRODUCTO'!$A$3:$A$1000,0))</f>
        <v>0</v>
      </c>
      <c r="G1266">
        <f>+'[1]VENTAS(RESUMEN GLOBAL)'!D1266-'[1]VENTAS(RESUMEN GLOBAL)'!E1266</f>
        <v>0</v>
      </c>
      <c r="H1266" s="9">
        <f>+'[1]VENTAS(RESUMEN GLOBAL)'!K1266</f>
        <v>0</v>
      </c>
      <c r="I1266" s="8">
        <f>+G1266*'[1]VENTAS(RESUMEN GLOBAL)'!F1266</f>
        <v>0</v>
      </c>
      <c r="J1266" s="8">
        <f>'[1]VENTAS(RESUMEN GLOBAL)'!G1266*(1-'[1]VENTAS(RESUMEN GLOBAL)'!H1266)</f>
        <v>0</v>
      </c>
      <c r="K1266" s="8">
        <f t="shared" si="19"/>
        <v>0</v>
      </c>
      <c r="L1266" s="8">
        <f>+'[1]VENTAS(RESUMEN GLOBAL)'!J1266</f>
        <v>0</v>
      </c>
      <c r="M1266" s="8">
        <f>+Tabla1[[#This Row],[utilidad x dia]]*7</f>
        <v>0</v>
      </c>
    </row>
    <row r="1267" spans="1:13" x14ac:dyDescent="0.3">
      <c r="A1267" s="6">
        <f>+'[1]VENTAS(RESUMEN GLOBAL)'!L1267</f>
        <v>0</v>
      </c>
      <c r="B1267" s="6">
        <f>+'[1]VENTAS(RESUMEN GLOBAL)'!M1267</f>
        <v>0</v>
      </c>
      <c r="C1267">
        <f>+'[1]VENTAS(RESUMEN GLOBAL)'!B1267</f>
        <v>0</v>
      </c>
      <c r="D1267" t="e">
        <f>INDEX('[1]CÓDIGOS DE PRODUCTO'!$D$3:$D$1000,MATCH(C1267,'[1]CÓDIGOS DE PRODUCTO'!$A$3:$A$1000,0))</f>
        <v>#N/A</v>
      </c>
      <c r="E1267">
        <f>VLOOKUP(C1267,'[1]CÓDIGOS DE PRODUCTO'!$A$4:$B$156,2,FALSE)</f>
        <v>0</v>
      </c>
      <c r="F1267">
        <f>INDEX('[1]CÓDIGOS DE PRODUCTO'!$C$3:$C$1000,MATCH(C1267,'[1]CÓDIGOS DE PRODUCTO'!$A$3:$A$1000,0))</f>
        <v>0</v>
      </c>
      <c r="G1267">
        <f>+'[1]VENTAS(RESUMEN GLOBAL)'!D1267-'[1]VENTAS(RESUMEN GLOBAL)'!E1267</f>
        <v>0</v>
      </c>
      <c r="H1267" s="9">
        <f>+'[1]VENTAS(RESUMEN GLOBAL)'!K1267</f>
        <v>0</v>
      </c>
      <c r="I1267" s="8">
        <f>+G1267*'[1]VENTAS(RESUMEN GLOBAL)'!F1267</f>
        <v>0</v>
      </c>
      <c r="J1267" s="8">
        <f>'[1]VENTAS(RESUMEN GLOBAL)'!G1267*(1-'[1]VENTAS(RESUMEN GLOBAL)'!H1267)</f>
        <v>0</v>
      </c>
      <c r="K1267" s="8">
        <f t="shared" si="19"/>
        <v>0</v>
      </c>
      <c r="L1267" s="8">
        <f>+'[1]VENTAS(RESUMEN GLOBAL)'!J1267</f>
        <v>0</v>
      </c>
      <c r="M1267" s="8">
        <f>+Tabla1[[#This Row],[utilidad x dia]]*7</f>
        <v>0</v>
      </c>
    </row>
    <row r="1268" spans="1:13" x14ac:dyDescent="0.3">
      <c r="A1268" s="6">
        <f>+'[1]VENTAS(RESUMEN GLOBAL)'!L1268</f>
        <v>0</v>
      </c>
      <c r="B1268" s="6">
        <f>+'[1]VENTAS(RESUMEN GLOBAL)'!M1268</f>
        <v>0</v>
      </c>
      <c r="C1268">
        <f>+'[1]VENTAS(RESUMEN GLOBAL)'!B1268</f>
        <v>0</v>
      </c>
      <c r="D1268" t="e">
        <f>INDEX('[1]CÓDIGOS DE PRODUCTO'!$D$3:$D$1000,MATCH(C1268,'[1]CÓDIGOS DE PRODUCTO'!$A$3:$A$1000,0))</f>
        <v>#N/A</v>
      </c>
      <c r="E1268">
        <f>VLOOKUP(C1268,'[1]CÓDIGOS DE PRODUCTO'!$A$4:$B$156,2,FALSE)</f>
        <v>0</v>
      </c>
      <c r="F1268">
        <f>INDEX('[1]CÓDIGOS DE PRODUCTO'!$C$3:$C$1000,MATCH(C1268,'[1]CÓDIGOS DE PRODUCTO'!$A$3:$A$1000,0))</f>
        <v>0</v>
      </c>
      <c r="G1268">
        <f>+'[1]VENTAS(RESUMEN GLOBAL)'!D1268-'[1]VENTAS(RESUMEN GLOBAL)'!E1268</f>
        <v>0</v>
      </c>
      <c r="H1268" s="9">
        <f>+'[1]VENTAS(RESUMEN GLOBAL)'!K1268</f>
        <v>0</v>
      </c>
      <c r="I1268" s="8">
        <f>+G1268*'[1]VENTAS(RESUMEN GLOBAL)'!F1268</f>
        <v>0</v>
      </c>
      <c r="J1268" s="8">
        <f>'[1]VENTAS(RESUMEN GLOBAL)'!G1268*(1-'[1]VENTAS(RESUMEN GLOBAL)'!H1268)</f>
        <v>0</v>
      </c>
      <c r="K1268" s="8">
        <f t="shared" si="19"/>
        <v>0</v>
      </c>
      <c r="L1268" s="8">
        <f>+'[1]VENTAS(RESUMEN GLOBAL)'!J1268</f>
        <v>0</v>
      </c>
      <c r="M1268" s="8">
        <f>+Tabla1[[#This Row],[utilidad x dia]]*7</f>
        <v>0</v>
      </c>
    </row>
    <row r="1269" spans="1:13" x14ac:dyDescent="0.3">
      <c r="A1269" s="6">
        <f>+'[1]VENTAS(RESUMEN GLOBAL)'!L1269</f>
        <v>0</v>
      </c>
      <c r="B1269" s="6">
        <f>+'[1]VENTAS(RESUMEN GLOBAL)'!M1269</f>
        <v>0</v>
      </c>
      <c r="C1269">
        <f>+'[1]VENTAS(RESUMEN GLOBAL)'!B1269</f>
        <v>0</v>
      </c>
      <c r="D1269" t="e">
        <f>INDEX('[1]CÓDIGOS DE PRODUCTO'!$D$3:$D$1000,MATCH(C1269,'[1]CÓDIGOS DE PRODUCTO'!$A$3:$A$1000,0))</f>
        <v>#N/A</v>
      </c>
      <c r="E1269">
        <f>VLOOKUP(C1269,'[1]CÓDIGOS DE PRODUCTO'!$A$4:$B$156,2,FALSE)</f>
        <v>0</v>
      </c>
      <c r="F1269">
        <f>INDEX('[1]CÓDIGOS DE PRODUCTO'!$C$3:$C$1000,MATCH(C1269,'[1]CÓDIGOS DE PRODUCTO'!$A$3:$A$1000,0))</f>
        <v>0</v>
      </c>
      <c r="G1269">
        <f>+'[1]VENTAS(RESUMEN GLOBAL)'!D1269-'[1]VENTAS(RESUMEN GLOBAL)'!E1269</f>
        <v>0</v>
      </c>
      <c r="H1269" s="9">
        <f>+'[1]VENTAS(RESUMEN GLOBAL)'!K1269</f>
        <v>0</v>
      </c>
      <c r="I1269" s="8">
        <f>+G1269*'[1]VENTAS(RESUMEN GLOBAL)'!F1269</f>
        <v>0</v>
      </c>
      <c r="J1269" s="8">
        <f>'[1]VENTAS(RESUMEN GLOBAL)'!G1269*(1-'[1]VENTAS(RESUMEN GLOBAL)'!H1269)</f>
        <v>0</v>
      </c>
      <c r="K1269" s="8">
        <f t="shared" si="19"/>
        <v>0</v>
      </c>
      <c r="L1269" s="8">
        <f>+'[1]VENTAS(RESUMEN GLOBAL)'!J1269</f>
        <v>0</v>
      </c>
      <c r="M1269" s="8">
        <f>+Tabla1[[#This Row],[utilidad x dia]]*7</f>
        <v>0</v>
      </c>
    </row>
    <row r="1270" spans="1:13" x14ac:dyDescent="0.3">
      <c r="A1270" s="6">
        <f>+'[1]VENTAS(RESUMEN GLOBAL)'!L1270</f>
        <v>0</v>
      </c>
      <c r="B1270" s="6">
        <f>+'[1]VENTAS(RESUMEN GLOBAL)'!M1270</f>
        <v>0</v>
      </c>
      <c r="C1270">
        <f>+'[1]VENTAS(RESUMEN GLOBAL)'!B1270</f>
        <v>0</v>
      </c>
      <c r="D1270" t="e">
        <f>INDEX('[1]CÓDIGOS DE PRODUCTO'!$D$3:$D$1000,MATCH(C1270,'[1]CÓDIGOS DE PRODUCTO'!$A$3:$A$1000,0))</f>
        <v>#N/A</v>
      </c>
      <c r="E1270">
        <f>VLOOKUP(C1270,'[1]CÓDIGOS DE PRODUCTO'!$A$4:$B$156,2,FALSE)</f>
        <v>0</v>
      </c>
      <c r="F1270">
        <f>INDEX('[1]CÓDIGOS DE PRODUCTO'!$C$3:$C$1000,MATCH(C1270,'[1]CÓDIGOS DE PRODUCTO'!$A$3:$A$1000,0))</f>
        <v>0</v>
      </c>
      <c r="G1270">
        <f>+'[1]VENTAS(RESUMEN GLOBAL)'!D1270-'[1]VENTAS(RESUMEN GLOBAL)'!E1270</f>
        <v>0</v>
      </c>
      <c r="H1270" s="9">
        <f>+'[1]VENTAS(RESUMEN GLOBAL)'!K1270</f>
        <v>0</v>
      </c>
      <c r="I1270" s="8">
        <f>+G1270*'[1]VENTAS(RESUMEN GLOBAL)'!F1270</f>
        <v>0</v>
      </c>
      <c r="J1270" s="8">
        <f>'[1]VENTAS(RESUMEN GLOBAL)'!G1270*(1-'[1]VENTAS(RESUMEN GLOBAL)'!H1270)</f>
        <v>0</v>
      </c>
      <c r="K1270" s="8">
        <f t="shared" si="19"/>
        <v>0</v>
      </c>
      <c r="L1270" s="8">
        <f>+'[1]VENTAS(RESUMEN GLOBAL)'!J1270</f>
        <v>0</v>
      </c>
      <c r="M1270" s="8">
        <f>+Tabla1[[#This Row],[utilidad x dia]]*7</f>
        <v>0</v>
      </c>
    </row>
    <row r="1271" spans="1:13" x14ac:dyDescent="0.3">
      <c r="A1271" s="6">
        <f>+'[1]VENTAS(RESUMEN GLOBAL)'!L1271</f>
        <v>0</v>
      </c>
      <c r="B1271" s="6">
        <f>+'[1]VENTAS(RESUMEN GLOBAL)'!M1271</f>
        <v>0</v>
      </c>
      <c r="C1271">
        <f>+'[1]VENTAS(RESUMEN GLOBAL)'!B1271</f>
        <v>0</v>
      </c>
      <c r="D1271" t="e">
        <f>INDEX('[1]CÓDIGOS DE PRODUCTO'!$D$3:$D$1000,MATCH(C1271,'[1]CÓDIGOS DE PRODUCTO'!$A$3:$A$1000,0))</f>
        <v>#N/A</v>
      </c>
      <c r="E1271">
        <f>VLOOKUP(C1271,'[1]CÓDIGOS DE PRODUCTO'!$A$4:$B$156,2,FALSE)</f>
        <v>0</v>
      </c>
      <c r="F1271">
        <f>INDEX('[1]CÓDIGOS DE PRODUCTO'!$C$3:$C$1000,MATCH(C1271,'[1]CÓDIGOS DE PRODUCTO'!$A$3:$A$1000,0))</f>
        <v>0</v>
      </c>
      <c r="G1271">
        <f>+'[1]VENTAS(RESUMEN GLOBAL)'!D1271-'[1]VENTAS(RESUMEN GLOBAL)'!E1271</f>
        <v>0</v>
      </c>
      <c r="H1271" s="9">
        <f>+'[1]VENTAS(RESUMEN GLOBAL)'!K1271</f>
        <v>0</v>
      </c>
      <c r="I1271" s="8">
        <f>+G1271*'[1]VENTAS(RESUMEN GLOBAL)'!F1271</f>
        <v>0</v>
      </c>
      <c r="J1271" s="8">
        <f>'[1]VENTAS(RESUMEN GLOBAL)'!G1271*(1-'[1]VENTAS(RESUMEN GLOBAL)'!H1271)</f>
        <v>0</v>
      </c>
      <c r="K1271" s="8">
        <f t="shared" si="19"/>
        <v>0</v>
      </c>
      <c r="L1271" s="8">
        <f>+'[1]VENTAS(RESUMEN GLOBAL)'!J1271</f>
        <v>0</v>
      </c>
      <c r="M1271" s="8">
        <f>+Tabla1[[#This Row],[utilidad x dia]]*7</f>
        <v>0</v>
      </c>
    </row>
    <row r="1272" spans="1:13" x14ac:dyDescent="0.3">
      <c r="A1272" s="6">
        <f>+'[1]VENTAS(RESUMEN GLOBAL)'!L1272</f>
        <v>0</v>
      </c>
      <c r="B1272" s="6">
        <f>+'[1]VENTAS(RESUMEN GLOBAL)'!M1272</f>
        <v>0</v>
      </c>
      <c r="C1272">
        <f>+'[1]VENTAS(RESUMEN GLOBAL)'!B1272</f>
        <v>0</v>
      </c>
      <c r="D1272" t="e">
        <f>INDEX('[1]CÓDIGOS DE PRODUCTO'!$D$3:$D$1000,MATCH(C1272,'[1]CÓDIGOS DE PRODUCTO'!$A$3:$A$1000,0))</f>
        <v>#N/A</v>
      </c>
      <c r="E1272">
        <f>VLOOKUP(C1272,'[1]CÓDIGOS DE PRODUCTO'!$A$4:$B$156,2,FALSE)</f>
        <v>0</v>
      </c>
      <c r="F1272">
        <f>INDEX('[1]CÓDIGOS DE PRODUCTO'!$C$3:$C$1000,MATCH(C1272,'[1]CÓDIGOS DE PRODUCTO'!$A$3:$A$1000,0))</f>
        <v>0</v>
      </c>
      <c r="G1272">
        <f>+'[1]VENTAS(RESUMEN GLOBAL)'!D1272-'[1]VENTAS(RESUMEN GLOBAL)'!E1272</f>
        <v>0</v>
      </c>
      <c r="H1272" s="9">
        <f>+'[1]VENTAS(RESUMEN GLOBAL)'!K1272</f>
        <v>0</v>
      </c>
      <c r="I1272" s="8">
        <f>+G1272*'[1]VENTAS(RESUMEN GLOBAL)'!F1272</f>
        <v>0</v>
      </c>
      <c r="J1272" s="8">
        <f>'[1]VENTAS(RESUMEN GLOBAL)'!G1272*(1-'[1]VENTAS(RESUMEN GLOBAL)'!H1272)</f>
        <v>0</v>
      </c>
      <c r="K1272" s="8">
        <f t="shared" si="19"/>
        <v>0</v>
      </c>
      <c r="L1272" s="8">
        <f>+'[1]VENTAS(RESUMEN GLOBAL)'!J1272</f>
        <v>0</v>
      </c>
      <c r="M1272" s="8">
        <f>+Tabla1[[#This Row],[utilidad x dia]]*7</f>
        <v>0</v>
      </c>
    </row>
    <row r="1273" spans="1:13" x14ac:dyDescent="0.3">
      <c r="A1273" s="6">
        <f>+'[1]VENTAS(RESUMEN GLOBAL)'!L1273</f>
        <v>0</v>
      </c>
      <c r="B1273" s="6">
        <f>+'[1]VENTAS(RESUMEN GLOBAL)'!M1273</f>
        <v>0</v>
      </c>
      <c r="C1273">
        <f>+'[1]VENTAS(RESUMEN GLOBAL)'!B1273</f>
        <v>0</v>
      </c>
      <c r="D1273" t="e">
        <f>INDEX('[1]CÓDIGOS DE PRODUCTO'!$D$3:$D$1000,MATCH(C1273,'[1]CÓDIGOS DE PRODUCTO'!$A$3:$A$1000,0))</f>
        <v>#N/A</v>
      </c>
      <c r="E1273">
        <f>VLOOKUP(C1273,'[1]CÓDIGOS DE PRODUCTO'!$A$4:$B$156,2,FALSE)</f>
        <v>0</v>
      </c>
      <c r="F1273">
        <f>INDEX('[1]CÓDIGOS DE PRODUCTO'!$C$3:$C$1000,MATCH(C1273,'[1]CÓDIGOS DE PRODUCTO'!$A$3:$A$1000,0))</f>
        <v>0</v>
      </c>
      <c r="G1273">
        <f>+'[1]VENTAS(RESUMEN GLOBAL)'!D1273-'[1]VENTAS(RESUMEN GLOBAL)'!E1273</f>
        <v>0</v>
      </c>
      <c r="H1273" s="9">
        <f>+'[1]VENTAS(RESUMEN GLOBAL)'!K1273</f>
        <v>0</v>
      </c>
      <c r="I1273" s="8">
        <f>+G1273*'[1]VENTAS(RESUMEN GLOBAL)'!F1273</f>
        <v>0</v>
      </c>
      <c r="J1273" s="8">
        <f>'[1]VENTAS(RESUMEN GLOBAL)'!G1273*(1-'[1]VENTAS(RESUMEN GLOBAL)'!H1273)</f>
        <v>0</v>
      </c>
      <c r="K1273" s="8">
        <f t="shared" si="19"/>
        <v>0</v>
      </c>
      <c r="L1273" s="8">
        <f>+'[1]VENTAS(RESUMEN GLOBAL)'!J1273</f>
        <v>0</v>
      </c>
      <c r="M1273" s="8">
        <f>+Tabla1[[#This Row],[utilidad x dia]]*7</f>
        <v>0</v>
      </c>
    </row>
    <row r="1274" spans="1:13" x14ac:dyDescent="0.3">
      <c r="A1274" s="6">
        <f>+'[1]VENTAS(RESUMEN GLOBAL)'!L1274</f>
        <v>0</v>
      </c>
      <c r="B1274" s="6">
        <f>+'[1]VENTAS(RESUMEN GLOBAL)'!M1274</f>
        <v>0</v>
      </c>
      <c r="C1274">
        <f>+'[1]VENTAS(RESUMEN GLOBAL)'!B1274</f>
        <v>0</v>
      </c>
      <c r="D1274" t="e">
        <f>INDEX('[1]CÓDIGOS DE PRODUCTO'!$D$3:$D$1000,MATCH(C1274,'[1]CÓDIGOS DE PRODUCTO'!$A$3:$A$1000,0))</f>
        <v>#N/A</v>
      </c>
      <c r="E1274">
        <f>VLOOKUP(C1274,'[1]CÓDIGOS DE PRODUCTO'!$A$4:$B$156,2,FALSE)</f>
        <v>0</v>
      </c>
      <c r="F1274">
        <f>INDEX('[1]CÓDIGOS DE PRODUCTO'!$C$3:$C$1000,MATCH(C1274,'[1]CÓDIGOS DE PRODUCTO'!$A$3:$A$1000,0))</f>
        <v>0</v>
      </c>
      <c r="G1274">
        <f>+'[1]VENTAS(RESUMEN GLOBAL)'!D1274-'[1]VENTAS(RESUMEN GLOBAL)'!E1274</f>
        <v>0</v>
      </c>
      <c r="H1274" s="9">
        <f>+'[1]VENTAS(RESUMEN GLOBAL)'!K1274</f>
        <v>0</v>
      </c>
      <c r="I1274" s="8">
        <f>+G1274*'[1]VENTAS(RESUMEN GLOBAL)'!F1274</f>
        <v>0</v>
      </c>
      <c r="J1274" s="8">
        <f>'[1]VENTAS(RESUMEN GLOBAL)'!G1274*(1-'[1]VENTAS(RESUMEN GLOBAL)'!H1274)</f>
        <v>0</v>
      </c>
      <c r="K1274" s="8">
        <f t="shared" si="19"/>
        <v>0</v>
      </c>
      <c r="L1274" s="8">
        <f>+'[1]VENTAS(RESUMEN GLOBAL)'!J1274</f>
        <v>0</v>
      </c>
      <c r="M1274" s="8">
        <f>+Tabla1[[#This Row],[utilidad x dia]]*7</f>
        <v>0</v>
      </c>
    </row>
    <row r="1275" spans="1:13" x14ac:dyDescent="0.3">
      <c r="A1275" s="6">
        <f>+'[1]VENTAS(RESUMEN GLOBAL)'!L1275</f>
        <v>0</v>
      </c>
      <c r="B1275" s="6">
        <f>+'[1]VENTAS(RESUMEN GLOBAL)'!M1275</f>
        <v>0</v>
      </c>
      <c r="C1275">
        <f>+'[1]VENTAS(RESUMEN GLOBAL)'!B1275</f>
        <v>0</v>
      </c>
      <c r="D1275" t="e">
        <f>INDEX('[1]CÓDIGOS DE PRODUCTO'!$D$3:$D$1000,MATCH(C1275,'[1]CÓDIGOS DE PRODUCTO'!$A$3:$A$1000,0))</f>
        <v>#N/A</v>
      </c>
      <c r="E1275">
        <f>VLOOKUP(C1275,'[1]CÓDIGOS DE PRODUCTO'!$A$4:$B$156,2,FALSE)</f>
        <v>0</v>
      </c>
      <c r="F1275">
        <f>INDEX('[1]CÓDIGOS DE PRODUCTO'!$C$3:$C$1000,MATCH(C1275,'[1]CÓDIGOS DE PRODUCTO'!$A$3:$A$1000,0))</f>
        <v>0</v>
      </c>
      <c r="G1275">
        <f>+'[1]VENTAS(RESUMEN GLOBAL)'!D1275-'[1]VENTAS(RESUMEN GLOBAL)'!E1275</f>
        <v>0</v>
      </c>
      <c r="H1275" s="9">
        <f>+'[1]VENTAS(RESUMEN GLOBAL)'!K1275</f>
        <v>0</v>
      </c>
      <c r="I1275" s="8">
        <f>+G1275*'[1]VENTAS(RESUMEN GLOBAL)'!F1275</f>
        <v>0</v>
      </c>
      <c r="J1275" s="8">
        <f>'[1]VENTAS(RESUMEN GLOBAL)'!G1275*(1-'[1]VENTAS(RESUMEN GLOBAL)'!H1275)</f>
        <v>0</v>
      </c>
      <c r="K1275" s="8">
        <f t="shared" si="19"/>
        <v>0</v>
      </c>
      <c r="L1275" s="8">
        <f>+'[1]VENTAS(RESUMEN GLOBAL)'!J1275</f>
        <v>0</v>
      </c>
      <c r="M1275" s="8">
        <f>+Tabla1[[#This Row],[utilidad x dia]]*7</f>
        <v>0</v>
      </c>
    </row>
    <row r="1276" spans="1:13" x14ac:dyDescent="0.3">
      <c r="A1276" s="6">
        <f>+'[1]VENTAS(RESUMEN GLOBAL)'!L1276</f>
        <v>0</v>
      </c>
      <c r="B1276" s="6">
        <f>+'[1]VENTAS(RESUMEN GLOBAL)'!M1276</f>
        <v>0</v>
      </c>
      <c r="C1276">
        <f>+'[1]VENTAS(RESUMEN GLOBAL)'!B1276</f>
        <v>0</v>
      </c>
      <c r="D1276" t="e">
        <f>INDEX('[1]CÓDIGOS DE PRODUCTO'!$D$3:$D$1000,MATCH(C1276,'[1]CÓDIGOS DE PRODUCTO'!$A$3:$A$1000,0))</f>
        <v>#N/A</v>
      </c>
      <c r="E1276">
        <f>VLOOKUP(C1276,'[1]CÓDIGOS DE PRODUCTO'!$A$4:$B$156,2,FALSE)</f>
        <v>0</v>
      </c>
      <c r="F1276">
        <f>INDEX('[1]CÓDIGOS DE PRODUCTO'!$C$3:$C$1000,MATCH(C1276,'[1]CÓDIGOS DE PRODUCTO'!$A$3:$A$1000,0))</f>
        <v>0</v>
      </c>
      <c r="G1276">
        <f>+'[1]VENTAS(RESUMEN GLOBAL)'!D1276-'[1]VENTAS(RESUMEN GLOBAL)'!E1276</f>
        <v>0</v>
      </c>
      <c r="H1276" s="9">
        <f>+'[1]VENTAS(RESUMEN GLOBAL)'!K1276</f>
        <v>0</v>
      </c>
      <c r="I1276" s="8">
        <f>+G1276*'[1]VENTAS(RESUMEN GLOBAL)'!F1276</f>
        <v>0</v>
      </c>
      <c r="J1276" s="8">
        <f>'[1]VENTAS(RESUMEN GLOBAL)'!G1276*(1-'[1]VENTAS(RESUMEN GLOBAL)'!H1276)</f>
        <v>0</v>
      </c>
      <c r="K1276" s="8">
        <f t="shared" si="19"/>
        <v>0</v>
      </c>
      <c r="L1276" s="8">
        <f>+'[1]VENTAS(RESUMEN GLOBAL)'!J1276</f>
        <v>0</v>
      </c>
      <c r="M1276" s="8">
        <f>+Tabla1[[#This Row],[utilidad x dia]]*7</f>
        <v>0</v>
      </c>
    </row>
    <row r="1277" spans="1:13" x14ac:dyDescent="0.3">
      <c r="A1277" s="6">
        <f>+'[1]VENTAS(RESUMEN GLOBAL)'!L1277</f>
        <v>0</v>
      </c>
      <c r="B1277" s="6">
        <f>+'[1]VENTAS(RESUMEN GLOBAL)'!M1277</f>
        <v>0</v>
      </c>
      <c r="C1277">
        <f>+'[1]VENTAS(RESUMEN GLOBAL)'!B1277</f>
        <v>0</v>
      </c>
      <c r="D1277" t="e">
        <f>INDEX('[1]CÓDIGOS DE PRODUCTO'!$D$3:$D$1000,MATCH(C1277,'[1]CÓDIGOS DE PRODUCTO'!$A$3:$A$1000,0))</f>
        <v>#N/A</v>
      </c>
      <c r="E1277">
        <f>VLOOKUP(C1277,'[1]CÓDIGOS DE PRODUCTO'!$A$4:$B$156,2,FALSE)</f>
        <v>0</v>
      </c>
      <c r="F1277">
        <f>INDEX('[1]CÓDIGOS DE PRODUCTO'!$C$3:$C$1000,MATCH(C1277,'[1]CÓDIGOS DE PRODUCTO'!$A$3:$A$1000,0))</f>
        <v>0</v>
      </c>
      <c r="G1277">
        <f>+'[1]VENTAS(RESUMEN GLOBAL)'!D1277-'[1]VENTAS(RESUMEN GLOBAL)'!E1277</f>
        <v>0</v>
      </c>
      <c r="H1277" s="9">
        <f>+'[1]VENTAS(RESUMEN GLOBAL)'!K1277</f>
        <v>0</v>
      </c>
      <c r="I1277" s="8">
        <f>+G1277*'[1]VENTAS(RESUMEN GLOBAL)'!F1277</f>
        <v>0</v>
      </c>
      <c r="J1277" s="8">
        <f>'[1]VENTAS(RESUMEN GLOBAL)'!G1277*(1-'[1]VENTAS(RESUMEN GLOBAL)'!H1277)</f>
        <v>0</v>
      </c>
      <c r="K1277" s="8">
        <f t="shared" si="19"/>
        <v>0</v>
      </c>
      <c r="L1277" s="8">
        <f>+'[1]VENTAS(RESUMEN GLOBAL)'!J1277</f>
        <v>0</v>
      </c>
      <c r="M1277" s="8">
        <f>+Tabla1[[#This Row],[utilidad x dia]]*7</f>
        <v>0</v>
      </c>
    </row>
    <row r="1278" spans="1:13" x14ac:dyDescent="0.3">
      <c r="A1278" s="6">
        <f>+'[1]VENTAS(RESUMEN GLOBAL)'!L1278</f>
        <v>0</v>
      </c>
      <c r="B1278" s="6">
        <f>+'[1]VENTAS(RESUMEN GLOBAL)'!M1278</f>
        <v>0</v>
      </c>
      <c r="C1278">
        <f>+'[1]VENTAS(RESUMEN GLOBAL)'!B1278</f>
        <v>0</v>
      </c>
      <c r="D1278" t="e">
        <f>INDEX('[1]CÓDIGOS DE PRODUCTO'!$D$3:$D$1000,MATCH(C1278,'[1]CÓDIGOS DE PRODUCTO'!$A$3:$A$1000,0))</f>
        <v>#N/A</v>
      </c>
      <c r="E1278">
        <f>VLOOKUP(C1278,'[1]CÓDIGOS DE PRODUCTO'!$A$4:$B$156,2,FALSE)</f>
        <v>0</v>
      </c>
      <c r="F1278">
        <f>INDEX('[1]CÓDIGOS DE PRODUCTO'!$C$3:$C$1000,MATCH(C1278,'[1]CÓDIGOS DE PRODUCTO'!$A$3:$A$1000,0))</f>
        <v>0</v>
      </c>
      <c r="G1278">
        <f>+'[1]VENTAS(RESUMEN GLOBAL)'!D1278-'[1]VENTAS(RESUMEN GLOBAL)'!E1278</f>
        <v>0</v>
      </c>
      <c r="H1278" s="9">
        <f>+'[1]VENTAS(RESUMEN GLOBAL)'!K1278</f>
        <v>0</v>
      </c>
      <c r="I1278" s="8">
        <f>+G1278*'[1]VENTAS(RESUMEN GLOBAL)'!F1278</f>
        <v>0</v>
      </c>
      <c r="J1278" s="8">
        <f>'[1]VENTAS(RESUMEN GLOBAL)'!G1278*(1-'[1]VENTAS(RESUMEN GLOBAL)'!H1278)</f>
        <v>0</v>
      </c>
      <c r="K1278" s="8">
        <f t="shared" si="19"/>
        <v>0</v>
      </c>
      <c r="L1278" s="8">
        <f>+'[1]VENTAS(RESUMEN GLOBAL)'!J1278</f>
        <v>0</v>
      </c>
      <c r="M1278" s="8">
        <f>+Tabla1[[#This Row],[utilidad x dia]]*7</f>
        <v>0</v>
      </c>
    </row>
    <row r="1279" spans="1:13" x14ac:dyDescent="0.3">
      <c r="A1279" s="6">
        <f>+'[1]VENTAS(RESUMEN GLOBAL)'!L1279</f>
        <v>0</v>
      </c>
      <c r="B1279" s="6">
        <f>+'[1]VENTAS(RESUMEN GLOBAL)'!M1279</f>
        <v>0</v>
      </c>
      <c r="C1279">
        <f>+'[1]VENTAS(RESUMEN GLOBAL)'!B1279</f>
        <v>0</v>
      </c>
      <c r="D1279" t="e">
        <f>INDEX('[1]CÓDIGOS DE PRODUCTO'!$D$3:$D$1000,MATCH(C1279,'[1]CÓDIGOS DE PRODUCTO'!$A$3:$A$1000,0))</f>
        <v>#N/A</v>
      </c>
      <c r="E1279">
        <f>VLOOKUP(C1279,'[1]CÓDIGOS DE PRODUCTO'!$A$4:$B$156,2,FALSE)</f>
        <v>0</v>
      </c>
      <c r="F1279">
        <f>INDEX('[1]CÓDIGOS DE PRODUCTO'!$C$3:$C$1000,MATCH(C1279,'[1]CÓDIGOS DE PRODUCTO'!$A$3:$A$1000,0))</f>
        <v>0</v>
      </c>
      <c r="G1279">
        <f>+'[1]VENTAS(RESUMEN GLOBAL)'!D1279-'[1]VENTAS(RESUMEN GLOBAL)'!E1279</f>
        <v>0</v>
      </c>
      <c r="H1279" s="9">
        <f>+'[1]VENTAS(RESUMEN GLOBAL)'!K1279</f>
        <v>0</v>
      </c>
      <c r="I1279" s="8">
        <f>+G1279*'[1]VENTAS(RESUMEN GLOBAL)'!F1279</f>
        <v>0</v>
      </c>
      <c r="J1279" s="8">
        <f>'[1]VENTAS(RESUMEN GLOBAL)'!G1279*(1-'[1]VENTAS(RESUMEN GLOBAL)'!H1279)</f>
        <v>0</v>
      </c>
      <c r="K1279" s="8">
        <f t="shared" si="19"/>
        <v>0</v>
      </c>
      <c r="L1279" s="8">
        <f>+'[1]VENTAS(RESUMEN GLOBAL)'!J1279</f>
        <v>0</v>
      </c>
      <c r="M1279" s="8">
        <f>+Tabla1[[#This Row],[utilidad x dia]]*7</f>
        <v>0</v>
      </c>
    </row>
    <row r="1280" spans="1:13" x14ac:dyDescent="0.3">
      <c r="A1280" s="6">
        <f>+'[1]VENTAS(RESUMEN GLOBAL)'!L1280</f>
        <v>0</v>
      </c>
      <c r="B1280" s="6">
        <f>+'[1]VENTAS(RESUMEN GLOBAL)'!M1280</f>
        <v>0</v>
      </c>
      <c r="C1280">
        <f>+'[1]VENTAS(RESUMEN GLOBAL)'!B1280</f>
        <v>0</v>
      </c>
      <c r="D1280" t="e">
        <f>INDEX('[1]CÓDIGOS DE PRODUCTO'!$D$3:$D$1000,MATCH(C1280,'[1]CÓDIGOS DE PRODUCTO'!$A$3:$A$1000,0))</f>
        <v>#N/A</v>
      </c>
      <c r="E1280">
        <f>VLOOKUP(C1280,'[1]CÓDIGOS DE PRODUCTO'!$A$4:$B$156,2,FALSE)</f>
        <v>0</v>
      </c>
      <c r="F1280">
        <f>INDEX('[1]CÓDIGOS DE PRODUCTO'!$C$3:$C$1000,MATCH(C1280,'[1]CÓDIGOS DE PRODUCTO'!$A$3:$A$1000,0))</f>
        <v>0</v>
      </c>
      <c r="G1280">
        <f>+'[1]VENTAS(RESUMEN GLOBAL)'!D1280-'[1]VENTAS(RESUMEN GLOBAL)'!E1280</f>
        <v>0</v>
      </c>
      <c r="H1280" s="9">
        <f>+'[1]VENTAS(RESUMEN GLOBAL)'!K1280</f>
        <v>0</v>
      </c>
      <c r="I1280" s="8">
        <f>+G1280*'[1]VENTAS(RESUMEN GLOBAL)'!F1280</f>
        <v>0</v>
      </c>
      <c r="J1280" s="8">
        <f>'[1]VENTAS(RESUMEN GLOBAL)'!G1280*(1-'[1]VENTAS(RESUMEN GLOBAL)'!H1280)</f>
        <v>0</v>
      </c>
      <c r="K1280" s="8">
        <f t="shared" si="19"/>
        <v>0</v>
      </c>
      <c r="L1280" s="8">
        <f>+'[1]VENTAS(RESUMEN GLOBAL)'!J1280</f>
        <v>0</v>
      </c>
      <c r="M1280" s="8">
        <f>+Tabla1[[#This Row],[utilidad x dia]]*7</f>
        <v>0</v>
      </c>
    </row>
    <row r="1281" spans="1:13" x14ac:dyDescent="0.3">
      <c r="A1281" s="6">
        <f>+'[1]VENTAS(RESUMEN GLOBAL)'!L1281</f>
        <v>0</v>
      </c>
      <c r="B1281" s="6">
        <f>+'[1]VENTAS(RESUMEN GLOBAL)'!M1281</f>
        <v>0</v>
      </c>
      <c r="C1281">
        <f>+'[1]VENTAS(RESUMEN GLOBAL)'!B1281</f>
        <v>0</v>
      </c>
      <c r="D1281" t="e">
        <f>INDEX('[1]CÓDIGOS DE PRODUCTO'!$D$3:$D$1000,MATCH(C1281,'[1]CÓDIGOS DE PRODUCTO'!$A$3:$A$1000,0))</f>
        <v>#N/A</v>
      </c>
      <c r="E1281">
        <f>VLOOKUP(C1281,'[1]CÓDIGOS DE PRODUCTO'!$A$4:$B$156,2,FALSE)</f>
        <v>0</v>
      </c>
      <c r="F1281">
        <f>INDEX('[1]CÓDIGOS DE PRODUCTO'!$C$3:$C$1000,MATCH(C1281,'[1]CÓDIGOS DE PRODUCTO'!$A$3:$A$1000,0))</f>
        <v>0</v>
      </c>
      <c r="G1281">
        <f>+'[1]VENTAS(RESUMEN GLOBAL)'!D1281-'[1]VENTAS(RESUMEN GLOBAL)'!E1281</f>
        <v>0</v>
      </c>
      <c r="H1281" s="9">
        <f>+'[1]VENTAS(RESUMEN GLOBAL)'!K1281</f>
        <v>0</v>
      </c>
      <c r="I1281" s="8">
        <f>+G1281*'[1]VENTAS(RESUMEN GLOBAL)'!F1281</f>
        <v>0</v>
      </c>
      <c r="J1281" s="8">
        <f>'[1]VENTAS(RESUMEN GLOBAL)'!G1281*(1-'[1]VENTAS(RESUMEN GLOBAL)'!H1281)</f>
        <v>0</v>
      </c>
      <c r="K1281" s="8">
        <f t="shared" si="19"/>
        <v>0</v>
      </c>
      <c r="L1281" s="8">
        <f>+'[1]VENTAS(RESUMEN GLOBAL)'!J1281</f>
        <v>0</v>
      </c>
      <c r="M1281" s="8">
        <f>+Tabla1[[#This Row],[utilidad x dia]]*7</f>
        <v>0</v>
      </c>
    </row>
    <row r="1282" spans="1:13" x14ac:dyDescent="0.3">
      <c r="A1282" s="6">
        <f>+'[1]VENTAS(RESUMEN GLOBAL)'!L1282</f>
        <v>0</v>
      </c>
      <c r="B1282" s="6">
        <f>+'[1]VENTAS(RESUMEN GLOBAL)'!M1282</f>
        <v>0</v>
      </c>
      <c r="C1282">
        <f>+'[1]VENTAS(RESUMEN GLOBAL)'!B1282</f>
        <v>0</v>
      </c>
      <c r="D1282" t="e">
        <f>INDEX('[1]CÓDIGOS DE PRODUCTO'!$D$3:$D$1000,MATCH(C1282,'[1]CÓDIGOS DE PRODUCTO'!$A$3:$A$1000,0))</f>
        <v>#N/A</v>
      </c>
      <c r="E1282">
        <f>VLOOKUP(C1282,'[1]CÓDIGOS DE PRODUCTO'!$A$4:$B$156,2,FALSE)</f>
        <v>0</v>
      </c>
      <c r="F1282">
        <f>INDEX('[1]CÓDIGOS DE PRODUCTO'!$C$3:$C$1000,MATCH(C1282,'[1]CÓDIGOS DE PRODUCTO'!$A$3:$A$1000,0))</f>
        <v>0</v>
      </c>
      <c r="G1282">
        <f>+'[1]VENTAS(RESUMEN GLOBAL)'!D1282-'[1]VENTAS(RESUMEN GLOBAL)'!E1282</f>
        <v>0</v>
      </c>
      <c r="H1282" s="9">
        <f>+'[1]VENTAS(RESUMEN GLOBAL)'!K1282</f>
        <v>0</v>
      </c>
      <c r="I1282" s="8">
        <f>+G1282*'[1]VENTAS(RESUMEN GLOBAL)'!F1282</f>
        <v>0</v>
      </c>
      <c r="J1282" s="8">
        <f>'[1]VENTAS(RESUMEN GLOBAL)'!G1282*(1-'[1]VENTAS(RESUMEN GLOBAL)'!H1282)</f>
        <v>0</v>
      </c>
      <c r="K1282" s="8">
        <f t="shared" si="19"/>
        <v>0</v>
      </c>
      <c r="L1282" s="8">
        <f>+'[1]VENTAS(RESUMEN GLOBAL)'!J1282</f>
        <v>0</v>
      </c>
      <c r="M1282" s="8">
        <f>+Tabla1[[#This Row],[utilidad x dia]]*7</f>
        <v>0</v>
      </c>
    </row>
    <row r="1283" spans="1:13" x14ac:dyDescent="0.3">
      <c r="A1283" s="6">
        <f>+'[1]VENTAS(RESUMEN GLOBAL)'!L1283</f>
        <v>0</v>
      </c>
      <c r="B1283" s="6">
        <f>+'[1]VENTAS(RESUMEN GLOBAL)'!M1283</f>
        <v>0</v>
      </c>
      <c r="C1283">
        <f>+'[1]VENTAS(RESUMEN GLOBAL)'!B1283</f>
        <v>0</v>
      </c>
      <c r="D1283" t="e">
        <f>INDEX('[1]CÓDIGOS DE PRODUCTO'!$D$3:$D$1000,MATCH(C1283,'[1]CÓDIGOS DE PRODUCTO'!$A$3:$A$1000,0))</f>
        <v>#N/A</v>
      </c>
      <c r="E1283">
        <f>VLOOKUP(C1283,'[1]CÓDIGOS DE PRODUCTO'!$A$4:$B$156,2,FALSE)</f>
        <v>0</v>
      </c>
      <c r="F1283">
        <f>INDEX('[1]CÓDIGOS DE PRODUCTO'!$C$3:$C$1000,MATCH(C1283,'[1]CÓDIGOS DE PRODUCTO'!$A$3:$A$1000,0))</f>
        <v>0</v>
      </c>
      <c r="G1283">
        <f>+'[1]VENTAS(RESUMEN GLOBAL)'!D1283-'[1]VENTAS(RESUMEN GLOBAL)'!E1283</f>
        <v>0</v>
      </c>
      <c r="H1283" s="9">
        <f>+'[1]VENTAS(RESUMEN GLOBAL)'!K1283</f>
        <v>0</v>
      </c>
      <c r="I1283" s="8">
        <f>+G1283*'[1]VENTAS(RESUMEN GLOBAL)'!F1283</f>
        <v>0</v>
      </c>
      <c r="J1283" s="8">
        <f>'[1]VENTAS(RESUMEN GLOBAL)'!G1283*(1-'[1]VENTAS(RESUMEN GLOBAL)'!H1283)</f>
        <v>0</v>
      </c>
      <c r="K1283" s="8">
        <f t="shared" ref="K1283:K1346" si="20">+I1283-J1283</f>
        <v>0</v>
      </c>
      <c r="L1283" s="8">
        <f>+'[1]VENTAS(RESUMEN GLOBAL)'!J1283</f>
        <v>0</v>
      </c>
      <c r="M1283" s="8">
        <f>+Tabla1[[#This Row],[utilidad x dia]]*7</f>
        <v>0</v>
      </c>
    </row>
    <row r="1284" spans="1:13" x14ac:dyDescent="0.3">
      <c r="A1284" s="6">
        <f>+'[1]VENTAS(RESUMEN GLOBAL)'!L1284</f>
        <v>0</v>
      </c>
      <c r="B1284" s="6">
        <f>+'[1]VENTAS(RESUMEN GLOBAL)'!M1284</f>
        <v>0</v>
      </c>
      <c r="C1284">
        <f>+'[1]VENTAS(RESUMEN GLOBAL)'!B1284</f>
        <v>0</v>
      </c>
      <c r="D1284" t="e">
        <f>INDEX('[1]CÓDIGOS DE PRODUCTO'!$D$3:$D$1000,MATCH(C1284,'[1]CÓDIGOS DE PRODUCTO'!$A$3:$A$1000,0))</f>
        <v>#N/A</v>
      </c>
      <c r="E1284">
        <f>VLOOKUP(C1284,'[1]CÓDIGOS DE PRODUCTO'!$A$4:$B$156,2,FALSE)</f>
        <v>0</v>
      </c>
      <c r="F1284">
        <f>INDEX('[1]CÓDIGOS DE PRODUCTO'!$C$3:$C$1000,MATCH(C1284,'[1]CÓDIGOS DE PRODUCTO'!$A$3:$A$1000,0))</f>
        <v>0</v>
      </c>
      <c r="G1284">
        <f>+'[1]VENTAS(RESUMEN GLOBAL)'!D1284-'[1]VENTAS(RESUMEN GLOBAL)'!E1284</f>
        <v>0</v>
      </c>
      <c r="H1284" s="9">
        <f>+'[1]VENTAS(RESUMEN GLOBAL)'!K1284</f>
        <v>0</v>
      </c>
      <c r="I1284" s="8">
        <f>+G1284*'[1]VENTAS(RESUMEN GLOBAL)'!F1284</f>
        <v>0</v>
      </c>
      <c r="J1284" s="8">
        <f>'[1]VENTAS(RESUMEN GLOBAL)'!G1284*(1-'[1]VENTAS(RESUMEN GLOBAL)'!H1284)</f>
        <v>0</v>
      </c>
      <c r="K1284" s="8">
        <f t="shared" si="20"/>
        <v>0</v>
      </c>
      <c r="L1284" s="8">
        <f>+'[1]VENTAS(RESUMEN GLOBAL)'!J1284</f>
        <v>0</v>
      </c>
      <c r="M1284" s="8">
        <f>+Tabla1[[#This Row],[utilidad x dia]]*7</f>
        <v>0</v>
      </c>
    </row>
    <row r="1285" spans="1:13" x14ac:dyDescent="0.3">
      <c r="A1285" s="6">
        <f>+'[1]VENTAS(RESUMEN GLOBAL)'!L1285</f>
        <v>0</v>
      </c>
      <c r="B1285" s="6">
        <f>+'[1]VENTAS(RESUMEN GLOBAL)'!M1285</f>
        <v>0</v>
      </c>
      <c r="C1285">
        <f>+'[1]VENTAS(RESUMEN GLOBAL)'!B1285</f>
        <v>0</v>
      </c>
      <c r="D1285" t="e">
        <f>INDEX('[1]CÓDIGOS DE PRODUCTO'!$D$3:$D$1000,MATCH(C1285,'[1]CÓDIGOS DE PRODUCTO'!$A$3:$A$1000,0))</f>
        <v>#N/A</v>
      </c>
      <c r="E1285">
        <f>VLOOKUP(C1285,'[1]CÓDIGOS DE PRODUCTO'!$A$4:$B$156,2,FALSE)</f>
        <v>0</v>
      </c>
      <c r="F1285">
        <f>INDEX('[1]CÓDIGOS DE PRODUCTO'!$C$3:$C$1000,MATCH(C1285,'[1]CÓDIGOS DE PRODUCTO'!$A$3:$A$1000,0))</f>
        <v>0</v>
      </c>
      <c r="G1285">
        <f>+'[1]VENTAS(RESUMEN GLOBAL)'!D1285-'[1]VENTAS(RESUMEN GLOBAL)'!E1285</f>
        <v>0</v>
      </c>
      <c r="H1285" s="9">
        <f>+'[1]VENTAS(RESUMEN GLOBAL)'!K1285</f>
        <v>0</v>
      </c>
      <c r="I1285" s="8">
        <f>+G1285*'[1]VENTAS(RESUMEN GLOBAL)'!F1285</f>
        <v>0</v>
      </c>
      <c r="J1285" s="8">
        <f>'[1]VENTAS(RESUMEN GLOBAL)'!G1285*(1-'[1]VENTAS(RESUMEN GLOBAL)'!H1285)</f>
        <v>0</v>
      </c>
      <c r="K1285" s="8">
        <f t="shared" si="20"/>
        <v>0</v>
      </c>
      <c r="L1285" s="8">
        <f>+'[1]VENTAS(RESUMEN GLOBAL)'!J1285</f>
        <v>0</v>
      </c>
      <c r="M1285" s="8">
        <f>+Tabla1[[#This Row],[utilidad x dia]]*7</f>
        <v>0</v>
      </c>
    </row>
    <row r="1286" spans="1:13" x14ac:dyDescent="0.3">
      <c r="A1286" s="6">
        <f>+'[1]VENTAS(RESUMEN GLOBAL)'!L1286</f>
        <v>0</v>
      </c>
      <c r="B1286" s="6">
        <f>+'[1]VENTAS(RESUMEN GLOBAL)'!M1286</f>
        <v>0</v>
      </c>
      <c r="C1286">
        <f>+'[1]VENTAS(RESUMEN GLOBAL)'!B1286</f>
        <v>0</v>
      </c>
      <c r="D1286" t="e">
        <f>INDEX('[1]CÓDIGOS DE PRODUCTO'!$D$3:$D$1000,MATCH(C1286,'[1]CÓDIGOS DE PRODUCTO'!$A$3:$A$1000,0))</f>
        <v>#N/A</v>
      </c>
      <c r="E1286">
        <f>VLOOKUP(C1286,'[1]CÓDIGOS DE PRODUCTO'!$A$4:$B$156,2,FALSE)</f>
        <v>0</v>
      </c>
      <c r="F1286">
        <f>INDEX('[1]CÓDIGOS DE PRODUCTO'!$C$3:$C$1000,MATCH(C1286,'[1]CÓDIGOS DE PRODUCTO'!$A$3:$A$1000,0))</f>
        <v>0</v>
      </c>
      <c r="G1286">
        <f>+'[1]VENTAS(RESUMEN GLOBAL)'!D1286-'[1]VENTAS(RESUMEN GLOBAL)'!E1286</f>
        <v>0</v>
      </c>
      <c r="H1286" s="9">
        <f>+'[1]VENTAS(RESUMEN GLOBAL)'!K1286</f>
        <v>0</v>
      </c>
      <c r="I1286" s="8">
        <f>+G1286*'[1]VENTAS(RESUMEN GLOBAL)'!F1286</f>
        <v>0</v>
      </c>
      <c r="J1286" s="8">
        <f>'[1]VENTAS(RESUMEN GLOBAL)'!G1286*(1-'[1]VENTAS(RESUMEN GLOBAL)'!H1286)</f>
        <v>0</v>
      </c>
      <c r="K1286" s="8">
        <f t="shared" si="20"/>
        <v>0</v>
      </c>
      <c r="L1286" s="8">
        <f>+'[1]VENTAS(RESUMEN GLOBAL)'!J1286</f>
        <v>0</v>
      </c>
      <c r="M1286" s="8">
        <f>+Tabla1[[#This Row],[utilidad x dia]]*7</f>
        <v>0</v>
      </c>
    </row>
    <row r="1287" spans="1:13" x14ac:dyDescent="0.3">
      <c r="A1287" s="6">
        <f>+'[1]VENTAS(RESUMEN GLOBAL)'!L1287</f>
        <v>0</v>
      </c>
      <c r="B1287" s="6">
        <f>+'[1]VENTAS(RESUMEN GLOBAL)'!M1287</f>
        <v>0</v>
      </c>
      <c r="C1287">
        <f>+'[1]VENTAS(RESUMEN GLOBAL)'!B1287</f>
        <v>0</v>
      </c>
      <c r="D1287" t="e">
        <f>INDEX('[1]CÓDIGOS DE PRODUCTO'!$D$3:$D$1000,MATCH(C1287,'[1]CÓDIGOS DE PRODUCTO'!$A$3:$A$1000,0))</f>
        <v>#N/A</v>
      </c>
      <c r="E1287">
        <f>VLOOKUP(C1287,'[1]CÓDIGOS DE PRODUCTO'!$A$4:$B$156,2,FALSE)</f>
        <v>0</v>
      </c>
      <c r="F1287">
        <f>INDEX('[1]CÓDIGOS DE PRODUCTO'!$C$3:$C$1000,MATCH(C1287,'[1]CÓDIGOS DE PRODUCTO'!$A$3:$A$1000,0))</f>
        <v>0</v>
      </c>
      <c r="G1287">
        <f>+'[1]VENTAS(RESUMEN GLOBAL)'!D1287-'[1]VENTAS(RESUMEN GLOBAL)'!E1287</f>
        <v>0</v>
      </c>
      <c r="H1287" s="9">
        <f>+'[1]VENTAS(RESUMEN GLOBAL)'!K1287</f>
        <v>0</v>
      </c>
      <c r="I1287" s="8">
        <f>+G1287*'[1]VENTAS(RESUMEN GLOBAL)'!F1287</f>
        <v>0</v>
      </c>
      <c r="J1287" s="8">
        <f>'[1]VENTAS(RESUMEN GLOBAL)'!G1287*(1-'[1]VENTAS(RESUMEN GLOBAL)'!H1287)</f>
        <v>0</v>
      </c>
      <c r="K1287" s="8">
        <f t="shared" si="20"/>
        <v>0</v>
      </c>
      <c r="L1287" s="8">
        <f>+'[1]VENTAS(RESUMEN GLOBAL)'!J1287</f>
        <v>0</v>
      </c>
      <c r="M1287" s="8">
        <f>+Tabla1[[#This Row],[utilidad x dia]]*7</f>
        <v>0</v>
      </c>
    </row>
    <row r="1288" spans="1:13" x14ac:dyDescent="0.3">
      <c r="A1288" s="6">
        <f>+'[1]VENTAS(RESUMEN GLOBAL)'!L1288</f>
        <v>0</v>
      </c>
      <c r="B1288" s="6">
        <f>+'[1]VENTAS(RESUMEN GLOBAL)'!M1288</f>
        <v>0</v>
      </c>
      <c r="C1288">
        <f>+'[1]VENTAS(RESUMEN GLOBAL)'!B1288</f>
        <v>0</v>
      </c>
      <c r="D1288" t="e">
        <f>INDEX('[1]CÓDIGOS DE PRODUCTO'!$D$3:$D$1000,MATCH(C1288,'[1]CÓDIGOS DE PRODUCTO'!$A$3:$A$1000,0))</f>
        <v>#N/A</v>
      </c>
      <c r="E1288">
        <f>VLOOKUP(C1288,'[1]CÓDIGOS DE PRODUCTO'!$A$4:$B$156,2,FALSE)</f>
        <v>0</v>
      </c>
      <c r="F1288">
        <f>INDEX('[1]CÓDIGOS DE PRODUCTO'!$C$3:$C$1000,MATCH(C1288,'[1]CÓDIGOS DE PRODUCTO'!$A$3:$A$1000,0))</f>
        <v>0</v>
      </c>
      <c r="G1288">
        <f>+'[1]VENTAS(RESUMEN GLOBAL)'!D1288-'[1]VENTAS(RESUMEN GLOBAL)'!E1288</f>
        <v>0</v>
      </c>
      <c r="H1288" s="9">
        <f>+'[1]VENTAS(RESUMEN GLOBAL)'!K1288</f>
        <v>0</v>
      </c>
      <c r="I1288" s="8">
        <f>+G1288*'[1]VENTAS(RESUMEN GLOBAL)'!F1288</f>
        <v>0</v>
      </c>
      <c r="J1288" s="8">
        <f>'[1]VENTAS(RESUMEN GLOBAL)'!G1288*(1-'[1]VENTAS(RESUMEN GLOBAL)'!H1288)</f>
        <v>0</v>
      </c>
      <c r="K1288" s="8">
        <f t="shared" si="20"/>
        <v>0</v>
      </c>
      <c r="L1288" s="8">
        <f>+'[1]VENTAS(RESUMEN GLOBAL)'!J1288</f>
        <v>0</v>
      </c>
      <c r="M1288" s="8">
        <f>+Tabla1[[#This Row],[utilidad x dia]]*7</f>
        <v>0</v>
      </c>
    </row>
    <row r="1289" spans="1:13" x14ac:dyDescent="0.3">
      <c r="A1289" s="6">
        <f>+'[1]VENTAS(RESUMEN GLOBAL)'!L1289</f>
        <v>0</v>
      </c>
      <c r="B1289" s="6">
        <f>+'[1]VENTAS(RESUMEN GLOBAL)'!M1289</f>
        <v>0</v>
      </c>
      <c r="C1289">
        <f>+'[1]VENTAS(RESUMEN GLOBAL)'!B1289</f>
        <v>0</v>
      </c>
      <c r="D1289" t="e">
        <f>INDEX('[1]CÓDIGOS DE PRODUCTO'!$D$3:$D$1000,MATCH(C1289,'[1]CÓDIGOS DE PRODUCTO'!$A$3:$A$1000,0))</f>
        <v>#N/A</v>
      </c>
      <c r="E1289">
        <f>VLOOKUP(C1289,'[1]CÓDIGOS DE PRODUCTO'!$A$4:$B$156,2,FALSE)</f>
        <v>0</v>
      </c>
      <c r="F1289">
        <f>INDEX('[1]CÓDIGOS DE PRODUCTO'!$C$3:$C$1000,MATCH(C1289,'[1]CÓDIGOS DE PRODUCTO'!$A$3:$A$1000,0))</f>
        <v>0</v>
      </c>
      <c r="G1289">
        <f>+'[1]VENTAS(RESUMEN GLOBAL)'!D1289-'[1]VENTAS(RESUMEN GLOBAL)'!E1289</f>
        <v>0</v>
      </c>
      <c r="H1289" s="9">
        <f>+'[1]VENTAS(RESUMEN GLOBAL)'!K1289</f>
        <v>0</v>
      </c>
      <c r="I1289" s="8">
        <f>+G1289*'[1]VENTAS(RESUMEN GLOBAL)'!F1289</f>
        <v>0</v>
      </c>
      <c r="J1289" s="8">
        <f>'[1]VENTAS(RESUMEN GLOBAL)'!G1289*(1-'[1]VENTAS(RESUMEN GLOBAL)'!H1289)</f>
        <v>0</v>
      </c>
      <c r="K1289" s="8">
        <f t="shared" si="20"/>
        <v>0</v>
      </c>
      <c r="L1289" s="8">
        <f>+'[1]VENTAS(RESUMEN GLOBAL)'!J1289</f>
        <v>0</v>
      </c>
      <c r="M1289" s="8">
        <f>+Tabla1[[#This Row],[utilidad x dia]]*7</f>
        <v>0</v>
      </c>
    </row>
    <row r="1290" spans="1:13" x14ac:dyDescent="0.3">
      <c r="A1290" s="6">
        <f>+'[1]VENTAS(RESUMEN GLOBAL)'!L1290</f>
        <v>0</v>
      </c>
      <c r="B1290" s="6">
        <f>+'[1]VENTAS(RESUMEN GLOBAL)'!M1290</f>
        <v>0</v>
      </c>
      <c r="C1290">
        <f>+'[1]VENTAS(RESUMEN GLOBAL)'!B1290</f>
        <v>0</v>
      </c>
      <c r="D1290" t="e">
        <f>INDEX('[1]CÓDIGOS DE PRODUCTO'!$D$3:$D$1000,MATCH(C1290,'[1]CÓDIGOS DE PRODUCTO'!$A$3:$A$1000,0))</f>
        <v>#N/A</v>
      </c>
      <c r="E1290">
        <f>VLOOKUP(C1290,'[1]CÓDIGOS DE PRODUCTO'!$A$4:$B$156,2,FALSE)</f>
        <v>0</v>
      </c>
      <c r="F1290">
        <f>INDEX('[1]CÓDIGOS DE PRODUCTO'!$C$3:$C$1000,MATCH(C1290,'[1]CÓDIGOS DE PRODUCTO'!$A$3:$A$1000,0))</f>
        <v>0</v>
      </c>
      <c r="G1290">
        <f>+'[1]VENTAS(RESUMEN GLOBAL)'!D1290-'[1]VENTAS(RESUMEN GLOBAL)'!E1290</f>
        <v>0</v>
      </c>
      <c r="H1290" s="9">
        <f>+'[1]VENTAS(RESUMEN GLOBAL)'!K1290</f>
        <v>0</v>
      </c>
      <c r="I1290" s="8">
        <f>+G1290*'[1]VENTAS(RESUMEN GLOBAL)'!F1290</f>
        <v>0</v>
      </c>
      <c r="J1290" s="8">
        <f>'[1]VENTAS(RESUMEN GLOBAL)'!G1290*(1-'[1]VENTAS(RESUMEN GLOBAL)'!H1290)</f>
        <v>0</v>
      </c>
      <c r="K1290" s="8">
        <f t="shared" si="20"/>
        <v>0</v>
      </c>
      <c r="L1290" s="8">
        <f>+'[1]VENTAS(RESUMEN GLOBAL)'!J1290</f>
        <v>0</v>
      </c>
      <c r="M1290" s="8">
        <f>+Tabla1[[#This Row],[utilidad x dia]]*7</f>
        <v>0</v>
      </c>
    </row>
    <row r="1291" spans="1:13" x14ac:dyDescent="0.3">
      <c r="A1291" s="6">
        <f>+'[1]VENTAS(RESUMEN GLOBAL)'!L1291</f>
        <v>0</v>
      </c>
      <c r="B1291" s="6">
        <f>+'[1]VENTAS(RESUMEN GLOBAL)'!M1291</f>
        <v>0</v>
      </c>
      <c r="C1291">
        <f>+'[1]VENTAS(RESUMEN GLOBAL)'!B1291</f>
        <v>0</v>
      </c>
      <c r="D1291" t="e">
        <f>INDEX('[1]CÓDIGOS DE PRODUCTO'!$D$3:$D$1000,MATCH(C1291,'[1]CÓDIGOS DE PRODUCTO'!$A$3:$A$1000,0))</f>
        <v>#N/A</v>
      </c>
      <c r="E1291">
        <f>VLOOKUP(C1291,'[1]CÓDIGOS DE PRODUCTO'!$A$4:$B$156,2,FALSE)</f>
        <v>0</v>
      </c>
      <c r="F1291">
        <f>INDEX('[1]CÓDIGOS DE PRODUCTO'!$C$3:$C$1000,MATCH(C1291,'[1]CÓDIGOS DE PRODUCTO'!$A$3:$A$1000,0))</f>
        <v>0</v>
      </c>
      <c r="G1291">
        <f>+'[1]VENTAS(RESUMEN GLOBAL)'!D1291-'[1]VENTAS(RESUMEN GLOBAL)'!E1291</f>
        <v>0</v>
      </c>
      <c r="H1291" s="9">
        <f>+'[1]VENTAS(RESUMEN GLOBAL)'!K1291</f>
        <v>0</v>
      </c>
      <c r="I1291" s="8">
        <f>+G1291*'[1]VENTAS(RESUMEN GLOBAL)'!F1291</f>
        <v>0</v>
      </c>
      <c r="J1291" s="8">
        <f>'[1]VENTAS(RESUMEN GLOBAL)'!G1291*(1-'[1]VENTAS(RESUMEN GLOBAL)'!H1291)</f>
        <v>0</v>
      </c>
      <c r="K1291" s="8">
        <f t="shared" si="20"/>
        <v>0</v>
      </c>
      <c r="L1291" s="8">
        <f>+'[1]VENTAS(RESUMEN GLOBAL)'!J1291</f>
        <v>0</v>
      </c>
      <c r="M1291" s="8">
        <f>+Tabla1[[#This Row],[utilidad x dia]]*7</f>
        <v>0</v>
      </c>
    </row>
    <row r="1292" spans="1:13" x14ac:dyDescent="0.3">
      <c r="A1292" s="6">
        <f>+'[1]VENTAS(RESUMEN GLOBAL)'!L1292</f>
        <v>0</v>
      </c>
      <c r="B1292" s="6">
        <f>+'[1]VENTAS(RESUMEN GLOBAL)'!M1292</f>
        <v>0</v>
      </c>
      <c r="C1292">
        <f>+'[1]VENTAS(RESUMEN GLOBAL)'!B1292</f>
        <v>0</v>
      </c>
      <c r="D1292" t="e">
        <f>INDEX('[1]CÓDIGOS DE PRODUCTO'!$D$3:$D$1000,MATCH(C1292,'[1]CÓDIGOS DE PRODUCTO'!$A$3:$A$1000,0))</f>
        <v>#N/A</v>
      </c>
      <c r="E1292">
        <f>VLOOKUP(C1292,'[1]CÓDIGOS DE PRODUCTO'!$A$4:$B$156,2,FALSE)</f>
        <v>0</v>
      </c>
      <c r="F1292">
        <f>INDEX('[1]CÓDIGOS DE PRODUCTO'!$C$3:$C$1000,MATCH(C1292,'[1]CÓDIGOS DE PRODUCTO'!$A$3:$A$1000,0))</f>
        <v>0</v>
      </c>
      <c r="G1292">
        <f>+'[1]VENTAS(RESUMEN GLOBAL)'!D1292-'[1]VENTAS(RESUMEN GLOBAL)'!E1292</f>
        <v>0</v>
      </c>
      <c r="H1292" s="9">
        <f>+'[1]VENTAS(RESUMEN GLOBAL)'!K1292</f>
        <v>0</v>
      </c>
      <c r="I1292" s="8">
        <f>+G1292*'[1]VENTAS(RESUMEN GLOBAL)'!F1292</f>
        <v>0</v>
      </c>
      <c r="J1292" s="8">
        <f>'[1]VENTAS(RESUMEN GLOBAL)'!G1292*(1-'[1]VENTAS(RESUMEN GLOBAL)'!H1292)</f>
        <v>0</v>
      </c>
      <c r="K1292" s="8">
        <f t="shared" si="20"/>
        <v>0</v>
      </c>
      <c r="L1292" s="8">
        <f>+'[1]VENTAS(RESUMEN GLOBAL)'!J1292</f>
        <v>0</v>
      </c>
      <c r="M1292" s="8">
        <f>+Tabla1[[#This Row],[utilidad x dia]]*7</f>
        <v>0</v>
      </c>
    </row>
    <row r="1293" spans="1:13" x14ac:dyDescent="0.3">
      <c r="A1293" s="6">
        <f>+'[1]VENTAS(RESUMEN GLOBAL)'!L1293</f>
        <v>0</v>
      </c>
      <c r="B1293" s="6">
        <f>+'[1]VENTAS(RESUMEN GLOBAL)'!M1293</f>
        <v>0</v>
      </c>
      <c r="C1293">
        <f>+'[1]VENTAS(RESUMEN GLOBAL)'!B1293</f>
        <v>0</v>
      </c>
      <c r="D1293" t="e">
        <f>INDEX('[1]CÓDIGOS DE PRODUCTO'!$D$3:$D$1000,MATCH(C1293,'[1]CÓDIGOS DE PRODUCTO'!$A$3:$A$1000,0))</f>
        <v>#N/A</v>
      </c>
      <c r="E1293">
        <f>VLOOKUP(C1293,'[1]CÓDIGOS DE PRODUCTO'!$A$4:$B$156,2,FALSE)</f>
        <v>0</v>
      </c>
      <c r="F1293">
        <f>INDEX('[1]CÓDIGOS DE PRODUCTO'!$C$3:$C$1000,MATCH(C1293,'[1]CÓDIGOS DE PRODUCTO'!$A$3:$A$1000,0))</f>
        <v>0</v>
      </c>
      <c r="G1293">
        <f>+'[1]VENTAS(RESUMEN GLOBAL)'!D1293-'[1]VENTAS(RESUMEN GLOBAL)'!E1293</f>
        <v>0</v>
      </c>
      <c r="H1293" s="9">
        <f>+'[1]VENTAS(RESUMEN GLOBAL)'!K1293</f>
        <v>0</v>
      </c>
      <c r="I1293" s="8">
        <f>+G1293*'[1]VENTAS(RESUMEN GLOBAL)'!F1293</f>
        <v>0</v>
      </c>
      <c r="J1293" s="8">
        <f>'[1]VENTAS(RESUMEN GLOBAL)'!G1293*(1-'[1]VENTAS(RESUMEN GLOBAL)'!H1293)</f>
        <v>0</v>
      </c>
      <c r="K1293" s="8">
        <f t="shared" si="20"/>
        <v>0</v>
      </c>
      <c r="L1293" s="8">
        <f>+'[1]VENTAS(RESUMEN GLOBAL)'!J1293</f>
        <v>0</v>
      </c>
      <c r="M1293" s="8">
        <f>+Tabla1[[#This Row],[utilidad x dia]]*7</f>
        <v>0</v>
      </c>
    </row>
    <row r="1294" spans="1:13" x14ac:dyDescent="0.3">
      <c r="A1294" s="6">
        <f>+'[1]VENTAS(RESUMEN GLOBAL)'!L1294</f>
        <v>0</v>
      </c>
      <c r="B1294" s="6">
        <f>+'[1]VENTAS(RESUMEN GLOBAL)'!M1294</f>
        <v>0</v>
      </c>
      <c r="C1294">
        <f>+'[1]VENTAS(RESUMEN GLOBAL)'!B1294</f>
        <v>0</v>
      </c>
      <c r="D1294" t="e">
        <f>INDEX('[1]CÓDIGOS DE PRODUCTO'!$D$3:$D$1000,MATCH(C1294,'[1]CÓDIGOS DE PRODUCTO'!$A$3:$A$1000,0))</f>
        <v>#N/A</v>
      </c>
      <c r="E1294">
        <f>VLOOKUP(C1294,'[1]CÓDIGOS DE PRODUCTO'!$A$4:$B$156,2,FALSE)</f>
        <v>0</v>
      </c>
      <c r="F1294">
        <f>INDEX('[1]CÓDIGOS DE PRODUCTO'!$C$3:$C$1000,MATCH(C1294,'[1]CÓDIGOS DE PRODUCTO'!$A$3:$A$1000,0))</f>
        <v>0</v>
      </c>
      <c r="G1294">
        <f>+'[1]VENTAS(RESUMEN GLOBAL)'!D1294-'[1]VENTAS(RESUMEN GLOBAL)'!E1294</f>
        <v>0</v>
      </c>
      <c r="H1294" s="9">
        <f>+'[1]VENTAS(RESUMEN GLOBAL)'!K1294</f>
        <v>0</v>
      </c>
      <c r="I1294" s="8">
        <f>+G1294*'[1]VENTAS(RESUMEN GLOBAL)'!F1294</f>
        <v>0</v>
      </c>
      <c r="J1294" s="8">
        <f>'[1]VENTAS(RESUMEN GLOBAL)'!G1294*(1-'[1]VENTAS(RESUMEN GLOBAL)'!H1294)</f>
        <v>0</v>
      </c>
      <c r="K1294" s="8">
        <f t="shared" si="20"/>
        <v>0</v>
      </c>
      <c r="L1294" s="8">
        <f>+'[1]VENTAS(RESUMEN GLOBAL)'!J1294</f>
        <v>0</v>
      </c>
      <c r="M1294" s="8">
        <f>+Tabla1[[#This Row],[utilidad x dia]]*7</f>
        <v>0</v>
      </c>
    </row>
    <row r="1295" spans="1:13" x14ac:dyDescent="0.3">
      <c r="A1295" s="6">
        <f>+'[1]VENTAS(RESUMEN GLOBAL)'!L1295</f>
        <v>0</v>
      </c>
      <c r="B1295" s="6">
        <f>+'[1]VENTAS(RESUMEN GLOBAL)'!M1295</f>
        <v>0</v>
      </c>
      <c r="C1295">
        <f>+'[1]VENTAS(RESUMEN GLOBAL)'!B1295</f>
        <v>0</v>
      </c>
      <c r="D1295" t="e">
        <f>INDEX('[1]CÓDIGOS DE PRODUCTO'!$D$3:$D$1000,MATCH(C1295,'[1]CÓDIGOS DE PRODUCTO'!$A$3:$A$1000,0))</f>
        <v>#N/A</v>
      </c>
      <c r="E1295">
        <f>VLOOKUP(C1295,'[1]CÓDIGOS DE PRODUCTO'!$A$4:$B$156,2,FALSE)</f>
        <v>0</v>
      </c>
      <c r="F1295">
        <f>INDEX('[1]CÓDIGOS DE PRODUCTO'!$C$3:$C$1000,MATCH(C1295,'[1]CÓDIGOS DE PRODUCTO'!$A$3:$A$1000,0))</f>
        <v>0</v>
      </c>
      <c r="G1295">
        <f>+'[1]VENTAS(RESUMEN GLOBAL)'!D1295-'[1]VENTAS(RESUMEN GLOBAL)'!E1295</f>
        <v>0</v>
      </c>
      <c r="H1295" s="9">
        <f>+'[1]VENTAS(RESUMEN GLOBAL)'!K1295</f>
        <v>0</v>
      </c>
      <c r="I1295" s="8">
        <f>+G1295*'[1]VENTAS(RESUMEN GLOBAL)'!F1295</f>
        <v>0</v>
      </c>
      <c r="J1295" s="8">
        <f>'[1]VENTAS(RESUMEN GLOBAL)'!G1295*(1-'[1]VENTAS(RESUMEN GLOBAL)'!H1295)</f>
        <v>0</v>
      </c>
      <c r="K1295" s="8">
        <f t="shared" si="20"/>
        <v>0</v>
      </c>
      <c r="L1295" s="8">
        <f>+'[1]VENTAS(RESUMEN GLOBAL)'!J1295</f>
        <v>0</v>
      </c>
      <c r="M1295" s="8">
        <f>+Tabla1[[#This Row],[utilidad x dia]]*7</f>
        <v>0</v>
      </c>
    </row>
    <row r="1296" spans="1:13" x14ac:dyDescent="0.3">
      <c r="A1296" s="6">
        <f>+'[1]VENTAS(RESUMEN GLOBAL)'!L1296</f>
        <v>0</v>
      </c>
      <c r="B1296" s="6">
        <f>+'[1]VENTAS(RESUMEN GLOBAL)'!M1296</f>
        <v>0</v>
      </c>
      <c r="C1296">
        <f>+'[1]VENTAS(RESUMEN GLOBAL)'!B1296</f>
        <v>0</v>
      </c>
      <c r="D1296" t="e">
        <f>INDEX('[1]CÓDIGOS DE PRODUCTO'!$D$3:$D$1000,MATCH(C1296,'[1]CÓDIGOS DE PRODUCTO'!$A$3:$A$1000,0))</f>
        <v>#N/A</v>
      </c>
      <c r="E1296">
        <f>VLOOKUP(C1296,'[1]CÓDIGOS DE PRODUCTO'!$A$4:$B$156,2,FALSE)</f>
        <v>0</v>
      </c>
      <c r="F1296">
        <f>INDEX('[1]CÓDIGOS DE PRODUCTO'!$C$3:$C$1000,MATCH(C1296,'[1]CÓDIGOS DE PRODUCTO'!$A$3:$A$1000,0))</f>
        <v>0</v>
      </c>
      <c r="G1296">
        <f>+'[1]VENTAS(RESUMEN GLOBAL)'!D1296-'[1]VENTAS(RESUMEN GLOBAL)'!E1296</f>
        <v>0</v>
      </c>
      <c r="H1296" s="9">
        <f>+'[1]VENTAS(RESUMEN GLOBAL)'!K1296</f>
        <v>0</v>
      </c>
      <c r="I1296" s="8">
        <f>+G1296*'[1]VENTAS(RESUMEN GLOBAL)'!F1296</f>
        <v>0</v>
      </c>
      <c r="J1296" s="8">
        <f>'[1]VENTAS(RESUMEN GLOBAL)'!G1296*(1-'[1]VENTAS(RESUMEN GLOBAL)'!H1296)</f>
        <v>0</v>
      </c>
      <c r="K1296" s="8">
        <f t="shared" si="20"/>
        <v>0</v>
      </c>
      <c r="L1296" s="8">
        <f>+'[1]VENTAS(RESUMEN GLOBAL)'!J1296</f>
        <v>0</v>
      </c>
      <c r="M1296" s="8">
        <f>+Tabla1[[#This Row],[utilidad x dia]]*7</f>
        <v>0</v>
      </c>
    </row>
    <row r="1297" spans="1:13" x14ac:dyDescent="0.3">
      <c r="A1297" s="6">
        <f>+'[1]VENTAS(RESUMEN GLOBAL)'!L1297</f>
        <v>0</v>
      </c>
      <c r="B1297" s="6">
        <f>+'[1]VENTAS(RESUMEN GLOBAL)'!M1297</f>
        <v>0</v>
      </c>
      <c r="C1297">
        <f>+'[1]VENTAS(RESUMEN GLOBAL)'!B1297</f>
        <v>0</v>
      </c>
      <c r="D1297" t="e">
        <f>INDEX('[1]CÓDIGOS DE PRODUCTO'!$D$3:$D$1000,MATCH(C1297,'[1]CÓDIGOS DE PRODUCTO'!$A$3:$A$1000,0))</f>
        <v>#N/A</v>
      </c>
      <c r="E1297">
        <f>VLOOKUP(C1297,'[1]CÓDIGOS DE PRODUCTO'!$A$4:$B$156,2,FALSE)</f>
        <v>0</v>
      </c>
      <c r="F1297">
        <f>INDEX('[1]CÓDIGOS DE PRODUCTO'!$C$3:$C$1000,MATCH(C1297,'[1]CÓDIGOS DE PRODUCTO'!$A$3:$A$1000,0))</f>
        <v>0</v>
      </c>
      <c r="G1297">
        <f>+'[1]VENTAS(RESUMEN GLOBAL)'!D1297-'[1]VENTAS(RESUMEN GLOBAL)'!E1297</f>
        <v>0</v>
      </c>
      <c r="H1297" s="9">
        <f>+'[1]VENTAS(RESUMEN GLOBAL)'!K1297</f>
        <v>0</v>
      </c>
      <c r="I1297" s="8">
        <f>+G1297*'[1]VENTAS(RESUMEN GLOBAL)'!F1297</f>
        <v>0</v>
      </c>
      <c r="J1297" s="8">
        <f>'[1]VENTAS(RESUMEN GLOBAL)'!G1297*(1-'[1]VENTAS(RESUMEN GLOBAL)'!H1297)</f>
        <v>0</v>
      </c>
      <c r="K1297" s="8">
        <f t="shared" si="20"/>
        <v>0</v>
      </c>
      <c r="L1297" s="8">
        <f>+'[1]VENTAS(RESUMEN GLOBAL)'!J1297</f>
        <v>0</v>
      </c>
      <c r="M1297" s="8">
        <f>+Tabla1[[#This Row],[utilidad x dia]]*7</f>
        <v>0</v>
      </c>
    </row>
    <row r="1298" spans="1:13" x14ac:dyDescent="0.3">
      <c r="A1298" s="6">
        <f>+'[1]VENTAS(RESUMEN GLOBAL)'!L1298</f>
        <v>0</v>
      </c>
      <c r="B1298" s="6">
        <f>+'[1]VENTAS(RESUMEN GLOBAL)'!M1298</f>
        <v>0</v>
      </c>
      <c r="C1298">
        <f>+'[1]VENTAS(RESUMEN GLOBAL)'!B1298</f>
        <v>0</v>
      </c>
      <c r="D1298" t="e">
        <f>INDEX('[1]CÓDIGOS DE PRODUCTO'!$D$3:$D$1000,MATCH(C1298,'[1]CÓDIGOS DE PRODUCTO'!$A$3:$A$1000,0))</f>
        <v>#N/A</v>
      </c>
      <c r="E1298">
        <f>VLOOKUP(C1298,'[1]CÓDIGOS DE PRODUCTO'!$A$4:$B$156,2,FALSE)</f>
        <v>0</v>
      </c>
      <c r="F1298">
        <f>INDEX('[1]CÓDIGOS DE PRODUCTO'!$C$3:$C$1000,MATCH(C1298,'[1]CÓDIGOS DE PRODUCTO'!$A$3:$A$1000,0))</f>
        <v>0</v>
      </c>
      <c r="G1298">
        <f>+'[1]VENTAS(RESUMEN GLOBAL)'!D1298-'[1]VENTAS(RESUMEN GLOBAL)'!E1298</f>
        <v>0</v>
      </c>
      <c r="H1298" s="9">
        <f>+'[1]VENTAS(RESUMEN GLOBAL)'!K1298</f>
        <v>0</v>
      </c>
      <c r="I1298" s="8">
        <f>+G1298*'[1]VENTAS(RESUMEN GLOBAL)'!F1298</f>
        <v>0</v>
      </c>
      <c r="J1298" s="8">
        <f>'[1]VENTAS(RESUMEN GLOBAL)'!G1298*(1-'[1]VENTAS(RESUMEN GLOBAL)'!H1298)</f>
        <v>0</v>
      </c>
      <c r="K1298" s="8">
        <f t="shared" si="20"/>
        <v>0</v>
      </c>
      <c r="L1298" s="8">
        <f>+'[1]VENTAS(RESUMEN GLOBAL)'!J1298</f>
        <v>0</v>
      </c>
      <c r="M1298" s="8">
        <f>+Tabla1[[#This Row],[utilidad x dia]]*7</f>
        <v>0</v>
      </c>
    </row>
    <row r="1299" spans="1:13" x14ac:dyDescent="0.3">
      <c r="A1299" s="6">
        <f>+'[1]VENTAS(RESUMEN GLOBAL)'!L1299</f>
        <v>0</v>
      </c>
      <c r="B1299" s="6">
        <f>+'[1]VENTAS(RESUMEN GLOBAL)'!M1299</f>
        <v>0</v>
      </c>
      <c r="C1299">
        <f>+'[1]VENTAS(RESUMEN GLOBAL)'!B1299</f>
        <v>0</v>
      </c>
      <c r="D1299" t="e">
        <f>INDEX('[1]CÓDIGOS DE PRODUCTO'!$D$3:$D$1000,MATCH(C1299,'[1]CÓDIGOS DE PRODUCTO'!$A$3:$A$1000,0))</f>
        <v>#N/A</v>
      </c>
      <c r="E1299">
        <f>VLOOKUP(C1299,'[1]CÓDIGOS DE PRODUCTO'!$A$4:$B$156,2,FALSE)</f>
        <v>0</v>
      </c>
      <c r="F1299">
        <f>INDEX('[1]CÓDIGOS DE PRODUCTO'!$C$3:$C$1000,MATCH(C1299,'[1]CÓDIGOS DE PRODUCTO'!$A$3:$A$1000,0))</f>
        <v>0</v>
      </c>
      <c r="G1299">
        <f>+'[1]VENTAS(RESUMEN GLOBAL)'!D1299-'[1]VENTAS(RESUMEN GLOBAL)'!E1299</f>
        <v>0</v>
      </c>
      <c r="H1299" s="9">
        <f>+'[1]VENTAS(RESUMEN GLOBAL)'!K1299</f>
        <v>0</v>
      </c>
      <c r="I1299" s="8">
        <f>+G1299*'[1]VENTAS(RESUMEN GLOBAL)'!F1299</f>
        <v>0</v>
      </c>
      <c r="J1299" s="8">
        <f>'[1]VENTAS(RESUMEN GLOBAL)'!G1299*(1-'[1]VENTAS(RESUMEN GLOBAL)'!H1299)</f>
        <v>0</v>
      </c>
      <c r="K1299" s="8">
        <f t="shared" si="20"/>
        <v>0</v>
      </c>
      <c r="L1299" s="8">
        <f>+'[1]VENTAS(RESUMEN GLOBAL)'!J1299</f>
        <v>0</v>
      </c>
      <c r="M1299" s="8">
        <f>+Tabla1[[#This Row],[utilidad x dia]]*7</f>
        <v>0</v>
      </c>
    </row>
    <row r="1300" spans="1:13" x14ac:dyDescent="0.3">
      <c r="A1300" s="6">
        <f>+'[1]VENTAS(RESUMEN GLOBAL)'!L1300</f>
        <v>0</v>
      </c>
      <c r="B1300" s="6">
        <f>+'[1]VENTAS(RESUMEN GLOBAL)'!M1300</f>
        <v>0</v>
      </c>
      <c r="C1300">
        <f>+'[1]VENTAS(RESUMEN GLOBAL)'!B1300</f>
        <v>0</v>
      </c>
      <c r="D1300" t="e">
        <f>INDEX('[1]CÓDIGOS DE PRODUCTO'!$D$3:$D$1000,MATCH(C1300,'[1]CÓDIGOS DE PRODUCTO'!$A$3:$A$1000,0))</f>
        <v>#N/A</v>
      </c>
      <c r="E1300">
        <f>VLOOKUP(C1300,'[1]CÓDIGOS DE PRODUCTO'!$A$4:$B$156,2,FALSE)</f>
        <v>0</v>
      </c>
      <c r="F1300">
        <f>INDEX('[1]CÓDIGOS DE PRODUCTO'!$C$3:$C$1000,MATCH(C1300,'[1]CÓDIGOS DE PRODUCTO'!$A$3:$A$1000,0))</f>
        <v>0</v>
      </c>
      <c r="G1300">
        <f>+'[1]VENTAS(RESUMEN GLOBAL)'!D1300-'[1]VENTAS(RESUMEN GLOBAL)'!E1300</f>
        <v>0</v>
      </c>
      <c r="H1300" s="9">
        <f>+'[1]VENTAS(RESUMEN GLOBAL)'!K1300</f>
        <v>0</v>
      </c>
      <c r="I1300" s="8">
        <f>+G1300*'[1]VENTAS(RESUMEN GLOBAL)'!F1300</f>
        <v>0</v>
      </c>
      <c r="J1300" s="8">
        <f>'[1]VENTAS(RESUMEN GLOBAL)'!G1300*(1-'[1]VENTAS(RESUMEN GLOBAL)'!H1300)</f>
        <v>0</v>
      </c>
      <c r="K1300" s="8">
        <f t="shared" si="20"/>
        <v>0</v>
      </c>
      <c r="L1300" s="8">
        <f>+'[1]VENTAS(RESUMEN GLOBAL)'!J1300</f>
        <v>0</v>
      </c>
      <c r="M1300" s="8">
        <f>+Tabla1[[#This Row],[utilidad x dia]]*7</f>
        <v>0</v>
      </c>
    </row>
    <row r="1301" spans="1:13" x14ac:dyDescent="0.3">
      <c r="A1301" s="6">
        <f>+'[1]VENTAS(RESUMEN GLOBAL)'!L1301</f>
        <v>0</v>
      </c>
      <c r="B1301" s="6">
        <f>+'[1]VENTAS(RESUMEN GLOBAL)'!M1301</f>
        <v>0</v>
      </c>
      <c r="C1301">
        <f>+'[1]VENTAS(RESUMEN GLOBAL)'!B1301</f>
        <v>0</v>
      </c>
      <c r="D1301" t="e">
        <f>INDEX('[1]CÓDIGOS DE PRODUCTO'!$D$3:$D$1000,MATCH(C1301,'[1]CÓDIGOS DE PRODUCTO'!$A$3:$A$1000,0))</f>
        <v>#N/A</v>
      </c>
      <c r="E1301">
        <f>VLOOKUP(C1301,'[1]CÓDIGOS DE PRODUCTO'!$A$4:$B$156,2,FALSE)</f>
        <v>0</v>
      </c>
      <c r="F1301">
        <f>INDEX('[1]CÓDIGOS DE PRODUCTO'!$C$3:$C$1000,MATCH(C1301,'[1]CÓDIGOS DE PRODUCTO'!$A$3:$A$1000,0))</f>
        <v>0</v>
      </c>
      <c r="G1301">
        <f>+'[1]VENTAS(RESUMEN GLOBAL)'!D1301-'[1]VENTAS(RESUMEN GLOBAL)'!E1301</f>
        <v>0</v>
      </c>
      <c r="H1301" s="9">
        <f>+'[1]VENTAS(RESUMEN GLOBAL)'!K1301</f>
        <v>0</v>
      </c>
      <c r="I1301" s="8">
        <f>+G1301*'[1]VENTAS(RESUMEN GLOBAL)'!F1301</f>
        <v>0</v>
      </c>
      <c r="J1301" s="8">
        <f>'[1]VENTAS(RESUMEN GLOBAL)'!G1301*(1-'[1]VENTAS(RESUMEN GLOBAL)'!H1301)</f>
        <v>0</v>
      </c>
      <c r="K1301" s="8">
        <f t="shared" si="20"/>
        <v>0</v>
      </c>
      <c r="L1301" s="8">
        <f>+'[1]VENTAS(RESUMEN GLOBAL)'!J1301</f>
        <v>0</v>
      </c>
      <c r="M1301" s="8">
        <f>+Tabla1[[#This Row],[utilidad x dia]]*7</f>
        <v>0</v>
      </c>
    </row>
    <row r="1302" spans="1:13" x14ac:dyDescent="0.3">
      <c r="A1302" s="6">
        <f>+'[1]VENTAS(RESUMEN GLOBAL)'!L1302</f>
        <v>0</v>
      </c>
      <c r="B1302" s="6">
        <f>+'[1]VENTAS(RESUMEN GLOBAL)'!M1302</f>
        <v>0</v>
      </c>
      <c r="C1302">
        <f>+'[1]VENTAS(RESUMEN GLOBAL)'!B1302</f>
        <v>0</v>
      </c>
      <c r="D1302" t="e">
        <f>INDEX('[1]CÓDIGOS DE PRODUCTO'!$D$3:$D$1000,MATCH(C1302,'[1]CÓDIGOS DE PRODUCTO'!$A$3:$A$1000,0))</f>
        <v>#N/A</v>
      </c>
      <c r="E1302">
        <f>VLOOKUP(C1302,'[1]CÓDIGOS DE PRODUCTO'!$A$4:$B$156,2,FALSE)</f>
        <v>0</v>
      </c>
      <c r="F1302">
        <f>INDEX('[1]CÓDIGOS DE PRODUCTO'!$C$3:$C$1000,MATCH(C1302,'[1]CÓDIGOS DE PRODUCTO'!$A$3:$A$1000,0))</f>
        <v>0</v>
      </c>
      <c r="G1302">
        <f>+'[1]VENTAS(RESUMEN GLOBAL)'!D1302-'[1]VENTAS(RESUMEN GLOBAL)'!E1302</f>
        <v>0</v>
      </c>
      <c r="H1302" s="9">
        <f>+'[1]VENTAS(RESUMEN GLOBAL)'!K1302</f>
        <v>0</v>
      </c>
      <c r="I1302" s="8">
        <f>+G1302*'[1]VENTAS(RESUMEN GLOBAL)'!F1302</f>
        <v>0</v>
      </c>
      <c r="J1302" s="8">
        <f>'[1]VENTAS(RESUMEN GLOBAL)'!G1302*(1-'[1]VENTAS(RESUMEN GLOBAL)'!H1302)</f>
        <v>0</v>
      </c>
      <c r="K1302" s="8">
        <f t="shared" si="20"/>
        <v>0</v>
      </c>
      <c r="L1302" s="8">
        <f>+'[1]VENTAS(RESUMEN GLOBAL)'!J1302</f>
        <v>0</v>
      </c>
      <c r="M1302" s="8">
        <f>+Tabla1[[#This Row],[utilidad x dia]]*7</f>
        <v>0</v>
      </c>
    </row>
    <row r="1303" spans="1:13" x14ac:dyDescent="0.3">
      <c r="A1303" s="6">
        <f>+'[1]VENTAS(RESUMEN GLOBAL)'!L1303</f>
        <v>0</v>
      </c>
      <c r="B1303" s="6">
        <f>+'[1]VENTAS(RESUMEN GLOBAL)'!M1303</f>
        <v>0</v>
      </c>
      <c r="C1303">
        <f>+'[1]VENTAS(RESUMEN GLOBAL)'!B1303</f>
        <v>0</v>
      </c>
      <c r="D1303" t="e">
        <f>INDEX('[1]CÓDIGOS DE PRODUCTO'!$D$3:$D$1000,MATCH(C1303,'[1]CÓDIGOS DE PRODUCTO'!$A$3:$A$1000,0))</f>
        <v>#N/A</v>
      </c>
      <c r="E1303">
        <f>VLOOKUP(C1303,'[1]CÓDIGOS DE PRODUCTO'!$A$4:$B$156,2,FALSE)</f>
        <v>0</v>
      </c>
      <c r="F1303">
        <f>INDEX('[1]CÓDIGOS DE PRODUCTO'!$C$3:$C$1000,MATCH(C1303,'[1]CÓDIGOS DE PRODUCTO'!$A$3:$A$1000,0))</f>
        <v>0</v>
      </c>
      <c r="G1303">
        <f>+'[1]VENTAS(RESUMEN GLOBAL)'!D1303-'[1]VENTAS(RESUMEN GLOBAL)'!E1303</f>
        <v>0</v>
      </c>
      <c r="H1303" s="9">
        <f>+'[1]VENTAS(RESUMEN GLOBAL)'!K1303</f>
        <v>0</v>
      </c>
      <c r="I1303" s="8">
        <f>+G1303*'[1]VENTAS(RESUMEN GLOBAL)'!F1303</f>
        <v>0</v>
      </c>
      <c r="J1303" s="8">
        <f>'[1]VENTAS(RESUMEN GLOBAL)'!G1303*(1-'[1]VENTAS(RESUMEN GLOBAL)'!H1303)</f>
        <v>0</v>
      </c>
      <c r="K1303" s="8">
        <f t="shared" si="20"/>
        <v>0</v>
      </c>
      <c r="L1303" s="8">
        <f>+'[1]VENTAS(RESUMEN GLOBAL)'!J1303</f>
        <v>0</v>
      </c>
      <c r="M1303" s="8">
        <f>+Tabla1[[#This Row],[utilidad x dia]]*7</f>
        <v>0</v>
      </c>
    </row>
    <row r="1304" spans="1:13" x14ac:dyDescent="0.3">
      <c r="A1304" s="6">
        <f>+'[1]VENTAS(RESUMEN GLOBAL)'!L1304</f>
        <v>0</v>
      </c>
      <c r="B1304" s="6">
        <f>+'[1]VENTAS(RESUMEN GLOBAL)'!M1304</f>
        <v>0</v>
      </c>
      <c r="C1304">
        <f>+'[1]VENTAS(RESUMEN GLOBAL)'!B1304</f>
        <v>0</v>
      </c>
      <c r="D1304" t="e">
        <f>INDEX('[1]CÓDIGOS DE PRODUCTO'!$D$3:$D$1000,MATCH(C1304,'[1]CÓDIGOS DE PRODUCTO'!$A$3:$A$1000,0))</f>
        <v>#N/A</v>
      </c>
      <c r="E1304">
        <f>VLOOKUP(C1304,'[1]CÓDIGOS DE PRODUCTO'!$A$4:$B$156,2,FALSE)</f>
        <v>0</v>
      </c>
      <c r="F1304">
        <f>INDEX('[1]CÓDIGOS DE PRODUCTO'!$C$3:$C$1000,MATCH(C1304,'[1]CÓDIGOS DE PRODUCTO'!$A$3:$A$1000,0))</f>
        <v>0</v>
      </c>
      <c r="G1304">
        <f>+'[1]VENTAS(RESUMEN GLOBAL)'!D1304-'[1]VENTAS(RESUMEN GLOBAL)'!E1304</f>
        <v>0</v>
      </c>
      <c r="H1304" s="9">
        <f>+'[1]VENTAS(RESUMEN GLOBAL)'!K1304</f>
        <v>0</v>
      </c>
      <c r="I1304" s="8">
        <f>+G1304*'[1]VENTAS(RESUMEN GLOBAL)'!F1304</f>
        <v>0</v>
      </c>
      <c r="J1304" s="8">
        <f>'[1]VENTAS(RESUMEN GLOBAL)'!G1304*(1-'[1]VENTAS(RESUMEN GLOBAL)'!H1304)</f>
        <v>0</v>
      </c>
      <c r="K1304" s="8">
        <f t="shared" si="20"/>
        <v>0</v>
      </c>
      <c r="L1304" s="8">
        <f>+'[1]VENTAS(RESUMEN GLOBAL)'!J1304</f>
        <v>0</v>
      </c>
      <c r="M1304" s="8">
        <f>+Tabla1[[#This Row],[utilidad x dia]]*7</f>
        <v>0</v>
      </c>
    </row>
    <row r="1305" spans="1:13" x14ac:dyDescent="0.3">
      <c r="A1305" s="6">
        <f>+'[1]VENTAS(RESUMEN GLOBAL)'!L1305</f>
        <v>0</v>
      </c>
      <c r="B1305" s="6">
        <f>+'[1]VENTAS(RESUMEN GLOBAL)'!M1305</f>
        <v>0</v>
      </c>
      <c r="C1305">
        <f>+'[1]VENTAS(RESUMEN GLOBAL)'!B1305</f>
        <v>0</v>
      </c>
      <c r="D1305" t="e">
        <f>INDEX('[1]CÓDIGOS DE PRODUCTO'!$D$3:$D$1000,MATCH(C1305,'[1]CÓDIGOS DE PRODUCTO'!$A$3:$A$1000,0))</f>
        <v>#N/A</v>
      </c>
      <c r="E1305">
        <f>VLOOKUP(C1305,'[1]CÓDIGOS DE PRODUCTO'!$A$4:$B$156,2,FALSE)</f>
        <v>0</v>
      </c>
      <c r="F1305">
        <f>INDEX('[1]CÓDIGOS DE PRODUCTO'!$C$3:$C$1000,MATCH(C1305,'[1]CÓDIGOS DE PRODUCTO'!$A$3:$A$1000,0))</f>
        <v>0</v>
      </c>
      <c r="G1305">
        <f>+'[1]VENTAS(RESUMEN GLOBAL)'!D1305-'[1]VENTAS(RESUMEN GLOBAL)'!E1305</f>
        <v>0</v>
      </c>
      <c r="H1305" s="9">
        <f>+'[1]VENTAS(RESUMEN GLOBAL)'!K1305</f>
        <v>0</v>
      </c>
      <c r="I1305" s="8">
        <f>+G1305*'[1]VENTAS(RESUMEN GLOBAL)'!F1305</f>
        <v>0</v>
      </c>
      <c r="J1305" s="8">
        <f>'[1]VENTAS(RESUMEN GLOBAL)'!G1305*(1-'[1]VENTAS(RESUMEN GLOBAL)'!H1305)</f>
        <v>0</v>
      </c>
      <c r="K1305" s="8">
        <f t="shared" si="20"/>
        <v>0</v>
      </c>
      <c r="L1305" s="8">
        <f>+'[1]VENTAS(RESUMEN GLOBAL)'!J1305</f>
        <v>0</v>
      </c>
      <c r="M1305" s="8">
        <f>+Tabla1[[#This Row],[utilidad x dia]]*7</f>
        <v>0</v>
      </c>
    </row>
    <row r="1306" spans="1:13" x14ac:dyDescent="0.3">
      <c r="A1306" s="6">
        <f>+'[1]VENTAS(RESUMEN GLOBAL)'!L1306</f>
        <v>0</v>
      </c>
      <c r="B1306" s="6">
        <f>+'[1]VENTAS(RESUMEN GLOBAL)'!M1306</f>
        <v>0</v>
      </c>
      <c r="C1306">
        <f>+'[1]VENTAS(RESUMEN GLOBAL)'!B1306</f>
        <v>0</v>
      </c>
      <c r="D1306" t="e">
        <f>INDEX('[1]CÓDIGOS DE PRODUCTO'!$D$3:$D$1000,MATCH(C1306,'[1]CÓDIGOS DE PRODUCTO'!$A$3:$A$1000,0))</f>
        <v>#N/A</v>
      </c>
      <c r="E1306">
        <f>VLOOKUP(C1306,'[1]CÓDIGOS DE PRODUCTO'!$A$4:$B$156,2,FALSE)</f>
        <v>0</v>
      </c>
      <c r="F1306">
        <f>INDEX('[1]CÓDIGOS DE PRODUCTO'!$C$3:$C$1000,MATCH(C1306,'[1]CÓDIGOS DE PRODUCTO'!$A$3:$A$1000,0))</f>
        <v>0</v>
      </c>
      <c r="G1306">
        <f>+'[1]VENTAS(RESUMEN GLOBAL)'!D1306-'[1]VENTAS(RESUMEN GLOBAL)'!E1306</f>
        <v>0</v>
      </c>
      <c r="H1306" s="9">
        <f>+'[1]VENTAS(RESUMEN GLOBAL)'!K1306</f>
        <v>0</v>
      </c>
      <c r="I1306" s="8">
        <f>+G1306*'[1]VENTAS(RESUMEN GLOBAL)'!F1306</f>
        <v>0</v>
      </c>
      <c r="J1306" s="8">
        <f>'[1]VENTAS(RESUMEN GLOBAL)'!G1306*(1-'[1]VENTAS(RESUMEN GLOBAL)'!H1306)</f>
        <v>0</v>
      </c>
      <c r="K1306" s="8">
        <f t="shared" si="20"/>
        <v>0</v>
      </c>
      <c r="L1306" s="8">
        <f>+'[1]VENTAS(RESUMEN GLOBAL)'!J1306</f>
        <v>0</v>
      </c>
      <c r="M1306" s="8">
        <f>+Tabla1[[#This Row],[utilidad x dia]]*7</f>
        <v>0</v>
      </c>
    </row>
    <row r="1307" spans="1:13" x14ac:dyDescent="0.3">
      <c r="A1307" s="6">
        <f>+'[1]VENTAS(RESUMEN GLOBAL)'!L1307</f>
        <v>0</v>
      </c>
      <c r="B1307" s="6">
        <f>+'[1]VENTAS(RESUMEN GLOBAL)'!M1307</f>
        <v>0</v>
      </c>
      <c r="C1307">
        <f>+'[1]VENTAS(RESUMEN GLOBAL)'!B1307</f>
        <v>0</v>
      </c>
      <c r="D1307" t="e">
        <f>INDEX('[1]CÓDIGOS DE PRODUCTO'!$D$3:$D$1000,MATCH(C1307,'[1]CÓDIGOS DE PRODUCTO'!$A$3:$A$1000,0))</f>
        <v>#N/A</v>
      </c>
      <c r="E1307">
        <f>VLOOKUP(C1307,'[1]CÓDIGOS DE PRODUCTO'!$A$4:$B$156,2,FALSE)</f>
        <v>0</v>
      </c>
      <c r="F1307">
        <f>INDEX('[1]CÓDIGOS DE PRODUCTO'!$C$3:$C$1000,MATCH(C1307,'[1]CÓDIGOS DE PRODUCTO'!$A$3:$A$1000,0))</f>
        <v>0</v>
      </c>
      <c r="G1307">
        <f>+'[1]VENTAS(RESUMEN GLOBAL)'!D1307-'[1]VENTAS(RESUMEN GLOBAL)'!E1307</f>
        <v>0</v>
      </c>
      <c r="H1307" s="9">
        <f>+'[1]VENTAS(RESUMEN GLOBAL)'!K1307</f>
        <v>0</v>
      </c>
      <c r="I1307" s="8">
        <f>+G1307*'[1]VENTAS(RESUMEN GLOBAL)'!F1307</f>
        <v>0</v>
      </c>
      <c r="J1307" s="8">
        <f>'[1]VENTAS(RESUMEN GLOBAL)'!G1307*(1-'[1]VENTAS(RESUMEN GLOBAL)'!H1307)</f>
        <v>0</v>
      </c>
      <c r="K1307" s="8">
        <f t="shared" si="20"/>
        <v>0</v>
      </c>
      <c r="L1307" s="8">
        <f>+'[1]VENTAS(RESUMEN GLOBAL)'!J1307</f>
        <v>0</v>
      </c>
      <c r="M1307" s="8">
        <f>+Tabla1[[#This Row],[utilidad x dia]]*7</f>
        <v>0</v>
      </c>
    </row>
    <row r="1308" spans="1:13" x14ac:dyDescent="0.3">
      <c r="A1308" s="6">
        <f>+'[1]VENTAS(RESUMEN GLOBAL)'!L1308</f>
        <v>0</v>
      </c>
      <c r="B1308" s="6">
        <f>+'[1]VENTAS(RESUMEN GLOBAL)'!M1308</f>
        <v>0</v>
      </c>
      <c r="C1308">
        <f>+'[1]VENTAS(RESUMEN GLOBAL)'!B1308</f>
        <v>0</v>
      </c>
      <c r="D1308" t="e">
        <f>INDEX('[1]CÓDIGOS DE PRODUCTO'!$D$3:$D$1000,MATCH(C1308,'[1]CÓDIGOS DE PRODUCTO'!$A$3:$A$1000,0))</f>
        <v>#N/A</v>
      </c>
      <c r="E1308">
        <f>VLOOKUP(C1308,'[1]CÓDIGOS DE PRODUCTO'!$A$4:$B$156,2,FALSE)</f>
        <v>0</v>
      </c>
      <c r="F1308">
        <f>INDEX('[1]CÓDIGOS DE PRODUCTO'!$C$3:$C$1000,MATCH(C1308,'[1]CÓDIGOS DE PRODUCTO'!$A$3:$A$1000,0))</f>
        <v>0</v>
      </c>
      <c r="G1308">
        <f>+'[1]VENTAS(RESUMEN GLOBAL)'!D1308-'[1]VENTAS(RESUMEN GLOBAL)'!E1308</f>
        <v>0</v>
      </c>
      <c r="H1308" s="9">
        <f>+'[1]VENTAS(RESUMEN GLOBAL)'!K1308</f>
        <v>0</v>
      </c>
      <c r="I1308" s="8">
        <f>+G1308*'[1]VENTAS(RESUMEN GLOBAL)'!F1308</f>
        <v>0</v>
      </c>
      <c r="J1308" s="8">
        <f>'[1]VENTAS(RESUMEN GLOBAL)'!G1308*(1-'[1]VENTAS(RESUMEN GLOBAL)'!H1308)</f>
        <v>0</v>
      </c>
      <c r="K1308" s="8">
        <f t="shared" si="20"/>
        <v>0</v>
      </c>
      <c r="L1308" s="8">
        <f>+'[1]VENTAS(RESUMEN GLOBAL)'!J1308</f>
        <v>0</v>
      </c>
      <c r="M1308" s="8">
        <f>+Tabla1[[#This Row],[utilidad x dia]]*7</f>
        <v>0</v>
      </c>
    </row>
    <row r="1309" spans="1:13" x14ac:dyDescent="0.3">
      <c r="A1309" s="6">
        <f>+'[1]VENTAS(RESUMEN GLOBAL)'!L1309</f>
        <v>0</v>
      </c>
      <c r="B1309" s="6">
        <f>+'[1]VENTAS(RESUMEN GLOBAL)'!M1309</f>
        <v>0</v>
      </c>
      <c r="C1309">
        <f>+'[1]VENTAS(RESUMEN GLOBAL)'!B1309</f>
        <v>0</v>
      </c>
      <c r="D1309" t="e">
        <f>INDEX('[1]CÓDIGOS DE PRODUCTO'!$D$3:$D$1000,MATCH(C1309,'[1]CÓDIGOS DE PRODUCTO'!$A$3:$A$1000,0))</f>
        <v>#N/A</v>
      </c>
      <c r="E1309">
        <f>VLOOKUP(C1309,'[1]CÓDIGOS DE PRODUCTO'!$A$4:$B$156,2,FALSE)</f>
        <v>0</v>
      </c>
      <c r="F1309">
        <f>INDEX('[1]CÓDIGOS DE PRODUCTO'!$C$3:$C$1000,MATCH(C1309,'[1]CÓDIGOS DE PRODUCTO'!$A$3:$A$1000,0))</f>
        <v>0</v>
      </c>
      <c r="G1309">
        <f>+'[1]VENTAS(RESUMEN GLOBAL)'!D1309-'[1]VENTAS(RESUMEN GLOBAL)'!E1309</f>
        <v>0</v>
      </c>
      <c r="H1309" s="9">
        <f>+'[1]VENTAS(RESUMEN GLOBAL)'!K1309</f>
        <v>0</v>
      </c>
      <c r="I1309" s="8">
        <f>+G1309*'[1]VENTAS(RESUMEN GLOBAL)'!F1309</f>
        <v>0</v>
      </c>
      <c r="J1309" s="8">
        <f>'[1]VENTAS(RESUMEN GLOBAL)'!G1309*(1-'[1]VENTAS(RESUMEN GLOBAL)'!H1309)</f>
        <v>0</v>
      </c>
      <c r="K1309" s="8">
        <f t="shared" si="20"/>
        <v>0</v>
      </c>
      <c r="L1309" s="8">
        <f>+'[1]VENTAS(RESUMEN GLOBAL)'!J1309</f>
        <v>0</v>
      </c>
      <c r="M1309" s="8">
        <f>+Tabla1[[#This Row],[utilidad x dia]]*7</f>
        <v>0</v>
      </c>
    </row>
    <row r="1310" spans="1:13" x14ac:dyDescent="0.3">
      <c r="A1310" s="6">
        <f>+'[1]VENTAS(RESUMEN GLOBAL)'!L1310</f>
        <v>0</v>
      </c>
      <c r="B1310" s="6">
        <f>+'[1]VENTAS(RESUMEN GLOBAL)'!M1310</f>
        <v>0</v>
      </c>
      <c r="C1310">
        <f>+'[1]VENTAS(RESUMEN GLOBAL)'!B1310</f>
        <v>0</v>
      </c>
      <c r="D1310" t="e">
        <f>INDEX('[1]CÓDIGOS DE PRODUCTO'!$D$3:$D$1000,MATCH(C1310,'[1]CÓDIGOS DE PRODUCTO'!$A$3:$A$1000,0))</f>
        <v>#N/A</v>
      </c>
      <c r="E1310">
        <f>VLOOKUP(C1310,'[1]CÓDIGOS DE PRODUCTO'!$A$4:$B$156,2,FALSE)</f>
        <v>0</v>
      </c>
      <c r="F1310">
        <f>INDEX('[1]CÓDIGOS DE PRODUCTO'!$C$3:$C$1000,MATCH(C1310,'[1]CÓDIGOS DE PRODUCTO'!$A$3:$A$1000,0))</f>
        <v>0</v>
      </c>
      <c r="G1310">
        <f>+'[1]VENTAS(RESUMEN GLOBAL)'!D1310-'[1]VENTAS(RESUMEN GLOBAL)'!E1310</f>
        <v>0</v>
      </c>
      <c r="H1310" s="9">
        <f>+'[1]VENTAS(RESUMEN GLOBAL)'!K1310</f>
        <v>0</v>
      </c>
      <c r="I1310" s="8">
        <f>+G1310*'[1]VENTAS(RESUMEN GLOBAL)'!F1310</f>
        <v>0</v>
      </c>
      <c r="J1310" s="8">
        <f>'[1]VENTAS(RESUMEN GLOBAL)'!G1310*(1-'[1]VENTAS(RESUMEN GLOBAL)'!H1310)</f>
        <v>0</v>
      </c>
      <c r="K1310" s="8">
        <f t="shared" si="20"/>
        <v>0</v>
      </c>
      <c r="L1310" s="8">
        <f>+'[1]VENTAS(RESUMEN GLOBAL)'!J1310</f>
        <v>0</v>
      </c>
      <c r="M1310" s="8">
        <f>+Tabla1[[#This Row],[utilidad x dia]]*7</f>
        <v>0</v>
      </c>
    </row>
    <row r="1311" spans="1:13" x14ac:dyDescent="0.3">
      <c r="A1311" s="6">
        <f>+'[1]VENTAS(RESUMEN GLOBAL)'!L1311</f>
        <v>0</v>
      </c>
      <c r="B1311" s="6">
        <f>+'[1]VENTAS(RESUMEN GLOBAL)'!M1311</f>
        <v>0</v>
      </c>
      <c r="C1311">
        <f>+'[1]VENTAS(RESUMEN GLOBAL)'!B1311</f>
        <v>0</v>
      </c>
      <c r="D1311" t="e">
        <f>INDEX('[1]CÓDIGOS DE PRODUCTO'!$D$3:$D$1000,MATCH(C1311,'[1]CÓDIGOS DE PRODUCTO'!$A$3:$A$1000,0))</f>
        <v>#N/A</v>
      </c>
      <c r="E1311">
        <f>VLOOKUP(C1311,'[1]CÓDIGOS DE PRODUCTO'!$A$4:$B$156,2,FALSE)</f>
        <v>0</v>
      </c>
      <c r="F1311">
        <f>INDEX('[1]CÓDIGOS DE PRODUCTO'!$C$3:$C$1000,MATCH(C1311,'[1]CÓDIGOS DE PRODUCTO'!$A$3:$A$1000,0))</f>
        <v>0</v>
      </c>
      <c r="G1311">
        <f>+'[1]VENTAS(RESUMEN GLOBAL)'!D1311-'[1]VENTAS(RESUMEN GLOBAL)'!E1311</f>
        <v>0</v>
      </c>
      <c r="H1311" s="9">
        <f>+'[1]VENTAS(RESUMEN GLOBAL)'!K1311</f>
        <v>0</v>
      </c>
      <c r="I1311" s="8">
        <f>+G1311*'[1]VENTAS(RESUMEN GLOBAL)'!F1311</f>
        <v>0</v>
      </c>
      <c r="J1311" s="8">
        <f>'[1]VENTAS(RESUMEN GLOBAL)'!G1311*(1-'[1]VENTAS(RESUMEN GLOBAL)'!H1311)</f>
        <v>0</v>
      </c>
      <c r="K1311" s="8">
        <f t="shared" si="20"/>
        <v>0</v>
      </c>
      <c r="L1311" s="8">
        <f>+'[1]VENTAS(RESUMEN GLOBAL)'!J1311</f>
        <v>0</v>
      </c>
      <c r="M1311" s="8">
        <f>+Tabla1[[#This Row],[utilidad x dia]]*7</f>
        <v>0</v>
      </c>
    </row>
    <row r="1312" spans="1:13" x14ac:dyDescent="0.3">
      <c r="A1312" s="6">
        <f>+'[1]VENTAS(RESUMEN GLOBAL)'!L1312</f>
        <v>0</v>
      </c>
      <c r="B1312" s="6">
        <f>+'[1]VENTAS(RESUMEN GLOBAL)'!M1312</f>
        <v>0</v>
      </c>
      <c r="C1312">
        <f>+'[1]VENTAS(RESUMEN GLOBAL)'!B1312</f>
        <v>0</v>
      </c>
      <c r="D1312" t="e">
        <f>INDEX('[1]CÓDIGOS DE PRODUCTO'!$D$3:$D$1000,MATCH(C1312,'[1]CÓDIGOS DE PRODUCTO'!$A$3:$A$1000,0))</f>
        <v>#N/A</v>
      </c>
      <c r="E1312">
        <f>VLOOKUP(C1312,'[1]CÓDIGOS DE PRODUCTO'!$A$4:$B$156,2,FALSE)</f>
        <v>0</v>
      </c>
      <c r="F1312">
        <f>INDEX('[1]CÓDIGOS DE PRODUCTO'!$C$3:$C$1000,MATCH(C1312,'[1]CÓDIGOS DE PRODUCTO'!$A$3:$A$1000,0))</f>
        <v>0</v>
      </c>
      <c r="G1312">
        <f>+'[1]VENTAS(RESUMEN GLOBAL)'!D1312-'[1]VENTAS(RESUMEN GLOBAL)'!E1312</f>
        <v>0</v>
      </c>
      <c r="H1312" s="9">
        <f>+'[1]VENTAS(RESUMEN GLOBAL)'!K1312</f>
        <v>0</v>
      </c>
      <c r="I1312" s="8">
        <f>+G1312*'[1]VENTAS(RESUMEN GLOBAL)'!F1312</f>
        <v>0</v>
      </c>
      <c r="J1312" s="8">
        <f>'[1]VENTAS(RESUMEN GLOBAL)'!G1312*(1-'[1]VENTAS(RESUMEN GLOBAL)'!H1312)</f>
        <v>0</v>
      </c>
      <c r="K1312" s="8">
        <f t="shared" si="20"/>
        <v>0</v>
      </c>
      <c r="L1312" s="8">
        <f>+'[1]VENTAS(RESUMEN GLOBAL)'!J1312</f>
        <v>0</v>
      </c>
      <c r="M1312" s="8">
        <f>+Tabla1[[#This Row],[utilidad x dia]]*7</f>
        <v>0</v>
      </c>
    </row>
    <row r="1313" spans="1:13" x14ac:dyDescent="0.3">
      <c r="A1313" s="6">
        <f>+'[1]VENTAS(RESUMEN GLOBAL)'!L1313</f>
        <v>0</v>
      </c>
      <c r="B1313" s="6">
        <f>+'[1]VENTAS(RESUMEN GLOBAL)'!M1313</f>
        <v>0</v>
      </c>
      <c r="C1313">
        <f>+'[1]VENTAS(RESUMEN GLOBAL)'!B1313</f>
        <v>0</v>
      </c>
      <c r="D1313" t="e">
        <f>INDEX('[1]CÓDIGOS DE PRODUCTO'!$D$3:$D$1000,MATCH(C1313,'[1]CÓDIGOS DE PRODUCTO'!$A$3:$A$1000,0))</f>
        <v>#N/A</v>
      </c>
      <c r="E1313">
        <f>VLOOKUP(C1313,'[1]CÓDIGOS DE PRODUCTO'!$A$4:$B$156,2,FALSE)</f>
        <v>0</v>
      </c>
      <c r="F1313">
        <f>INDEX('[1]CÓDIGOS DE PRODUCTO'!$C$3:$C$1000,MATCH(C1313,'[1]CÓDIGOS DE PRODUCTO'!$A$3:$A$1000,0))</f>
        <v>0</v>
      </c>
      <c r="G1313">
        <f>+'[1]VENTAS(RESUMEN GLOBAL)'!D1313-'[1]VENTAS(RESUMEN GLOBAL)'!E1313</f>
        <v>0</v>
      </c>
      <c r="H1313" s="9">
        <f>+'[1]VENTAS(RESUMEN GLOBAL)'!K1313</f>
        <v>0</v>
      </c>
      <c r="I1313" s="8">
        <f>+G1313*'[1]VENTAS(RESUMEN GLOBAL)'!F1313</f>
        <v>0</v>
      </c>
      <c r="J1313" s="8">
        <f>'[1]VENTAS(RESUMEN GLOBAL)'!G1313*(1-'[1]VENTAS(RESUMEN GLOBAL)'!H1313)</f>
        <v>0</v>
      </c>
      <c r="K1313" s="8">
        <f t="shared" si="20"/>
        <v>0</v>
      </c>
      <c r="L1313" s="8">
        <f>+'[1]VENTAS(RESUMEN GLOBAL)'!J1313</f>
        <v>0</v>
      </c>
      <c r="M1313" s="8">
        <f>+Tabla1[[#This Row],[utilidad x dia]]*7</f>
        <v>0</v>
      </c>
    </row>
    <row r="1314" spans="1:13" x14ac:dyDescent="0.3">
      <c r="A1314" s="6">
        <f>+'[1]VENTAS(RESUMEN GLOBAL)'!L1314</f>
        <v>0</v>
      </c>
      <c r="B1314" s="6">
        <f>+'[1]VENTAS(RESUMEN GLOBAL)'!M1314</f>
        <v>0</v>
      </c>
      <c r="C1314">
        <f>+'[1]VENTAS(RESUMEN GLOBAL)'!B1314</f>
        <v>0</v>
      </c>
      <c r="D1314" t="e">
        <f>INDEX('[1]CÓDIGOS DE PRODUCTO'!$D$3:$D$1000,MATCH(C1314,'[1]CÓDIGOS DE PRODUCTO'!$A$3:$A$1000,0))</f>
        <v>#N/A</v>
      </c>
      <c r="E1314">
        <f>VLOOKUP(C1314,'[1]CÓDIGOS DE PRODUCTO'!$A$4:$B$156,2,FALSE)</f>
        <v>0</v>
      </c>
      <c r="F1314">
        <f>INDEX('[1]CÓDIGOS DE PRODUCTO'!$C$3:$C$1000,MATCH(C1314,'[1]CÓDIGOS DE PRODUCTO'!$A$3:$A$1000,0))</f>
        <v>0</v>
      </c>
      <c r="G1314">
        <f>+'[1]VENTAS(RESUMEN GLOBAL)'!D1314-'[1]VENTAS(RESUMEN GLOBAL)'!E1314</f>
        <v>0</v>
      </c>
      <c r="H1314" s="9">
        <f>+'[1]VENTAS(RESUMEN GLOBAL)'!K1314</f>
        <v>0</v>
      </c>
      <c r="I1314" s="8">
        <f>+G1314*'[1]VENTAS(RESUMEN GLOBAL)'!F1314</f>
        <v>0</v>
      </c>
      <c r="J1314" s="8">
        <f>'[1]VENTAS(RESUMEN GLOBAL)'!G1314*(1-'[1]VENTAS(RESUMEN GLOBAL)'!H1314)</f>
        <v>0</v>
      </c>
      <c r="K1314" s="8">
        <f t="shared" si="20"/>
        <v>0</v>
      </c>
      <c r="L1314" s="8">
        <f>+'[1]VENTAS(RESUMEN GLOBAL)'!J1314</f>
        <v>0</v>
      </c>
      <c r="M1314" s="8">
        <f>+Tabla1[[#This Row],[utilidad x dia]]*7</f>
        <v>0</v>
      </c>
    </row>
    <row r="1315" spans="1:13" x14ac:dyDescent="0.3">
      <c r="A1315" s="6">
        <f>+'[1]VENTAS(RESUMEN GLOBAL)'!L1315</f>
        <v>0</v>
      </c>
      <c r="B1315" s="6">
        <f>+'[1]VENTAS(RESUMEN GLOBAL)'!M1315</f>
        <v>0</v>
      </c>
      <c r="C1315">
        <f>+'[1]VENTAS(RESUMEN GLOBAL)'!B1315</f>
        <v>0</v>
      </c>
      <c r="D1315" t="e">
        <f>INDEX('[1]CÓDIGOS DE PRODUCTO'!$D$3:$D$1000,MATCH(C1315,'[1]CÓDIGOS DE PRODUCTO'!$A$3:$A$1000,0))</f>
        <v>#N/A</v>
      </c>
      <c r="E1315">
        <f>VLOOKUP(C1315,'[1]CÓDIGOS DE PRODUCTO'!$A$4:$B$156,2,FALSE)</f>
        <v>0</v>
      </c>
      <c r="F1315">
        <f>INDEX('[1]CÓDIGOS DE PRODUCTO'!$C$3:$C$1000,MATCH(C1315,'[1]CÓDIGOS DE PRODUCTO'!$A$3:$A$1000,0))</f>
        <v>0</v>
      </c>
      <c r="G1315">
        <f>+'[1]VENTAS(RESUMEN GLOBAL)'!D1315-'[1]VENTAS(RESUMEN GLOBAL)'!E1315</f>
        <v>0</v>
      </c>
      <c r="H1315" s="9">
        <f>+'[1]VENTAS(RESUMEN GLOBAL)'!K1315</f>
        <v>0</v>
      </c>
      <c r="I1315" s="8">
        <f>+G1315*'[1]VENTAS(RESUMEN GLOBAL)'!F1315</f>
        <v>0</v>
      </c>
      <c r="J1315" s="8">
        <f>'[1]VENTAS(RESUMEN GLOBAL)'!G1315*(1-'[1]VENTAS(RESUMEN GLOBAL)'!H1315)</f>
        <v>0</v>
      </c>
      <c r="K1315" s="8">
        <f t="shared" si="20"/>
        <v>0</v>
      </c>
      <c r="L1315" s="8">
        <f>+'[1]VENTAS(RESUMEN GLOBAL)'!J1315</f>
        <v>0</v>
      </c>
      <c r="M1315" s="8">
        <f>+Tabla1[[#This Row],[utilidad x dia]]*7</f>
        <v>0</v>
      </c>
    </row>
    <row r="1316" spans="1:13" x14ac:dyDescent="0.3">
      <c r="A1316" s="6">
        <f>+'[1]VENTAS(RESUMEN GLOBAL)'!L1316</f>
        <v>0</v>
      </c>
      <c r="B1316" s="6">
        <f>+'[1]VENTAS(RESUMEN GLOBAL)'!M1316</f>
        <v>0</v>
      </c>
      <c r="C1316">
        <f>+'[1]VENTAS(RESUMEN GLOBAL)'!B1316</f>
        <v>0</v>
      </c>
      <c r="D1316" t="e">
        <f>INDEX('[1]CÓDIGOS DE PRODUCTO'!$D$3:$D$1000,MATCH(C1316,'[1]CÓDIGOS DE PRODUCTO'!$A$3:$A$1000,0))</f>
        <v>#N/A</v>
      </c>
      <c r="E1316">
        <f>VLOOKUP(C1316,'[1]CÓDIGOS DE PRODUCTO'!$A$4:$B$156,2,FALSE)</f>
        <v>0</v>
      </c>
      <c r="F1316">
        <f>INDEX('[1]CÓDIGOS DE PRODUCTO'!$C$3:$C$1000,MATCH(C1316,'[1]CÓDIGOS DE PRODUCTO'!$A$3:$A$1000,0))</f>
        <v>0</v>
      </c>
      <c r="G1316">
        <f>+'[1]VENTAS(RESUMEN GLOBAL)'!D1316-'[1]VENTAS(RESUMEN GLOBAL)'!E1316</f>
        <v>0</v>
      </c>
      <c r="H1316" s="9">
        <f>+'[1]VENTAS(RESUMEN GLOBAL)'!K1316</f>
        <v>0</v>
      </c>
      <c r="I1316" s="8">
        <f>+G1316*'[1]VENTAS(RESUMEN GLOBAL)'!F1316</f>
        <v>0</v>
      </c>
      <c r="J1316" s="8">
        <f>'[1]VENTAS(RESUMEN GLOBAL)'!G1316*(1-'[1]VENTAS(RESUMEN GLOBAL)'!H1316)</f>
        <v>0</v>
      </c>
      <c r="K1316" s="8">
        <f t="shared" si="20"/>
        <v>0</v>
      </c>
      <c r="L1316" s="8">
        <f>+'[1]VENTAS(RESUMEN GLOBAL)'!J1316</f>
        <v>0</v>
      </c>
      <c r="M1316" s="8">
        <f>+Tabla1[[#This Row],[utilidad x dia]]*7</f>
        <v>0</v>
      </c>
    </row>
    <row r="1317" spans="1:13" x14ac:dyDescent="0.3">
      <c r="A1317" s="6">
        <f>+'[1]VENTAS(RESUMEN GLOBAL)'!L1317</f>
        <v>0</v>
      </c>
      <c r="B1317" s="6">
        <f>+'[1]VENTAS(RESUMEN GLOBAL)'!M1317</f>
        <v>0</v>
      </c>
      <c r="C1317">
        <f>+'[1]VENTAS(RESUMEN GLOBAL)'!B1317</f>
        <v>0</v>
      </c>
      <c r="D1317" t="e">
        <f>INDEX('[1]CÓDIGOS DE PRODUCTO'!$D$3:$D$1000,MATCH(C1317,'[1]CÓDIGOS DE PRODUCTO'!$A$3:$A$1000,0))</f>
        <v>#N/A</v>
      </c>
      <c r="E1317">
        <f>VLOOKUP(C1317,'[1]CÓDIGOS DE PRODUCTO'!$A$4:$B$156,2,FALSE)</f>
        <v>0</v>
      </c>
      <c r="F1317">
        <f>INDEX('[1]CÓDIGOS DE PRODUCTO'!$C$3:$C$1000,MATCH(C1317,'[1]CÓDIGOS DE PRODUCTO'!$A$3:$A$1000,0))</f>
        <v>0</v>
      </c>
      <c r="G1317">
        <f>+'[1]VENTAS(RESUMEN GLOBAL)'!D1317-'[1]VENTAS(RESUMEN GLOBAL)'!E1317</f>
        <v>0</v>
      </c>
      <c r="H1317" s="9">
        <f>+'[1]VENTAS(RESUMEN GLOBAL)'!K1317</f>
        <v>0</v>
      </c>
      <c r="I1317" s="8">
        <f>+G1317*'[1]VENTAS(RESUMEN GLOBAL)'!F1317</f>
        <v>0</v>
      </c>
      <c r="J1317" s="8">
        <f>'[1]VENTAS(RESUMEN GLOBAL)'!G1317*(1-'[1]VENTAS(RESUMEN GLOBAL)'!H1317)</f>
        <v>0</v>
      </c>
      <c r="K1317" s="8">
        <f t="shared" si="20"/>
        <v>0</v>
      </c>
      <c r="L1317" s="8">
        <f>+'[1]VENTAS(RESUMEN GLOBAL)'!J1317</f>
        <v>0</v>
      </c>
      <c r="M1317" s="8">
        <f>+Tabla1[[#This Row],[utilidad x dia]]*7</f>
        <v>0</v>
      </c>
    </row>
    <row r="1318" spans="1:13" x14ac:dyDescent="0.3">
      <c r="A1318" s="6">
        <f>+'[1]VENTAS(RESUMEN GLOBAL)'!L1318</f>
        <v>0</v>
      </c>
      <c r="B1318" s="6">
        <f>+'[1]VENTAS(RESUMEN GLOBAL)'!M1318</f>
        <v>0</v>
      </c>
      <c r="C1318">
        <f>+'[1]VENTAS(RESUMEN GLOBAL)'!B1318</f>
        <v>0</v>
      </c>
      <c r="D1318" t="e">
        <f>INDEX('[1]CÓDIGOS DE PRODUCTO'!$D$3:$D$1000,MATCH(C1318,'[1]CÓDIGOS DE PRODUCTO'!$A$3:$A$1000,0))</f>
        <v>#N/A</v>
      </c>
      <c r="E1318">
        <f>VLOOKUP(C1318,'[1]CÓDIGOS DE PRODUCTO'!$A$4:$B$156,2,FALSE)</f>
        <v>0</v>
      </c>
      <c r="F1318">
        <f>INDEX('[1]CÓDIGOS DE PRODUCTO'!$C$3:$C$1000,MATCH(C1318,'[1]CÓDIGOS DE PRODUCTO'!$A$3:$A$1000,0))</f>
        <v>0</v>
      </c>
      <c r="G1318">
        <f>+'[1]VENTAS(RESUMEN GLOBAL)'!D1318-'[1]VENTAS(RESUMEN GLOBAL)'!E1318</f>
        <v>0</v>
      </c>
      <c r="H1318" s="9">
        <f>+'[1]VENTAS(RESUMEN GLOBAL)'!K1318</f>
        <v>0</v>
      </c>
      <c r="I1318" s="8">
        <f>+G1318*'[1]VENTAS(RESUMEN GLOBAL)'!F1318</f>
        <v>0</v>
      </c>
      <c r="J1318" s="8">
        <f>'[1]VENTAS(RESUMEN GLOBAL)'!G1318*(1-'[1]VENTAS(RESUMEN GLOBAL)'!H1318)</f>
        <v>0</v>
      </c>
      <c r="K1318" s="8">
        <f t="shared" si="20"/>
        <v>0</v>
      </c>
      <c r="L1318" s="8">
        <f>+'[1]VENTAS(RESUMEN GLOBAL)'!J1318</f>
        <v>0</v>
      </c>
      <c r="M1318" s="8">
        <f>+Tabla1[[#This Row],[utilidad x dia]]*7</f>
        <v>0</v>
      </c>
    </row>
    <row r="1319" spans="1:13" x14ac:dyDescent="0.3">
      <c r="A1319" s="6">
        <f>+'[1]VENTAS(RESUMEN GLOBAL)'!L1319</f>
        <v>0</v>
      </c>
      <c r="B1319" s="6">
        <f>+'[1]VENTAS(RESUMEN GLOBAL)'!M1319</f>
        <v>0</v>
      </c>
      <c r="C1319">
        <f>+'[1]VENTAS(RESUMEN GLOBAL)'!B1319</f>
        <v>0</v>
      </c>
      <c r="D1319" t="e">
        <f>INDEX('[1]CÓDIGOS DE PRODUCTO'!$D$3:$D$1000,MATCH(C1319,'[1]CÓDIGOS DE PRODUCTO'!$A$3:$A$1000,0))</f>
        <v>#N/A</v>
      </c>
      <c r="E1319">
        <f>VLOOKUP(C1319,'[1]CÓDIGOS DE PRODUCTO'!$A$4:$B$156,2,FALSE)</f>
        <v>0</v>
      </c>
      <c r="F1319">
        <f>INDEX('[1]CÓDIGOS DE PRODUCTO'!$C$3:$C$1000,MATCH(C1319,'[1]CÓDIGOS DE PRODUCTO'!$A$3:$A$1000,0))</f>
        <v>0</v>
      </c>
      <c r="G1319">
        <f>+'[1]VENTAS(RESUMEN GLOBAL)'!D1319-'[1]VENTAS(RESUMEN GLOBAL)'!E1319</f>
        <v>0</v>
      </c>
      <c r="H1319" s="9">
        <f>+'[1]VENTAS(RESUMEN GLOBAL)'!K1319</f>
        <v>0</v>
      </c>
      <c r="I1319" s="8">
        <f>+G1319*'[1]VENTAS(RESUMEN GLOBAL)'!F1319</f>
        <v>0</v>
      </c>
      <c r="J1319" s="8">
        <f>'[1]VENTAS(RESUMEN GLOBAL)'!G1319*(1-'[1]VENTAS(RESUMEN GLOBAL)'!H1319)</f>
        <v>0</v>
      </c>
      <c r="K1319" s="8">
        <f t="shared" si="20"/>
        <v>0</v>
      </c>
      <c r="L1319" s="8">
        <f>+'[1]VENTAS(RESUMEN GLOBAL)'!J1319</f>
        <v>0</v>
      </c>
      <c r="M1319" s="8">
        <f>+Tabla1[[#This Row],[utilidad x dia]]*7</f>
        <v>0</v>
      </c>
    </row>
    <row r="1320" spans="1:13" x14ac:dyDescent="0.3">
      <c r="A1320" s="6">
        <f>+'[1]VENTAS(RESUMEN GLOBAL)'!L1320</f>
        <v>0</v>
      </c>
      <c r="B1320" s="6">
        <f>+'[1]VENTAS(RESUMEN GLOBAL)'!M1320</f>
        <v>0</v>
      </c>
      <c r="C1320">
        <f>+'[1]VENTAS(RESUMEN GLOBAL)'!B1320</f>
        <v>0</v>
      </c>
      <c r="D1320" t="e">
        <f>INDEX('[1]CÓDIGOS DE PRODUCTO'!$D$3:$D$1000,MATCH(C1320,'[1]CÓDIGOS DE PRODUCTO'!$A$3:$A$1000,0))</f>
        <v>#N/A</v>
      </c>
      <c r="E1320">
        <f>VLOOKUP(C1320,'[1]CÓDIGOS DE PRODUCTO'!$A$4:$B$156,2,FALSE)</f>
        <v>0</v>
      </c>
      <c r="F1320">
        <f>INDEX('[1]CÓDIGOS DE PRODUCTO'!$C$3:$C$1000,MATCH(C1320,'[1]CÓDIGOS DE PRODUCTO'!$A$3:$A$1000,0))</f>
        <v>0</v>
      </c>
      <c r="G1320">
        <f>+'[1]VENTAS(RESUMEN GLOBAL)'!D1320-'[1]VENTAS(RESUMEN GLOBAL)'!E1320</f>
        <v>0</v>
      </c>
      <c r="H1320" s="9">
        <f>+'[1]VENTAS(RESUMEN GLOBAL)'!K1320</f>
        <v>0</v>
      </c>
      <c r="I1320" s="8">
        <f>+G1320*'[1]VENTAS(RESUMEN GLOBAL)'!F1320</f>
        <v>0</v>
      </c>
      <c r="J1320" s="8">
        <f>'[1]VENTAS(RESUMEN GLOBAL)'!G1320*(1-'[1]VENTAS(RESUMEN GLOBAL)'!H1320)</f>
        <v>0</v>
      </c>
      <c r="K1320" s="8">
        <f t="shared" si="20"/>
        <v>0</v>
      </c>
      <c r="L1320" s="8">
        <f>+'[1]VENTAS(RESUMEN GLOBAL)'!J1320</f>
        <v>0</v>
      </c>
      <c r="M1320" s="8">
        <f>+Tabla1[[#This Row],[utilidad x dia]]*7</f>
        <v>0</v>
      </c>
    </row>
    <row r="1321" spans="1:13" x14ac:dyDescent="0.3">
      <c r="A1321" s="6">
        <f>+'[1]VENTAS(RESUMEN GLOBAL)'!L1321</f>
        <v>0</v>
      </c>
      <c r="B1321" s="6">
        <f>+'[1]VENTAS(RESUMEN GLOBAL)'!M1321</f>
        <v>0</v>
      </c>
      <c r="C1321">
        <f>+'[1]VENTAS(RESUMEN GLOBAL)'!B1321</f>
        <v>0</v>
      </c>
      <c r="D1321" t="e">
        <f>INDEX('[1]CÓDIGOS DE PRODUCTO'!$D$3:$D$1000,MATCH(C1321,'[1]CÓDIGOS DE PRODUCTO'!$A$3:$A$1000,0))</f>
        <v>#N/A</v>
      </c>
      <c r="E1321">
        <f>VLOOKUP(C1321,'[1]CÓDIGOS DE PRODUCTO'!$A$4:$B$156,2,FALSE)</f>
        <v>0</v>
      </c>
      <c r="F1321">
        <f>INDEX('[1]CÓDIGOS DE PRODUCTO'!$C$3:$C$1000,MATCH(C1321,'[1]CÓDIGOS DE PRODUCTO'!$A$3:$A$1000,0))</f>
        <v>0</v>
      </c>
      <c r="G1321">
        <f>+'[1]VENTAS(RESUMEN GLOBAL)'!D1321-'[1]VENTAS(RESUMEN GLOBAL)'!E1321</f>
        <v>0</v>
      </c>
      <c r="H1321" s="9">
        <f>+'[1]VENTAS(RESUMEN GLOBAL)'!K1321</f>
        <v>0</v>
      </c>
      <c r="I1321" s="8">
        <f>+G1321*'[1]VENTAS(RESUMEN GLOBAL)'!F1321</f>
        <v>0</v>
      </c>
      <c r="J1321" s="8">
        <f>'[1]VENTAS(RESUMEN GLOBAL)'!G1321*(1-'[1]VENTAS(RESUMEN GLOBAL)'!H1321)</f>
        <v>0</v>
      </c>
      <c r="K1321" s="8">
        <f t="shared" si="20"/>
        <v>0</v>
      </c>
      <c r="L1321" s="8">
        <f>+'[1]VENTAS(RESUMEN GLOBAL)'!J1321</f>
        <v>0</v>
      </c>
      <c r="M1321" s="8">
        <f>+Tabla1[[#This Row],[utilidad x dia]]*7</f>
        <v>0</v>
      </c>
    </row>
    <row r="1322" spans="1:13" x14ac:dyDescent="0.3">
      <c r="A1322" s="6">
        <f>+'[1]VENTAS(RESUMEN GLOBAL)'!L1322</f>
        <v>0</v>
      </c>
      <c r="B1322" s="6">
        <f>+'[1]VENTAS(RESUMEN GLOBAL)'!M1322</f>
        <v>0</v>
      </c>
      <c r="C1322">
        <f>+'[1]VENTAS(RESUMEN GLOBAL)'!B1322</f>
        <v>0</v>
      </c>
      <c r="D1322" t="e">
        <f>INDEX('[1]CÓDIGOS DE PRODUCTO'!$D$3:$D$1000,MATCH(C1322,'[1]CÓDIGOS DE PRODUCTO'!$A$3:$A$1000,0))</f>
        <v>#N/A</v>
      </c>
      <c r="E1322">
        <f>VLOOKUP(C1322,'[1]CÓDIGOS DE PRODUCTO'!$A$4:$B$156,2,FALSE)</f>
        <v>0</v>
      </c>
      <c r="F1322">
        <f>INDEX('[1]CÓDIGOS DE PRODUCTO'!$C$3:$C$1000,MATCH(C1322,'[1]CÓDIGOS DE PRODUCTO'!$A$3:$A$1000,0))</f>
        <v>0</v>
      </c>
      <c r="G1322">
        <f>+'[1]VENTAS(RESUMEN GLOBAL)'!D1322-'[1]VENTAS(RESUMEN GLOBAL)'!E1322</f>
        <v>0</v>
      </c>
      <c r="H1322" s="9">
        <f>+'[1]VENTAS(RESUMEN GLOBAL)'!K1322</f>
        <v>0</v>
      </c>
      <c r="I1322" s="8">
        <f>+G1322*'[1]VENTAS(RESUMEN GLOBAL)'!F1322</f>
        <v>0</v>
      </c>
      <c r="J1322" s="8">
        <f>'[1]VENTAS(RESUMEN GLOBAL)'!G1322*(1-'[1]VENTAS(RESUMEN GLOBAL)'!H1322)</f>
        <v>0</v>
      </c>
      <c r="K1322" s="8">
        <f t="shared" si="20"/>
        <v>0</v>
      </c>
      <c r="L1322" s="8">
        <f>+'[1]VENTAS(RESUMEN GLOBAL)'!J1322</f>
        <v>0</v>
      </c>
      <c r="M1322" s="8">
        <f>+Tabla1[[#This Row],[utilidad x dia]]*7</f>
        <v>0</v>
      </c>
    </row>
    <row r="1323" spans="1:13" x14ac:dyDescent="0.3">
      <c r="A1323" s="6">
        <f>+'[1]VENTAS(RESUMEN GLOBAL)'!L1323</f>
        <v>0</v>
      </c>
      <c r="B1323" s="6">
        <f>+'[1]VENTAS(RESUMEN GLOBAL)'!M1323</f>
        <v>0</v>
      </c>
      <c r="C1323">
        <f>+'[1]VENTAS(RESUMEN GLOBAL)'!B1323</f>
        <v>0</v>
      </c>
      <c r="D1323" t="e">
        <f>INDEX('[1]CÓDIGOS DE PRODUCTO'!$D$3:$D$1000,MATCH(C1323,'[1]CÓDIGOS DE PRODUCTO'!$A$3:$A$1000,0))</f>
        <v>#N/A</v>
      </c>
      <c r="E1323">
        <f>VLOOKUP(C1323,'[1]CÓDIGOS DE PRODUCTO'!$A$4:$B$156,2,FALSE)</f>
        <v>0</v>
      </c>
      <c r="F1323">
        <f>INDEX('[1]CÓDIGOS DE PRODUCTO'!$C$3:$C$1000,MATCH(C1323,'[1]CÓDIGOS DE PRODUCTO'!$A$3:$A$1000,0))</f>
        <v>0</v>
      </c>
      <c r="G1323">
        <f>+'[1]VENTAS(RESUMEN GLOBAL)'!D1323-'[1]VENTAS(RESUMEN GLOBAL)'!E1323</f>
        <v>0</v>
      </c>
      <c r="H1323" s="9">
        <f>+'[1]VENTAS(RESUMEN GLOBAL)'!K1323</f>
        <v>0</v>
      </c>
      <c r="I1323" s="8">
        <f>+G1323*'[1]VENTAS(RESUMEN GLOBAL)'!F1323</f>
        <v>0</v>
      </c>
      <c r="J1323" s="8">
        <f>'[1]VENTAS(RESUMEN GLOBAL)'!G1323*(1-'[1]VENTAS(RESUMEN GLOBAL)'!H1323)</f>
        <v>0</v>
      </c>
      <c r="K1323" s="8">
        <f t="shared" si="20"/>
        <v>0</v>
      </c>
      <c r="L1323" s="8">
        <f>+'[1]VENTAS(RESUMEN GLOBAL)'!J1323</f>
        <v>0</v>
      </c>
      <c r="M1323" s="8">
        <f>+Tabla1[[#This Row],[utilidad x dia]]*7</f>
        <v>0</v>
      </c>
    </row>
    <row r="1324" spans="1:13" x14ac:dyDescent="0.3">
      <c r="A1324" s="6">
        <f>+'[1]VENTAS(RESUMEN GLOBAL)'!L1324</f>
        <v>0</v>
      </c>
      <c r="B1324" s="6">
        <f>+'[1]VENTAS(RESUMEN GLOBAL)'!M1324</f>
        <v>0</v>
      </c>
      <c r="C1324">
        <f>+'[1]VENTAS(RESUMEN GLOBAL)'!B1324</f>
        <v>0</v>
      </c>
      <c r="D1324" t="e">
        <f>INDEX('[1]CÓDIGOS DE PRODUCTO'!$D$3:$D$1000,MATCH(C1324,'[1]CÓDIGOS DE PRODUCTO'!$A$3:$A$1000,0))</f>
        <v>#N/A</v>
      </c>
      <c r="E1324">
        <f>VLOOKUP(C1324,'[1]CÓDIGOS DE PRODUCTO'!$A$4:$B$156,2,FALSE)</f>
        <v>0</v>
      </c>
      <c r="F1324">
        <f>INDEX('[1]CÓDIGOS DE PRODUCTO'!$C$3:$C$1000,MATCH(C1324,'[1]CÓDIGOS DE PRODUCTO'!$A$3:$A$1000,0))</f>
        <v>0</v>
      </c>
      <c r="G1324">
        <f>+'[1]VENTAS(RESUMEN GLOBAL)'!D1324-'[1]VENTAS(RESUMEN GLOBAL)'!E1324</f>
        <v>0</v>
      </c>
      <c r="H1324" s="9">
        <f>+'[1]VENTAS(RESUMEN GLOBAL)'!K1324</f>
        <v>0</v>
      </c>
      <c r="I1324" s="8">
        <f>+G1324*'[1]VENTAS(RESUMEN GLOBAL)'!F1324</f>
        <v>0</v>
      </c>
      <c r="J1324" s="8">
        <f>'[1]VENTAS(RESUMEN GLOBAL)'!G1324*(1-'[1]VENTAS(RESUMEN GLOBAL)'!H1324)</f>
        <v>0</v>
      </c>
      <c r="K1324" s="8">
        <f t="shared" si="20"/>
        <v>0</v>
      </c>
      <c r="L1324" s="8">
        <f>+'[1]VENTAS(RESUMEN GLOBAL)'!J1324</f>
        <v>0</v>
      </c>
      <c r="M1324" s="8">
        <f>+Tabla1[[#This Row],[utilidad x dia]]*7</f>
        <v>0</v>
      </c>
    </row>
    <row r="1325" spans="1:13" x14ac:dyDescent="0.3">
      <c r="A1325" s="6">
        <f>+'[1]VENTAS(RESUMEN GLOBAL)'!L1325</f>
        <v>0</v>
      </c>
      <c r="B1325" s="6">
        <f>+'[1]VENTAS(RESUMEN GLOBAL)'!M1325</f>
        <v>0</v>
      </c>
      <c r="C1325">
        <f>+'[1]VENTAS(RESUMEN GLOBAL)'!B1325</f>
        <v>0</v>
      </c>
      <c r="D1325" t="e">
        <f>INDEX('[1]CÓDIGOS DE PRODUCTO'!$D$3:$D$1000,MATCH(C1325,'[1]CÓDIGOS DE PRODUCTO'!$A$3:$A$1000,0))</f>
        <v>#N/A</v>
      </c>
      <c r="E1325">
        <f>VLOOKUP(C1325,'[1]CÓDIGOS DE PRODUCTO'!$A$4:$B$156,2,FALSE)</f>
        <v>0</v>
      </c>
      <c r="F1325">
        <f>INDEX('[1]CÓDIGOS DE PRODUCTO'!$C$3:$C$1000,MATCH(C1325,'[1]CÓDIGOS DE PRODUCTO'!$A$3:$A$1000,0))</f>
        <v>0</v>
      </c>
      <c r="G1325">
        <f>+'[1]VENTAS(RESUMEN GLOBAL)'!D1325-'[1]VENTAS(RESUMEN GLOBAL)'!E1325</f>
        <v>0</v>
      </c>
      <c r="H1325" s="9">
        <f>+'[1]VENTAS(RESUMEN GLOBAL)'!K1325</f>
        <v>0</v>
      </c>
      <c r="I1325" s="8">
        <f>+G1325*'[1]VENTAS(RESUMEN GLOBAL)'!F1325</f>
        <v>0</v>
      </c>
      <c r="J1325" s="8">
        <f>'[1]VENTAS(RESUMEN GLOBAL)'!G1325*(1-'[1]VENTAS(RESUMEN GLOBAL)'!H1325)</f>
        <v>0</v>
      </c>
      <c r="K1325" s="8">
        <f t="shared" si="20"/>
        <v>0</v>
      </c>
      <c r="L1325" s="8">
        <f>+'[1]VENTAS(RESUMEN GLOBAL)'!J1325</f>
        <v>0</v>
      </c>
      <c r="M1325" s="8">
        <f>+Tabla1[[#This Row],[utilidad x dia]]*7</f>
        <v>0</v>
      </c>
    </row>
    <row r="1326" spans="1:13" x14ac:dyDescent="0.3">
      <c r="A1326" s="6">
        <f>+'[1]VENTAS(RESUMEN GLOBAL)'!L1326</f>
        <v>0</v>
      </c>
      <c r="B1326" s="6">
        <f>+'[1]VENTAS(RESUMEN GLOBAL)'!M1326</f>
        <v>0</v>
      </c>
      <c r="C1326">
        <f>+'[1]VENTAS(RESUMEN GLOBAL)'!B1326</f>
        <v>0</v>
      </c>
      <c r="D1326" t="e">
        <f>INDEX('[1]CÓDIGOS DE PRODUCTO'!$D$3:$D$1000,MATCH(C1326,'[1]CÓDIGOS DE PRODUCTO'!$A$3:$A$1000,0))</f>
        <v>#N/A</v>
      </c>
      <c r="E1326">
        <f>VLOOKUP(C1326,'[1]CÓDIGOS DE PRODUCTO'!$A$4:$B$156,2,FALSE)</f>
        <v>0</v>
      </c>
      <c r="F1326">
        <f>INDEX('[1]CÓDIGOS DE PRODUCTO'!$C$3:$C$1000,MATCH(C1326,'[1]CÓDIGOS DE PRODUCTO'!$A$3:$A$1000,0))</f>
        <v>0</v>
      </c>
      <c r="G1326">
        <f>+'[1]VENTAS(RESUMEN GLOBAL)'!D1326-'[1]VENTAS(RESUMEN GLOBAL)'!E1326</f>
        <v>0</v>
      </c>
      <c r="H1326" s="9">
        <f>+'[1]VENTAS(RESUMEN GLOBAL)'!K1326</f>
        <v>0</v>
      </c>
      <c r="I1326" s="8">
        <f>+G1326*'[1]VENTAS(RESUMEN GLOBAL)'!F1326</f>
        <v>0</v>
      </c>
      <c r="J1326" s="8">
        <f>'[1]VENTAS(RESUMEN GLOBAL)'!G1326*(1-'[1]VENTAS(RESUMEN GLOBAL)'!H1326)</f>
        <v>0</v>
      </c>
      <c r="K1326" s="8">
        <f t="shared" si="20"/>
        <v>0</v>
      </c>
      <c r="L1326" s="8">
        <f>+'[1]VENTAS(RESUMEN GLOBAL)'!J1326</f>
        <v>0</v>
      </c>
      <c r="M1326" s="8">
        <f>+Tabla1[[#This Row],[utilidad x dia]]*7</f>
        <v>0</v>
      </c>
    </row>
    <row r="1327" spans="1:13" x14ac:dyDescent="0.3">
      <c r="A1327" s="6">
        <f>+'[1]VENTAS(RESUMEN GLOBAL)'!L1327</f>
        <v>0</v>
      </c>
      <c r="B1327" s="6">
        <f>+'[1]VENTAS(RESUMEN GLOBAL)'!M1327</f>
        <v>0</v>
      </c>
      <c r="C1327">
        <f>+'[1]VENTAS(RESUMEN GLOBAL)'!B1327</f>
        <v>0</v>
      </c>
      <c r="D1327" t="e">
        <f>INDEX('[1]CÓDIGOS DE PRODUCTO'!$D$3:$D$1000,MATCH(C1327,'[1]CÓDIGOS DE PRODUCTO'!$A$3:$A$1000,0))</f>
        <v>#N/A</v>
      </c>
      <c r="E1327">
        <f>VLOOKUP(C1327,'[1]CÓDIGOS DE PRODUCTO'!$A$4:$B$156,2,FALSE)</f>
        <v>0</v>
      </c>
      <c r="F1327">
        <f>INDEX('[1]CÓDIGOS DE PRODUCTO'!$C$3:$C$1000,MATCH(C1327,'[1]CÓDIGOS DE PRODUCTO'!$A$3:$A$1000,0))</f>
        <v>0</v>
      </c>
      <c r="G1327">
        <f>+'[1]VENTAS(RESUMEN GLOBAL)'!D1327-'[1]VENTAS(RESUMEN GLOBAL)'!E1327</f>
        <v>0</v>
      </c>
      <c r="H1327" s="9">
        <f>+'[1]VENTAS(RESUMEN GLOBAL)'!K1327</f>
        <v>0</v>
      </c>
      <c r="I1327" s="8">
        <f>+G1327*'[1]VENTAS(RESUMEN GLOBAL)'!F1327</f>
        <v>0</v>
      </c>
      <c r="J1327" s="8">
        <f>'[1]VENTAS(RESUMEN GLOBAL)'!G1327*(1-'[1]VENTAS(RESUMEN GLOBAL)'!H1327)</f>
        <v>0</v>
      </c>
      <c r="K1327" s="8">
        <f t="shared" si="20"/>
        <v>0</v>
      </c>
      <c r="L1327" s="8">
        <f>+'[1]VENTAS(RESUMEN GLOBAL)'!J1327</f>
        <v>0</v>
      </c>
      <c r="M1327" s="8">
        <f>+Tabla1[[#This Row],[utilidad x dia]]*7</f>
        <v>0</v>
      </c>
    </row>
    <row r="1328" spans="1:13" x14ac:dyDescent="0.3">
      <c r="A1328" s="6">
        <f>+'[1]VENTAS(RESUMEN GLOBAL)'!L1328</f>
        <v>0</v>
      </c>
      <c r="B1328" s="6">
        <f>+'[1]VENTAS(RESUMEN GLOBAL)'!M1328</f>
        <v>0</v>
      </c>
      <c r="C1328">
        <f>+'[1]VENTAS(RESUMEN GLOBAL)'!B1328</f>
        <v>0</v>
      </c>
      <c r="D1328" t="e">
        <f>INDEX('[1]CÓDIGOS DE PRODUCTO'!$D$3:$D$1000,MATCH(C1328,'[1]CÓDIGOS DE PRODUCTO'!$A$3:$A$1000,0))</f>
        <v>#N/A</v>
      </c>
      <c r="E1328">
        <f>VLOOKUP(C1328,'[1]CÓDIGOS DE PRODUCTO'!$A$4:$B$156,2,FALSE)</f>
        <v>0</v>
      </c>
      <c r="F1328">
        <f>INDEX('[1]CÓDIGOS DE PRODUCTO'!$C$3:$C$1000,MATCH(C1328,'[1]CÓDIGOS DE PRODUCTO'!$A$3:$A$1000,0))</f>
        <v>0</v>
      </c>
      <c r="G1328">
        <f>+'[1]VENTAS(RESUMEN GLOBAL)'!D1328-'[1]VENTAS(RESUMEN GLOBAL)'!E1328</f>
        <v>0</v>
      </c>
      <c r="H1328" s="9">
        <f>+'[1]VENTAS(RESUMEN GLOBAL)'!K1328</f>
        <v>0</v>
      </c>
      <c r="I1328" s="8">
        <f>+G1328*'[1]VENTAS(RESUMEN GLOBAL)'!F1328</f>
        <v>0</v>
      </c>
      <c r="J1328" s="8">
        <f>'[1]VENTAS(RESUMEN GLOBAL)'!G1328*(1-'[1]VENTAS(RESUMEN GLOBAL)'!H1328)</f>
        <v>0</v>
      </c>
      <c r="K1328" s="8">
        <f t="shared" si="20"/>
        <v>0</v>
      </c>
      <c r="L1328" s="8">
        <f>+'[1]VENTAS(RESUMEN GLOBAL)'!J1328</f>
        <v>0</v>
      </c>
      <c r="M1328" s="8">
        <f>+Tabla1[[#This Row],[utilidad x dia]]*7</f>
        <v>0</v>
      </c>
    </row>
    <row r="1329" spans="1:13" x14ac:dyDescent="0.3">
      <c r="A1329" s="6">
        <f>+'[1]VENTAS(RESUMEN GLOBAL)'!L1329</f>
        <v>0</v>
      </c>
      <c r="B1329" s="6">
        <f>+'[1]VENTAS(RESUMEN GLOBAL)'!M1329</f>
        <v>0</v>
      </c>
      <c r="C1329">
        <f>+'[1]VENTAS(RESUMEN GLOBAL)'!B1329</f>
        <v>0</v>
      </c>
      <c r="D1329" t="e">
        <f>INDEX('[1]CÓDIGOS DE PRODUCTO'!$D$3:$D$1000,MATCH(C1329,'[1]CÓDIGOS DE PRODUCTO'!$A$3:$A$1000,0))</f>
        <v>#N/A</v>
      </c>
      <c r="E1329">
        <f>VLOOKUP(C1329,'[1]CÓDIGOS DE PRODUCTO'!$A$4:$B$156,2,FALSE)</f>
        <v>0</v>
      </c>
      <c r="F1329">
        <f>INDEX('[1]CÓDIGOS DE PRODUCTO'!$C$3:$C$1000,MATCH(C1329,'[1]CÓDIGOS DE PRODUCTO'!$A$3:$A$1000,0))</f>
        <v>0</v>
      </c>
      <c r="G1329">
        <f>+'[1]VENTAS(RESUMEN GLOBAL)'!D1329-'[1]VENTAS(RESUMEN GLOBAL)'!E1329</f>
        <v>0</v>
      </c>
      <c r="H1329" s="9">
        <f>+'[1]VENTAS(RESUMEN GLOBAL)'!K1329</f>
        <v>0</v>
      </c>
      <c r="I1329" s="8">
        <f>+G1329*'[1]VENTAS(RESUMEN GLOBAL)'!F1329</f>
        <v>0</v>
      </c>
      <c r="J1329" s="8">
        <f>'[1]VENTAS(RESUMEN GLOBAL)'!G1329*(1-'[1]VENTAS(RESUMEN GLOBAL)'!H1329)</f>
        <v>0</v>
      </c>
      <c r="K1329" s="8">
        <f t="shared" si="20"/>
        <v>0</v>
      </c>
      <c r="L1329" s="8">
        <f>+'[1]VENTAS(RESUMEN GLOBAL)'!J1329</f>
        <v>0</v>
      </c>
      <c r="M1329" s="8">
        <f>+Tabla1[[#This Row],[utilidad x dia]]*7</f>
        <v>0</v>
      </c>
    </row>
    <row r="1330" spans="1:13" x14ac:dyDescent="0.3">
      <c r="A1330" s="6">
        <f>+'[1]VENTAS(RESUMEN GLOBAL)'!L1330</f>
        <v>0</v>
      </c>
      <c r="B1330" s="6">
        <f>+'[1]VENTAS(RESUMEN GLOBAL)'!M1330</f>
        <v>0</v>
      </c>
      <c r="C1330">
        <f>+'[1]VENTAS(RESUMEN GLOBAL)'!B1330</f>
        <v>0</v>
      </c>
      <c r="D1330" t="e">
        <f>INDEX('[1]CÓDIGOS DE PRODUCTO'!$D$3:$D$1000,MATCH(C1330,'[1]CÓDIGOS DE PRODUCTO'!$A$3:$A$1000,0))</f>
        <v>#N/A</v>
      </c>
      <c r="E1330">
        <f>VLOOKUP(C1330,'[1]CÓDIGOS DE PRODUCTO'!$A$4:$B$156,2,FALSE)</f>
        <v>0</v>
      </c>
      <c r="F1330">
        <f>INDEX('[1]CÓDIGOS DE PRODUCTO'!$C$3:$C$1000,MATCH(C1330,'[1]CÓDIGOS DE PRODUCTO'!$A$3:$A$1000,0))</f>
        <v>0</v>
      </c>
      <c r="G1330">
        <f>+'[1]VENTAS(RESUMEN GLOBAL)'!D1330-'[1]VENTAS(RESUMEN GLOBAL)'!E1330</f>
        <v>0</v>
      </c>
      <c r="H1330" s="9">
        <f>+'[1]VENTAS(RESUMEN GLOBAL)'!K1330</f>
        <v>0</v>
      </c>
      <c r="I1330" s="8">
        <f>+G1330*'[1]VENTAS(RESUMEN GLOBAL)'!F1330</f>
        <v>0</v>
      </c>
      <c r="J1330" s="8">
        <f>'[1]VENTAS(RESUMEN GLOBAL)'!G1330*(1-'[1]VENTAS(RESUMEN GLOBAL)'!H1330)</f>
        <v>0</v>
      </c>
      <c r="K1330" s="8">
        <f t="shared" si="20"/>
        <v>0</v>
      </c>
      <c r="L1330" s="8">
        <f>+'[1]VENTAS(RESUMEN GLOBAL)'!J1330</f>
        <v>0</v>
      </c>
      <c r="M1330" s="8">
        <f>+Tabla1[[#This Row],[utilidad x dia]]*7</f>
        <v>0</v>
      </c>
    </row>
    <row r="1331" spans="1:13" x14ac:dyDescent="0.3">
      <c r="A1331" s="6">
        <f>+'[1]VENTAS(RESUMEN GLOBAL)'!L1331</f>
        <v>0</v>
      </c>
      <c r="B1331" s="6">
        <f>+'[1]VENTAS(RESUMEN GLOBAL)'!M1331</f>
        <v>0</v>
      </c>
      <c r="C1331">
        <f>+'[1]VENTAS(RESUMEN GLOBAL)'!B1331</f>
        <v>0</v>
      </c>
      <c r="D1331" t="e">
        <f>INDEX('[1]CÓDIGOS DE PRODUCTO'!$D$3:$D$1000,MATCH(C1331,'[1]CÓDIGOS DE PRODUCTO'!$A$3:$A$1000,0))</f>
        <v>#N/A</v>
      </c>
      <c r="E1331">
        <f>VLOOKUP(C1331,'[1]CÓDIGOS DE PRODUCTO'!$A$4:$B$156,2,FALSE)</f>
        <v>0</v>
      </c>
      <c r="F1331">
        <f>INDEX('[1]CÓDIGOS DE PRODUCTO'!$C$3:$C$1000,MATCH(C1331,'[1]CÓDIGOS DE PRODUCTO'!$A$3:$A$1000,0))</f>
        <v>0</v>
      </c>
      <c r="G1331">
        <f>+'[1]VENTAS(RESUMEN GLOBAL)'!D1331-'[1]VENTAS(RESUMEN GLOBAL)'!E1331</f>
        <v>0</v>
      </c>
      <c r="H1331" s="9">
        <f>+'[1]VENTAS(RESUMEN GLOBAL)'!K1331</f>
        <v>0</v>
      </c>
      <c r="I1331" s="8">
        <f>+G1331*'[1]VENTAS(RESUMEN GLOBAL)'!F1331</f>
        <v>0</v>
      </c>
      <c r="J1331" s="8">
        <f>'[1]VENTAS(RESUMEN GLOBAL)'!G1331*(1-'[1]VENTAS(RESUMEN GLOBAL)'!H1331)</f>
        <v>0</v>
      </c>
      <c r="K1331" s="8">
        <f t="shared" si="20"/>
        <v>0</v>
      </c>
      <c r="L1331" s="8">
        <f>+'[1]VENTAS(RESUMEN GLOBAL)'!J1331</f>
        <v>0</v>
      </c>
      <c r="M1331" s="8">
        <f>+Tabla1[[#This Row],[utilidad x dia]]*7</f>
        <v>0</v>
      </c>
    </row>
    <row r="1332" spans="1:13" x14ac:dyDescent="0.3">
      <c r="A1332" s="6">
        <f>+'[1]VENTAS(RESUMEN GLOBAL)'!L1332</f>
        <v>0</v>
      </c>
      <c r="B1332" s="6">
        <f>+'[1]VENTAS(RESUMEN GLOBAL)'!M1332</f>
        <v>0</v>
      </c>
      <c r="C1332">
        <f>+'[1]VENTAS(RESUMEN GLOBAL)'!B1332</f>
        <v>0</v>
      </c>
      <c r="D1332" t="e">
        <f>INDEX('[1]CÓDIGOS DE PRODUCTO'!$D$3:$D$1000,MATCH(C1332,'[1]CÓDIGOS DE PRODUCTO'!$A$3:$A$1000,0))</f>
        <v>#N/A</v>
      </c>
      <c r="E1332">
        <f>VLOOKUP(C1332,'[1]CÓDIGOS DE PRODUCTO'!$A$4:$B$156,2,FALSE)</f>
        <v>0</v>
      </c>
      <c r="F1332">
        <f>INDEX('[1]CÓDIGOS DE PRODUCTO'!$C$3:$C$1000,MATCH(C1332,'[1]CÓDIGOS DE PRODUCTO'!$A$3:$A$1000,0))</f>
        <v>0</v>
      </c>
      <c r="G1332">
        <f>+'[1]VENTAS(RESUMEN GLOBAL)'!D1332-'[1]VENTAS(RESUMEN GLOBAL)'!E1332</f>
        <v>0</v>
      </c>
      <c r="H1332" s="9">
        <f>+'[1]VENTAS(RESUMEN GLOBAL)'!K1332</f>
        <v>0</v>
      </c>
      <c r="I1332" s="8">
        <f>+G1332*'[1]VENTAS(RESUMEN GLOBAL)'!F1332</f>
        <v>0</v>
      </c>
      <c r="J1332" s="8">
        <f>'[1]VENTAS(RESUMEN GLOBAL)'!G1332*(1-'[1]VENTAS(RESUMEN GLOBAL)'!H1332)</f>
        <v>0</v>
      </c>
      <c r="K1332" s="8">
        <f t="shared" si="20"/>
        <v>0</v>
      </c>
      <c r="L1332" s="8">
        <f>+'[1]VENTAS(RESUMEN GLOBAL)'!J1332</f>
        <v>0</v>
      </c>
      <c r="M1332" s="8">
        <f>+Tabla1[[#This Row],[utilidad x dia]]*7</f>
        <v>0</v>
      </c>
    </row>
    <row r="1333" spans="1:13" x14ac:dyDescent="0.3">
      <c r="A1333" s="6">
        <f>+'[1]VENTAS(RESUMEN GLOBAL)'!L1333</f>
        <v>0</v>
      </c>
      <c r="B1333" s="6">
        <f>+'[1]VENTAS(RESUMEN GLOBAL)'!M1333</f>
        <v>0</v>
      </c>
      <c r="C1333">
        <f>+'[1]VENTAS(RESUMEN GLOBAL)'!B1333</f>
        <v>0</v>
      </c>
      <c r="D1333" t="e">
        <f>INDEX('[1]CÓDIGOS DE PRODUCTO'!$D$3:$D$1000,MATCH(C1333,'[1]CÓDIGOS DE PRODUCTO'!$A$3:$A$1000,0))</f>
        <v>#N/A</v>
      </c>
      <c r="E1333">
        <f>VLOOKUP(C1333,'[1]CÓDIGOS DE PRODUCTO'!$A$4:$B$156,2,FALSE)</f>
        <v>0</v>
      </c>
      <c r="F1333">
        <f>INDEX('[1]CÓDIGOS DE PRODUCTO'!$C$3:$C$1000,MATCH(C1333,'[1]CÓDIGOS DE PRODUCTO'!$A$3:$A$1000,0))</f>
        <v>0</v>
      </c>
      <c r="G1333">
        <f>+'[1]VENTAS(RESUMEN GLOBAL)'!D1333-'[1]VENTAS(RESUMEN GLOBAL)'!E1333</f>
        <v>0</v>
      </c>
      <c r="H1333" s="9">
        <f>+'[1]VENTAS(RESUMEN GLOBAL)'!K1333</f>
        <v>0</v>
      </c>
      <c r="I1333" s="8">
        <f>+G1333*'[1]VENTAS(RESUMEN GLOBAL)'!F1333</f>
        <v>0</v>
      </c>
      <c r="J1333" s="8">
        <f>'[1]VENTAS(RESUMEN GLOBAL)'!G1333*(1-'[1]VENTAS(RESUMEN GLOBAL)'!H1333)</f>
        <v>0</v>
      </c>
      <c r="K1333" s="8">
        <f t="shared" si="20"/>
        <v>0</v>
      </c>
      <c r="L1333" s="8">
        <f>+'[1]VENTAS(RESUMEN GLOBAL)'!J1333</f>
        <v>0</v>
      </c>
      <c r="M1333" s="8">
        <f>+Tabla1[[#This Row],[utilidad x dia]]*7</f>
        <v>0</v>
      </c>
    </row>
    <row r="1334" spans="1:13" x14ac:dyDescent="0.3">
      <c r="A1334" s="6">
        <f>+'[1]VENTAS(RESUMEN GLOBAL)'!L1334</f>
        <v>0</v>
      </c>
      <c r="B1334" s="6">
        <f>+'[1]VENTAS(RESUMEN GLOBAL)'!M1334</f>
        <v>0</v>
      </c>
      <c r="C1334">
        <f>+'[1]VENTAS(RESUMEN GLOBAL)'!B1334</f>
        <v>0</v>
      </c>
      <c r="D1334" t="e">
        <f>INDEX('[1]CÓDIGOS DE PRODUCTO'!$D$3:$D$1000,MATCH(C1334,'[1]CÓDIGOS DE PRODUCTO'!$A$3:$A$1000,0))</f>
        <v>#N/A</v>
      </c>
      <c r="E1334">
        <f>VLOOKUP(C1334,'[1]CÓDIGOS DE PRODUCTO'!$A$4:$B$156,2,FALSE)</f>
        <v>0</v>
      </c>
      <c r="F1334">
        <f>INDEX('[1]CÓDIGOS DE PRODUCTO'!$C$3:$C$1000,MATCH(C1334,'[1]CÓDIGOS DE PRODUCTO'!$A$3:$A$1000,0))</f>
        <v>0</v>
      </c>
      <c r="G1334">
        <f>+'[1]VENTAS(RESUMEN GLOBAL)'!D1334-'[1]VENTAS(RESUMEN GLOBAL)'!E1334</f>
        <v>0</v>
      </c>
      <c r="H1334" s="9">
        <f>+'[1]VENTAS(RESUMEN GLOBAL)'!K1334</f>
        <v>0</v>
      </c>
      <c r="I1334" s="8">
        <f>+G1334*'[1]VENTAS(RESUMEN GLOBAL)'!F1334</f>
        <v>0</v>
      </c>
      <c r="J1334" s="8">
        <f>'[1]VENTAS(RESUMEN GLOBAL)'!G1334*(1-'[1]VENTAS(RESUMEN GLOBAL)'!H1334)</f>
        <v>0</v>
      </c>
      <c r="K1334" s="8">
        <f t="shared" si="20"/>
        <v>0</v>
      </c>
      <c r="L1334" s="8">
        <f>+'[1]VENTAS(RESUMEN GLOBAL)'!J1334</f>
        <v>0</v>
      </c>
      <c r="M1334" s="8">
        <f>+Tabla1[[#This Row],[utilidad x dia]]*7</f>
        <v>0</v>
      </c>
    </row>
    <row r="1335" spans="1:13" x14ac:dyDescent="0.3">
      <c r="A1335" s="6">
        <f>+'[1]VENTAS(RESUMEN GLOBAL)'!L1335</f>
        <v>0</v>
      </c>
      <c r="B1335" s="6">
        <f>+'[1]VENTAS(RESUMEN GLOBAL)'!M1335</f>
        <v>0</v>
      </c>
      <c r="C1335">
        <f>+'[1]VENTAS(RESUMEN GLOBAL)'!B1335</f>
        <v>0</v>
      </c>
      <c r="D1335" t="e">
        <f>INDEX('[1]CÓDIGOS DE PRODUCTO'!$D$3:$D$1000,MATCH(C1335,'[1]CÓDIGOS DE PRODUCTO'!$A$3:$A$1000,0))</f>
        <v>#N/A</v>
      </c>
      <c r="E1335">
        <f>VLOOKUP(C1335,'[1]CÓDIGOS DE PRODUCTO'!$A$4:$B$156,2,FALSE)</f>
        <v>0</v>
      </c>
      <c r="F1335">
        <f>INDEX('[1]CÓDIGOS DE PRODUCTO'!$C$3:$C$1000,MATCH(C1335,'[1]CÓDIGOS DE PRODUCTO'!$A$3:$A$1000,0))</f>
        <v>0</v>
      </c>
      <c r="G1335">
        <f>+'[1]VENTAS(RESUMEN GLOBAL)'!D1335-'[1]VENTAS(RESUMEN GLOBAL)'!E1335</f>
        <v>0</v>
      </c>
      <c r="H1335" s="9">
        <f>+'[1]VENTAS(RESUMEN GLOBAL)'!K1335</f>
        <v>0</v>
      </c>
      <c r="I1335" s="8">
        <f>+G1335*'[1]VENTAS(RESUMEN GLOBAL)'!F1335</f>
        <v>0</v>
      </c>
      <c r="J1335" s="8">
        <f>'[1]VENTAS(RESUMEN GLOBAL)'!G1335*(1-'[1]VENTAS(RESUMEN GLOBAL)'!H1335)</f>
        <v>0</v>
      </c>
      <c r="K1335" s="8">
        <f t="shared" si="20"/>
        <v>0</v>
      </c>
      <c r="L1335" s="8">
        <f>+'[1]VENTAS(RESUMEN GLOBAL)'!J1335</f>
        <v>0</v>
      </c>
      <c r="M1335" s="8">
        <f>+Tabla1[[#This Row],[utilidad x dia]]*7</f>
        <v>0</v>
      </c>
    </row>
    <row r="1336" spans="1:13" x14ac:dyDescent="0.3">
      <c r="A1336" s="6">
        <f>+'[1]VENTAS(RESUMEN GLOBAL)'!L1336</f>
        <v>0</v>
      </c>
      <c r="B1336" s="6">
        <f>+'[1]VENTAS(RESUMEN GLOBAL)'!M1336</f>
        <v>0</v>
      </c>
      <c r="C1336">
        <f>+'[1]VENTAS(RESUMEN GLOBAL)'!B1336</f>
        <v>0</v>
      </c>
      <c r="D1336" t="e">
        <f>INDEX('[1]CÓDIGOS DE PRODUCTO'!$D$3:$D$1000,MATCH(C1336,'[1]CÓDIGOS DE PRODUCTO'!$A$3:$A$1000,0))</f>
        <v>#N/A</v>
      </c>
      <c r="E1336">
        <f>VLOOKUP(C1336,'[1]CÓDIGOS DE PRODUCTO'!$A$4:$B$156,2,FALSE)</f>
        <v>0</v>
      </c>
      <c r="F1336">
        <f>INDEX('[1]CÓDIGOS DE PRODUCTO'!$C$3:$C$1000,MATCH(C1336,'[1]CÓDIGOS DE PRODUCTO'!$A$3:$A$1000,0))</f>
        <v>0</v>
      </c>
      <c r="G1336">
        <f>+'[1]VENTAS(RESUMEN GLOBAL)'!D1336-'[1]VENTAS(RESUMEN GLOBAL)'!E1336</f>
        <v>0</v>
      </c>
      <c r="H1336" s="9">
        <f>+'[1]VENTAS(RESUMEN GLOBAL)'!K1336</f>
        <v>0</v>
      </c>
      <c r="I1336" s="8">
        <f>+G1336*'[1]VENTAS(RESUMEN GLOBAL)'!F1336</f>
        <v>0</v>
      </c>
      <c r="J1336" s="8">
        <f>'[1]VENTAS(RESUMEN GLOBAL)'!G1336*(1-'[1]VENTAS(RESUMEN GLOBAL)'!H1336)</f>
        <v>0</v>
      </c>
      <c r="K1336" s="8">
        <f t="shared" si="20"/>
        <v>0</v>
      </c>
      <c r="L1336" s="8">
        <f>+'[1]VENTAS(RESUMEN GLOBAL)'!J1336</f>
        <v>0</v>
      </c>
      <c r="M1336" s="8">
        <f>+Tabla1[[#This Row],[utilidad x dia]]*7</f>
        <v>0</v>
      </c>
    </row>
    <row r="1337" spans="1:13" x14ac:dyDescent="0.3">
      <c r="A1337" s="6">
        <f>+'[1]VENTAS(RESUMEN GLOBAL)'!L1337</f>
        <v>0</v>
      </c>
      <c r="B1337" s="6">
        <f>+'[1]VENTAS(RESUMEN GLOBAL)'!M1337</f>
        <v>0</v>
      </c>
      <c r="C1337">
        <f>+'[1]VENTAS(RESUMEN GLOBAL)'!B1337</f>
        <v>0</v>
      </c>
      <c r="D1337" t="e">
        <f>INDEX('[1]CÓDIGOS DE PRODUCTO'!$D$3:$D$1000,MATCH(C1337,'[1]CÓDIGOS DE PRODUCTO'!$A$3:$A$1000,0))</f>
        <v>#N/A</v>
      </c>
      <c r="E1337">
        <f>VLOOKUP(C1337,'[1]CÓDIGOS DE PRODUCTO'!$A$4:$B$156,2,FALSE)</f>
        <v>0</v>
      </c>
      <c r="F1337">
        <f>INDEX('[1]CÓDIGOS DE PRODUCTO'!$C$3:$C$1000,MATCH(C1337,'[1]CÓDIGOS DE PRODUCTO'!$A$3:$A$1000,0))</f>
        <v>0</v>
      </c>
      <c r="G1337">
        <f>+'[1]VENTAS(RESUMEN GLOBAL)'!D1337-'[1]VENTAS(RESUMEN GLOBAL)'!E1337</f>
        <v>0</v>
      </c>
      <c r="H1337" s="9">
        <f>+'[1]VENTAS(RESUMEN GLOBAL)'!K1337</f>
        <v>0</v>
      </c>
      <c r="I1337" s="8">
        <f>+G1337*'[1]VENTAS(RESUMEN GLOBAL)'!F1337</f>
        <v>0</v>
      </c>
      <c r="J1337" s="8">
        <f>'[1]VENTAS(RESUMEN GLOBAL)'!G1337*(1-'[1]VENTAS(RESUMEN GLOBAL)'!H1337)</f>
        <v>0</v>
      </c>
      <c r="K1337" s="8">
        <f t="shared" si="20"/>
        <v>0</v>
      </c>
      <c r="L1337" s="8">
        <f>+'[1]VENTAS(RESUMEN GLOBAL)'!J1337</f>
        <v>0</v>
      </c>
      <c r="M1337" s="8">
        <f>+Tabla1[[#This Row],[utilidad x dia]]*7</f>
        <v>0</v>
      </c>
    </row>
    <row r="1338" spans="1:13" x14ac:dyDescent="0.3">
      <c r="A1338" s="6">
        <f>+'[1]VENTAS(RESUMEN GLOBAL)'!L1338</f>
        <v>0</v>
      </c>
      <c r="B1338" s="6">
        <f>+'[1]VENTAS(RESUMEN GLOBAL)'!M1338</f>
        <v>0</v>
      </c>
      <c r="C1338">
        <f>+'[1]VENTAS(RESUMEN GLOBAL)'!B1338</f>
        <v>0</v>
      </c>
      <c r="D1338" t="e">
        <f>INDEX('[1]CÓDIGOS DE PRODUCTO'!$D$3:$D$1000,MATCH(C1338,'[1]CÓDIGOS DE PRODUCTO'!$A$3:$A$1000,0))</f>
        <v>#N/A</v>
      </c>
      <c r="E1338">
        <f>VLOOKUP(C1338,'[1]CÓDIGOS DE PRODUCTO'!$A$4:$B$156,2,FALSE)</f>
        <v>0</v>
      </c>
      <c r="F1338">
        <f>INDEX('[1]CÓDIGOS DE PRODUCTO'!$C$3:$C$1000,MATCH(C1338,'[1]CÓDIGOS DE PRODUCTO'!$A$3:$A$1000,0))</f>
        <v>0</v>
      </c>
      <c r="G1338">
        <f>+'[1]VENTAS(RESUMEN GLOBAL)'!D1338-'[1]VENTAS(RESUMEN GLOBAL)'!E1338</f>
        <v>0</v>
      </c>
      <c r="H1338" s="9">
        <f>+'[1]VENTAS(RESUMEN GLOBAL)'!K1338</f>
        <v>0</v>
      </c>
      <c r="I1338" s="8">
        <f>+G1338*'[1]VENTAS(RESUMEN GLOBAL)'!F1338</f>
        <v>0</v>
      </c>
      <c r="J1338" s="8">
        <f>'[1]VENTAS(RESUMEN GLOBAL)'!G1338*(1-'[1]VENTAS(RESUMEN GLOBAL)'!H1338)</f>
        <v>0</v>
      </c>
      <c r="K1338" s="8">
        <f t="shared" si="20"/>
        <v>0</v>
      </c>
      <c r="L1338" s="8">
        <f>+'[1]VENTAS(RESUMEN GLOBAL)'!J1338</f>
        <v>0</v>
      </c>
      <c r="M1338" s="8">
        <f>+Tabla1[[#This Row],[utilidad x dia]]*7</f>
        <v>0</v>
      </c>
    </row>
    <row r="1339" spans="1:13" x14ac:dyDescent="0.3">
      <c r="A1339" s="6">
        <f>+'[1]VENTAS(RESUMEN GLOBAL)'!L1339</f>
        <v>0</v>
      </c>
      <c r="B1339" s="6">
        <f>+'[1]VENTAS(RESUMEN GLOBAL)'!M1339</f>
        <v>0</v>
      </c>
      <c r="C1339">
        <f>+'[1]VENTAS(RESUMEN GLOBAL)'!B1339</f>
        <v>0</v>
      </c>
      <c r="D1339" t="e">
        <f>INDEX('[1]CÓDIGOS DE PRODUCTO'!$D$3:$D$1000,MATCH(C1339,'[1]CÓDIGOS DE PRODUCTO'!$A$3:$A$1000,0))</f>
        <v>#N/A</v>
      </c>
      <c r="E1339">
        <f>VLOOKUP(C1339,'[1]CÓDIGOS DE PRODUCTO'!$A$4:$B$156,2,FALSE)</f>
        <v>0</v>
      </c>
      <c r="F1339">
        <f>INDEX('[1]CÓDIGOS DE PRODUCTO'!$C$3:$C$1000,MATCH(C1339,'[1]CÓDIGOS DE PRODUCTO'!$A$3:$A$1000,0))</f>
        <v>0</v>
      </c>
      <c r="G1339">
        <f>+'[1]VENTAS(RESUMEN GLOBAL)'!D1339-'[1]VENTAS(RESUMEN GLOBAL)'!E1339</f>
        <v>0</v>
      </c>
      <c r="H1339" s="9">
        <f>+'[1]VENTAS(RESUMEN GLOBAL)'!K1339</f>
        <v>0</v>
      </c>
      <c r="I1339" s="8">
        <f>+G1339*'[1]VENTAS(RESUMEN GLOBAL)'!F1339</f>
        <v>0</v>
      </c>
      <c r="J1339" s="8">
        <f>'[1]VENTAS(RESUMEN GLOBAL)'!G1339*(1-'[1]VENTAS(RESUMEN GLOBAL)'!H1339)</f>
        <v>0</v>
      </c>
      <c r="K1339" s="8">
        <f t="shared" si="20"/>
        <v>0</v>
      </c>
      <c r="L1339" s="8">
        <f>+'[1]VENTAS(RESUMEN GLOBAL)'!J1339</f>
        <v>0</v>
      </c>
      <c r="M1339" s="8">
        <f>+Tabla1[[#This Row],[utilidad x dia]]*7</f>
        <v>0</v>
      </c>
    </row>
    <row r="1340" spans="1:13" x14ac:dyDescent="0.3">
      <c r="A1340" s="6">
        <f>+'[1]VENTAS(RESUMEN GLOBAL)'!L1340</f>
        <v>0</v>
      </c>
      <c r="B1340" s="6">
        <f>+'[1]VENTAS(RESUMEN GLOBAL)'!M1340</f>
        <v>0</v>
      </c>
      <c r="C1340">
        <f>+'[1]VENTAS(RESUMEN GLOBAL)'!B1340</f>
        <v>0</v>
      </c>
      <c r="D1340" t="e">
        <f>INDEX('[1]CÓDIGOS DE PRODUCTO'!$D$3:$D$1000,MATCH(C1340,'[1]CÓDIGOS DE PRODUCTO'!$A$3:$A$1000,0))</f>
        <v>#N/A</v>
      </c>
      <c r="E1340">
        <f>VLOOKUP(C1340,'[1]CÓDIGOS DE PRODUCTO'!$A$4:$B$156,2,FALSE)</f>
        <v>0</v>
      </c>
      <c r="F1340">
        <f>INDEX('[1]CÓDIGOS DE PRODUCTO'!$C$3:$C$1000,MATCH(C1340,'[1]CÓDIGOS DE PRODUCTO'!$A$3:$A$1000,0))</f>
        <v>0</v>
      </c>
      <c r="G1340">
        <f>+'[1]VENTAS(RESUMEN GLOBAL)'!D1340-'[1]VENTAS(RESUMEN GLOBAL)'!E1340</f>
        <v>0</v>
      </c>
      <c r="H1340" s="9">
        <f>+'[1]VENTAS(RESUMEN GLOBAL)'!K1340</f>
        <v>0</v>
      </c>
      <c r="I1340" s="8">
        <f>+G1340*'[1]VENTAS(RESUMEN GLOBAL)'!F1340</f>
        <v>0</v>
      </c>
      <c r="J1340" s="8">
        <f>'[1]VENTAS(RESUMEN GLOBAL)'!G1340*(1-'[1]VENTAS(RESUMEN GLOBAL)'!H1340)</f>
        <v>0</v>
      </c>
      <c r="K1340" s="8">
        <f t="shared" si="20"/>
        <v>0</v>
      </c>
      <c r="L1340" s="8">
        <f>+'[1]VENTAS(RESUMEN GLOBAL)'!J1340</f>
        <v>0</v>
      </c>
      <c r="M1340" s="8">
        <f>+Tabla1[[#This Row],[utilidad x dia]]*7</f>
        <v>0</v>
      </c>
    </row>
    <row r="1341" spans="1:13" x14ac:dyDescent="0.3">
      <c r="A1341" s="6">
        <f>+'[1]VENTAS(RESUMEN GLOBAL)'!L1341</f>
        <v>0</v>
      </c>
      <c r="B1341" s="6">
        <f>+'[1]VENTAS(RESUMEN GLOBAL)'!M1341</f>
        <v>0</v>
      </c>
      <c r="C1341">
        <f>+'[1]VENTAS(RESUMEN GLOBAL)'!B1341</f>
        <v>0</v>
      </c>
      <c r="D1341" t="e">
        <f>INDEX('[1]CÓDIGOS DE PRODUCTO'!$D$3:$D$1000,MATCH(C1341,'[1]CÓDIGOS DE PRODUCTO'!$A$3:$A$1000,0))</f>
        <v>#N/A</v>
      </c>
      <c r="E1341">
        <f>VLOOKUP(C1341,'[1]CÓDIGOS DE PRODUCTO'!$A$4:$B$156,2,FALSE)</f>
        <v>0</v>
      </c>
      <c r="F1341">
        <f>INDEX('[1]CÓDIGOS DE PRODUCTO'!$C$3:$C$1000,MATCH(C1341,'[1]CÓDIGOS DE PRODUCTO'!$A$3:$A$1000,0))</f>
        <v>0</v>
      </c>
      <c r="G1341">
        <f>+'[1]VENTAS(RESUMEN GLOBAL)'!D1341-'[1]VENTAS(RESUMEN GLOBAL)'!E1341</f>
        <v>0</v>
      </c>
      <c r="H1341" s="9">
        <f>+'[1]VENTAS(RESUMEN GLOBAL)'!K1341</f>
        <v>0</v>
      </c>
      <c r="I1341" s="8">
        <f>+G1341*'[1]VENTAS(RESUMEN GLOBAL)'!F1341</f>
        <v>0</v>
      </c>
      <c r="J1341" s="8">
        <f>'[1]VENTAS(RESUMEN GLOBAL)'!G1341*(1-'[1]VENTAS(RESUMEN GLOBAL)'!H1341)</f>
        <v>0</v>
      </c>
      <c r="K1341" s="8">
        <f t="shared" si="20"/>
        <v>0</v>
      </c>
      <c r="L1341" s="8">
        <f>+'[1]VENTAS(RESUMEN GLOBAL)'!J1341</f>
        <v>0</v>
      </c>
      <c r="M1341" s="8">
        <f>+Tabla1[[#This Row],[utilidad x dia]]*7</f>
        <v>0</v>
      </c>
    </row>
    <row r="1342" spans="1:13" x14ac:dyDescent="0.3">
      <c r="A1342" s="6">
        <f>+'[1]VENTAS(RESUMEN GLOBAL)'!L1342</f>
        <v>0</v>
      </c>
      <c r="B1342" s="6">
        <f>+'[1]VENTAS(RESUMEN GLOBAL)'!M1342</f>
        <v>0</v>
      </c>
      <c r="C1342">
        <f>+'[1]VENTAS(RESUMEN GLOBAL)'!B1342</f>
        <v>0</v>
      </c>
      <c r="D1342" t="e">
        <f>INDEX('[1]CÓDIGOS DE PRODUCTO'!$D$3:$D$1000,MATCH(C1342,'[1]CÓDIGOS DE PRODUCTO'!$A$3:$A$1000,0))</f>
        <v>#N/A</v>
      </c>
      <c r="E1342">
        <f>VLOOKUP(C1342,'[1]CÓDIGOS DE PRODUCTO'!$A$4:$B$156,2,FALSE)</f>
        <v>0</v>
      </c>
      <c r="F1342">
        <f>INDEX('[1]CÓDIGOS DE PRODUCTO'!$C$3:$C$1000,MATCH(C1342,'[1]CÓDIGOS DE PRODUCTO'!$A$3:$A$1000,0))</f>
        <v>0</v>
      </c>
      <c r="G1342">
        <f>+'[1]VENTAS(RESUMEN GLOBAL)'!D1342-'[1]VENTAS(RESUMEN GLOBAL)'!E1342</f>
        <v>0</v>
      </c>
      <c r="H1342" s="9">
        <f>+'[1]VENTAS(RESUMEN GLOBAL)'!K1342</f>
        <v>0</v>
      </c>
      <c r="I1342" s="8">
        <f>+G1342*'[1]VENTAS(RESUMEN GLOBAL)'!F1342</f>
        <v>0</v>
      </c>
      <c r="J1342" s="8">
        <f>'[1]VENTAS(RESUMEN GLOBAL)'!G1342*(1-'[1]VENTAS(RESUMEN GLOBAL)'!H1342)</f>
        <v>0</v>
      </c>
      <c r="K1342" s="8">
        <f t="shared" si="20"/>
        <v>0</v>
      </c>
      <c r="L1342" s="8">
        <f>+'[1]VENTAS(RESUMEN GLOBAL)'!J1342</f>
        <v>0</v>
      </c>
      <c r="M1342" s="8">
        <f>+Tabla1[[#This Row],[utilidad x dia]]*7</f>
        <v>0</v>
      </c>
    </row>
    <row r="1343" spans="1:13" x14ac:dyDescent="0.3">
      <c r="A1343" s="6">
        <f>+'[1]VENTAS(RESUMEN GLOBAL)'!L1343</f>
        <v>0</v>
      </c>
      <c r="B1343" s="6">
        <f>+'[1]VENTAS(RESUMEN GLOBAL)'!M1343</f>
        <v>0</v>
      </c>
      <c r="C1343">
        <f>+'[1]VENTAS(RESUMEN GLOBAL)'!B1343</f>
        <v>0</v>
      </c>
      <c r="D1343" t="e">
        <f>INDEX('[1]CÓDIGOS DE PRODUCTO'!$D$3:$D$1000,MATCH(C1343,'[1]CÓDIGOS DE PRODUCTO'!$A$3:$A$1000,0))</f>
        <v>#N/A</v>
      </c>
      <c r="E1343">
        <f>VLOOKUP(C1343,'[1]CÓDIGOS DE PRODUCTO'!$A$4:$B$156,2,FALSE)</f>
        <v>0</v>
      </c>
      <c r="F1343">
        <f>INDEX('[1]CÓDIGOS DE PRODUCTO'!$C$3:$C$1000,MATCH(C1343,'[1]CÓDIGOS DE PRODUCTO'!$A$3:$A$1000,0))</f>
        <v>0</v>
      </c>
      <c r="G1343">
        <f>+'[1]VENTAS(RESUMEN GLOBAL)'!D1343-'[1]VENTAS(RESUMEN GLOBAL)'!E1343</f>
        <v>0</v>
      </c>
      <c r="H1343" s="9">
        <f>+'[1]VENTAS(RESUMEN GLOBAL)'!K1343</f>
        <v>0</v>
      </c>
      <c r="I1343" s="8">
        <f>+G1343*'[1]VENTAS(RESUMEN GLOBAL)'!F1343</f>
        <v>0</v>
      </c>
      <c r="J1343" s="8">
        <f>'[1]VENTAS(RESUMEN GLOBAL)'!G1343*(1-'[1]VENTAS(RESUMEN GLOBAL)'!H1343)</f>
        <v>0</v>
      </c>
      <c r="K1343" s="8">
        <f t="shared" si="20"/>
        <v>0</v>
      </c>
      <c r="L1343" s="8">
        <f>+'[1]VENTAS(RESUMEN GLOBAL)'!J1343</f>
        <v>0</v>
      </c>
      <c r="M1343" s="8">
        <f>+Tabla1[[#This Row],[utilidad x dia]]*7</f>
        <v>0</v>
      </c>
    </row>
    <row r="1344" spans="1:13" x14ac:dyDescent="0.3">
      <c r="A1344" s="6">
        <f>+'[1]VENTAS(RESUMEN GLOBAL)'!L1344</f>
        <v>0</v>
      </c>
      <c r="B1344" s="6">
        <f>+'[1]VENTAS(RESUMEN GLOBAL)'!M1344</f>
        <v>0</v>
      </c>
      <c r="C1344">
        <f>+'[1]VENTAS(RESUMEN GLOBAL)'!B1344</f>
        <v>0</v>
      </c>
      <c r="D1344" t="e">
        <f>INDEX('[1]CÓDIGOS DE PRODUCTO'!$D$3:$D$1000,MATCH(C1344,'[1]CÓDIGOS DE PRODUCTO'!$A$3:$A$1000,0))</f>
        <v>#N/A</v>
      </c>
      <c r="E1344">
        <f>VLOOKUP(C1344,'[1]CÓDIGOS DE PRODUCTO'!$A$4:$B$156,2,FALSE)</f>
        <v>0</v>
      </c>
      <c r="F1344">
        <f>INDEX('[1]CÓDIGOS DE PRODUCTO'!$C$3:$C$1000,MATCH(C1344,'[1]CÓDIGOS DE PRODUCTO'!$A$3:$A$1000,0))</f>
        <v>0</v>
      </c>
      <c r="G1344">
        <f>+'[1]VENTAS(RESUMEN GLOBAL)'!D1344-'[1]VENTAS(RESUMEN GLOBAL)'!E1344</f>
        <v>0</v>
      </c>
      <c r="H1344" s="9">
        <f>+'[1]VENTAS(RESUMEN GLOBAL)'!K1344</f>
        <v>0</v>
      </c>
      <c r="I1344" s="8">
        <f>+G1344*'[1]VENTAS(RESUMEN GLOBAL)'!F1344</f>
        <v>0</v>
      </c>
      <c r="J1344" s="8">
        <f>'[1]VENTAS(RESUMEN GLOBAL)'!G1344*(1-'[1]VENTAS(RESUMEN GLOBAL)'!H1344)</f>
        <v>0</v>
      </c>
      <c r="K1344" s="8">
        <f t="shared" si="20"/>
        <v>0</v>
      </c>
      <c r="L1344" s="8">
        <f>+'[1]VENTAS(RESUMEN GLOBAL)'!J1344</f>
        <v>0</v>
      </c>
      <c r="M1344" s="8">
        <f>+Tabla1[[#This Row],[utilidad x dia]]*7</f>
        <v>0</v>
      </c>
    </row>
    <row r="1345" spans="1:13" x14ac:dyDescent="0.3">
      <c r="A1345" s="6">
        <f>+'[1]VENTAS(RESUMEN GLOBAL)'!L1345</f>
        <v>0</v>
      </c>
      <c r="B1345" s="6">
        <f>+'[1]VENTAS(RESUMEN GLOBAL)'!M1345</f>
        <v>0</v>
      </c>
      <c r="C1345">
        <f>+'[1]VENTAS(RESUMEN GLOBAL)'!B1345</f>
        <v>0</v>
      </c>
      <c r="D1345" t="e">
        <f>INDEX('[1]CÓDIGOS DE PRODUCTO'!$D$3:$D$1000,MATCH(C1345,'[1]CÓDIGOS DE PRODUCTO'!$A$3:$A$1000,0))</f>
        <v>#N/A</v>
      </c>
      <c r="E1345">
        <f>VLOOKUP(C1345,'[1]CÓDIGOS DE PRODUCTO'!$A$4:$B$156,2,FALSE)</f>
        <v>0</v>
      </c>
      <c r="F1345">
        <f>INDEX('[1]CÓDIGOS DE PRODUCTO'!$C$3:$C$1000,MATCH(C1345,'[1]CÓDIGOS DE PRODUCTO'!$A$3:$A$1000,0))</f>
        <v>0</v>
      </c>
      <c r="G1345">
        <f>+'[1]VENTAS(RESUMEN GLOBAL)'!D1345-'[1]VENTAS(RESUMEN GLOBAL)'!E1345</f>
        <v>0</v>
      </c>
      <c r="H1345" s="9">
        <f>+'[1]VENTAS(RESUMEN GLOBAL)'!K1345</f>
        <v>0</v>
      </c>
      <c r="I1345" s="8">
        <f>+G1345*'[1]VENTAS(RESUMEN GLOBAL)'!F1345</f>
        <v>0</v>
      </c>
      <c r="J1345" s="8">
        <f>'[1]VENTAS(RESUMEN GLOBAL)'!G1345*(1-'[1]VENTAS(RESUMEN GLOBAL)'!H1345)</f>
        <v>0</v>
      </c>
      <c r="K1345" s="8">
        <f t="shared" si="20"/>
        <v>0</v>
      </c>
      <c r="L1345" s="8">
        <f>+'[1]VENTAS(RESUMEN GLOBAL)'!J1345</f>
        <v>0</v>
      </c>
      <c r="M1345" s="8">
        <f>+Tabla1[[#This Row],[utilidad x dia]]*7</f>
        <v>0</v>
      </c>
    </row>
    <row r="1346" spans="1:13" x14ac:dyDescent="0.3">
      <c r="A1346" s="6">
        <f>+'[1]VENTAS(RESUMEN GLOBAL)'!L1346</f>
        <v>0</v>
      </c>
      <c r="B1346" s="6">
        <f>+'[1]VENTAS(RESUMEN GLOBAL)'!M1346</f>
        <v>0</v>
      </c>
      <c r="C1346">
        <f>+'[1]VENTAS(RESUMEN GLOBAL)'!B1346</f>
        <v>0</v>
      </c>
      <c r="D1346" t="e">
        <f>INDEX('[1]CÓDIGOS DE PRODUCTO'!$D$3:$D$1000,MATCH(C1346,'[1]CÓDIGOS DE PRODUCTO'!$A$3:$A$1000,0))</f>
        <v>#N/A</v>
      </c>
      <c r="E1346">
        <f>VLOOKUP(C1346,'[1]CÓDIGOS DE PRODUCTO'!$A$4:$B$156,2,FALSE)</f>
        <v>0</v>
      </c>
      <c r="F1346">
        <f>INDEX('[1]CÓDIGOS DE PRODUCTO'!$C$3:$C$1000,MATCH(C1346,'[1]CÓDIGOS DE PRODUCTO'!$A$3:$A$1000,0))</f>
        <v>0</v>
      </c>
      <c r="G1346">
        <f>+'[1]VENTAS(RESUMEN GLOBAL)'!D1346-'[1]VENTAS(RESUMEN GLOBAL)'!E1346</f>
        <v>0</v>
      </c>
      <c r="H1346" s="9">
        <f>+'[1]VENTAS(RESUMEN GLOBAL)'!K1346</f>
        <v>0</v>
      </c>
      <c r="I1346" s="8">
        <f>+G1346*'[1]VENTAS(RESUMEN GLOBAL)'!F1346</f>
        <v>0</v>
      </c>
      <c r="J1346" s="8">
        <f>'[1]VENTAS(RESUMEN GLOBAL)'!G1346*(1-'[1]VENTAS(RESUMEN GLOBAL)'!H1346)</f>
        <v>0</v>
      </c>
      <c r="K1346" s="8">
        <f t="shared" si="20"/>
        <v>0</v>
      </c>
      <c r="L1346" s="8">
        <f>+'[1]VENTAS(RESUMEN GLOBAL)'!J1346</f>
        <v>0</v>
      </c>
      <c r="M1346" s="8">
        <f>+Tabla1[[#This Row],[utilidad x dia]]*7</f>
        <v>0</v>
      </c>
    </row>
    <row r="1347" spans="1:13" x14ac:dyDescent="0.3">
      <c r="A1347" s="6">
        <f>+'[1]VENTAS(RESUMEN GLOBAL)'!L1347</f>
        <v>0</v>
      </c>
      <c r="B1347" s="6">
        <f>+'[1]VENTAS(RESUMEN GLOBAL)'!M1347</f>
        <v>0</v>
      </c>
      <c r="C1347">
        <f>+'[1]VENTAS(RESUMEN GLOBAL)'!B1347</f>
        <v>0</v>
      </c>
      <c r="D1347" t="e">
        <f>INDEX('[1]CÓDIGOS DE PRODUCTO'!$D$3:$D$1000,MATCH(C1347,'[1]CÓDIGOS DE PRODUCTO'!$A$3:$A$1000,0))</f>
        <v>#N/A</v>
      </c>
      <c r="E1347">
        <f>VLOOKUP(C1347,'[1]CÓDIGOS DE PRODUCTO'!$A$4:$B$156,2,FALSE)</f>
        <v>0</v>
      </c>
      <c r="F1347">
        <f>INDEX('[1]CÓDIGOS DE PRODUCTO'!$C$3:$C$1000,MATCH(C1347,'[1]CÓDIGOS DE PRODUCTO'!$A$3:$A$1000,0))</f>
        <v>0</v>
      </c>
      <c r="G1347">
        <f>+'[1]VENTAS(RESUMEN GLOBAL)'!D1347-'[1]VENTAS(RESUMEN GLOBAL)'!E1347</f>
        <v>0</v>
      </c>
      <c r="H1347" s="9">
        <f>+'[1]VENTAS(RESUMEN GLOBAL)'!K1347</f>
        <v>0</v>
      </c>
      <c r="I1347" s="8">
        <f>+G1347*'[1]VENTAS(RESUMEN GLOBAL)'!F1347</f>
        <v>0</v>
      </c>
      <c r="J1347" s="8">
        <f>'[1]VENTAS(RESUMEN GLOBAL)'!G1347*(1-'[1]VENTAS(RESUMEN GLOBAL)'!H1347)</f>
        <v>0</v>
      </c>
      <c r="K1347" s="8">
        <f t="shared" ref="K1347:K1410" si="21">+I1347-J1347</f>
        <v>0</v>
      </c>
      <c r="L1347" s="8">
        <f>+'[1]VENTAS(RESUMEN GLOBAL)'!J1347</f>
        <v>0</v>
      </c>
      <c r="M1347" s="8">
        <f>+Tabla1[[#This Row],[utilidad x dia]]*7</f>
        <v>0</v>
      </c>
    </row>
    <row r="1348" spans="1:13" x14ac:dyDescent="0.3">
      <c r="A1348" s="6">
        <f>+'[1]VENTAS(RESUMEN GLOBAL)'!L1348</f>
        <v>0</v>
      </c>
      <c r="B1348" s="6">
        <f>+'[1]VENTAS(RESUMEN GLOBAL)'!M1348</f>
        <v>0</v>
      </c>
      <c r="C1348">
        <f>+'[1]VENTAS(RESUMEN GLOBAL)'!B1348</f>
        <v>0</v>
      </c>
      <c r="D1348" t="e">
        <f>INDEX('[1]CÓDIGOS DE PRODUCTO'!$D$3:$D$1000,MATCH(C1348,'[1]CÓDIGOS DE PRODUCTO'!$A$3:$A$1000,0))</f>
        <v>#N/A</v>
      </c>
      <c r="E1348">
        <f>VLOOKUP(C1348,'[1]CÓDIGOS DE PRODUCTO'!$A$4:$B$156,2,FALSE)</f>
        <v>0</v>
      </c>
      <c r="F1348">
        <f>INDEX('[1]CÓDIGOS DE PRODUCTO'!$C$3:$C$1000,MATCH(C1348,'[1]CÓDIGOS DE PRODUCTO'!$A$3:$A$1000,0))</f>
        <v>0</v>
      </c>
      <c r="G1348">
        <f>+'[1]VENTAS(RESUMEN GLOBAL)'!D1348-'[1]VENTAS(RESUMEN GLOBAL)'!E1348</f>
        <v>0</v>
      </c>
      <c r="H1348" s="9">
        <f>+'[1]VENTAS(RESUMEN GLOBAL)'!K1348</f>
        <v>0</v>
      </c>
      <c r="I1348" s="8">
        <f>+G1348*'[1]VENTAS(RESUMEN GLOBAL)'!F1348</f>
        <v>0</v>
      </c>
      <c r="J1348" s="8">
        <f>'[1]VENTAS(RESUMEN GLOBAL)'!G1348*(1-'[1]VENTAS(RESUMEN GLOBAL)'!H1348)</f>
        <v>0</v>
      </c>
      <c r="K1348" s="8">
        <f t="shared" si="21"/>
        <v>0</v>
      </c>
      <c r="L1348" s="8">
        <f>+'[1]VENTAS(RESUMEN GLOBAL)'!J1348</f>
        <v>0</v>
      </c>
      <c r="M1348" s="8">
        <f>+Tabla1[[#This Row],[utilidad x dia]]*7</f>
        <v>0</v>
      </c>
    </row>
    <row r="1349" spans="1:13" x14ac:dyDescent="0.3">
      <c r="A1349" s="6">
        <f>+'[1]VENTAS(RESUMEN GLOBAL)'!L1349</f>
        <v>0</v>
      </c>
      <c r="B1349" s="6">
        <f>+'[1]VENTAS(RESUMEN GLOBAL)'!M1349</f>
        <v>0</v>
      </c>
      <c r="C1349">
        <f>+'[1]VENTAS(RESUMEN GLOBAL)'!B1349</f>
        <v>0</v>
      </c>
      <c r="D1349" t="e">
        <f>INDEX('[1]CÓDIGOS DE PRODUCTO'!$D$3:$D$1000,MATCH(C1349,'[1]CÓDIGOS DE PRODUCTO'!$A$3:$A$1000,0))</f>
        <v>#N/A</v>
      </c>
      <c r="E1349">
        <f>VLOOKUP(C1349,'[1]CÓDIGOS DE PRODUCTO'!$A$4:$B$156,2,FALSE)</f>
        <v>0</v>
      </c>
      <c r="F1349">
        <f>INDEX('[1]CÓDIGOS DE PRODUCTO'!$C$3:$C$1000,MATCH(C1349,'[1]CÓDIGOS DE PRODUCTO'!$A$3:$A$1000,0))</f>
        <v>0</v>
      </c>
      <c r="G1349">
        <f>+'[1]VENTAS(RESUMEN GLOBAL)'!D1349-'[1]VENTAS(RESUMEN GLOBAL)'!E1349</f>
        <v>0</v>
      </c>
      <c r="H1349" s="9">
        <f>+'[1]VENTAS(RESUMEN GLOBAL)'!K1349</f>
        <v>0</v>
      </c>
      <c r="I1349" s="8">
        <f>+G1349*'[1]VENTAS(RESUMEN GLOBAL)'!F1349</f>
        <v>0</v>
      </c>
      <c r="J1349" s="8">
        <f>'[1]VENTAS(RESUMEN GLOBAL)'!G1349*(1-'[1]VENTAS(RESUMEN GLOBAL)'!H1349)</f>
        <v>0</v>
      </c>
      <c r="K1349" s="8">
        <f t="shared" si="21"/>
        <v>0</v>
      </c>
      <c r="L1349" s="8">
        <f>+'[1]VENTAS(RESUMEN GLOBAL)'!J1349</f>
        <v>0</v>
      </c>
      <c r="M1349" s="8">
        <f>+Tabla1[[#This Row],[utilidad x dia]]*7</f>
        <v>0</v>
      </c>
    </row>
    <row r="1350" spans="1:13" x14ac:dyDescent="0.3">
      <c r="A1350" s="6">
        <f>+'[1]VENTAS(RESUMEN GLOBAL)'!L1350</f>
        <v>0</v>
      </c>
      <c r="B1350" s="6">
        <f>+'[1]VENTAS(RESUMEN GLOBAL)'!M1350</f>
        <v>0</v>
      </c>
      <c r="C1350">
        <f>+'[1]VENTAS(RESUMEN GLOBAL)'!B1350</f>
        <v>0</v>
      </c>
      <c r="D1350" t="e">
        <f>INDEX('[1]CÓDIGOS DE PRODUCTO'!$D$3:$D$1000,MATCH(C1350,'[1]CÓDIGOS DE PRODUCTO'!$A$3:$A$1000,0))</f>
        <v>#N/A</v>
      </c>
      <c r="E1350">
        <f>VLOOKUP(C1350,'[1]CÓDIGOS DE PRODUCTO'!$A$4:$B$156,2,FALSE)</f>
        <v>0</v>
      </c>
      <c r="F1350">
        <f>INDEX('[1]CÓDIGOS DE PRODUCTO'!$C$3:$C$1000,MATCH(C1350,'[1]CÓDIGOS DE PRODUCTO'!$A$3:$A$1000,0))</f>
        <v>0</v>
      </c>
      <c r="G1350">
        <f>+'[1]VENTAS(RESUMEN GLOBAL)'!D1350-'[1]VENTAS(RESUMEN GLOBAL)'!E1350</f>
        <v>0</v>
      </c>
      <c r="H1350" s="9">
        <f>+'[1]VENTAS(RESUMEN GLOBAL)'!K1350</f>
        <v>0</v>
      </c>
      <c r="I1350" s="8">
        <f>+G1350*'[1]VENTAS(RESUMEN GLOBAL)'!F1350</f>
        <v>0</v>
      </c>
      <c r="J1350" s="8">
        <f>'[1]VENTAS(RESUMEN GLOBAL)'!G1350*(1-'[1]VENTAS(RESUMEN GLOBAL)'!H1350)</f>
        <v>0</v>
      </c>
      <c r="K1350" s="8">
        <f t="shared" si="21"/>
        <v>0</v>
      </c>
      <c r="L1350" s="8">
        <f>+'[1]VENTAS(RESUMEN GLOBAL)'!J1350</f>
        <v>0</v>
      </c>
      <c r="M1350" s="8">
        <f>+Tabla1[[#This Row],[utilidad x dia]]*7</f>
        <v>0</v>
      </c>
    </row>
    <row r="1351" spans="1:13" x14ac:dyDescent="0.3">
      <c r="A1351" s="6">
        <f>+'[1]VENTAS(RESUMEN GLOBAL)'!L1351</f>
        <v>0</v>
      </c>
      <c r="B1351" s="6">
        <f>+'[1]VENTAS(RESUMEN GLOBAL)'!M1351</f>
        <v>0</v>
      </c>
      <c r="C1351">
        <f>+'[1]VENTAS(RESUMEN GLOBAL)'!B1351</f>
        <v>0</v>
      </c>
      <c r="D1351" t="e">
        <f>INDEX('[1]CÓDIGOS DE PRODUCTO'!$D$3:$D$1000,MATCH(C1351,'[1]CÓDIGOS DE PRODUCTO'!$A$3:$A$1000,0))</f>
        <v>#N/A</v>
      </c>
      <c r="E1351">
        <f>VLOOKUP(C1351,'[1]CÓDIGOS DE PRODUCTO'!$A$4:$B$156,2,FALSE)</f>
        <v>0</v>
      </c>
      <c r="F1351">
        <f>INDEX('[1]CÓDIGOS DE PRODUCTO'!$C$3:$C$1000,MATCH(C1351,'[1]CÓDIGOS DE PRODUCTO'!$A$3:$A$1000,0))</f>
        <v>0</v>
      </c>
      <c r="G1351">
        <f>+'[1]VENTAS(RESUMEN GLOBAL)'!D1351-'[1]VENTAS(RESUMEN GLOBAL)'!E1351</f>
        <v>0</v>
      </c>
      <c r="H1351" s="9">
        <f>+'[1]VENTAS(RESUMEN GLOBAL)'!K1351</f>
        <v>0</v>
      </c>
      <c r="I1351" s="8">
        <f>+G1351*'[1]VENTAS(RESUMEN GLOBAL)'!F1351</f>
        <v>0</v>
      </c>
      <c r="J1351" s="8">
        <f>'[1]VENTAS(RESUMEN GLOBAL)'!G1351*(1-'[1]VENTAS(RESUMEN GLOBAL)'!H1351)</f>
        <v>0</v>
      </c>
      <c r="K1351" s="8">
        <f t="shared" si="21"/>
        <v>0</v>
      </c>
      <c r="L1351" s="8">
        <f>+'[1]VENTAS(RESUMEN GLOBAL)'!J1351</f>
        <v>0</v>
      </c>
      <c r="M1351" s="8">
        <f>+Tabla1[[#This Row],[utilidad x dia]]*7</f>
        <v>0</v>
      </c>
    </row>
    <row r="1352" spans="1:13" x14ac:dyDescent="0.3">
      <c r="A1352" s="6">
        <f>+'[1]VENTAS(RESUMEN GLOBAL)'!L1352</f>
        <v>0</v>
      </c>
      <c r="B1352" s="6">
        <f>+'[1]VENTAS(RESUMEN GLOBAL)'!M1352</f>
        <v>0</v>
      </c>
      <c r="C1352">
        <f>+'[1]VENTAS(RESUMEN GLOBAL)'!B1352</f>
        <v>0</v>
      </c>
      <c r="D1352" t="e">
        <f>INDEX('[1]CÓDIGOS DE PRODUCTO'!$D$3:$D$1000,MATCH(C1352,'[1]CÓDIGOS DE PRODUCTO'!$A$3:$A$1000,0))</f>
        <v>#N/A</v>
      </c>
      <c r="E1352">
        <f>VLOOKUP(C1352,'[1]CÓDIGOS DE PRODUCTO'!$A$4:$B$156,2,FALSE)</f>
        <v>0</v>
      </c>
      <c r="F1352">
        <f>INDEX('[1]CÓDIGOS DE PRODUCTO'!$C$3:$C$1000,MATCH(C1352,'[1]CÓDIGOS DE PRODUCTO'!$A$3:$A$1000,0))</f>
        <v>0</v>
      </c>
      <c r="G1352">
        <f>+'[1]VENTAS(RESUMEN GLOBAL)'!D1352-'[1]VENTAS(RESUMEN GLOBAL)'!E1352</f>
        <v>0</v>
      </c>
      <c r="H1352" s="9">
        <f>+'[1]VENTAS(RESUMEN GLOBAL)'!K1352</f>
        <v>0</v>
      </c>
      <c r="I1352" s="8">
        <f>+G1352*'[1]VENTAS(RESUMEN GLOBAL)'!F1352</f>
        <v>0</v>
      </c>
      <c r="J1352" s="8">
        <f>'[1]VENTAS(RESUMEN GLOBAL)'!G1352*(1-'[1]VENTAS(RESUMEN GLOBAL)'!H1352)</f>
        <v>0</v>
      </c>
      <c r="K1352" s="8">
        <f t="shared" si="21"/>
        <v>0</v>
      </c>
      <c r="L1352" s="8">
        <f>+'[1]VENTAS(RESUMEN GLOBAL)'!J1352</f>
        <v>0</v>
      </c>
      <c r="M1352" s="8">
        <f>+Tabla1[[#This Row],[utilidad x dia]]*7</f>
        <v>0</v>
      </c>
    </row>
    <row r="1353" spans="1:13" x14ac:dyDescent="0.3">
      <c r="A1353" s="6">
        <f>+'[1]VENTAS(RESUMEN GLOBAL)'!L1353</f>
        <v>0</v>
      </c>
      <c r="B1353" s="6">
        <f>+'[1]VENTAS(RESUMEN GLOBAL)'!M1353</f>
        <v>0</v>
      </c>
      <c r="C1353">
        <f>+'[1]VENTAS(RESUMEN GLOBAL)'!B1353</f>
        <v>0</v>
      </c>
      <c r="D1353" t="e">
        <f>INDEX('[1]CÓDIGOS DE PRODUCTO'!$D$3:$D$1000,MATCH(C1353,'[1]CÓDIGOS DE PRODUCTO'!$A$3:$A$1000,0))</f>
        <v>#N/A</v>
      </c>
      <c r="E1353">
        <f>VLOOKUP(C1353,'[1]CÓDIGOS DE PRODUCTO'!$A$4:$B$156,2,FALSE)</f>
        <v>0</v>
      </c>
      <c r="F1353">
        <f>INDEX('[1]CÓDIGOS DE PRODUCTO'!$C$3:$C$1000,MATCH(C1353,'[1]CÓDIGOS DE PRODUCTO'!$A$3:$A$1000,0))</f>
        <v>0</v>
      </c>
      <c r="G1353">
        <f>+'[1]VENTAS(RESUMEN GLOBAL)'!D1353-'[1]VENTAS(RESUMEN GLOBAL)'!E1353</f>
        <v>0</v>
      </c>
      <c r="H1353" s="9">
        <f>+'[1]VENTAS(RESUMEN GLOBAL)'!K1353</f>
        <v>0</v>
      </c>
      <c r="I1353" s="8">
        <f>+G1353*'[1]VENTAS(RESUMEN GLOBAL)'!F1353</f>
        <v>0</v>
      </c>
      <c r="J1353" s="8">
        <f>'[1]VENTAS(RESUMEN GLOBAL)'!G1353*(1-'[1]VENTAS(RESUMEN GLOBAL)'!H1353)</f>
        <v>0</v>
      </c>
      <c r="K1353" s="8">
        <f t="shared" si="21"/>
        <v>0</v>
      </c>
      <c r="L1353" s="8">
        <f>+'[1]VENTAS(RESUMEN GLOBAL)'!J1353</f>
        <v>0</v>
      </c>
      <c r="M1353" s="8">
        <f>+Tabla1[[#This Row],[utilidad x dia]]*7</f>
        <v>0</v>
      </c>
    </row>
    <row r="1354" spans="1:13" x14ac:dyDescent="0.3">
      <c r="A1354" s="6">
        <f>+'[1]VENTAS(RESUMEN GLOBAL)'!L1354</f>
        <v>0</v>
      </c>
      <c r="B1354" s="6">
        <f>+'[1]VENTAS(RESUMEN GLOBAL)'!M1354</f>
        <v>0</v>
      </c>
      <c r="C1354">
        <f>+'[1]VENTAS(RESUMEN GLOBAL)'!B1354</f>
        <v>0</v>
      </c>
      <c r="D1354" t="e">
        <f>INDEX('[1]CÓDIGOS DE PRODUCTO'!$D$3:$D$1000,MATCH(C1354,'[1]CÓDIGOS DE PRODUCTO'!$A$3:$A$1000,0))</f>
        <v>#N/A</v>
      </c>
      <c r="E1354">
        <f>VLOOKUP(C1354,'[1]CÓDIGOS DE PRODUCTO'!$A$4:$B$156,2,FALSE)</f>
        <v>0</v>
      </c>
      <c r="F1354">
        <f>INDEX('[1]CÓDIGOS DE PRODUCTO'!$C$3:$C$1000,MATCH(C1354,'[1]CÓDIGOS DE PRODUCTO'!$A$3:$A$1000,0))</f>
        <v>0</v>
      </c>
      <c r="G1354">
        <f>+'[1]VENTAS(RESUMEN GLOBAL)'!D1354-'[1]VENTAS(RESUMEN GLOBAL)'!E1354</f>
        <v>0</v>
      </c>
      <c r="H1354" s="9">
        <f>+'[1]VENTAS(RESUMEN GLOBAL)'!K1354</f>
        <v>0</v>
      </c>
      <c r="I1354" s="8">
        <f>+G1354*'[1]VENTAS(RESUMEN GLOBAL)'!F1354</f>
        <v>0</v>
      </c>
      <c r="J1354" s="8">
        <f>'[1]VENTAS(RESUMEN GLOBAL)'!G1354*(1-'[1]VENTAS(RESUMEN GLOBAL)'!H1354)</f>
        <v>0</v>
      </c>
      <c r="K1354" s="8">
        <f t="shared" si="21"/>
        <v>0</v>
      </c>
      <c r="L1354" s="8">
        <f>+'[1]VENTAS(RESUMEN GLOBAL)'!J1354</f>
        <v>0</v>
      </c>
      <c r="M1354" s="8">
        <f>+Tabla1[[#This Row],[utilidad x dia]]*7</f>
        <v>0</v>
      </c>
    </row>
    <row r="1355" spans="1:13" x14ac:dyDescent="0.3">
      <c r="A1355" s="6">
        <f>+'[1]VENTAS(RESUMEN GLOBAL)'!L1355</f>
        <v>0</v>
      </c>
      <c r="B1355" s="6">
        <f>+'[1]VENTAS(RESUMEN GLOBAL)'!M1355</f>
        <v>0</v>
      </c>
      <c r="C1355">
        <f>+'[1]VENTAS(RESUMEN GLOBAL)'!B1355</f>
        <v>0</v>
      </c>
      <c r="D1355" t="e">
        <f>INDEX('[1]CÓDIGOS DE PRODUCTO'!$D$3:$D$1000,MATCH(C1355,'[1]CÓDIGOS DE PRODUCTO'!$A$3:$A$1000,0))</f>
        <v>#N/A</v>
      </c>
      <c r="E1355">
        <f>VLOOKUP(C1355,'[1]CÓDIGOS DE PRODUCTO'!$A$4:$B$156,2,FALSE)</f>
        <v>0</v>
      </c>
      <c r="F1355">
        <f>INDEX('[1]CÓDIGOS DE PRODUCTO'!$C$3:$C$1000,MATCH(C1355,'[1]CÓDIGOS DE PRODUCTO'!$A$3:$A$1000,0))</f>
        <v>0</v>
      </c>
      <c r="G1355">
        <f>+'[1]VENTAS(RESUMEN GLOBAL)'!D1355-'[1]VENTAS(RESUMEN GLOBAL)'!E1355</f>
        <v>0</v>
      </c>
      <c r="H1355" s="9">
        <f>+'[1]VENTAS(RESUMEN GLOBAL)'!K1355</f>
        <v>0</v>
      </c>
      <c r="I1355" s="8">
        <f>+G1355*'[1]VENTAS(RESUMEN GLOBAL)'!F1355</f>
        <v>0</v>
      </c>
      <c r="J1355" s="8">
        <f>'[1]VENTAS(RESUMEN GLOBAL)'!G1355*(1-'[1]VENTAS(RESUMEN GLOBAL)'!H1355)</f>
        <v>0</v>
      </c>
      <c r="K1355" s="8">
        <f t="shared" si="21"/>
        <v>0</v>
      </c>
      <c r="L1355" s="8">
        <f>+'[1]VENTAS(RESUMEN GLOBAL)'!J1355</f>
        <v>0</v>
      </c>
      <c r="M1355" s="8">
        <f>+Tabla1[[#This Row],[utilidad x dia]]*7</f>
        <v>0</v>
      </c>
    </row>
    <row r="1356" spans="1:13" x14ac:dyDescent="0.3">
      <c r="A1356" s="6">
        <f>+'[1]VENTAS(RESUMEN GLOBAL)'!L1356</f>
        <v>0</v>
      </c>
      <c r="B1356" s="6">
        <f>+'[1]VENTAS(RESUMEN GLOBAL)'!M1356</f>
        <v>0</v>
      </c>
      <c r="C1356">
        <f>+'[1]VENTAS(RESUMEN GLOBAL)'!B1356</f>
        <v>0</v>
      </c>
      <c r="D1356" t="e">
        <f>INDEX('[1]CÓDIGOS DE PRODUCTO'!$D$3:$D$1000,MATCH(C1356,'[1]CÓDIGOS DE PRODUCTO'!$A$3:$A$1000,0))</f>
        <v>#N/A</v>
      </c>
      <c r="E1356">
        <f>VLOOKUP(C1356,'[1]CÓDIGOS DE PRODUCTO'!$A$4:$B$156,2,FALSE)</f>
        <v>0</v>
      </c>
      <c r="F1356">
        <f>INDEX('[1]CÓDIGOS DE PRODUCTO'!$C$3:$C$1000,MATCH(C1356,'[1]CÓDIGOS DE PRODUCTO'!$A$3:$A$1000,0))</f>
        <v>0</v>
      </c>
      <c r="G1356">
        <f>+'[1]VENTAS(RESUMEN GLOBAL)'!D1356-'[1]VENTAS(RESUMEN GLOBAL)'!E1356</f>
        <v>0</v>
      </c>
      <c r="H1356" s="9">
        <f>+'[1]VENTAS(RESUMEN GLOBAL)'!K1356</f>
        <v>0</v>
      </c>
      <c r="I1356" s="8">
        <f>+G1356*'[1]VENTAS(RESUMEN GLOBAL)'!F1356</f>
        <v>0</v>
      </c>
      <c r="J1356" s="8">
        <f>'[1]VENTAS(RESUMEN GLOBAL)'!G1356*(1-'[1]VENTAS(RESUMEN GLOBAL)'!H1356)</f>
        <v>0</v>
      </c>
      <c r="K1356" s="8">
        <f t="shared" si="21"/>
        <v>0</v>
      </c>
      <c r="L1356" s="8">
        <f>+'[1]VENTAS(RESUMEN GLOBAL)'!J1356</f>
        <v>0</v>
      </c>
      <c r="M1356" s="8">
        <f>+Tabla1[[#This Row],[utilidad x dia]]*7</f>
        <v>0</v>
      </c>
    </row>
    <row r="1357" spans="1:13" x14ac:dyDescent="0.3">
      <c r="A1357" s="6">
        <f>+'[1]VENTAS(RESUMEN GLOBAL)'!L1357</f>
        <v>0</v>
      </c>
      <c r="B1357" s="6">
        <f>+'[1]VENTAS(RESUMEN GLOBAL)'!M1357</f>
        <v>0</v>
      </c>
      <c r="C1357">
        <f>+'[1]VENTAS(RESUMEN GLOBAL)'!B1357</f>
        <v>0</v>
      </c>
      <c r="D1357" t="e">
        <f>INDEX('[1]CÓDIGOS DE PRODUCTO'!$D$3:$D$1000,MATCH(C1357,'[1]CÓDIGOS DE PRODUCTO'!$A$3:$A$1000,0))</f>
        <v>#N/A</v>
      </c>
      <c r="E1357">
        <f>VLOOKUP(C1357,'[1]CÓDIGOS DE PRODUCTO'!$A$4:$B$156,2,FALSE)</f>
        <v>0</v>
      </c>
      <c r="F1357">
        <f>INDEX('[1]CÓDIGOS DE PRODUCTO'!$C$3:$C$1000,MATCH(C1357,'[1]CÓDIGOS DE PRODUCTO'!$A$3:$A$1000,0))</f>
        <v>0</v>
      </c>
      <c r="G1357">
        <f>+'[1]VENTAS(RESUMEN GLOBAL)'!D1357-'[1]VENTAS(RESUMEN GLOBAL)'!E1357</f>
        <v>0</v>
      </c>
      <c r="H1357" s="9">
        <f>+'[1]VENTAS(RESUMEN GLOBAL)'!K1357</f>
        <v>0</v>
      </c>
      <c r="I1357" s="8">
        <f>+G1357*'[1]VENTAS(RESUMEN GLOBAL)'!F1357</f>
        <v>0</v>
      </c>
      <c r="J1357" s="8">
        <f>'[1]VENTAS(RESUMEN GLOBAL)'!G1357*(1-'[1]VENTAS(RESUMEN GLOBAL)'!H1357)</f>
        <v>0</v>
      </c>
      <c r="K1357" s="8">
        <f t="shared" si="21"/>
        <v>0</v>
      </c>
      <c r="L1357" s="8">
        <f>+'[1]VENTAS(RESUMEN GLOBAL)'!J1357</f>
        <v>0</v>
      </c>
      <c r="M1357" s="8">
        <f>+Tabla1[[#This Row],[utilidad x dia]]*7</f>
        <v>0</v>
      </c>
    </row>
    <row r="1358" spans="1:13" x14ac:dyDescent="0.3">
      <c r="A1358" s="6">
        <f>+'[1]VENTAS(RESUMEN GLOBAL)'!L1358</f>
        <v>0</v>
      </c>
      <c r="B1358" s="6">
        <f>+'[1]VENTAS(RESUMEN GLOBAL)'!M1358</f>
        <v>0</v>
      </c>
      <c r="C1358">
        <f>+'[1]VENTAS(RESUMEN GLOBAL)'!B1358</f>
        <v>0</v>
      </c>
      <c r="D1358" t="e">
        <f>INDEX('[1]CÓDIGOS DE PRODUCTO'!$D$3:$D$1000,MATCH(C1358,'[1]CÓDIGOS DE PRODUCTO'!$A$3:$A$1000,0))</f>
        <v>#N/A</v>
      </c>
      <c r="E1358">
        <f>VLOOKUP(C1358,'[1]CÓDIGOS DE PRODUCTO'!$A$4:$B$156,2,FALSE)</f>
        <v>0</v>
      </c>
      <c r="F1358">
        <f>INDEX('[1]CÓDIGOS DE PRODUCTO'!$C$3:$C$1000,MATCH(C1358,'[1]CÓDIGOS DE PRODUCTO'!$A$3:$A$1000,0))</f>
        <v>0</v>
      </c>
      <c r="G1358">
        <f>+'[1]VENTAS(RESUMEN GLOBAL)'!D1358-'[1]VENTAS(RESUMEN GLOBAL)'!E1358</f>
        <v>0</v>
      </c>
      <c r="H1358" s="9">
        <f>+'[1]VENTAS(RESUMEN GLOBAL)'!K1358</f>
        <v>0</v>
      </c>
      <c r="I1358" s="8">
        <f>+G1358*'[1]VENTAS(RESUMEN GLOBAL)'!F1358</f>
        <v>0</v>
      </c>
      <c r="J1358" s="8">
        <f>'[1]VENTAS(RESUMEN GLOBAL)'!G1358*(1-'[1]VENTAS(RESUMEN GLOBAL)'!H1358)</f>
        <v>0</v>
      </c>
      <c r="K1358" s="8">
        <f t="shared" si="21"/>
        <v>0</v>
      </c>
      <c r="L1358" s="8">
        <f>+'[1]VENTAS(RESUMEN GLOBAL)'!J1358</f>
        <v>0</v>
      </c>
      <c r="M1358" s="8">
        <f>+Tabla1[[#This Row],[utilidad x dia]]*7</f>
        <v>0</v>
      </c>
    </row>
    <row r="1359" spans="1:13" x14ac:dyDescent="0.3">
      <c r="A1359" s="6">
        <f>+'[1]VENTAS(RESUMEN GLOBAL)'!L1359</f>
        <v>0</v>
      </c>
      <c r="B1359" s="6">
        <f>+'[1]VENTAS(RESUMEN GLOBAL)'!M1359</f>
        <v>0</v>
      </c>
      <c r="C1359">
        <f>+'[1]VENTAS(RESUMEN GLOBAL)'!B1359</f>
        <v>0</v>
      </c>
      <c r="D1359" t="e">
        <f>INDEX('[1]CÓDIGOS DE PRODUCTO'!$D$3:$D$1000,MATCH(C1359,'[1]CÓDIGOS DE PRODUCTO'!$A$3:$A$1000,0))</f>
        <v>#N/A</v>
      </c>
      <c r="E1359">
        <f>VLOOKUP(C1359,'[1]CÓDIGOS DE PRODUCTO'!$A$4:$B$156,2,FALSE)</f>
        <v>0</v>
      </c>
      <c r="F1359">
        <f>INDEX('[1]CÓDIGOS DE PRODUCTO'!$C$3:$C$1000,MATCH(C1359,'[1]CÓDIGOS DE PRODUCTO'!$A$3:$A$1000,0))</f>
        <v>0</v>
      </c>
      <c r="G1359">
        <f>+'[1]VENTAS(RESUMEN GLOBAL)'!D1359-'[1]VENTAS(RESUMEN GLOBAL)'!E1359</f>
        <v>0</v>
      </c>
      <c r="H1359" s="9">
        <f>+'[1]VENTAS(RESUMEN GLOBAL)'!K1359</f>
        <v>0</v>
      </c>
      <c r="I1359" s="8">
        <f>+G1359*'[1]VENTAS(RESUMEN GLOBAL)'!F1359</f>
        <v>0</v>
      </c>
      <c r="J1359" s="8">
        <f>'[1]VENTAS(RESUMEN GLOBAL)'!G1359*(1-'[1]VENTAS(RESUMEN GLOBAL)'!H1359)</f>
        <v>0</v>
      </c>
      <c r="K1359" s="8">
        <f t="shared" si="21"/>
        <v>0</v>
      </c>
      <c r="L1359" s="8">
        <f>+'[1]VENTAS(RESUMEN GLOBAL)'!J1359</f>
        <v>0</v>
      </c>
      <c r="M1359" s="8">
        <f>+Tabla1[[#This Row],[utilidad x dia]]*7</f>
        <v>0</v>
      </c>
    </row>
    <row r="1360" spans="1:13" x14ac:dyDescent="0.3">
      <c r="A1360" s="6">
        <f>+'[1]VENTAS(RESUMEN GLOBAL)'!L1360</f>
        <v>0</v>
      </c>
      <c r="B1360" s="6">
        <f>+'[1]VENTAS(RESUMEN GLOBAL)'!M1360</f>
        <v>0</v>
      </c>
      <c r="C1360">
        <f>+'[1]VENTAS(RESUMEN GLOBAL)'!B1360</f>
        <v>0</v>
      </c>
      <c r="D1360" t="e">
        <f>INDEX('[1]CÓDIGOS DE PRODUCTO'!$D$3:$D$1000,MATCH(C1360,'[1]CÓDIGOS DE PRODUCTO'!$A$3:$A$1000,0))</f>
        <v>#N/A</v>
      </c>
      <c r="E1360">
        <f>VLOOKUP(C1360,'[1]CÓDIGOS DE PRODUCTO'!$A$4:$B$156,2,FALSE)</f>
        <v>0</v>
      </c>
      <c r="F1360">
        <f>INDEX('[1]CÓDIGOS DE PRODUCTO'!$C$3:$C$1000,MATCH(C1360,'[1]CÓDIGOS DE PRODUCTO'!$A$3:$A$1000,0))</f>
        <v>0</v>
      </c>
      <c r="G1360">
        <f>+'[1]VENTAS(RESUMEN GLOBAL)'!D1360-'[1]VENTAS(RESUMEN GLOBAL)'!E1360</f>
        <v>0</v>
      </c>
      <c r="H1360" s="9">
        <f>+'[1]VENTAS(RESUMEN GLOBAL)'!K1360</f>
        <v>0</v>
      </c>
      <c r="I1360" s="8">
        <f>+G1360*'[1]VENTAS(RESUMEN GLOBAL)'!F1360</f>
        <v>0</v>
      </c>
      <c r="J1360" s="8">
        <f>'[1]VENTAS(RESUMEN GLOBAL)'!G1360*(1-'[1]VENTAS(RESUMEN GLOBAL)'!H1360)</f>
        <v>0</v>
      </c>
      <c r="K1360" s="8">
        <f t="shared" si="21"/>
        <v>0</v>
      </c>
      <c r="L1360" s="8">
        <f>+'[1]VENTAS(RESUMEN GLOBAL)'!J1360</f>
        <v>0</v>
      </c>
      <c r="M1360" s="8">
        <f>+Tabla1[[#This Row],[utilidad x dia]]*7</f>
        <v>0</v>
      </c>
    </row>
    <row r="1361" spans="1:13" x14ac:dyDescent="0.3">
      <c r="A1361" s="6">
        <f>+'[1]VENTAS(RESUMEN GLOBAL)'!L1361</f>
        <v>0</v>
      </c>
      <c r="B1361" s="6">
        <f>+'[1]VENTAS(RESUMEN GLOBAL)'!M1361</f>
        <v>0</v>
      </c>
      <c r="C1361">
        <f>+'[1]VENTAS(RESUMEN GLOBAL)'!B1361</f>
        <v>0</v>
      </c>
      <c r="D1361" t="e">
        <f>INDEX('[1]CÓDIGOS DE PRODUCTO'!$D$3:$D$1000,MATCH(C1361,'[1]CÓDIGOS DE PRODUCTO'!$A$3:$A$1000,0))</f>
        <v>#N/A</v>
      </c>
      <c r="E1361">
        <f>VLOOKUP(C1361,'[1]CÓDIGOS DE PRODUCTO'!$A$4:$B$156,2,FALSE)</f>
        <v>0</v>
      </c>
      <c r="F1361">
        <f>INDEX('[1]CÓDIGOS DE PRODUCTO'!$C$3:$C$1000,MATCH(C1361,'[1]CÓDIGOS DE PRODUCTO'!$A$3:$A$1000,0))</f>
        <v>0</v>
      </c>
      <c r="G1361">
        <f>+'[1]VENTAS(RESUMEN GLOBAL)'!D1361-'[1]VENTAS(RESUMEN GLOBAL)'!E1361</f>
        <v>0</v>
      </c>
      <c r="H1361" s="9">
        <f>+'[1]VENTAS(RESUMEN GLOBAL)'!K1361</f>
        <v>0</v>
      </c>
      <c r="I1361" s="8">
        <f>+G1361*'[1]VENTAS(RESUMEN GLOBAL)'!F1361</f>
        <v>0</v>
      </c>
      <c r="J1361" s="8">
        <f>'[1]VENTAS(RESUMEN GLOBAL)'!G1361*(1-'[1]VENTAS(RESUMEN GLOBAL)'!H1361)</f>
        <v>0</v>
      </c>
      <c r="K1361" s="8">
        <f t="shared" si="21"/>
        <v>0</v>
      </c>
      <c r="L1361" s="8">
        <f>+'[1]VENTAS(RESUMEN GLOBAL)'!J1361</f>
        <v>0</v>
      </c>
      <c r="M1361" s="8">
        <f>+Tabla1[[#This Row],[utilidad x dia]]*7</f>
        <v>0</v>
      </c>
    </row>
    <row r="1362" spans="1:13" x14ac:dyDescent="0.3">
      <c r="A1362" s="6">
        <f>+'[1]VENTAS(RESUMEN GLOBAL)'!L1362</f>
        <v>0</v>
      </c>
      <c r="B1362" s="6">
        <f>+'[1]VENTAS(RESUMEN GLOBAL)'!M1362</f>
        <v>0</v>
      </c>
      <c r="C1362">
        <f>+'[1]VENTAS(RESUMEN GLOBAL)'!B1362</f>
        <v>0</v>
      </c>
      <c r="D1362" t="e">
        <f>INDEX('[1]CÓDIGOS DE PRODUCTO'!$D$3:$D$1000,MATCH(C1362,'[1]CÓDIGOS DE PRODUCTO'!$A$3:$A$1000,0))</f>
        <v>#N/A</v>
      </c>
      <c r="E1362">
        <f>VLOOKUP(C1362,'[1]CÓDIGOS DE PRODUCTO'!$A$4:$B$156,2,FALSE)</f>
        <v>0</v>
      </c>
      <c r="F1362">
        <f>INDEX('[1]CÓDIGOS DE PRODUCTO'!$C$3:$C$1000,MATCH(C1362,'[1]CÓDIGOS DE PRODUCTO'!$A$3:$A$1000,0))</f>
        <v>0</v>
      </c>
      <c r="G1362">
        <f>+'[1]VENTAS(RESUMEN GLOBAL)'!D1362-'[1]VENTAS(RESUMEN GLOBAL)'!E1362</f>
        <v>0</v>
      </c>
      <c r="H1362" s="9">
        <f>+'[1]VENTAS(RESUMEN GLOBAL)'!K1362</f>
        <v>0</v>
      </c>
      <c r="I1362" s="8">
        <f>+G1362*'[1]VENTAS(RESUMEN GLOBAL)'!F1362</f>
        <v>0</v>
      </c>
      <c r="J1362" s="8">
        <f>'[1]VENTAS(RESUMEN GLOBAL)'!G1362*(1-'[1]VENTAS(RESUMEN GLOBAL)'!H1362)</f>
        <v>0</v>
      </c>
      <c r="K1362" s="8">
        <f t="shared" si="21"/>
        <v>0</v>
      </c>
      <c r="L1362" s="8">
        <f>+'[1]VENTAS(RESUMEN GLOBAL)'!J1362</f>
        <v>0</v>
      </c>
      <c r="M1362" s="8">
        <f>+Tabla1[[#This Row],[utilidad x dia]]*7</f>
        <v>0</v>
      </c>
    </row>
    <row r="1363" spans="1:13" x14ac:dyDescent="0.3">
      <c r="A1363" s="6">
        <f>+'[1]VENTAS(RESUMEN GLOBAL)'!L1363</f>
        <v>0</v>
      </c>
      <c r="B1363" s="6">
        <f>+'[1]VENTAS(RESUMEN GLOBAL)'!M1363</f>
        <v>0</v>
      </c>
      <c r="C1363">
        <f>+'[1]VENTAS(RESUMEN GLOBAL)'!B1363</f>
        <v>0</v>
      </c>
      <c r="D1363" t="e">
        <f>INDEX('[1]CÓDIGOS DE PRODUCTO'!$D$3:$D$1000,MATCH(C1363,'[1]CÓDIGOS DE PRODUCTO'!$A$3:$A$1000,0))</f>
        <v>#N/A</v>
      </c>
      <c r="E1363">
        <f>VLOOKUP(C1363,'[1]CÓDIGOS DE PRODUCTO'!$A$4:$B$156,2,FALSE)</f>
        <v>0</v>
      </c>
      <c r="F1363">
        <f>INDEX('[1]CÓDIGOS DE PRODUCTO'!$C$3:$C$1000,MATCH(C1363,'[1]CÓDIGOS DE PRODUCTO'!$A$3:$A$1000,0))</f>
        <v>0</v>
      </c>
      <c r="G1363">
        <f>+'[1]VENTAS(RESUMEN GLOBAL)'!D1363-'[1]VENTAS(RESUMEN GLOBAL)'!E1363</f>
        <v>0</v>
      </c>
      <c r="H1363" s="9">
        <f>+'[1]VENTAS(RESUMEN GLOBAL)'!K1363</f>
        <v>0</v>
      </c>
      <c r="I1363" s="8">
        <f>+G1363*'[1]VENTAS(RESUMEN GLOBAL)'!F1363</f>
        <v>0</v>
      </c>
      <c r="J1363" s="8">
        <f>'[1]VENTAS(RESUMEN GLOBAL)'!G1363*(1-'[1]VENTAS(RESUMEN GLOBAL)'!H1363)</f>
        <v>0</v>
      </c>
      <c r="K1363" s="8">
        <f t="shared" si="21"/>
        <v>0</v>
      </c>
      <c r="L1363" s="8">
        <f>+'[1]VENTAS(RESUMEN GLOBAL)'!J1363</f>
        <v>0</v>
      </c>
      <c r="M1363" s="8">
        <f>+Tabla1[[#This Row],[utilidad x dia]]*7</f>
        <v>0</v>
      </c>
    </row>
    <row r="1364" spans="1:13" x14ac:dyDescent="0.3">
      <c r="A1364" s="6">
        <f>+'[1]VENTAS(RESUMEN GLOBAL)'!L1364</f>
        <v>0</v>
      </c>
      <c r="B1364" s="6">
        <f>+'[1]VENTAS(RESUMEN GLOBAL)'!M1364</f>
        <v>0</v>
      </c>
      <c r="C1364">
        <f>+'[1]VENTAS(RESUMEN GLOBAL)'!B1364</f>
        <v>0</v>
      </c>
      <c r="D1364" t="e">
        <f>INDEX('[1]CÓDIGOS DE PRODUCTO'!$D$3:$D$1000,MATCH(C1364,'[1]CÓDIGOS DE PRODUCTO'!$A$3:$A$1000,0))</f>
        <v>#N/A</v>
      </c>
      <c r="E1364">
        <f>VLOOKUP(C1364,'[1]CÓDIGOS DE PRODUCTO'!$A$4:$B$156,2,FALSE)</f>
        <v>0</v>
      </c>
      <c r="F1364">
        <f>INDEX('[1]CÓDIGOS DE PRODUCTO'!$C$3:$C$1000,MATCH(C1364,'[1]CÓDIGOS DE PRODUCTO'!$A$3:$A$1000,0))</f>
        <v>0</v>
      </c>
      <c r="G1364">
        <f>+'[1]VENTAS(RESUMEN GLOBAL)'!D1364-'[1]VENTAS(RESUMEN GLOBAL)'!E1364</f>
        <v>0</v>
      </c>
      <c r="H1364" s="9">
        <f>+'[1]VENTAS(RESUMEN GLOBAL)'!K1364</f>
        <v>0</v>
      </c>
      <c r="I1364" s="8">
        <f>+G1364*'[1]VENTAS(RESUMEN GLOBAL)'!F1364</f>
        <v>0</v>
      </c>
      <c r="J1364" s="8">
        <f>'[1]VENTAS(RESUMEN GLOBAL)'!G1364*(1-'[1]VENTAS(RESUMEN GLOBAL)'!H1364)</f>
        <v>0</v>
      </c>
      <c r="K1364" s="8">
        <f t="shared" si="21"/>
        <v>0</v>
      </c>
      <c r="L1364" s="8">
        <f>+'[1]VENTAS(RESUMEN GLOBAL)'!J1364</f>
        <v>0</v>
      </c>
      <c r="M1364" s="8">
        <f>+Tabla1[[#This Row],[utilidad x dia]]*7</f>
        <v>0</v>
      </c>
    </row>
    <row r="1365" spans="1:13" x14ac:dyDescent="0.3">
      <c r="A1365" s="6">
        <f>+'[1]VENTAS(RESUMEN GLOBAL)'!L1365</f>
        <v>0</v>
      </c>
      <c r="B1365" s="6">
        <f>+'[1]VENTAS(RESUMEN GLOBAL)'!M1365</f>
        <v>0</v>
      </c>
      <c r="C1365">
        <f>+'[1]VENTAS(RESUMEN GLOBAL)'!B1365</f>
        <v>0</v>
      </c>
      <c r="D1365" t="e">
        <f>INDEX('[1]CÓDIGOS DE PRODUCTO'!$D$3:$D$1000,MATCH(C1365,'[1]CÓDIGOS DE PRODUCTO'!$A$3:$A$1000,0))</f>
        <v>#N/A</v>
      </c>
      <c r="E1365">
        <f>VLOOKUP(C1365,'[1]CÓDIGOS DE PRODUCTO'!$A$4:$B$156,2,FALSE)</f>
        <v>0</v>
      </c>
      <c r="F1365">
        <f>INDEX('[1]CÓDIGOS DE PRODUCTO'!$C$3:$C$1000,MATCH(C1365,'[1]CÓDIGOS DE PRODUCTO'!$A$3:$A$1000,0))</f>
        <v>0</v>
      </c>
      <c r="G1365">
        <f>+'[1]VENTAS(RESUMEN GLOBAL)'!D1365-'[1]VENTAS(RESUMEN GLOBAL)'!E1365</f>
        <v>0</v>
      </c>
      <c r="H1365" s="9">
        <f>+'[1]VENTAS(RESUMEN GLOBAL)'!K1365</f>
        <v>0</v>
      </c>
      <c r="I1365" s="8">
        <f>+G1365*'[1]VENTAS(RESUMEN GLOBAL)'!F1365</f>
        <v>0</v>
      </c>
      <c r="J1365" s="8">
        <f>'[1]VENTAS(RESUMEN GLOBAL)'!G1365*(1-'[1]VENTAS(RESUMEN GLOBAL)'!H1365)</f>
        <v>0</v>
      </c>
      <c r="K1365" s="8">
        <f t="shared" si="21"/>
        <v>0</v>
      </c>
      <c r="L1365" s="8">
        <f>+'[1]VENTAS(RESUMEN GLOBAL)'!J1365</f>
        <v>0</v>
      </c>
      <c r="M1365" s="8">
        <f>+Tabla1[[#This Row],[utilidad x dia]]*7</f>
        <v>0</v>
      </c>
    </row>
    <row r="1366" spans="1:13" x14ac:dyDescent="0.3">
      <c r="A1366" s="6">
        <f>+'[1]VENTAS(RESUMEN GLOBAL)'!L1366</f>
        <v>0</v>
      </c>
      <c r="B1366" s="6">
        <f>+'[1]VENTAS(RESUMEN GLOBAL)'!M1366</f>
        <v>0</v>
      </c>
      <c r="C1366">
        <f>+'[1]VENTAS(RESUMEN GLOBAL)'!B1366</f>
        <v>0</v>
      </c>
      <c r="D1366" t="e">
        <f>INDEX('[1]CÓDIGOS DE PRODUCTO'!$D$3:$D$1000,MATCH(C1366,'[1]CÓDIGOS DE PRODUCTO'!$A$3:$A$1000,0))</f>
        <v>#N/A</v>
      </c>
      <c r="E1366">
        <f>VLOOKUP(C1366,'[1]CÓDIGOS DE PRODUCTO'!$A$4:$B$156,2,FALSE)</f>
        <v>0</v>
      </c>
      <c r="F1366">
        <f>INDEX('[1]CÓDIGOS DE PRODUCTO'!$C$3:$C$1000,MATCH(C1366,'[1]CÓDIGOS DE PRODUCTO'!$A$3:$A$1000,0))</f>
        <v>0</v>
      </c>
      <c r="G1366">
        <f>+'[1]VENTAS(RESUMEN GLOBAL)'!D1366-'[1]VENTAS(RESUMEN GLOBAL)'!E1366</f>
        <v>0</v>
      </c>
      <c r="H1366" s="9">
        <f>+'[1]VENTAS(RESUMEN GLOBAL)'!K1366</f>
        <v>0</v>
      </c>
      <c r="I1366" s="8">
        <f>+G1366*'[1]VENTAS(RESUMEN GLOBAL)'!F1366</f>
        <v>0</v>
      </c>
      <c r="J1366" s="8">
        <f>'[1]VENTAS(RESUMEN GLOBAL)'!G1366*(1-'[1]VENTAS(RESUMEN GLOBAL)'!H1366)</f>
        <v>0</v>
      </c>
      <c r="K1366" s="8">
        <f t="shared" si="21"/>
        <v>0</v>
      </c>
      <c r="L1366" s="8">
        <f>+'[1]VENTAS(RESUMEN GLOBAL)'!J1366</f>
        <v>0</v>
      </c>
      <c r="M1366" s="8">
        <f>+Tabla1[[#This Row],[utilidad x dia]]*7</f>
        <v>0</v>
      </c>
    </row>
    <row r="1367" spans="1:13" x14ac:dyDescent="0.3">
      <c r="A1367" s="6">
        <f>+'[1]VENTAS(RESUMEN GLOBAL)'!L1367</f>
        <v>0</v>
      </c>
      <c r="B1367" s="6">
        <f>+'[1]VENTAS(RESUMEN GLOBAL)'!M1367</f>
        <v>0</v>
      </c>
      <c r="C1367">
        <f>+'[1]VENTAS(RESUMEN GLOBAL)'!B1367</f>
        <v>0</v>
      </c>
      <c r="D1367" t="e">
        <f>INDEX('[1]CÓDIGOS DE PRODUCTO'!$D$3:$D$1000,MATCH(C1367,'[1]CÓDIGOS DE PRODUCTO'!$A$3:$A$1000,0))</f>
        <v>#N/A</v>
      </c>
      <c r="E1367">
        <f>VLOOKUP(C1367,'[1]CÓDIGOS DE PRODUCTO'!$A$4:$B$156,2,FALSE)</f>
        <v>0</v>
      </c>
      <c r="F1367">
        <f>INDEX('[1]CÓDIGOS DE PRODUCTO'!$C$3:$C$1000,MATCH(C1367,'[1]CÓDIGOS DE PRODUCTO'!$A$3:$A$1000,0))</f>
        <v>0</v>
      </c>
      <c r="G1367">
        <f>+'[1]VENTAS(RESUMEN GLOBAL)'!D1367-'[1]VENTAS(RESUMEN GLOBAL)'!E1367</f>
        <v>0</v>
      </c>
      <c r="H1367" s="9">
        <f>+'[1]VENTAS(RESUMEN GLOBAL)'!K1367</f>
        <v>0</v>
      </c>
      <c r="I1367" s="8">
        <f>+G1367*'[1]VENTAS(RESUMEN GLOBAL)'!F1367</f>
        <v>0</v>
      </c>
      <c r="J1367" s="8">
        <f>'[1]VENTAS(RESUMEN GLOBAL)'!G1367*(1-'[1]VENTAS(RESUMEN GLOBAL)'!H1367)</f>
        <v>0</v>
      </c>
      <c r="K1367" s="8">
        <f t="shared" si="21"/>
        <v>0</v>
      </c>
      <c r="L1367" s="8">
        <f>+'[1]VENTAS(RESUMEN GLOBAL)'!J1367</f>
        <v>0</v>
      </c>
      <c r="M1367" s="8">
        <f>+Tabla1[[#This Row],[utilidad x dia]]*7</f>
        <v>0</v>
      </c>
    </row>
    <row r="1368" spans="1:13" x14ac:dyDescent="0.3">
      <c r="A1368" s="6">
        <f>+'[1]VENTAS(RESUMEN GLOBAL)'!L1368</f>
        <v>0</v>
      </c>
      <c r="B1368" s="6">
        <f>+'[1]VENTAS(RESUMEN GLOBAL)'!M1368</f>
        <v>0</v>
      </c>
      <c r="C1368">
        <f>+'[1]VENTAS(RESUMEN GLOBAL)'!B1368</f>
        <v>0</v>
      </c>
      <c r="D1368" t="e">
        <f>INDEX('[1]CÓDIGOS DE PRODUCTO'!$D$3:$D$1000,MATCH(C1368,'[1]CÓDIGOS DE PRODUCTO'!$A$3:$A$1000,0))</f>
        <v>#N/A</v>
      </c>
      <c r="E1368">
        <f>VLOOKUP(C1368,'[1]CÓDIGOS DE PRODUCTO'!$A$4:$B$156,2,FALSE)</f>
        <v>0</v>
      </c>
      <c r="F1368">
        <f>INDEX('[1]CÓDIGOS DE PRODUCTO'!$C$3:$C$1000,MATCH(C1368,'[1]CÓDIGOS DE PRODUCTO'!$A$3:$A$1000,0))</f>
        <v>0</v>
      </c>
      <c r="G1368">
        <f>+'[1]VENTAS(RESUMEN GLOBAL)'!D1368-'[1]VENTAS(RESUMEN GLOBAL)'!E1368</f>
        <v>0</v>
      </c>
      <c r="H1368" s="9">
        <f>+'[1]VENTAS(RESUMEN GLOBAL)'!K1368</f>
        <v>0</v>
      </c>
      <c r="I1368" s="8">
        <f>+G1368*'[1]VENTAS(RESUMEN GLOBAL)'!F1368</f>
        <v>0</v>
      </c>
      <c r="J1368" s="8">
        <f>'[1]VENTAS(RESUMEN GLOBAL)'!G1368*(1-'[1]VENTAS(RESUMEN GLOBAL)'!H1368)</f>
        <v>0</v>
      </c>
      <c r="K1368" s="8">
        <f t="shared" si="21"/>
        <v>0</v>
      </c>
      <c r="L1368" s="8">
        <f>+'[1]VENTAS(RESUMEN GLOBAL)'!J1368</f>
        <v>0</v>
      </c>
      <c r="M1368" s="8">
        <f>+Tabla1[[#This Row],[utilidad x dia]]*7</f>
        <v>0</v>
      </c>
    </row>
    <row r="1369" spans="1:13" x14ac:dyDescent="0.3">
      <c r="A1369" s="6">
        <f>+'[1]VENTAS(RESUMEN GLOBAL)'!L1369</f>
        <v>0</v>
      </c>
      <c r="B1369" s="6">
        <f>+'[1]VENTAS(RESUMEN GLOBAL)'!M1369</f>
        <v>0</v>
      </c>
      <c r="C1369">
        <f>+'[1]VENTAS(RESUMEN GLOBAL)'!B1369</f>
        <v>0</v>
      </c>
      <c r="D1369" t="e">
        <f>INDEX('[1]CÓDIGOS DE PRODUCTO'!$D$3:$D$1000,MATCH(C1369,'[1]CÓDIGOS DE PRODUCTO'!$A$3:$A$1000,0))</f>
        <v>#N/A</v>
      </c>
      <c r="E1369">
        <f>VLOOKUP(C1369,'[1]CÓDIGOS DE PRODUCTO'!$A$4:$B$156,2,FALSE)</f>
        <v>0</v>
      </c>
      <c r="F1369">
        <f>INDEX('[1]CÓDIGOS DE PRODUCTO'!$C$3:$C$1000,MATCH(C1369,'[1]CÓDIGOS DE PRODUCTO'!$A$3:$A$1000,0))</f>
        <v>0</v>
      </c>
      <c r="G1369">
        <f>+'[1]VENTAS(RESUMEN GLOBAL)'!D1369-'[1]VENTAS(RESUMEN GLOBAL)'!E1369</f>
        <v>0</v>
      </c>
      <c r="H1369" s="9">
        <f>+'[1]VENTAS(RESUMEN GLOBAL)'!K1369</f>
        <v>0</v>
      </c>
      <c r="I1369" s="8">
        <f>+G1369*'[1]VENTAS(RESUMEN GLOBAL)'!F1369</f>
        <v>0</v>
      </c>
      <c r="J1369" s="8">
        <f>'[1]VENTAS(RESUMEN GLOBAL)'!G1369*(1-'[1]VENTAS(RESUMEN GLOBAL)'!H1369)</f>
        <v>0</v>
      </c>
      <c r="K1369" s="8">
        <f t="shared" si="21"/>
        <v>0</v>
      </c>
      <c r="L1369" s="8">
        <f>+'[1]VENTAS(RESUMEN GLOBAL)'!J1369</f>
        <v>0</v>
      </c>
      <c r="M1369" s="8">
        <f>+Tabla1[[#This Row],[utilidad x dia]]*7</f>
        <v>0</v>
      </c>
    </row>
    <row r="1370" spans="1:13" x14ac:dyDescent="0.3">
      <c r="A1370" s="6">
        <f>+'[1]VENTAS(RESUMEN GLOBAL)'!L1370</f>
        <v>0</v>
      </c>
      <c r="B1370" s="6">
        <f>+'[1]VENTAS(RESUMEN GLOBAL)'!M1370</f>
        <v>0</v>
      </c>
      <c r="C1370">
        <f>+'[1]VENTAS(RESUMEN GLOBAL)'!B1370</f>
        <v>0</v>
      </c>
      <c r="D1370" t="e">
        <f>INDEX('[1]CÓDIGOS DE PRODUCTO'!$D$3:$D$1000,MATCH(C1370,'[1]CÓDIGOS DE PRODUCTO'!$A$3:$A$1000,0))</f>
        <v>#N/A</v>
      </c>
      <c r="E1370">
        <f>VLOOKUP(C1370,'[1]CÓDIGOS DE PRODUCTO'!$A$4:$B$156,2,FALSE)</f>
        <v>0</v>
      </c>
      <c r="F1370">
        <f>INDEX('[1]CÓDIGOS DE PRODUCTO'!$C$3:$C$1000,MATCH(C1370,'[1]CÓDIGOS DE PRODUCTO'!$A$3:$A$1000,0))</f>
        <v>0</v>
      </c>
      <c r="G1370">
        <f>+'[1]VENTAS(RESUMEN GLOBAL)'!D1370-'[1]VENTAS(RESUMEN GLOBAL)'!E1370</f>
        <v>0</v>
      </c>
      <c r="H1370" s="9">
        <f>+'[1]VENTAS(RESUMEN GLOBAL)'!K1370</f>
        <v>0</v>
      </c>
      <c r="I1370" s="8">
        <f>+G1370*'[1]VENTAS(RESUMEN GLOBAL)'!F1370</f>
        <v>0</v>
      </c>
      <c r="J1370" s="8">
        <f>'[1]VENTAS(RESUMEN GLOBAL)'!G1370*(1-'[1]VENTAS(RESUMEN GLOBAL)'!H1370)</f>
        <v>0</v>
      </c>
      <c r="K1370" s="8">
        <f t="shared" si="21"/>
        <v>0</v>
      </c>
      <c r="L1370" s="8">
        <f>+'[1]VENTAS(RESUMEN GLOBAL)'!J1370</f>
        <v>0</v>
      </c>
      <c r="M1370" s="8">
        <f>+Tabla1[[#This Row],[utilidad x dia]]*7</f>
        <v>0</v>
      </c>
    </row>
    <row r="1371" spans="1:13" x14ac:dyDescent="0.3">
      <c r="A1371" s="6">
        <f>+'[1]VENTAS(RESUMEN GLOBAL)'!L1371</f>
        <v>0</v>
      </c>
      <c r="B1371" s="6">
        <f>+'[1]VENTAS(RESUMEN GLOBAL)'!M1371</f>
        <v>0</v>
      </c>
      <c r="C1371">
        <f>+'[1]VENTAS(RESUMEN GLOBAL)'!B1371</f>
        <v>0</v>
      </c>
      <c r="D1371" t="e">
        <f>INDEX('[1]CÓDIGOS DE PRODUCTO'!$D$3:$D$1000,MATCH(C1371,'[1]CÓDIGOS DE PRODUCTO'!$A$3:$A$1000,0))</f>
        <v>#N/A</v>
      </c>
      <c r="E1371">
        <f>VLOOKUP(C1371,'[1]CÓDIGOS DE PRODUCTO'!$A$4:$B$156,2,FALSE)</f>
        <v>0</v>
      </c>
      <c r="F1371">
        <f>INDEX('[1]CÓDIGOS DE PRODUCTO'!$C$3:$C$1000,MATCH(C1371,'[1]CÓDIGOS DE PRODUCTO'!$A$3:$A$1000,0))</f>
        <v>0</v>
      </c>
      <c r="G1371">
        <f>+'[1]VENTAS(RESUMEN GLOBAL)'!D1371-'[1]VENTAS(RESUMEN GLOBAL)'!E1371</f>
        <v>0</v>
      </c>
      <c r="H1371" s="9">
        <f>+'[1]VENTAS(RESUMEN GLOBAL)'!K1371</f>
        <v>0</v>
      </c>
      <c r="I1371" s="8">
        <f>+G1371*'[1]VENTAS(RESUMEN GLOBAL)'!F1371</f>
        <v>0</v>
      </c>
      <c r="J1371" s="8">
        <f>'[1]VENTAS(RESUMEN GLOBAL)'!G1371*(1-'[1]VENTAS(RESUMEN GLOBAL)'!H1371)</f>
        <v>0</v>
      </c>
      <c r="K1371" s="8">
        <f t="shared" si="21"/>
        <v>0</v>
      </c>
      <c r="L1371" s="8">
        <f>+'[1]VENTAS(RESUMEN GLOBAL)'!J1371</f>
        <v>0</v>
      </c>
      <c r="M1371" s="8">
        <f>+Tabla1[[#This Row],[utilidad x dia]]*7</f>
        <v>0</v>
      </c>
    </row>
    <row r="1372" spans="1:13" x14ac:dyDescent="0.3">
      <c r="A1372" s="6">
        <f>+'[1]VENTAS(RESUMEN GLOBAL)'!L1372</f>
        <v>0</v>
      </c>
      <c r="B1372" s="6">
        <f>+'[1]VENTAS(RESUMEN GLOBAL)'!M1372</f>
        <v>0</v>
      </c>
      <c r="C1372">
        <f>+'[1]VENTAS(RESUMEN GLOBAL)'!B1372</f>
        <v>0</v>
      </c>
      <c r="D1372" t="e">
        <f>INDEX('[1]CÓDIGOS DE PRODUCTO'!$D$3:$D$1000,MATCH(C1372,'[1]CÓDIGOS DE PRODUCTO'!$A$3:$A$1000,0))</f>
        <v>#N/A</v>
      </c>
      <c r="E1372">
        <f>VLOOKUP(C1372,'[1]CÓDIGOS DE PRODUCTO'!$A$4:$B$156,2,FALSE)</f>
        <v>0</v>
      </c>
      <c r="F1372">
        <f>INDEX('[1]CÓDIGOS DE PRODUCTO'!$C$3:$C$1000,MATCH(C1372,'[1]CÓDIGOS DE PRODUCTO'!$A$3:$A$1000,0))</f>
        <v>0</v>
      </c>
      <c r="G1372">
        <f>+'[1]VENTAS(RESUMEN GLOBAL)'!D1372-'[1]VENTAS(RESUMEN GLOBAL)'!E1372</f>
        <v>0</v>
      </c>
      <c r="H1372" s="9">
        <f>+'[1]VENTAS(RESUMEN GLOBAL)'!K1372</f>
        <v>0</v>
      </c>
      <c r="I1372" s="8">
        <f>+G1372*'[1]VENTAS(RESUMEN GLOBAL)'!F1372</f>
        <v>0</v>
      </c>
      <c r="J1372" s="8">
        <f>'[1]VENTAS(RESUMEN GLOBAL)'!G1372*(1-'[1]VENTAS(RESUMEN GLOBAL)'!H1372)</f>
        <v>0</v>
      </c>
      <c r="K1372" s="8">
        <f t="shared" si="21"/>
        <v>0</v>
      </c>
      <c r="L1372" s="8">
        <f>+'[1]VENTAS(RESUMEN GLOBAL)'!J1372</f>
        <v>0</v>
      </c>
      <c r="M1372" s="8">
        <f>+Tabla1[[#This Row],[utilidad x dia]]*7</f>
        <v>0</v>
      </c>
    </row>
    <row r="1373" spans="1:13" x14ac:dyDescent="0.3">
      <c r="A1373" s="6">
        <f>+'[1]VENTAS(RESUMEN GLOBAL)'!L1373</f>
        <v>0</v>
      </c>
      <c r="B1373" s="6">
        <f>+'[1]VENTAS(RESUMEN GLOBAL)'!M1373</f>
        <v>0</v>
      </c>
      <c r="C1373">
        <f>+'[1]VENTAS(RESUMEN GLOBAL)'!B1373</f>
        <v>0</v>
      </c>
      <c r="D1373" t="e">
        <f>INDEX('[1]CÓDIGOS DE PRODUCTO'!$D$3:$D$1000,MATCH(C1373,'[1]CÓDIGOS DE PRODUCTO'!$A$3:$A$1000,0))</f>
        <v>#N/A</v>
      </c>
      <c r="E1373">
        <f>VLOOKUP(C1373,'[1]CÓDIGOS DE PRODUCTO'!$A$4:$B$156,2,FALSE)</f>
        <v>0</v>
      </c>
      <c r="F1373">
        <f>INDEX('[1]CÓDIGOS DE PRODUCTO'!$C$3:$C$1000,MATCH(C1373,'[1]CÓDIGOS DE PRODUCTO'!$A$3:$A$1000,0))</f>
        <v>0</v>
      </c>
      <c r="G1373">
        <f>+'[1]VENTAS(RESUMEN GLOBAL)'!D1373-'[1]VENTAS(RESUMEN GLOBAL)'!E1373</f>
        <v>0</v>
      </c>
      <c r="H1373" s="9">
        <f>+'[1]VENTAS(RESUMEN GLOBAL)'!K1373</f>
        <v>0</v>
      </c>
      <c r="I1373" s="8">
        <f>+G1373*'[1]VENTAS(RESUMEN GLOBAL)'!F1373</f>
        <v>0</v>
      </c>
      <c r="J1373" s="8">
        <f>'[1]VENTAS(RESUMEN GLOBAL)'!G1373*(1-'[1]VENTAS(RESUMEN GLOBAL)'!H1373)</f>
        <v>0</v>
      </c>
      <c r="K1373" s="8">
        <f t="shared" si="21"/>
        <v>0</v>
      </c>
      <c r="L1373" s="8">
        <f>+'[1]VENTAS(RESUMEN GLOBAL)'!J1373</f>
        <v>0</v>
      </c>
      <c r="M1373" s="8">
        <f>+Tabla1[[#This Row],[utilidad x dia]]*7</f>
        <v>0</v>
      </c>
    </row>
    <row r="1374" spans="1:13" x14ac:dyDescent="0.3">
      <c r="A1374" s="6">
        <f>+'[1]VENTAS(RESUMEN GLOBAL)'!L1374</f>
        <v>0</v>
      </c>
      <c r="B1374" s="6">
        <f>+'[1]VENTAS(RESUMEN GLOBAL)'!M1374</f>
        <v>0</v>
      </c>
      <c r="C1374">
        <f>+'[1]VENTAS(RESUMEN GLOBAL)'!B1374</f>
        <v>0</v>
      </c>
      <c r="D1374" t="e">
        <f>INDEX('[1]CÓDIGOS DE PRODUCTO'!$D$3:$D$1000,MATCH(C1374,'[1]CÓDIGOS DE PRODUCTO'!$A$3:$A$1000,0))</f>
        <v>#N/A</v>
      </c>
      <c r="E1374">
        <f>VLOOKUP(C1374,'[1]CÓDIGOS DE PRODUCTO'!$A$4:$B$156,2,FALSE)</f>
        <v>0</v>
      </c>
      <c r="F1374">
        <f>INDEX('[1]CÓDIGOS DE PRODUCTO'!$C$3:$C$1000,MATCH(C1374,'[1]CÓDIGOS DE PRODUCTO'!$A$3:$A$1000,0))</f>
        <v>0</v>
      </c>
      <c r="G1374">
        <f>+'[1]VENTAS(RESUMEN GLOBAL)'!D1374-'[1]VENTAS(RESUMEN GLOBAL)'!E1374</f>
        <v>0</v>
      </c>
      <c r="H1374" s="9">
        <f>+'[1]VENTAS(RESUMEN GLOBAL)'!K1374</f>
        <v>0</v>
      </c>
      <c r="I1374" s="8">
        <f>+G1374*'[1]VENTAS(RESUMEN GLOBAL)'!F1374</f>
        <v>0</v>
      </c>
      <c r="J1374" s="8">
        <f>'[1]VENTAS(RESUMEN GLOBAL)'!G1374*(1-'[1]VENTAS(RESUMEN GLOBAL)'!H1374)</f>
        <v>0</v>
      </c>
      <c r="K1374" s="8">
        <f t="shared" si="21"/>
        <v>0</v>
      </c>
      <c r="L1374" s="8">
        <f>+'[1]VENTAS(RESUMEN GLOBAL)'!J1374</f>
        <v>0</v>
      </c>
      <c r="M1374" s="8">
        <f>+Tabla1[[#This Row],[utilidad x dia]]*7</f>
        <v>0</v>
      </c>
    </row>
    <row r="1375" spans="1:13" x14ac:dyDescent="0.3">
      <c r="A1375" s="6">
        <f>+'[1]VENTAS(RESUMEN GLOBAL)'!L1375</f>
        <v>0</v>
      </c>
      <c r="B1375" s="6">
        <f>+'[1]VENTAS(RESUMEN GLOBAL)'!M1375</f>
        <v>0</v>
      </c>
      <c r="C1375">
        <f>+'[1]VENTAS(RESUMEN GLOBAL)'!B1375</f>
        <v>0</v>
      </c>
      <c r="D1375" t="e">
        <f>INDEX('[1]CÓDIGOS DE PRODUCTO'!$D$3:$D$1000,MATCH(C1375,'[1]CÓDIGOS DE PRODUCTO'!$A$3:$A$1000,0))</f>
        <v>#N/A</v>
      </c>
      <c r="E1375">
        <f>VLOOKUP(C1375,'[1]CÓDIGOS DE PRODUCTO'!$A$4:$B$156,2,FALSE)</f>
        <v>0</v>
      </c>
      <c r="F1375">
        <f>INDEX('[1]CÓDIGOS DE PRODUCTO'!$C$3:$C$1000,MATCH(C1375,'[1]CÓDIGOS DE PRODUCTO'!$A$3:$A$1000,0))</f>
        <v>0</v>
      </c>
      <c r="G1375">
        <f>+'[1]VENTAS(RESUMEN GLOBAL)'!D1375-'[1]VENTAS(RESUMEN GLOBAL)'!E1375</f>
        <v>0</v>
      </c>
      <c r="H1375" s="9">
        <f>+'[1]VENTAS(RESUMEN GLOBAL)'!K1375</f>
        <v>0</v>
      </c>
      <c r="I1375" s="8">
        <f>+G1375*'[1]VENTAS(RESUMEN GLOBAL)'!F1375</f>
        <v>0</v>
      </c>
      <c r="J1375" s="8">
        <f>'[1]VENTAS(RESUMEN GLOBAL)'!G1375*(1-'[1]VENTAS(RESUMEN GLOBAL)'!H1375)</f>
        <v>0</v>
      </c>
      <c r="K1375" s="8">
        <f t="shared" si="21"/>
        <v>0</v>
      </c>
      <c r="L1375" s="8">
        <f>+'[1]VENTAS(RESUMEN GLOBAL)'!J1375</f>
        <v>0</v>
      </c>
      <c r="M1375" s="8">
        <f>+Tabla1[[#This Row],[utilidad x dia]]*7</f>
        <v>0</v>
      </c>
    </row>
    <row r="1376" spans="1:13" x14ac:dyDescent="0.3">
      <c r="A1376" s="6">
        <f>+'[1]VENTAS(RESUMEN GLOBAL)'!L1376</f>
        <v>0</v>
      </c>
      <c r="B1376" s="6">
        <f>+'[1]VENTAS(RESUMEN GLOBAL)'!M1376</f>
        <v>0</v>
      </c>
      <c r="C1376">
        <f>+'[1]VENTAS(RESUMEN GLOBAL)'!B1376</f>
        <v>0</v>
      </c>
      <c r="D1376" t="e">
        <f>INDEX('[1]CÓDIGOS DE PRODUCTO'!$D$3:$D$1000,MATCH(C1376,'[1]CÓDIGOS DE PRODUCTO'!$A$3:$A$1000,0))</f>
        <v>#N/A</v>
      </c>
      <c r="E1376">
        <f>VLOOKUP(C1376,'[1]CÓDIGOS DE PRODUCTO'!$A$4:$B$156,2,FALSE)</f>
        <v>0</v>
      </c>
      <c r="F1376">
        <f>INDEX('[1]CÓDIGOS DE PRODUCTO'!$C$3:$C$1000,MATCH(C1376,'[1]CÓDIGOS DE PRODUCTO'!$A$3:$A$1000,0))</f>
        <v>0</v>
      </c>
      <c r="G1376">
        <f>+'[1]VENTAS(RESUMEN GLOBAL)'!D1376-'[1]VENTAS(RESUMEN GLOBAL)'!E1376</f>
        <v>0</v>
      </c>
      <c r="H1376" s="9">
        <f>+'[1]VENTAS(RESUMEN GLOBAL)'!K1376</f>
        <v>0</v>
      </c>
      <c r="I1376" s="8">
        <f>+G1376*'[1]VENTAS(RESUMEN GLOBAL)'!F1376</f>
        <v>0</v>
      </c>
      <c r="J1376" s="8">
        <f>'[1]VENTAS(RESUMEN GLOBAL)'!G1376*(1-'[1]VENTAS(RESUMEN GLOBAL)'!H1376)</f>
        <v>0</v>
      </c>
      <c r="K1376" s="8">
        <f t="shared" si="21"/>
        <v>0</v>
      </c>
      <c r="L1376" s="8">
        <f>+'[1]VENTAS(RESUMEN GLOBAL)'!J1376</f>
        <v>0</v>
      </c>
      <c r="M1376" s="8">
        <f>+Tabla1[[#This Row],[utilidad x dia]]*7</f>
        <v>0</v>
      </c>
    </row>
    <row r="1377" spans="1:13" x14ac:dyDescent="0.3">
      <c r="A1377" s="6">
        <f>+'[1]VENTAS(RESUMEN GLOBAL)'!L1377</f>
        <v>0</v>
      </c>
      <c r="B1377" s="6">
        <f>+'[1]VENTAS(RESUMEN GLOBAL)'!M1377</f>
        <v>0</v>
      </c>
      <c r="C1377">
        <f>+'[1]VENTAS(RESUMEN GLOBAL)'!B1377</f>
        <v>0</v>
      </c>
      <c r="D1377" t="e">
        <f>INDEX('[1]CÓDIGOS DE PRODUCTO'!$D$3:$D$1000,MATCH(C1377,'[1]CÓDIGOS DE PRODUCTO'!$A$3:$A$1000,0))</f>
        <v>#N/A</v>
      </c>
      <c r="E1377">
        <f>VLOOKUP(C1377,'[1]CÓDIGOS DE PRODUCTO'!$A$4:$B$156,2,FALSE)</f>
        <v>0</v>
      </c>
      <c r="F1377">
        <f>INDEX('[1]CÓDIGOS DE PRODUCTO'!$C$3:$C$1000,MATCH(C1377,'[1]CÓDIGOS DE PRODUCTO'!$A$3:$A$1000,0))</f>
        <v>0</v>
      </c>
      <c r="G1377">
        <f>+'[1]VENTAS(RESUMEN GLOBAL)'!D1377-'[1]VENTAS(RESUMEN GLOBAL)'!E1377</f>
        <v>0</v>
      </c>
      <c r="H1377" s="9">
        <f>+'[1]VENTAS(RESUMEN GLOBAL)'!K1377</f>
        <v>0</v>
      </c>
      <c r="I1377" s="8">
        <f>+G1377*'[1]VENTAS(RESUMEN GLOBAL)'!F1377</f>
        <v>0</v>
      </c>
      <c r="J1377" s="8">
        <f>'[1]VENTAS(RESUMEN GLOBAL)'!G1377*(1-'[1]VENTAS(RESUMEN GLOBAL)'!H1377)</f>
        <v>0</v>
      </c>
      <c r="K1377" s="8">
        <f t="shared" si="21"/>
        <v>0</v>
      </c>
      <c r="L1377" s="8">
        <f>+'[1]VENTAS(RESUMEN GLOBAL)'!J1377</f>
        <v>0</v>
      </c>
      <c r="M1377" s="8">
        <f>+Tabla1[[#This Row],[utilidad x dia]]*7</f>
        <v>0</v>
      </c>
    </row>
    <row r="1378" spans="1:13" x14ac:dyDescent="0.3">
      <c r="A1378" s="6">
        <f>+'[1]VENTAS(RESUMEN GLOBAL)'!L1378</f>
        <v>0</v>
      </c>
      <c r="B1378" s="6">
        <f>+'[1]VENTAS(RESUMEN GLOBAL)'!M1378</f>
        <v>0</v>
      </c>
      <c r="C1378">
        <f>+'[1]VENTAS(RESUMEN GLOBAL)'!B1378</f>
        <v>0</v>
      </c>
      <c r="D1378" t="e">
        <f>INDEX('[1]CÓDIGOS DE PRODUCTO'!$D$3:$D$1000,MATCH(C1378,'[1]CÓDIGOS DE PRODUCTO'!$A$3:$A$1000,0))</f>
        <v>#N/A</v>
      </c>
      <c r="E1378">
        <f>VLOOKUP(C1378,'[1]CÓDIGOS DE PRODUCTO'!$A$4:$B$156,2,FALSE)</f>
        <v>0</v>
      </c>
      <c r="F1378">
        <f>INDEX('[1]CÓDIGOS DE PRODUCTO'!$C$3:$C$1000,MATCH(C1378,'[1]CÓDIGOS DE PRODUCTO'!$A$3:$A$1000,0))</f>
        <v>0</v>
      </c>
      <c r="G1378">
        <f>+'[1]VENTAS(RESUMEN GLOBAL)'!D1378-'[1]VENTAS(RESUMEN GLOBAL)'!E1378</f>
        <v>0</v>
      </c>
      <c r="H1378" s="9">
        <f>+'[1]VENTAS(RESUMEN GLOBAL)'!K1378</f>
        <v>0</v>
      </c>
      <c r="I1378" s="8">
        <f>+G1378*'[1]VENTAS(RESUMEN GLOBAL)'!F1378</f>
        <v>0</v>
      </c>
      <c r="J1378" s="8">
        <f>'[1]VENTAS(RESUMEN GLOBAL)'!G1378*(1-'[1]VENTAS(RESUMEN GLOBAL)'!H1378)</f>
        <v>0</v>
      </c>
      <c r="K1378" s="8">
        <f t="shared" si="21"/>
        <v>0</v>
      </c>
      <c r="L1378" s="8">
        <f>+'[1]VENTAS(RESUMEN GLOBAL)'!J1378</f>
        <v>0</v>
      </c>
      <c r="M1378" s="8">
        <f>+Tabla1[[#This Row],[utilidad x dia]]*7</f>
        <v>0</v>
      </c>
    </row>
    <row r="1379" spans="1:13" x14ac:dyDescent="0.3">
      <c r="A1379" s="6">
        <f>+'[1]VENTAS(RESUMEN GLOBAL)'!L1379</f>
        <v>0</v>
      </c>
      <c r="B1379" s="6">
        <f>+'[1]VENTAS(RESUMEN GLOBAL)'!M1379</f>
        <v>0</v>
      </c>
      <c r="C1379">
        <f>+'[1]VENTAS(RESUMEN GLOBAL)'!B1379</f>
        <v>0</v>
      </c>
      <c r="D1379" t="e">
        <f>INDEX('[1]CÓDIGOS DE PRODUCTO'!$D$3:$D$1000,MATCH(C1379,'[1]CÓDIGOS DE PRODUCTO'!$A$3:$A$1000,0))</f>
        <v>#N/A</v>
      </c>
      <c r="E1379">
        <f>VLOOKUP(C1379,'[1]CÓDIGOS DE PRODUCTO'!$A$4:$B$156,2,FALSE)</f>
        <v>0</v>
      </c>
      <c r="F1379">
        <f>INDEX('[1]CÓDIGOS DE PRODUCTO'!$C$3:$C$1000,MATCH(C1379,'[1]CÓDIGOS DE PRODUCTO'!$A$3:$A$1000,0))</f>
        <v>0</v>
      </c>
      <c r="G1379">
        <f>+'[1]VENTAS(RESUMEN GLOBAL)'!D1379-'[1]VENTAS(RESUMEN GLOBAL)'!E1379</f>
        <v>0</v>
      </c>
      <c r="H1379" s="9">
        <f>+'[1]VENTAS(RESUMEN GLOBAL)'!K1379</f>
        <v>0</v>
      </c>
      <c r="I1379" s="8">
        <f>+G1379*'[1]VENTAS(RESUMEN GLOBAL)'!F1379</f>
        <v>0</v>
      </c>
      <c r="J1379" s="8">
        <f>'[1]VENTAS(RESUMEN GLOBAL)'!G1379*(1-'[1]VENTAS(RESUMEN GLOBAL)'!H1379)</f>
        <v>0</v>
      </c>
      <c r="K1379" s="8">
        <f t="shared" si="21"/>
        <v>0</v>
      </c>
      <c r="L1379" s="8">
        <f>+'[1]VENTAS(RESUMEN GLOBAL)'!J1379</f>
        <v>0</v>
      </c>
      <c r="M1379" s="8">
        <f>+Tabla1[[#This Row],[utilidad x dia]]*7</f>
        <v>0</v>
      </c>
    </row>
    <row r="1380" spans="1:13" x14ac:dyDescent="0.3">
      <c r="A1380" s="6">
        <f>+'[1]VENTAS(RESUMEN GLOBAL)'!L1380</f>
        <v>0</v>
      </c>
      <c r="B1380" s="6">
        <f>+'[1]VENTAS(RESUMEN GLOBAL)'!M1380</f>
        <v>0</v>
      </c>
      <c r="C1380">
        <f>+'[1]VENTAS(RESUMEN GLOBAL)'!B1380</f>
        <v>0</v>
      </c>
      <c r="D1380" t="e">
        <f>INDEX('[1]CÓDIGOS DE PRODUCTO'!$D$3:$D$1000,MATCH(C1380,'[1]CÓDIGOS DE PRODUCTO'!$A$3:$A$1000,0))</f>
        <v>#N/A</v>
      </c>
      <c r="E1380">
        <f>VLOOKUP(C1380,'[1]CÓDIGOS DE PRODUCTO'!$A$4:$B$156,2,FALSE)</f>
        <v>0</v>
      </c>
      <c r="F1380">
        <f>INDEX('[1]CÓDIGOS DE PRODUCTO'!$C$3:$C$1000,MATCH(C1380,'[1]CÓDIGOS DE PRODUCTO'!$A$3:$A$1000,0))</f>
        <v>0</v>
      </c>
      <c r="G1380">
        <f>+'[1]VENTAS(RESUMEN GLOBAL)'!D1380-'[1]VENTAS(RESUMEN GLOBAL)'!E1380</f>
        <v>0</v>
      </c>
      <c r="H1380" s="9">
        <f>+'[1]VENTAS(RESUMEN GLOBAL)'!K1380</f>
        <v>0</v>
      </c>
      <c r="I1380" s="8">
        <f>+G1380*'[1]VENTAS(RESUMEN GLOBAL)'!F1380</f>
        <v>0</v>
      </c>
      <c r="J1380" s="8">
        <f>'[1]VENTAS(RESUMEN GLOBAL)'!G1380*(1-'[1]VENTAS(RESUMEN GLOBAL)'!H1380)</f>
        <v>0</v>
      </c>
      <c r="K1380" s="8">
        <f t="shared" si="21"/>
        <v>0</v>
      </c>
      <c r="L1380" s="8">
        <f>+'[1]VENTAS(RESUMEN GLOBAL)'!J1380</f>
        <v>0</v>
      </c>
      <c r="M1380" s="8">
        <f>+Tabla1[[#This Row],[utilidad x dia]]*7</f>
        <v>0</v>
      </c>
    </row>
    <row r="1381" spans="1:13" x14ac:dyDescent="0.3">
      <c r="A1381" s="6">
        <f>+'[1]VENTAS(RESUMEN GLOBAL)'!L1381</f>
        <v>0</v>
      </c>
      <c r="B1381" s="6">
        <f>+'[1]VENTAS(RESUMEN GLOBAL)'!M1381</f>
        <v>0</v>
      </c>
      <c r="C1381">
        <f>+'[1]VENTAS(RESUMEN GLOBAL)'!B1381</f>
        <v>0</v>
      </c>
      <c r="D1381" t="e">
        <f>INDEX('[1]CÓDIGOS DE PRODUCTO'!$D$3:$D$1000,MATCH(C1381,'[1]CÓDIGOS DE PRODUCTO'!$A$3:$A$1000,0))</f>
        <v>#N/A</v>
      </c>
      <c r="E1381">
        <f>VLOOKUP(C1381,'[1]CÓDIGOS DE PRODUCTO'!$A$4:$B$156,2,FALSE)</f>
        <v>0</v>
      </c>
      <c r="F1381">
        <f>INDEX('[1]CÓDIGOS DE PRODUCTO'!$C$3:$C$1000,MATCH(C1381,'[1]CÓDIGOS DE PRODUCTO'!$A$3:$A$1000,0))</f>
        <v>0</v>
      </c>
      <c r="G1381">
        <f>+'[1]VENTAS(RESUMEN GLOBAL)'!D1381-'[1]VENTAS(RESUMEN GLOBAL)'!E1381</f>
        <v>0</v>
      </c>
      <c r="H1381" s="9">
        <f>+'[1]VENTAS(RESUMEN GLOBAL)'!K1381</f>
        <v>0</v>
      </c>
      <c r="I1381" s="8">
        <f>+G1381*'[1]VENTAS(RESUMEN GLOBAL)'!F1381</f>
        <v>0</v>
      </c>
      <c r="J1381" s="8">
        <f>'[1]VENTAS(RESUMEN GLOBAL)'!G1381*(1-'[1]VENTAS(RESUMEN GLOBAL)'!H1381)</f>
        <v>0</v>
      </c>
      <c r="K1381" s="8">
        <f t="shared" si="21"/>
        <v>0</v>
      </c>
      <c r="L1381" s="8">
        <f>+'[1]VENTAS(RESUMEN GLOBAL)'!J1381</f>
        <v>0</v>
      </c>
      <c r="M1381" s="8">
        <f>+Tabla1[[#This Row],[utilidad x dia]]*7</f>
        <v>0</v>
      </c>
    </row>
    <row r="1382" spans="1:13" x14ac:dyDescent="0.3">
      <c r="A1382" s="6">
        <f>+'[1]VENTAS(RESUMEN GLOBAL)'!L1382</f>
        <v>0</v>
      </c>
      <c r="B1382" s="6">
        <f>+'[1]VENTAS(RESUMEN GLOBAL)'!M1382</f>
        <v>0</v>
      </c>
      <c r="C1382">
        <f>+'[1]VENTAS(RESUMEN GLOBAL)'!B1382</f>
        <v>0</v>
      </c>
      <c r="D1382" t="e">
        <f>INDEX('[1]CÓDIGOS DE PRODUCTO'!$D$3:$D$1000,MATCH(C1382,'[1]CÓDIGOS DE PRODUCTO'!$A$3:$A$1000,0))</f>
        <v>#N/A</v>
      </c>
      <c r="E1382">
        <f>VLOOKUP(C1382,'[1]CÓDIGOS DE PRODUCTO'!$A$4:$B$156,2,FALSE)</f>
        <v>0</v>
      </c>
      <c r="F1382">
        <f>INDEX('[1]CÓDIGOS DE PRODUCTO'!$C$3:$C$1000,MATCH(C1382,'[1]CÓDIGOS DE PRODUCTO'!$A$3:$A$1000,0))</f>
        <v>0</v>
      </c>
      <c r="G1382">
        <f>+'[1]VENTAS(RESUMEN GLOBAL)'!D1382-'[1]VENTAS(RESUMEN GLOBAL)'!E1382</f>
        <v>0</v>
      </c>
      <c r="H1382" s="9">
        <f>+'[1]VENTAS(RESUMEN GLOBAL)'!K1382</f>
        <v>0</v>
      </c>
      <c r="I1382" s="8">
        <f>+G1382*'[1]VENTAS(RESUMEN GLOBAL)'!F1382</f>
        <v>0</v>
      </c>
      <c r="J1382" s="8">
        <f>'[1]VENTAS(RESUMEN GLOBAL)'!G1382*(1-'[1]VENTAS(RESUMEN GLOBAL)'!H1382)</f>
        <v>0</v>
      </c>
      <c r="K1382" s="8">
        <f t="shared" si="21"/>
        <v>0</v>
      </c>
      <c r="L1382" s="8">
        <f>+'[1]VENTAS(RESUMEN GLOBAL)'!J1382</f>
        <v>0</v>
      </c>
      <c r="M1382" s="8">
        <f>+Tabla1[[#This Row],[utilidad x dia]]*7</f>
        <v>0</v>
      </c>
    </row>
    <row r="1383" spans="1:13" x14ac:dyDescent="0.3">
      <c r="A1383" s="6">
        <f>+'[1]VENTAS(RESUMEN GLOBAL)'!L1383</f>
        <v>0</v>
      </c>
      <c r="B1383" s="6">
        <f>+'[1]VENTAS(RESUMEN GLOBAL)'!M1383</f>
        <v>0</v>
      </c>
      <c r="C1383">
        <f>+'[1]VENTAS(RESUMEN GLOBAL)'!B1383</f>
        <v>0</v>
      </c>
      <c r="D1383" t="e">
        <f>INDEX('[1]CÓDIGOS DE PRODUCTO'!$D$3:$D$1000,MATCH(C1383,'[1]CÓDIGOS DE PRODUCTO'!$A$3:$A$1000,0))</f>
        <v>#N/A</v>
      </c>
      <c r="E1383">
        <f>VLOOKUP(C1383,'[1]CÓDIGOS DE PRODUCTO'!$A$4:$B$156,2,FALSE)</f>
        <v>0</v>
      </c>
      <c r="F1383">
        <f>INDEX('[1]CÓDIGOS DE PRODUCTO'!$C$3:$C$1000,MATCH(C1383,'[1]CÓDIGOS DE PRODUCTO'!$A$3:$A$1000,0))</f>
        <v>0</v>
      </c>
      <c r="G1383">
        <f>+'[1]VENTAS(RESUMEN GLOBAL)'!D1383-'[1]VENTAS(RESUMEN GLOBAL)'!E1383</f>
        <v>0</v>
      </c>
      <c r="H1383" s="9">
        <f>+'[1]VENTAS(RESUMEN GLOBAL)'!K1383</f>
        <v>0</v>
      </c>
      <c r="I1383" s="8">
        <f>+G1383*'[1]VENTAS(RESUMEN GLOBAL)'!F1383</f>
        <v>0</v>
      </c>
      <c r="J1383" s="8">
        <f>'[1]VENTAS(RESUMEN GLOBAL)'!G1383*(1-'[1]VENTAS(RESUMEN GLOBAL)'!H1383)</f>
        <v>0</v>
      </c>
      <c r="K1383" s="8">
        <f t="shared" si="21"/>
        <v>0</v>
      </c>
      <c r="L1383" s="8">
        <f>+'[1]VENTAS(RESUMEN GLOBAL)'!J1383</f>
        <v>0</v>
      </c>
      <c r="M1383" s="8">
        <f>+Tabla1[[#This Row],[utilidad x dia]]*7</f>
        <v>0</v>
      </c>
    </row>
    <row r="1384" spans="1:13" x14ac:dyDescent="0.3">
      <c r="A1384" s="6">
        <f>+'[1]VENTAS(RESUMEN GLOBAL)'!L1384</f>
        <v>0</v>
      </c>
      <c r="B1384" s="6">
        <f>+'[1]VENTAS(RESUMEN GLOBAL)'!M1384</f>
        <v>0</v>
      </c>
      <c r="C1384">
        <f>+'[1]VENTAS(RESUMEN GLOBAL)'!B1384</f>
        <v>0</v>
      </c>
      <c r="D1384" t="e">
        <f>INDEX('[1]CÓDIGOS DE PRODUCTO'!$D$3:$D$1000,MATCH(C1384,'[1]CÓDIGOS DE PRODUCTO'!$A$3:$A$1000,0))</f>
        <v>#N/A</v>
      </c>
      <c r="E1384">
        <f>VLOOKUP(C1384,'[1]CÓDIGOS DE PRODUCTO'!$A$4:$B$156,2,FALSE)</f>
        <v>0</v>
      </c>
      <c r="F1384">
        <f>INDEX('[1]CÓDIGOS DE PRODUCTO'!$C$3:$C$1000,MATCH(C1384,'[1]CÓDIGOS DE PRODUCTO'!$A$3:$A$1000,0))</f>
        <v>0</v>
      </c>
      <c r="G1384">
        <f>+'[1]VENTAS(RESUMEN GLOBAL)'!D1384-'[1]VENTAS(RESUMEN GLOBAL)'!E1384</f>
        <v>0</v>
      </c>
      <c r="H1384" s="9">
        <f>+'[1]VENTAS(RESUMEN GLOBAL)'!K1384</f>
        <v>0</v>
      </c>
      <c r="I1384" s="8">
        <f>+G1384*'[1]VENTAS(RESUMEN GLOBAL)'!F1384</f>
        <v>0</v>
      </c>
      <c r="J1384" s="8">
        <f>'[1]VENTAS(RESUMEN GLOBAL)'!G1384*(1-'[1]VENTAS(RESUMEN GLOBAL)'!H1384)</f>
        <v>0</v>
      </c>
      <c r="K1384" s="8">
        <f t="shared" si="21"/>
        <v>0</v>
      </c>
      <c r="L1384" s="8">
        <f>+'[1]VENTAS(RESUMEN GLOBAL)'!J1384</f>
        <v>0</v>
      </c>
      <c r="M1384" s="8">
        <f>+Tabla1[[#This Row],[utilidad x dia]]*7</f>
        <v>0</v>
      </c>
    </row>
    <row r="1385" spans="1:13" x14ac:dyDescent="0.3">
      <c r="A1385" s="6">
        <f>+'[1]VENTAS(RESUMEN GLOBAL)'!L1385</f>
        <v>0</v>
      </c>
      <c r="B1385" s="6">
        <f>+'[1]VENTAS(RESUMEN GLOBAL)'!M1385</f>
        <v>0</v>
      </c>
      <c r="C1385">
        <f>+'[1]VENTAS(RESUMEN GLOBAL)'!B1385</f>
        <v>0</v>
      </c>
      <c r="D1385" t="e">
        <f>INDEX('[1]CÓDIGOS DE PRODUCTO'!$D$3:$D$1000,MATCH(C1385,'[1]CÓDIGOS DE PRODUCTO'!$A$3:$A$1000,0))</f>
        <v>#N/A</v>
      </c>
      <c r="E1385">
        <f>VLOOKUP(C1385,'[1]CÓDIGOS DE PRODUCTO'!$A$4:$B$156,2,FALSE)</f>
        <v>0</v>
      </c>
      <c r="F1385">
        <f>INDEX('[1]CÓDIGOS DE PRODUCTO'!$C$3:$C$1000,MATCH(C1385,'[1]CÓDIGOS DE PRODUCTO'!$A$3:$A$1000,0))</f>
        <v>0</v>
      </c>
      <c r="G1385">
        <f>+'[1]VENTAS(RESUMEN GLOBAL)'!D1385-'[1]VENTAS(RESUMEN GLOBAL)'!E1385</f>
        <v>0</v>
      </c>
      <c r="H1385" s="9">
        <f>+'[1]VENTAS(RESUMEN GLOBAL)'!K1385</f>
        <v>0</v>
      </c>
      <c r="I1385" s="8">
        <f>+G1385*'[1]VENTAS(RESUMEN GLOBAL)'!F1385</f>
        <v>0</v>
      </c>
      <c r="J1385" s="8">
        <f>'[1]VENTAS(RESUMEN GLOBAL)'!G1385*(1-'[1]VENTAS(RESUMEN GLOBAL)'!H1385)</f>
        <v>0</v>
      </c>
      <c r="K1385" s="8">
        <f t="shared" si="21"/>
        <v>0</v>
      </c>
      <c r="L1385" s="8">
        <f>+'[1]VENTAS(RESUMEN GLOBAL)'!J1385</f>
        <v>0</v>
      </c>
      <c r="M1385" s="8">
        <f>+Tabla1[[#This Row],[utilidad x dia]]*7</f>
        <v>0</v>
      </c>
    </row>
    <row r="1386" spans="1:13" x14ac:dyDescent="0.3">
      <c r="A1386" s="6">
        <f>+'[1]VENTAS(RESUMEN GLOBAL)'!L1386</f>
        <v>0</v>
      </c>
      <c r="B1386" s="6">
        <f>+'[1]VENTAS(RESUMEN GLOBAL)'!M1386</f>
        <v>0</v>
      </c>
      <c r="C1386">
        <f>+'[1]VENTAS(RESUMEN GLOBAL)'!B1386</f>
        <v>0</v>
      </c>
      <c r="D1386" t="e">
        <f>INDEX('[1]CÓDIGOS DE PRODUCTO'!$D$3:$D$1000,MATCH(C1386,'[1]CÓDIGOS DE PRODUCTO'!$A$3:$A$1000,0))</f>
        <v>#N/A</v>
      </c>
      <c r="E1386">
        <f>VLOOKUP(C1386,'[1]CÓDIGOS DE PRODUCTO'!$A$4:$B$156,2,FALSE)</f>
        <v>0</v>
      </c>
      <c r="F1386">
        <f>INDEX('[1]CÓDIGOS DE PRODUCTO'!$C$3:$C$1000,MATCH(C1386,'[1]CÓDIGOS DE PRODUCTO'!$A$3:$A$1000,0))</f>
        <v>0</v>
      </c>
      <c r="G1386">
        <f>+'[1]VENTAS(RESUMEN GLOBAL)'!D1386-'[1]VENTAS(RESUMEN GLOBAL)'!E1386</f>
        <v>0</v>
      </c>
      <c r="H1386" s="9">
        <f>+'[1]VENTAS(RESUMEN GLOBAL)'!K1386</f>
        <v>0</v>
      </c>
      <c r="I1386" s="8">
        <f>+G1386*'[1]VENTAS(RESUMEN GLOBAL)'!F1386</f>
        <v>0</v>
      </c>
      <c r="J1386" s="8">
        <f>'[1]VENTAS(RESUMEN GLOBAL)'!G1386*(1-'[1]VENTAS(RESUMEN GLOBAL)'!H1386)</f>
        <v>0</v>
      </c>
      <c r="K1386" s="8">
        <f t="shared" si="21"/>
        <v>0</v>
      </c>
      <c r="L1386" s="8">
        <f>+'[1]VENTAS(RESUMEN GLOBAL)'!J1386</f>
        <v>0</v>
      </c>
      <c r="M1386" s="8">
        <f>+Tabla1[[#This Row],[utilidad x dia]]*7</f>
        <v>0</v>
      </c>
    </row>
    <row r="1387" spans="1:13" x14ac:dyDescent="0.3">
      <c r="A1387" s="6">
        <f>+'[1]VENTAS(RESUMEN GLOBAL)'!L1387</f>
        <v>0</v>
      </c>
      <c r="B1387" s="6">
        <f>+'[1]VENTAS(RESUMEN GLOBAL)'!M1387</f>
        <v>0</v>
      </c>
      <c r="C1387">
        <f>+'[1]VENTAS(RESUMEN GLOBAL)'!B1387</f>
        <v>0</v>
      </c>
      <c r="D1387" t="e">
        <f>INDEX('[1]CÓDIGOS DE PRODUCTO'!$D$3:$D$1000,MATCH(C1387,'[1]CÓDIGOS DE PRODUCTO'!$A$3:$A$1000,0))</f>
        <v>#N/A</v>
      </c>
      <c r="E1387">
        <f>VLOOKUP(C1387,'[1]CÓDIGOS DE PRODUCTO'!$A$4:$B$156,2,FALSE)</f>
        <v>0</v>
      </c>
      <c r="F1387">
        <f>INDEX('[1]CÓDIGOS DE PRODUCTO'!$C$3:$C$1000,MATCH(C1387,'[1]CÓDIGOS DE PRODUCTO'!$A$3:$A$1000,0))</f>
        <v>0</v>
      </c>
      <c r="G1387">
        <f>+'[1]VENTAS(RESUMEN GLOBAL)'!D1387-'[1]VENTAS(RESUMEN GLOBAL)'!E1387</f>
        <v>0</v>
      </c>
      <c r="H1387" s="9">
        <f>+'[1]VENTAS(RESUMEN GLOBAL)'!K1387</f>
        <v>0</v>
      </c>
      <c r="I1387" s="8">
        <f>+G1387*'[1]VENTAS(RESUMEN GLOBAL)'!F1387</f>
        <v>0</v>
      </c>
      <c r="J1387" s="8">
        <f>'[1]VENTAS(RESUMEN GLOBAL)'!G1387*(1-'[1]VENTAS(RESUMEN GLOBAL)'!H1387)</f>
        <v>0</v>
      </c>
      <c r="K1387" s="8">
        <f t="shared" si="21"/>
        <v>0</v>
      </c>
      <c r="L1387" s="8">
        <f>+'[1]VENTAS(RESUMEN GLOBAL)'!J1387</f>
        <v>0</v>
      </c>
      <c r="M1387" s="8">
        <f>+Tabla1[[#This Row],[utilidad x dia]]*7</f>
        <v>0</v>
      </c>
    </row>
    <row r="1388" spans="1:13" x14ac:dyDescent="0.3">
      <c r="A1388" s="6">
        <f>+'[1]VENTAS(RESUMEN GLOBAL)'!L1388</f>
        <v>0</v>
      </c>
      <c r="B1388" s="6">
        <f>+'[1]VENTAS(RESUMEN GLOBAL)'!M1388</f>
        <v>0</v>
      </c>
      <c r="C1388">
        <f>+'[1]VENTAS(RESUMEN GLOBAL)'!B1388</f>
        <v>0</v>
      </c>
      <c r="D1388" t="e">
        <f>INDEX('[1]CÓDIGOS DE PRODUCTO'!$D$3:$D$1000,MATCH(C1388,'[1]CÓDIGOS DE PRODUCTO'!$A$3:$A$1000,0))</f>
        <v>#N/A</v>
      </c>
      <c r="E1388">
        <f>VLOOKUP(C1388,'[1]CÓDIGOS DE PRODUCTO'!$A$4:$B$156,2,FALSE)</f>
        <v>0</v>
      </c>
      <c r="F1388">
        <f>INDEX('[1]CÓDIGOS DE PRODUCTO'!$C$3:$C$1000,MATCH(C1388,'[1]CÓDIGOS DE PRODUCTO'!$A$3:$A$1000,0))</f>
        <v>0</v>
      </c>
      <c r="G1388">
        <f>+'[1]VENTAS(RESUMEN GLOBAL)'!D1388-'[1]VENTAS(RESUMEN GLOBAL)'!E1388</f>
        <v>0</v>
      </c>
      <c r="H1388" s="9">
        <f>+'[1]VENTAS(RESUMEN GLOBAL)'!K1388</f>
        <v>0</v>
      </c>
      <c r="I1388" s="8">
        <f>+G1388*'[1]VENTAS(RESUMEN GLOBAL)'!F1388</f>
        <v>0</v>
      </c>
      <c r="J1388" s="8">
        <f>'[1]VENTAS(RESUMEN GLOBAL)'!G1388*(1-'[1]VENTAS(RESUMEN GLOBAL)'!H1388)</f>
        <v>0</v>
      </c>
      <c r="K1388" s="8">
        <f t="shared" si="21"/>
        <v>0</v>
      </c>
      <c r="L1388" s="8">
        <f>+'[1]VENTAS(RESUMEN GLOBAL)'!J1388</f>
        <v>0</v>
      </c>
      <c r="M1388" s="8">
        <f>+Tabla1[[#This Row],[utilidad x dia]]*7</f>
        <v>0</v>
      </c>
    </row>
    <row r="1389" spans="1:13" x14ac:dyDescent="0.3">
      <c r="A1389" s="6">
        <f>+'[1]VENTAS(RESUMEN GLOBAL)'!L1389</f>
        <v>0</v>
      </c>
      <c r="B1389" s="6">
        <f>+'[1]VENTAS(RESUMEN GLOBAL)'!M1389</f>
        <v>0</v>
      </c>
      <c r="C1389">
        <f>+'[1]VENTAS(RESUMEN GLOBAL)'!B1389</f>
        <v>0</v>
      </c>
      <c r="D1389" t="e">
        <f>INDEX('[1]CÓDIGOS DE PRODUCTO'!$D$3:$D$1000,MATCH(C1389,'[1]CÓDIGOS DE PRODUCTO'!$A$3:$A$1000,0))</f>
        <v>#N/A</v>
      </c>
      <c r="E1389">
        <f>VLOOKUP(C1389,'[1]CÓDIGOS DE PRODUCTO'!$A$4:$B$156,2,FALSE)</f>
        <v>0</v>
      </c>
      <c r="F1389">
        <f>INDEX('[1]CÓDIGOS DE PRODUCTO'!$C$3:$C$1000,MATCH(C1389,'[1]CÓDIGOS DE PRODUCTO'!$A$3:$A$1000,0))</f>
        <v>0</v>
      </c>
      <c r="G1389">
        <f>+'[1]VENTAS(RESUMEN GLOBAL)'!D1389-'[1]VENTAS(RESUMEN GLOBAL)'!E1389</f>
        <v>0</v>
      </c>
      <c r="H1389" s="9">
        <f>+'[1]VENTAS(RESUMEN GLOBAL)'!K1389</f>
        <v>0</v>
      </c>
      <c r="I1389" s="8">
        <f>+G1389*'[1]VENTAS(RESUMEN GLOBAL)'!F1389</f>
        <v>0</v>
      </c>
      <c r="J1389" s="8">
        <f>'[1]VENTAS(RESUMEN GLOBAL)'!G1389*(1-'[1]VENTAS(RESUMEN GLOBAL)'!H1389)</f>
        <v>0</v>
      </c>
      <c r="K1389" s="8">
        <f t="shared" si="21"/>
        <v>0</v>
      </c>
      <c r="L1389" s="8">
        <f>+'[1]VENTAS(RESUMEN GLOBAL)'!J1389</f>
        <v>0</v>
      </c>
      <c r="M1389" s="8">
        <f>+Tabla1[[#This Row],[utilidad x dia]]*7</f>
        <v>0</v>
      </c>
    </row>
    <row r="1390" spans="1:13" x14ac:dyDescent="0.3">
      <c r="A1390" s="6">
        <f>+'[1]VENTAS(RESUMEN GLOBAL)'!L1390</f>
        <v>0</v>
      </c>
      <c r="B1390" s="6">
        <f>+'[1]VENTAS(RESUMEN GLOBAL)'!M1390</f>
        <v>0</v>
      </c>
      <c r="C1390">
        <f>+'[1]VENTAS(RESUMEN GLOBAL)'!B1390</f>
        <v>0</v>
      </c>
      <c r="D1390" t="e">
        <f>INDEX('[1]CÓDIGOS DE PRODUCTO'!$D$3:$D$1000,MATCH(C1390,'[1]CÓDIGOS DE PRODUCTO'!$A$3:$A$1000,0))</f>
        <v>#N/A</v>
      </c>
      <c r="E1390">
        <f>VLOOKUP(C1390,'[1]CÓDIGOS DE PRODUCTO'!$A$4:$B$156,2,FALSE)</f>
        <v>0</v>
      </c>
      <c r="F1390">
        <f>INDEX('[1]CÓDIGOS DE PRODUCTO'!$C$3:$C$1000,MATCH(C1390,'[1]CÓDIGOS DE PRODUCTO'!$A$3:$A$1000,0))</f>
        <v>0</v>
      </c>
      <c r="G1390">
        <f>+'[1]VENTAS(RESUMEN GLOBAL)'!D1390-'[1]VENTAS(RESUMEN GLOBAL)'!E1390</f>
        <v>0</v>
      </c>
      <c r="H1390" s="9">
        <f>+'[1]VENTAS(RESUMEN GLOBAL)'!K1390</f>
        <v>0</v>
      </c>
      <c r="I1390" s="8">
        <f>+G1390*'[1]VENTAS(RESUMEN GLOBAL)'!F1390</f>
        <v>0</v>
      </c>
      <c r="J1390" s="8">
        <f>'[1]VENTAS(RESUMEN GLOBAL)'!G1390*(1-'[1]VENTAS(RESUMEN GLOBAL)'!H1390)</f>
        <v>0</v>
      </c>
      <c r="K1390" s="8">
        <f t="shared" si="21"/>
        <v>0</v>
      </c>
      <c r="L1390" s="8">
        <f>+'[1]VENTAS(RESUMEN GLOBAL)'!J1390</f>
        <v>0</v>
      </c>
      <c r="M1390" s="8">
        <f>+Tabla1[[#This Row],[utilidad x dia]]*7</f>
        <v>0</v>
      </c>
    </row>
    <row r="1391" spans="1:13" x14ac:dyDescent="0.3">
      <c r="A1391" s="6">
        <f>+'[1]VENTAS(RESUMEN GLOBAL)'!L1391</f>
        <v>0</v>
      </c>
      <c r="B1391" s="6">
        <f>+'[1]VENTAS(RESUMEN GLOBAL)'!M1391</f>
        <v>0</v>
      </c>
      <c r="C1391">
        <f>+'[1]VENTAS(RESUMEN GLOBAL)'!B1391</f>
        <v>0</v>
      </c>
      <c r="D1391" t="e">
        <f>INDEX('[1]CÓDIGOS DE PRODUCTO'!$D$3:$D$1000,MATCH(C1391,'[1]CÓDIGOS DE PRODUCTO'!$A$3:$A$1000,0))</f>
        <v>#N/A</v>
      </c>
      <c r="E1391">
        <f>VLOOKUP(C1391,'[1]CÓDIGOS DE PRODUCTO'!$A$4:$B$156,2,FALSE)</f>
        <v>0</v>
      </c>
      <c r="F1391">
        <f>INDEX('[1]CÓDIGOS DE PRODUCTO'!$C$3:$C$1000,MATCH(C1391,'[1]CÓDIGOS DE PRODUCTO'!$A$3:$A$1000,0))</f>
        <v>0</v>
      </c>
      <c r="G1391">
        <f>+'[1]VENTAS(RESUMEN GLOBAL)'!D1391-'[1]VENTAS(RESUMEN GLOBAL)'!E1391</f>
        <v>0</v>
      </c>
      <c r="H1391" s="9">
        <f>+'[1]VENTAS(RESUMEN GLOBAL)'!K1391</f>
        <v>0</v>
      </c>
      <c r="I1391" s="8">
        <f>+G1391*'[1]VENTAS(RESUMEN GLOBAL)'!F1391</f>
        <v>0</v>
      </c>
      <c r="J1391" s="8">
        <f>'[1]VENTAS(RESUMEN GLOBAL)'!G1391*(1-'[1]VENTAS(RESUMEN GLOBAL)'!H1391)</f>
        <v>0</v>
      </c>
      <c r="K1391" s="8">
        <f t="shared" si="21"/>
        <v>0</v>
      </c>
      <c r="L1391" s="8">
        <f>+'[1]VENTAS(RESUMEN GLOBAL)'!J1391</f>
        <v>0</v>
      </c>
      <c r="M1391" s="8">
        <f>+Tabla1[[#This Row],[utilidad x dia]]*7</f>
        <v>0</v>
      </c>
    </row>
    <row r="1392" spans="1:13" x14ac:dyDescent="0.3">
      <c r="A1392" s="6">
        <f>+'[1]VENTAS(RESUMEN GLOBAL)'!L1392</f>
        <v>0</v>
      </c>
      <c r="B1392" s="6">
        <f>+'[1]VENTAS(RESUMEN GLOBAL)'!M1392</f>
        <v>0</v>
      </c>
      <c r="C1392">
        <f>+'[1]VENTAS(RESUMEN GLOBAL)'!B1392</f>
        <v>0</v>
      </c>
      <c r="D1392" t="e">
        <f>INDEX('[1]CÓDIGOS DE PRODUCTO'!$D$3:$D$1000,MATCH(C1392,'[1]CÓDIGOS DE PRODUCTO'!$A$3:$A$1000,0))</f>
        <v>#N/A</v>
      </c>
      <c r="E1392">
        <f>VLOOKUP(C1392,'[1]CÓDIGOS DE PRODUCTO'!$A$4:$B$156,2,FALSE)</f>
        <v>0</v>
      </c>
      <c r="F1392">
        <f>INDEX('[1]CÓDIGOS DE PRODUCTO'!$C$3:$C$1000,MATCH(C1392,'[1]CÓDIGOS DE PRODUCTO'!$A$3:$A$1000,0))</f>
        <v>0</v>
      </c>
      <c r="G1392">
        <f>+'[1]VENTAS(RESUMEN GLOBAL)'!D1392-'[1]VENTAS(RESUMEN GLOBAL)'!E1392</f>
        <v>0</v>
      </c>
      <c r="H1392" s="9">
        <f>+'[1]VENTAS(RESUMEN GLOBAL)'!K1392</f>
        <v>0</v>
      </c>
      <c r="I1392" s="8">
        <f>+G1392*'[1]VENTAS(RESUMEN GLOBAL)'!F1392</f>
        <v>0</v>
      </c>
      <c r="J1392" s="8">
        <f>'[1]VENTAS(RESUMEN GLOBAL)'!G1392*(1-'[1]VENTAS(RESUMEN GLOBAL)'!H1392)</f>
        <v>0</v>
      </c>
      <c r="K1392" s="8">
        <f t="shared" si="21"/>
        <v>0</v>
      </c>
      <c r="L1392" s="8">
        <f>+'[1]VENTAS(RESUMEN GLOBAL)'!J1392</f>
        <v>0</v>
      </c>
      <c r="M1392" s="8">
        <f>+Tabla1[[#This Row],[utilidad x dia]]*7</f>
        <v>0</v>
      </c>
    </row>
    <row r="1393" spans="1:13" x14ac:dyDescent="0.3">
      <c r="A1393" s="6">
        <f>+'[1]VENTAS(RESUMEN GLOBAL)'!L1393</f>
        <v>0</v>
      </c>
      <c r="B1393" s="6">
        <f>+'[1]VENTAS(RESUMEN GLOBAL)'!M1393</f>
        <v>0</v>
      </c>
      <c r="C1393">
        <f>+'[1]VENTAS(RESUMEN GLOBAL)'!B1393</f>
        <v>0</v>
      </c>
      <c r="D1393" t="e">
        <f>INDEX('[1]CÓDIGOS DE PRODUCTO'!$D$3:$D$1000,MATCH(C1393,'[1]CÓDIGOS DE PRODUCTO'!$A$3:$A$1000,0))</f>
        <v>#N/A</v>
      </c>
      <c r="E1393">
        <f>VLOOKUP(C1393,'[1]CÓDIGOS DE PRODUCTO'!$A$4:$B$156,2,FALSE)</f>
        <v>0</v>
      </c>
      <c r="F1393">
        <f>INDEX('[1]CÓDIGOS DE PRODUCTO'!$C$3:$C$1000,MATCH(C1393,'[1]CÓDIGOS DE PRODUCTO'!$A$3:$A$1000,0))</f>
        <v>0</v>
      </c>
      <c r="G1393">
        <f>+'[1]VENTAS(RESUMEN GLOBAL)'!D1393-'[1]VENTAS(RESUMEN GLOBAL)'!E1393</f>
        <v>0</v>
      </c>
      <c r="H1393" s="9">
        <f>+'[1]VENTAS(RESUMEN GLOBAL)'!K1393</f>
        <v>0</v>
      </c>
      <c r="I1393" s="8">
        <f>+G1393*'[1]VENTAS(RESUMEN GLOBAL)'!F1393</f>
        <v>0</v>
      </c>
      <c r="J1393" s="8">
        <f>'[1]VENTAS(RESUMEN GLOBAL)'!G1393*(1-'[1]VENTAS(RESUMEN GLOBAL)'!H1393)</f>
        <v>0</v>
      </c>
      <c r="K1393" s="8">
        <f t="shared" si="21"/>
        <v>0</v>
      </c>
      <c r="L1393" s="8">
        <f>+'[1]VENTAS(RESUMEN GLOBAL)'!J1393</f>
        <v>0</v>
      </c>
      <c r="M1393" s="8">
        <f>+Tabla1[[#This Row],[utilidad x dia]]*7</f>
        <v>0</v>
      </c>
    </row>
    <row r="1394" spans="1:13" x14ac:dyDescent="0.3">
      <c r="A1394" s="6">
        <f>+'[1]VENTAS(RESUMEN GLOBAL)'!L1394</f>
        <v>0</v>
      </c>
      <c r="B1394" s="6">
        <f>+'[1]VENTAS(RESUMEN GLOBAL)'!M1394</f>
        <v>0</v>
      </c>
      <c r="C1394">
        <f>+'[1]VENTAS(RESUMEN GLOBAL)'!B1394</f>
        <v>0</v>
      </c>
      <c r="D1394" t="e">
        <f>INDEX('[1]CÓDIGOS DE PRODUCTO'!$D$3:$D$1000,MATCH(C1394,'[1]CÓDIGOS DE PRODUCTO'!$A$3:$A$1000,0))</f>
        <v>#N/A</v>
      </c>
      <c r="E1394">
        <f>VLOOKUP(C1394,'[1]CÓDIGOS DE PRODUCTO'!$A$4:$B$156,2,FALSE)</f>
        <v>0</v>
      </c>
      <c r="F1394">
        <f>INDEX('[1]CÓDIGOS DE PRODUCTO'!$C$3:$C$1000,MATCH(C1394,'[1]CÓDIGOS DE PRODUCTO'!$A$3:$A$1000,0))</f>
        <v>0</v>
      </c>
      <c r="G1394">
        <f>+'[1]VENTAS(RESUMEN GLOBAL)'!D1394-'[1]VENTAS(RESUMEN GLOBAL)'!E1394</f>
        <v>0</v>
      </c>
      <c r="H1394" s="9">
        <f>+'[1]VENTAS(RESUMEN GLOBAL)'!K1394</f>
        <v>0</v>
      </c>
      <c r="I1394" s="8">
        <f>+G1394*'[1]VENTAS(RESUMEN GLOBAL)'!F1394</f>
        <v>0</v>
      </c>
      <c r="J1394" s="8">
        <f>'[1]VENTAS(RESUMEN GLOBAL)'!G1394*(1-'[1]VENTAS(RESUMEN GLOBAL)'!H1394)</f>
        <v>0</v>
      </c>
      <c r="K1394" s="8">
        <f t="shared" si="21"/>
        <v>0</v>
      </c>
      <c r="L1394" s="8">
        <f>+'[1]VENTAS(RESUMEN GLOBAL)'!J1394</f>
        <v>0</v>
      </c>
      <c r="M1394" s="8">
        <f>+Tabla1[[#This Row],[utilidad x dia]]*7</f>
        <v>0</v>
      </c>
    </row>
    <row r="1395" spans="1:13" x14ac:dyDescent="0.3">
      <c r="A1395" s="6">
        <f>+'[1]VENTAS(RESUMEN GLOBAL)'!L1395</f>
        <v>0</v>
      </c>
      <c r="B1395" s="6">
        <f>+'[1]VENTAS(RESUMEN GLOBAL)'!M1395</f>
        <v>0</v>
      </c>
      <c r="C1395">
        <f>+'[1]VENTAS(RESUMEN GLOBAL)'!B1395</f>
        <v>0</v>
      </c>
      <c r="D1395" t="e">
        <f>INDEX('[1]CÓDIGOS DE PRODUCTO'!$D$3:$D$1000,MATCH(C1395,'[1]CÓDIGOS DE PRODUCTO'!$A$3:$A$1000,0))</f>
        <v>#N/A</v>
      </c>
      <c r="E1395">
        <f>VLOOKUP(C1395,'[1]CÓDIGOS DE PRODUCTO'!$A$4:$B$156,2,FALSE)</f>
        <v>0</v>
      </c>
      <c r="F1395">
        <f>INDEX('[1]CÓDIGOS DE PRODUCTO'!$C$3:$C$1000,MATCH(C1395,'[1]CÓDIGOS DE PRODUCTO'!$A$3:$A$1000,0))</f>
        <v>0</v>
      </c>
      <c r="G1395">
        <f>+'[1]VENTAS(RESUMEN GLOBAL)'!D1395-'[1]VENTAS(RESUMEN GLOBAL)'!E1395</f>
        <v>0</v>
      </c>
      <c r="H1395" s="9">
        <f>+'[1]VENTAS(RESUMEN GLOBAL)'!K1395</f>
        <v>0</v>
      </c>
      <c r="I1395" s="8">
        <f>+G1395*'[1]VENTAS(RESUMEN GLOBAL)'!F1395</f>
        <v>0</v>
      </c>
      <c r="J1395" s="8">
        <f>'[1]VENTAS(RESUMEN GLOBAL)'!G1395*(1-'[1]VENTAS(RESUMEN GLOBAL)'!H1395)</f>
        <v>0</v>
      </c>
      <c r="K1395" s="8">
        <f t="shared" si="21"/>
        <v>0</v>
      </c>
      <c r="L1395" s="8">
        <f>+'[1]VENTAS(RESUMEN GLOBAL)'!J1395</f>
        <v>0</v>
      </c>
      <c r="M1395" s="8">
        <f>+Tabla1[[#This Row],[utilidad x dia]]*7</f>
        <v>0</v>
      </c>
    </row>
    <row r="1396" spans="1:13" x14ac:dyDescent="0.3">
      <c r="A1396" s="6">
        <f>+'[1]VENTAS(RESUMEN GLOBAL)'!L1396</f>
        <v>0</v>
      </c>
      <c r="B1396" s="6">
        <f>+'[1]VENTAS(RESUMEN GLOBAL)'!M1396</f>
        <v>0</v>
      </c>
      <c r="C1396">
        <f>+'[1]VENTAS(RESUMEN GLOBAL)'!B1396</f>
        <v>0</v>
      </c>
      <c r="D1396" t="e">
        <f>INDEX('[1]CÓDIGOS DE PRODUCTO'!$D$3:$D$1000,MATCH(C1396,'[1]CÓDIGOS DE PRODUCTO'!$A$3:$A$1000,0))</f>
        <v>#N/A</v>
      </c>
      <c r="E1396">
        <f>VLOOKUP(C1396,'[1]CÓDIGOS DE PRODUCTO'!$A$4:$B$156,2,FALSE)</f>
        <v>0</v>
      </c>
      <c r="F1396">
        <f>INDEX('[1]CÓDIGOS DE PRODUCTO'!$C$3:$C$1000,MATCH(C1396,'[1]CÓDIGOS DE PRODUCTO'!$A$3:$A$1000,0))</f>
        <v>0</v>
      </c>
      <c r="G1396">
        <f>+'[1]VENTAS(RESUMEN GLOBAL)'!D1396-'[1]VENTAS(RESUMEN GLOBAL)'!E1396</f>
        <v>0</v>
      </c>
      <c r="H1396" s="9">
        <f>+'[1]VENTAS(RESUMEN GLOBAL)'!K1396</f>
        <v>0</v>
      </c>
      <c r="I1396" s="8">
        <f>+G1396*'[1]VENTAS(RESUMEN GLOBAL)'!F1396</f>
        <v>0</v>
      </c>
      <c r="J1396" s="8">
        <f>'[1]VENTAS(RESUMEN GLOBAL)'!G1396*(1-'[1]VENTAS(RESUMEN GLOBAL)'!H1396)</f>
        <v>0</v>
      </c>
      <c r="K1396" s="8">
        <f t="shared" si="21"/>
        <v>0</v>
      </c>
      <c r="L1396" s="8">
        <f>+'[1]VENTAS(RESUMEN GLOBAL)'!J1396</f>
        <v>0</v>
      </c>
      <c r="M1396" s="8">
        <f>+Tabla1[[#This Row],[utilidad x dia]]*7</f>
        <v>0</v>
      </c>
    </row>
    <row r="1397" spans="1:13" x14ac:dyDescent="0.3">
      <c r="A1397" s="6">
        <f>+'[1]VENTAS(RESUMEN GLOBAL)'!L1397</f>
        <v>0</v>
      </c>
      <c r="B1397" s="6">
        <f>+'[1]VENTAS(RESUMEN GLOBAL)'!M1397</f>
        <v>0</v>
      </c>
      <c r="C1397">
        <f>+'[1]VENTAS(RESUMEN GLOBAL)'!B1397</f>
        <v>0</v>
      </c>
      <c r="D1397" t="e">
        <f>INDEX('[1]CÓDIGOS DE PRODUCTO'!$D$3:$D$1000,MATCH(C1397,'[1]CÓDIGOS DE PRODUCTO'!$A$3:$A$1000,0))</f>
        <v>#N/A</v>
      </c>
      <c r="E1397">
        <f>VLOOKUP(C1397,'[1]CÓDIGOS DE PRODUCTO'!$A$4:$B$156,2,FALSE)</f>
        <v>0</v>
      </c>
      <c r="F1397">
        <f>INDEX('[1]CÓDIGOS DE PRODUCTO'!$C$3:$C$1000,MATCH(C1397,'[1]CÓDIGOS DE PRODUCTO'!$A$3:$A$1000,0))</f>
        <v>0</v>
      </c>
      <c r="G1397">
        <f>+'[1]VENTAS(RESUMEN GLOBAL)'!D1397-'[1]VENTAS(RESUMEN GLOBAL)'!E1397</f>
        <v>0</v>
      </c>
      <c r="H1397" s="9">
        <f>+'[1]VENTAS(RESUMEN GLOBAL)'!K1397</f>
        <v>0</v>
      </c>
      <c r="I1397" s="8">
        <f>+G1397*'[1]VENTAS(RESUMEN GLOBAL)'!F1397</f>
        <v>0</v>
      </c>
      <c r="J1397" s="8">
        <f>'[1]VENTAS(RESUMEN GLOBAL)'!G1397*(1-'[1]VENTAS(RESUMEN GLOBAL)'!H1397)</f>
        <v>0</v>
      </c>
      <c r="K1397" s="8">
        <f t="shared" si="21"/>
        <v>0</v>
      </c>
      <c r="L1397" s="8">
        <f>+'[1]VENTAS(RESUMEN GLOBAL)'!J1397</f>
        <v>0</v>
      </c>
      <c r="M1397" s="8">
        <f>+Tabla1[[#This Row],[utilidad x dia]]*7</f>
        <v>0</v>
      </c>
    </row>
    <row r="1398" spans="1:13" x14ac:dyDescent="0.3">
      <c r="A1398" s="6">
        <f>+'[1]VENTAS(RESUMEN GLOBAL)'!L1398</f>
        <v>0</v>
      </c>
      <c r="B1398" s="6">
        <f>+'[1]VENTAS(RESUMEN GLOBAL)'!M1398</f>
        <v>0</v>
      </c>
      <c r="C1398">
        <f>+'[1]VENTAS(RESUMEN GLOBAL)'!B1398</f>
        <v>0</v>
      </c>
      <c r="D1398" t="e">
        <f>INDEX('[1]CÓDIGOS DE PRODUCTO'!$D$3:$D$1000,MATCH(C1398,'[1]CÓDIGOS DE PRODUCTO'!$A$3:$A$1000,0))</f>
        <v>#N/A</v>
      </c>
      <c r="E1398">
        <f>VLOOKUP(C1398,'[1]CÓDIGOS DE PRODUCTO'!$A$4:$B$156,2,FALSE)</f>
        <v>0</v>
      </c>
      <c r="F1398">
        <f>INDEX('[1]CÓDIGOS DE PRODUCTO'!$C$3:$C$1000,MATCH(C1398,'[1]CÓDIGOS DE PRODUCTO'!$A$3:$A$1000,0))</f>
        <v>0</v>
      </c>
      <c r="G1398">
        <f>+'[1]VENTAS(RESUMEN GLOBAL)'!D1398-'[1]VENTAS(RESUMEN GLOBAL)'!E1398</f>
        <v>0</v>
      </c>
      <c r="H1398" s="9">
        <f>+'[1]VENTAS(RESUMEN GLOBAL)'!K1398</f>
        <v>0</v>
      </c>
      <c r="I1398" s="8">
        <f>+G1398*'[1]VENTAS(RESUMEN GLOBAL)'!F1398</f>
        <v>0</v>
      </c>
      <c r="J1398" s="8">
        <f>'[1]VENTAS(RESUMEN GLOBAL)'!G1398*(1-'[1]VENTAS(RESUMEN GLOBAL)'!H1398)</f>
        <v>0</v>
      </c>
      <c r="K1398" s="8">
        <f t="shared" si="21"/>
        <v>0</v>
      </c>
      <c r="L1398" s="8">
        <f>+'[1]VENTAS(RESUMEN GLOBAL)'!J1398</f>
        <v>0</v>
      </c>
      <c r="M1398" s="8">
        <f>+Tabla1[[#This Row],[utilidad x dia]]*7</f>
        <v>0</v>
      </c>
    </row>
    <row r="1399" spans="1:13" x14ac:dyDescent="0.3">
      <c r="A1399" s="6">
        <f>+'[1]VENTAS(RESUMEN GLOBAL)'!L1399</f>
        <v>0</v>
      </c>
      <c r="B1399" s="6">
        <f>+'[1]VENTAS(RESUMEN GLOBAL)'!M1399</f>
        <v>0</v>
      </c>
      <c r="C1399">
        <f>+'[1]VENTAS(RESUMEN GLOBAL)'!B1399</f>
        <v>0</v>
      </c>
      <c r="D1399" t="e">
        <f>INDEX('[1]CÓDIGOS DE PRODUCTO'!$D$3:$D$1000,MATCH(C1399,'[1]CÓDIGOS DE PRODUCTO'!$A$3:$A$1000,0))</f>
        <v>#N/A</v>
      </c>
      <c r="E1399">
        <f>VLOOKUP(C1399,'[1]CÓDIGOS DE PRODUCTO'!$A$4:$B$156,2,FALSE)</f>
        <v>0</v>
      </c>
      <c r="F1399">
        <f>INDEX('[1]CÓDIGOS DE PRODUCTO'!$C$3:$C$1000,MATCH(C1399,'[1]CÓDIGOS DE PRODUCTO'!$A$3:$A$1000,0))</f>
        <v>0</v>
      </c>
      <c r="G1399">
        <f>+'[1]VENTAS(RESUMEN GLOBAL)'!D1399-'[1]VENTAS(RESUMEN GLOBAL)'!E1399</f>
        <v>0</v>
      </c>
      <c r="H1399" s="9">
        <f>+'[1]VENTAS(RESUMEN GLOBAL)'!K1399</f>
        <v>0</v>
      </c>
      <c r="I1399" s="8">
        <f>+G1399*'[1]VENTAS(RESUMEN GLOBAL)'!F1399</f>
        <v>0</v>
      </c>
      <c r="J1399" s="8">
        <f>'[1]VENTAS(RESUMEN GLOBAL)'!G1399*(1-'[1]VENTAS(RESUMEN GLOBAL)'!H1399)</f>
        <v>0</v>
      </c>
      <c r="K1399" s="8">
        <f t="shared" si="21"/>
        <v>0</v>
      </c>
      <c r="L1399" s="8">
        <f>+'[1]VENTAS(RESUMEN GLOBAL)'!J1399</f>
        <v>0</v>
      </c>
      <c r="M1399" s="8">
        <f>+Tabla1[[#This Row],[utilidad x dia]]*7</f>
        <v>0</v>
      </c>
    </row>
    <row r="1400" spans="1:13" x14ac:dyDescent="0.3">
      <c r="A1400" s="6">
        <f>+'[1]VENTAS(RESUMEN GLOBAL)'!L1400</f>
        <v>0</v>
      </c>
      <c r="B1400" s="6">
        <f>+'[1]VENTAS(RESUMEN GLOBAL)'!M1400</f>
        <v>0</v>
      </c>
      <c r="C1400">
        <f>+'[1]VENTAS(RESUMEN GLOBAL)'!B1400</f>
        <v>0</v>
      </c>
      <c r="D1400" t="e">
        <f>INDEX('[1]CÓDIGOS DE PRODUCTO'!$D$3:$D$1000,MATCH(C1400,'[1]CÓDIGOS DE PRODUCTO'!$A$3:$A$1000,0))</f>
        <v>#N/A</v>
      </c>
      <c r="E1400">
        <f>VLOOKUP(C1400,'[1]CÓDIGOS DE PRODUCTO'!$A$4:$B$156,2,FALSE)</f>
        <v>0</v>
      </c>
      <c r="F1400">
        <f>INDEX('[1]CÓDIGOS DE PRODUCTO'!$C$3:$C$1000,MATCH(C1400,'[1]CÓDIGOS DE PRODUCTO'!$A$3:$A$1000,0))</f>
        <v>0</v>
      </c>
      <c r="G1400">
        <f>+'[1]VENTAS(RESUMEN GLOBAL)'!D1400-'[1]VENTAS(RESUMEN GLOBAL)'!E1400</f>
        <v>0</v>
      </c>
      <c r="H1400" s="9">
        <f>+'[1]VENTAS(RESUMEN GLOBAL)'!K1400</f>
        <v>0</v>
      </c>
      <c r="I1400" s="8">
        <f>+G1400*'[1]VENTAS(RESUMEN GLOBAL)'!F1400</f>
        <v>0</v>
      </c>
      <c r="J1400" s="8">
        <f>'[1]VENTAS(RESUMEN GLOBAL)'!G1400*(1-'[1]VENTAS(RESUMEN GLOBAL)'!H1400)</f>
        <v>0</v>
      </c>
      <c r="K1400" s="8">
        <f t="shared" si="21"/>
        <v>0</v>
      </c>
      <c r="L1400" s="8">
        <f>+'[1]VENTAS(RESUMEN GLOBAL)'!J1400</f>
        <v>0</v>
      </c>
      <c r="M1400" s="8">
        <f>+Tabla1[[#This Row],[utilidad x dia]]*7</f>
        <v>0</v>
      </c>
    </row>
    <row r="1401" spans="1:13" x14ac:dyDescent="0.3">
      <c r="A1401" s="6">
        <f>+'[1]VENTAS(RESUMEN GLOBAL)'!L1401</f>
        <v>0</v>
      </c>
      <c r="B1401" s="6">
        <f>+'[1]VENTAS(RESUMEN GLOBAL)'!M1401</f>
        <v>0</v>
      </c>
      <c r="C1401">
        <f>+'[1]VENTAS(RESUMEN GLOBAL)'!B1401</f>
        <v>0</v>
      </c>
      <c r="D1401" t="e">
        <f>INDEX('[1]CÓDIGOS DE PRODUCTO'!$D$3:$D$1000,MATCH(C1401,'[1]CÓDIGOS DE PRODUCTO'!$A$3:$A$1000,0))</f>
        <v>#N/A</v>
      </c>
      <c r="E1401">
        <f>VLOOKUP(C1401,'[1]CÓDIGOS DE PRODUCTO'!$A$4:$B$156,2,FALSE)</f>
        <v>0</v>
      </c>
      <c r="F1401">
        <f>INDEX('[1]CÓDIGOS DE PRODUCTO'!$C$3:$C$1000,MATCH(C1401,'[1]CÓDIGOS DE PRODUCTO'!$A$3:$A$1000,0))</f>
        <v>0</v>
      </c>
      <c r="G1401">
        <f>+'[1]VENTAS(RESUMEN GLOBAL)'!D1401-'[1]VENTAS(RESUMEN GLOBAL)'!E1401</f>
        <v>0</v>
      </c>
      <c r="H1401" s="9">
        <f>+'[1]VENTAS(RESUMEN GLOBAL)'!K1401</f>
        <v>0</v>
      </c>
      <c r="I1401" s="8">
        <f>+G1401*'[1]VENTAS(RESUMEN GLOBAL)'!F1401</f>
        <v>0</v>
      </c>
      <c r="J1401" s="8">
        <f>'[1]VENTAS(RESUMEN GLOBAL)'!G1401*(1-'[1]VENTAS(RESUMEN GLOBAL)'!H1401)</f>
        <v>0</v>
      </c>
      <c r="K1401" s="8">
        <f t="shared" si="21"/>
        <v>0</v>
      </c>
      <c r="L1401" s="8">
        <f>+'[1]VENTAS(RESUMEN GLOBAL)'!J1401</f>
        <v>0</v>
      </c>
      <c r="M1401" s="8">
        <f>+Tabla1[[#This Row],[utilidad x dia]]*7</f>
        <v>0</v>
      </c>
    </row>
    <row r="1402" spans="1:13" x14ac:dyDescent="0.3">
      <c r="A1402" s="6">
        <f>+'[1]VENTAS(RESUMEN GLOBAL)'!L1402</f>
        <v>0</v>
      </c>
      <c r="B1402" s="6">
        <f>+'[1]VENTAS(RESUMEN GLOBAL)'!M1402</f>
        <v>0</v>
      </c>
      <c r="C1402">
        <f>+'[1]VENTAS(RESUMEN GLOBAL)'!B1402</f>
        <v>0</v>
      </c>
      <c r="D1402" t="e">
        <f>INDEX('[1]CÓDIGOS DE PRODUCTO'!$D$3:$D$1000,MATCH(C1402,'[1]CÓDIGOS DE PRODUCTO'!$A$3:$A$1000,0))</f>
        <v>#N/A</v>
      </c>
      <c r="E1402">
        <f>VLOOKUP(C1402,'[1]CÓDIGOS DE PRODUCTO'!$A$4:$B$156,2,FALSE)</f>
        <v>0</v>
      </c>
      <c r="F1402">
        <f>INDEX('[1]CÓDIGOS DE PRODUCTO'!$C$3:$C$1000,MATCH(C1402,'[1]CÓDIGOS DE PRODUCTO'!$A$3:$A$1000,0))</f>
        <v>0</v>
      </c>
      <c r="G1402">
        <f>+'[1]VENTAS(RESUMEN GLOBAL)'!D1402-'[1]VENTAS(RESUMEN GLOBAL)'!E1402</f>
        <v>0</v>
      </c>
      <c r="H1402" s="9">
        <f>+'[1]VENTAS(RESUMEN GLOBAL)'!K1402</f>
        <v>0</v>
      </c>
      <c r="I1402" s="8">
        <f>+G1402*'[1]VENTAS(RESUMEN GLOBAL)'!F1402</f>
        <v>0</v>
      </c>
      <c r="J1402" s="8">
        <f>'[1]VENTAS(RESUMEN GLOBAL)'!G1402*(1-'[1]VENTAS(RESUMEN GLOBAL)'!H1402)</f>
        <v>0</v>
      </c>
      <c r="K1402" s="8">
        <f t="shared" si="21"/>
        <v>0</v>
      </c>
      <c r="L1402" s="8">
        <f>+'[1]VENTAS(RESUMEN GLOBAL)'!J1402</f>
        <v>0</v>
      </c>
      <c r="M1402" s="8">
        <f>+Tabla1[[#This Row],[utilidad x dia]]*7</f>
        <v>0</v>
      </c>
    </row>
    <row r="1403" spans="1:13" x14ac:dyDescent="0.3">
      <c r="A1403" s="6">
        <f>+'[1]VENTAS(RESUMEN GLOBAL)'!L1403</f>
        <v>0</v>
      </c>
      <c r="B1403" s="6">
        <f>+'[1]VENTAS(RESUMEN GLOBAL)'!M1403</f>
        <v>0</v>
      </c>
      <c r="C1403">
        <f>+'[1]VENTAS(RESUMEN GLOBAL)'!B1403</f>
        <v>0</v>
      </c>
      <c r="D1403" t="e">
        <f>INDEX('[1]CÓDIGOS DE PRODUCTO'!$D$3:$D$1000,MATCH(C1403,'[1]CÓDIGOS DE PRODUCTO'!$A$3:$A$1000,0))</f>
        <v>#N/A</v>
      </c>
      <c r="E1403">
        <f>VLOOKUP(C1403,'[1]CÓDIGOS DE PRODUCTO'!$A$4:$B$156,2,FALSE)</f>
        <v>0</v>
      </c>
      <c r="F1403">
        <f>INDEX('[1]CÓDIGOS DE PRODUCTO'!$C$3:$C$1000,MATCH(C1403,'[1]CÓDIGOS DE PRODUCTO'!$A$3:$A$1000,0))</f>
        <v>0</v>
      </c>
      <c r="G1403">
        <f>+'[1]VENTAS(RESUMEN GLOBAL)'!D1403-'[1]VENTAS(RESUMEN GLOBAL)'!E1403</f>
        <v>0</v>
      </c>
      <c r="H1403" s="9">
        <f>+'[1]VENTAS(RESUMEN GLOBAL)'!K1403</f>
        <v>0</v>
      </c>
      <c r="I1403" s="8">
        <f>+G1403*'[1]VENTAS(RESUMEN GLOBAL)'!F1403</f>
        <v>0</v>
      </c>
      <c r="J1403" s="8">
        <f>'[1]VENTAS(RESUMEN GLOBAL)'!G1403*(1-'[1]VENTAS(RESUMEN GLOBAL)'!H1403)</f>
        <v>0</v>
      </c>
      <c r="K1403" s="8">
        <f t="shared" si="21"/>
        <v>0</v>
      </c>
      <c r="L1403" s="8">
        <f>+'[1]VENTAS(RESUMEN GLOBAL)'!J1403</f>
        <v>0</v>
      </c>
      <c r="M1403" s="8">
        <f>+Tabla1[[#This Row],[utilidad x dia]]*7</f>
        <v>0</v>
      </c>
    </row>
    <row r="1404" spans="1:13" x14ac:dyDescent="0.3">
      <c r="A1404" s="6">
        <f>+'[1]VENTAS(RESUMEN GLOBAL)'!L1404</f>
        <v>0</v>
      </c>
      <c r="B1404" s="6">
        <f>+'[1]VENTAS(RESUMEN GLOBAL)'!M1404</f>
        <v>0</v>
      </c>
      <c r="C1404">
        <f>+'[1]VENTAS(RESUMEN GLOBAL)'!B1404</f>
        <v>0</v>
      </c>
      <c r="D1404" t="e">
        <f>INDEX('[1]CÓDIGOS DE PRODUCTO'!$D$3:$D$1000,MATCH(C1404,'[1]CÓDIGOS DE PRODUCTO'!$A$3:$A$1000,0))</f>
        <v>#N/A</v>
      </c>
      <c r="E1404">
        <f>VLOOKUP(C1404,'[1]CÓDIGOS DE PRODUCTO'!$A$4:$B$156,2,FALSE)</f>
        <v>0</v>
      </c>
      <c r="F1404">
        <f>INDEX('[1]CÓDIGOS DE PRODUCTO'!$C$3:$C$1000,MATCH(C1404,'[1]CÓDIGOS DE PRODUCTO'!$A$3:$A$1000,0))</f>
        <v>0</v>
      </c>
      <c r="G1404">
        <f>+'[1]VENTAS(RESUMEN GLOBAL)'!D1404-'[1]VENTAS(RESUMEN GLOBAL)'!E1404</f>
        <v>0</v>
      </c>
      <c r="H1404" s="9">
        <f>+'[1]VENTAS(RESUMEN GLOBAL)'!K1404</f>
        <v>0</v>
      </c>
      <c r="I1404" s="8">
        <f>+G1404*'[1]VENTAS(RESUMEN GLOBAL)'!F1404</f>
        <v>0</v>
      </c>
      <c r="J1404" s="8">
        <f>'[1]VENTAS(RESUMEN GLOBAL)'!G1404*(1-'[1]VENTAS(RESUMEN GLOBAL)'!H1404)</f>
        <v>0</v>
      </c>
      <c r="K1404" s="8">
        <f t="shared" si="21"/>
        <v>0</v>
      </c>
      <c r="L1404" s="8">
        <f>+'[1]VENTAS(RESUMEN GLOBAL)'!J1404</f>
        <v>0</v>
      </c>
      <c r="M1404" s="8">
        <f>+Tabla1[[#This Row],[utilidad x dia]]*7</f>
        <v>0</v>
      </c>
    </row>
    <row r="1405" spans="1:13" x14ac:dyDescent="0.3">
      <c r="A1405" s="6">
        <f>+'[1]VENTAS(RESUMEN GLOBAL)'!L1405</f>
        <v>0</v>
      </c>
      <c r="B1405" s="6">
        <f>+'[1]VENTAS(RESUMEN GLOBAL)'!M1405</f>
        <v>0</v>
      </c>
      <c r="C1405">
        <f>+'[1]VENTAS(RESUMEN GLOBAL)'!B1405</f>
        <v>0</v>
      </c>
      <c r="D1405" t="e">
        <f>INDEX('[1]CÓDIGOS DE PRODUCTO'!$D$3:$D$1000,MATCH(C1405,'[1]CÓDIGOS DE PRODUCTO'!$A$3:$A$1000,0))</f>
        <v>#N/A</v>
      </c>
      <c r="E1405">
        <f>VLOOKUP(C1405,'[1]CÓDIGOS DE PRODUCTO'!$A$4:$B$156,2,FALSE)</f>
        <v>0</v>
      </c>
      <c r="F1405">
        <f>INDEX('[1]CÓDIGOS DE PRODUCTO'!$C$3:$C$1000,MATCH(C1405,'[1]CÓDIGOS DE PRODUCTO'!$A$3:$A$1000,0))</f>
        <v>0</v>
      </c>
      <c r="G1405">
        <f>+'[1]VENTAS(RESUMEN GLOBAL)'!D1405-'[1]VENTAS(RESUMEN GLOBAL)'!E1405</f>
        <v>0</v>
      </c>
      <c r="H1405" s="9">
        <f>+'[1]VENTAS(RESUMEN GLOBAL)'!K1405</f>
        <v>0</v>
      </c>
      <c r="I1405" s="8">
        <f>+G1405*'[1]VENTAS(RESUMEN GLOBAL)'!F1405</f>
        <v>0</v>
      </c>
      <c r="J1405" s="8">
        <f>'[1]VENTAS(RESUMEN GLOBAL)'!G1405*(1-'[1]VENTAS(RESUMEN GLOBAL)'!H1405)</f>
        <v>0</v>
      </c>
      <c r="K1405" s="8">
        <f t="shared" si="21"/>
        <v>0</v>
      </c>
      <c r="L1405" s="8">
        <f>+'[1]VENTAS(RESUMEN GLOBAL)'!J1405</f>
        <v>0</v>
      </c>
      <c r="M1405" s="8">
        <f>+Tabla1[[#This Row],[utilidad x dia]]*7</f>
        <v>0</v>
      </c>
    </row>
    <row r="1406" spans="1:13" x14ac:dyDescent="0.3">
      <c r="A1406" s="6">
        <f>+'[1]VENTAS(RESUMEN GLOBAL)'!L1406</f>
        <v>0</v>
      </c>
      <c r="B1406" s="6">
        <f>+'[1]VENTAS(RESUMEN GLOBAL)'!M1406</f>
        <v>0</v>
      </c>
      <c r="C1406">
        <f>+'[1]VENTAS(RESUMEN GLOBAL)'!B1406</f>
        <v>0</v>
      </c>
      <c r="D1406" t="e">
        <f>INDEX('[1]CÓDIGOS DE PRODUCTO'!$D$3:$D$1000,MATCH(C1406,'[1]CÓDIGOS DE PRODUCTO'!$A$3:$A$1000,0))</f>
        <v>#N/A</v>
      </c>
      <c r="E1406">
        <f>VLOOKUP(C1406,'[1]CÓDIGOS DE PRODUCTO'!$A$4:$B$156,2,FALSE)</f>
        <v>0</v>
      </c>
      <c r="F1406">
        <f>INDEX('[1]CÓDIGOS DE PRODUCTO'!$C$3:$C$1000,MATCH(C1406,'[1]CÓDIGOS DE PRODUCTO'!$A$3:$A$1000,0))</f>
        <v>0</v>
      </c>
      <c r="G1406">
        <f>+'[1]VENTAS(RESUMEN GLOBAL)'!D1406-'[1]VENTAS(RESUMEN GLOBAL)'!E1406</f>
        <v>0</v>
      </c>
      <c r="H1406" s="9">
        <f>+'[1]VENTAS(RESUMEN GLOBAL)'!K1406</f>
        <v>0</v>
      </c>
      <c r="I1406" s="8">
        <f>+G1406*'[1]VENTAS(RESUMEN GLOBAL)'!F1406</f>
        <v>0</v>
      </c>
      <c r="J1406" s="8">
        <f>'[1]VENTAS(RESUMEN GLOBAL)'!G1406*(1-'[1]VENTAS(RESUMEN GLOBAL)'!H1406)</f>
        <v>0</v>
      </c>
      <c r="K1406" s="8">
        <f t="shared" si="21"/>
        <v>0</v>
      </c>
      <c r="L1406" s="8">
        <f>+'[1]VENTAS(RESUMEN GLOBAL)'!J1406</f>
        <v>0</v>
      </c>
      <c r="M1406" s="8">
        <f>+Tabla1[[#This Row],[utilidad x dia]]*7</f>
        <v>0</v>
      </c>
    </row>
    <row r="1407" spans="1:13" x14ac:dyDescent="0.3">
      <c r="A1407" s="6">
        <f>+'[1]VENTAS(RESUMEN GLOBAL)'!L1407</f>
        <v>0</v>
      </c>
      <c r="B1407" s="6">
        <f>+'[1]VENTAS(RESUMEN GLOBAL)'!M1407</f>
        <v>0</v>
      </c>
      <c r="C1407">
        <f>+'[1]VENTAS(RESUMEN GLOBAL)'!B1407</f>
        <v>0</v>
      </c>
      <c r="D1407" t="e">
        <f>INDEX('[1]CÓDIGOS DE PRODUCTO'!$D$3:$D$1000,MATCH(C1407,'[1]CÓDIGOS DE PRODUCTO'!$A$3:$A$1000,0))</f>
        <v>#N/A</v>
      </c>
      <c r="E1407">
        <f>VLOOKUP(C1407,'[1]CÓDIGOS DE PRODUCTO'!$A$4:$B$156,2,FALSE)</f>
        <v>0</v>
      </c>
      <c r="F1407">
        <f>INDEX('[1]CÓDIGOS DE PRODUCTO'!$C$3:$C$1000,MATCH(C1407,'[1]CÓDIGOS DE PRODUCTO'!$A$3:$A$1000,0))</f>
        <v>0</v>
      </c>
      <c r="G1407">
        <f>+'[1]VENTAS(RESUMEN GLOBAL)'!D1407-'[1]VENTAS(RESUMEN GLOBAL)'!E1407</f>
        <v>0</v>
      </c>
      <c r="H1407" s="9">
        <f>+'[1]VENTAS(RESUMEN GLOBAL)'!K1407</f>
        <v>0</v>
      </c>
      <c r="I1407" s="8">
        <f>+G1407*'[1]VENTAS(RESUMEN GLOBAL)'!F1407</f>
        <v>0</v>
      </c>
      <c r="J1407" s="8">
        <f>'[1]VENTAS(RESUMEN GLOBAL)'!G1407*(1-'[1]VENTAS(RESUMEN GLOBAL)'!H1407)</f>
        <v>0</v>
      </c>
      <c r="K1407" s="8">
        <f t="shared" si="21"/>
        <v>0</v>
      </c>
      <c r="L1407" s="8">
        <f>+'[1]VENTAS(RESUMEN GLOBAL)'!J1407</f>
        <v>0</v>
      </c>
      <c r="M1407" s="8">
        <f>+Tabla1[[#This Row],[utilidad x dia]]*7</f>
        <v>0</v>
      </c>
    </row>
    <row r="1408" spans="1:13" x14ac:dyDescent="0.3">
      <c r="A1408" s="6">
        <f>+'[1]VENTAS(RESUMEN GLOBAL)'!L1408</f>
        <v>0</v>
      </c>
      <c r="B1408" s="6">
        <f>+'[1]VENTAS(RESUMEN GLOBAL)'!M1408</f>
        <v>0</v>
      </c>
      <c r="C1408">
        <f>+'[1]VENTAS(RESUMEN GLOBAL)'!B1408</f>
        <v>0</v>
      </c>
      <c r="D1408" t="e">
        <f>INDEX('[1]CÓDIGOS DE PRODUCTO'!$D$3:$D$1000,MATCH(C1408,'[1]CÓDIGOS DE PRODUCTO'!$A$3:$A$1000,0))</f>
        <v>#N/A</v>
      </c>
      <c r="E1408">
        <f>VLOOKUP(C1408,'[1]CÓDIGOS DE PRODUCTO'!$A$4:$B$156,2,FALSE)</f>
        <v>0</v>
      </c>
      <c r="F1408">
        <f>INDEX('[1]CÓDIGOS DE PRODUCTO'!$C$3:$C$1000,MATCH(C1408,'[1]CÓDIGOS DE PRODUCTO'!$A$3:$A$1000,0))</f>
        <v>0</v>
      </c>
      <c r="G1408">
        <f>+'[1]VENTAS(RESUMEN GLOBAL)'!D1408-'[1]VENTAS(RESUMEN GLOBAL)'!E1408</f>
        <v>0</v>
      </c>
      <c r="H1408" s="9">
        <f>+'[1]VENTAS(RESUMEN GLOBAL)'!K1408</f>
        <v>0</v>
      </c>
      <c r="I1408" s="8">
        <f>+G1408*'[1]VENTAS(RESUMEN GLOBAL)'!F1408</f>
        <v>0</v>
      </c>
      <c r="J1408" s="8">
        <f>'[1]VENTAS(RESUMEN GLOBAL)'!G1408*(1-'[1]VENTAS(RESUMEN GLOBAL)'!H1408)</f>
        <v>0</v>
      </c>
      <c r="K1408" s="8">
        <f t="shared" si="21"/>
        <v>0</v>
      </c>
      <c r="L1408" s="8">
        <f>+'[1]VENTAS(RESUMEN GLOBAL)'!J1408</f>
        <v>0</v>
      </c>
      <c r="M1408" s="8">
        <f>+Tabla1[[#This Row],[utilidad x dia]]*7</f>
        <v>0</v>
      </c>
    </row>
    <row r="1409" spans="1:13" x14ac:dyDescent="0.3">
      <c r="A1409" s="6">
        <f>+'[1]VENTAS(RESUMEN GLOBAL)'!L1409</f>
        <v>0</v>
      </c>
      <c r="B1409" s="6">
        <f>+'[1]VENTAS(RESUMEN GLOBAL)'!M1409</f>
        <v>0</v>
      </c>
      <c r="C1409">
        <f>+'[1]VENTAS(RESUMEN GLOBAL)'!B1409</f>
        <v>0</v>
      </c>
      <c r="D1409" t="e">
        <f>INDEX('[1]CÓDIGOS DE PRODUCTO'!$D$3:$D$1000,MATCH(C1409,'[1]CÓDIGOS DE PRODUCTO'!$A$3:$A$1000,0))</f>
        <v>#N/A</v>
      </c>
      <c r="E1409">
        <f>VLOOKUP(C1409,'[1]CÓDIGOS DE PRODUCTO'!$A$4:$B$156,2,FALSE)</f>
        <v>0</v>
      </c>
      <c r="F1409">
        <f>INDEX('[1]CÓDIGOS DE PRODUCTO'!$C$3:$C$1000,MATCH(C1409,'[1]CÓDIGOS DE PRODUCTO'!$A$3:$A$1000,0))</f>
        <v>0</v>
      </c>
      <c r="G1409">
        <f>+'[1]VENTAS(RESUMEN GLOBAL)'!D1409-'[1]VENTAS(RESUMEN GLOBAL)'!E1409</f>
        <v>0</v>
      </c>
      <c r="H1409" s="9">
        <f>+'[1]VENTAS(RESUMEN GLOBAL)'!K1409</f>
        <v>0</v>
      </c>
      <c r="I1409" s="8">
        <f>+G1409*'[1]VENTAS(RESUMEN GLOBAL)'!F1409</f>
        <v>0</v>
      </c>
      <c r="J1409" s="8">
        <f>'[1]VENTAS(RESUMEN GLOBAL)'!G1409*(1-'[1]VENTAS(RESUMEN GLOBAL)'!H1409)</f>
        <v>0</v>
      </c>
      <c r="K1409" s="8">
        <f t="shared" si="21"/>
        <v>0</v>
      </c>
      <c r="L1409" s="8">
        <f>+'[1]VENTAS(RESUMEN GLOBAL)'!J1409</f>
        <v>0</v>
      </c>
      <c r="M1409" s="8">
        <f>+Tabla1[[#This Row],[utilidad x dia]]*7</f>
        <v>0</v>
      </c>
    </row>
    <row r="1410" spans="1:13" x14ac:dyDescent="0.3">
      <c r="A1410" s="6">
        <f>+'[1]VENTAS(RESUMEN GLOBAL)'!L1410</f>
        <v>0</v>
      </c>
      <c r="B1410" s="6">
        <f>+'[1]VENTAS(RESUMEN GLOBAL)'!M1410</f>
        <v>0</v>
      </c>
      <c r="C1410">
        <f>+'[1]VENTAS(RESUMEN GLOBAL)'!B1410</f>
        <v>0</v>
      </c>
      <c r="D1410" t="e">
        <f>INDEX('[1]CÓDIGOS DE PRODUCTO'!$D$3:$D$1000,MATCH(C1410,'[1]CÓDIGOS DE PRODUCTO'!$A$3:$A$1000,0))</f>
        <v>#N/A</v>
      </c>
      <c r="E1410">
        <f>VLOOKUP(C1410,'[1]CÓDIGOS DE PRODUCTO'!$A$4:$B$156,2,FALSE)</f>
        <v>0</v>
      </c>
      <c r="F1410">
        <f>INDEX('[1]CÓDIGOS DE PRODUCTO'!$C$3:$C$1000,MATCH(C1410,'[1]CÓDIGOS DE PRODUCTO'!$A$3:$A$1000,0))</f>
        <v>0</v>
      </c>
      <c r="G1410">
        <f>+'[1]VENTAS(RESUMEN GLOBAL)'!D1410-'[1]VENTAS(RESUMEN GLOBAL)'!E1410</f>
        <v>0</v>
      </c>
      <c r="H1410" s="9">
        <f>+'[1]VENTAS(RESUMEN GLOBAL)'!K1410</f>
        <v>0</v>
      </c>
      <c r="I1410" s="8">
        <f>+G1410*'[1]VENTAS(RESUMEN GLOBAL)'!F1410</f>
        <v>0</v>
      </c>
      <c r="J1410" s="8">
        <f>'[1]VENTAS(RESUMEN GLOBAL)'!G1410*(1-'[1]VENTAS(RESUMEN GLOBAL)'!H1410)</f>
        <v>0</v>
      </c>
      <c r="K1410" s="8">
        <f t="shared" si="21"/>
        <v>0</v>
      </c>
      <c r="L1410" s="8">
        <f>+'[1]VENTAS(RESUMEN GLOBAL)'!J1410</f>
        <v>0</v>
      </c>
      <c r="M1410" s="8">
        <f>+Tabla1[[#This Row],[utilidad x dia]]*7</f>
        <v>0</v>
      </c>
    </row>
    <row r="1411" spans="1:13" x14ac:dyDescent="0.3">
      <c r="A1411" s="6">
        <f>+'[1]VENTAS(RESUMEN GLOBAL)'!L1411</f>
        <v>0</v>
      </c>
      <c r="B1411" s="6">
        <f>+'[1]VENTAS(RESUMEN GLOBAL)'!M1411</f>
        <v>0</v>
      </c>
      <c r="C1411">
        <f>+'[1]VENTAS(RESUMEN GLOBAL)'!B1411</f>
        <v>0</v>
      </c>
      <c r="D1411" t="e">
        <f>INDEX('[1]CÓDIGOS DE PRODUCTO'!$D$3:$D$1000,MATCH(C1411,'[1]CÓDIGOS DE PRODUCTO'!$A$3:$A$1000,0))</f>
        <v>#N/A</v>
      </c>
      <c r="E1411">
        <f>VLOOKUP(C1411,'[1]CÓDIGOS DE PRODUCTO'!$A$4:$B$156,2,FALSE)</f>
        <v>0</v>
      </c>
      <c r="F1411">
        <f>INDEX('[1]CÓDIGOS DE PRODUCTO'!$C$3:$C$1000,MATCH(C1411,'[1]CÓDIGOS DE PRODUCTO'!$A$3:$A$1000,0))</f>
        <v>0</v>
      </c>
      <c r="G1411">
        <f>+'[1]VENTAS(RESUMEN GLOBAL)'!D1411-'[1]VENTAS(RESUMEN GLOBAL)'!E1411</f>
        <v>0</v>
      </c>
      <c r="H1411" s="9">
        <f>+'[1]VENTAS(RESUMEN GLOBAL)'!K1411</f>
        <v>0</v>
      </c>
      <c r="I1411" s="8">
        <f>+G1411*'[1]VENTAS(RESUMEN GLOBAL)'!F1411</f>
        <v>0</v>
      </c>
      <c r="J1411" s="8">
        <f>'[1]VENTAS(RESUMEN GLOBAL)'!G1411*(1-'[1]VENTAS(RESUMEN GLOBAL)'!H1411)</f>
        <v>0</v>
      </c>
      <c r="K1411" s="8">
        <f t="shared" ref="K1411:K1474" si="22">+I1411-J1411</f>
        <v>0</v>
      </c>
      <c r="L1411" s="8">
        <f>+'[1]VENTAS(RESUMEN GLOBAL)'!J1411</f>
        <v>0</v>
      </c>
      <c r="M1411" s="8">
        <f>+Tabla1[[#This Row],[utilidad x dia]]*7</f>
        <v>0</v>
      </c>
    </row>
    <row r="1412" spans="1:13" x14ac:dyDescent="0.3">
      <c r="A1412" s="6">
        <f>+'[1]VENTAS(RESUMEN GLOBAL)'!L1412</f>
        <v>0</v>
      </c>
      <c r="B1412" s="6">
        <f>+'[1]VENTAS(RESUMEN GLOBAL)'!M1412</f>
        <v>0</v>
      </c>
      <c r="C1412">
        <f>+'[1]VENTAS(RESUMEN GLOBAL)'!B1412</f>
        <v>0</v>
      </c>
      <c r="D1412" t="e">
        <f>INDEX('[1]CÓDIGOS DE PRODUCTO'!$D$3:$D$1000,MATCH(C1412,'[1]CÓDIGOS DE PRODUCTO'!$A$3:$A$1000,0))</f>
        <v>#N/A</v>
      </c>
      <c r="E1412">
        <f>VLOOKUP(C1412,'[1]CÓDIGOS DE PRODUCTO'!$A$4:$B$156,2,FALSE)</f>
        <v>0</v>
      </c>
      <c r="F1412">
        <f>INDEX('[1]CÓDIGOS DE PRODUCTO'!$C$3:$C$1000,MATCH(C1412,'[1]CÓDIGOS DE PRODUCTO'!$A$3:$A$1000,0))</f>
        <v>0</v>
      </c>
      <c r="G1412">
        <f>+'[1]VENTAS(RESUMEN GLOBAL)'!D1412-'[1]VENTAS(RESUMEN GLOBAL)'!E1412</f>
        <v>0</v>
      </c>
      <c r="H1412" s="9">
        <f>+'[1]VENTAS(RESUMEN GLOBAL)'!K1412</f>
        <v>0</v>
      </c>
      <c r="I1412" s="8">
        <f>+G1412*'[1]VENTAS(RESUMEN GLOBAL)'!F1412</f>
        <v>0</v>
      </c>
      <c r="J1412" s="8">
        <f>'[1]VENTAS(RESUMEN GLOBAL)'!G1412*(1-'[1]VENTAS(RESUMEN GLOBAL)'!H1412)</f>
        <v>0</v>
      </c>
      <c r="K1412" s="8">
        <f t="shared" si="22"/>
        <v>0</v>
      </c>
      <c r="L1412" s="8">
        <f>+'[1]VENTAS(RESUMEN GLOBAL)'!J1412</f>
        <v>0</v>
      </c>
      <c r="M1412" s="8">
        <f>+Tabla1[[#This Row],[utilidad x dia]]*7</f>
        <v>0</v>
      </c>
    </row>
    <row r="1413" spans="1:13" x14ac:dyDescent="0.3">
      <c r="A1413" s="6">
        <f>+'[1]VENTAS(RESUMEN GLOBAL)'!L1413</f>
        <v>0</v>
      </c>
      <c r="B1413" s="6">
        <f>+'[1]VENTAS(RESUMEN GLOBAL)'!M1413</f>
        <v>0</v>
      </c>
      <c r="C1413">
        <f>+'[1]VENTAS(RESUMEN GLOBAL)'!B1413</f>
        <v>0</v>
      </c>
      <c r="D1413" t="e">
        <f>INDEX('[1]CÓDIGOS DE PRODUCTO'!$D$3:$D$1000,MATCH(C1413,'[1]CÓDIGOS DE PRODUCTO'!$A$3:$A$1000,0))</f>
        <v>#N/A</v>
      </c>
      <c r="E1413">
        <f>VLOOKUP(C1413,'[1]CÓDIGOS DE PRODUCTO'!$A$4:$B$156,2,FALSE)</f>
        <v>0</v>
      </c>
      <c r="F1413">
        <f>INDEX('[1]CÓDIGOS DE PRODUCTO'!$C$3:$C$1000,MATCH(C1413,'[1]CÓDIGOS DE PRODUCTO'!$A$3:$A$1000,0))</f>
        <v>0</v>
      </c>
      <c r="G1413">
        <f>+'[1]VENTAS(RESUMEN GLOBAL)'!D1413-'[1]VENTAS(RESUMEN GLOBAL)'!E1413</f>
        <v>0</v>
      </c>
      <c r="H1413" s="9">
        <f>+'[1]VENTAS(RESUMEN GLOBAL)'!K1413</f>
        <v>0</v>
      </c>
      <c r="I1413" s="8">
        <f>+G1413*'[1]VENTAS(RESUMEN GLOBAL)'!F1413</f>
        <v>0</v>
      </c>
      <c r="J1413" s="8">
        <f>'[1]VENTAS(RESUMEN GLOBAL)'!G1413*(1-'[1]VENTAS(RESUMEN GLOBAL)'!H1413)</f>
        <v>0</v>
      </c>
      <c r="K1413" s="8">
        <f t="shared" si="22"/>
        <v>0</v>
      </c>
      <c r="L1413" s="8">
        <f>+'[1]VENTAS(RESUMEN GLOBAL)'!J1413</f>
        <v>0</v>
      </c>
      <c r="M1413" s="8">
        <f>+Tabla1[[#This Row],[utilidad x dia]]*7</f>
        <v>0</v>
      </c>
    </row>
    <row r="1414" spans="1:13" x14ac:dyDescent="0.3">
      <c r="A1414" s="6">
        <f>+'[1]VENTAS(RESUMEN GLOBAL)'!L1414</f>
        <v>0</v>
      </c>
      <c r="B1414" s="6">
        <f>+'[1]VENTAS(RESUMEN GLOBAL)'!M1414</f>
        <v>0</v>
      </c>
      <c r="C1414">
        <f>+'[1]VENTAS(RESUMEN GLOBAL)'!B1414</f>
        <v>0</v>
      </c>
      <c r="D1414" t="e">
        <f>INDEX('[1]CÓDIGOS DE PRODUCTO'!$D$3:$D$1000,MATCH(C1414,'[1]CÓDIGOS DE PRODUCTO'!$A$3:$A$1000,0))</f>
        <v>#N/A</v>
      </c>
      <c r="E1414">
        <f>VLOOKUP(C1414,'[1]CÓDIGOS DE PRODUCTO'!$A$4:$B$156,2,FALSE)</f>
        <v>0</v>
      </c>
      <c r="F1414">
        <f>INDEX('[1]CÓDIGOS DE PRODUCTO'!$C$3:$C$1000,MATCH(C1414,'[1]CÓDIGOS DE PRODUCTO'!$A$3:$A$1000,0))</f>
        <v>0</v>
      </c>
      <c r="G1414">
        <f>+'[1]VENTAS(RESUMEN GLOBAL)'!D1414-'[1]VENTAS(RESUMEN GLOBAL)'!E1414</f>
        <v>0</v>
      </c>
      <c r="H1414" s="9">
        <f>+'[1]VENTAS(RESUMEN GLOBAL)'!K1414</f>
        <v>0</v>
      </c>
      <c r="I1414" s="8">
        <f>+G1414*'[1]VENTAS(RESUMEN GLOBAL)'!F1414</f>
        <v>0</v>
      </c>
      <c r="J1414" s="8">
        <f>'[1]VENTAS(RESUMEN GLOBAL)'!G1414*(1-'[1]VENTAS(RESUMEN GLOBAL)'!H1414)</f>
        <v>0</v>
      </c>
      <c r="K1414" s="8">
        <f t="shared" si="22"/>
        <v>0</v>
      </c>
      <c r="L1414" s="8">
        <f>+'[1]VENTAS(RESUMEN GLOBAL)'!J1414</f>
        <v>0</v>
      </c>
      <c r="M1414" s="8">
        <f>+Tabla1[[#This Row],[utilidad x dia]]*7</f>
        <v>0</v>
      </c>
    </row>
    <row r="1415" spans="1:13" x14ac:dyDescent="0.3">
      <c r="A1415" s="6">
        <f>+'[1]VENTAS(RESUMEN GLOBAL)'!L1415</f>
        <v>0</v>
      </c>
      <c r="B1415" s="6">
        <f>+'[1]VENTAS(RESUMEN GLOBAL)'!M1415</f>
        <v>0</v>
      </c>
      <c r="C1415">
        <f>+'[1]VENTAS(RESUMEN GLOBAL)'!B1415</f>
        <v>0</v>
      </c>
      <c r="D1415" t="e">
        <f>INDEX('[1]CÓDIGOS DE PRODUCTO'!$D$3:$D$1000,MATCH(C1415,'[1]CÓDIGOS DE PRODUCTO'!$A$3:$A$1000,0))</f>
        <v>#N/A</v>
      </c>
      <c r="E1415">
        <f>VLOOKUP(C1415,'[1]CÓDIGOS DE PRODUCTO'!$A$4:$B$156,2,FALSE)</f>
        <v>0</v>
      </c>
      <c r="F1415">
        <f>INDEX('[1]CÓDIGOS DE PRODUCTO'!$C$3:$C$1000,MATCH(C1415,'[1]CÓDIGOS DE PRODUCTO'!$A$3:$A$1000,0))</f>
        <v>0</v>
      </c>
      <c r="G1415">
        <f>+'[1]VENTAS(RESUMEN GLOBAL)'!D1415-'[1]VENTAS(RESUMEN GLOBAL)'!E1415</f>
        <v>0</v>
      </c>
      <c r="H1415" s="9">
        <f>+'[1]VENTAS(RESUMEN GLOBAL)'!K1415</f>
        <v>0</v>
      </c>
      <c r="I1415" s="8">
        <f>+G1415*'[1]VENTAS(RESUMEN GLOBAL)'!F1415</f>
        <v>0</v>
      </c>
      <c r="J1415" s="8">
        <f>'[1]VENTAS(RESUMEN GLOBAL)'!G1415*(1-'[1]VENTAS(RESUMEN GLOBAL)'!H1415)</f>
        <v>0</v>
      </c>
      <c r="K1415" s="8">
        <f t="shared" si="22"/>
        <v>0</v>
      </c>
      <c r="L1415" s="8">
        <f>+'[1]VENTAS(RESUMEN GLOBAL)'!J1415</f>
        <v>0</v>
      </c>
      <c r="M1415" s="8">
        <f>+Tabla1[[#This Row],[utilidad x dia]]*7</f>
        <v>0</v>
      </c>
    </row>
    <row r="1416" spans="1:13" x14ac:dyDescent="0.3">
      <c r="A1416" s="6">
        <f>+'[1]VENTAS(RESUMEN GLOBAL)'!L1416</f>
        <v>0</v>
      </c>
      <c r="B1416" s="6">
        <f>+'[1]VENTAS(RESUMEN GLOBAL)'!M1416</f>
        <v>0</v>
      </c>
      <c r="C1416">
        <f>+'[1]VENTAS(RESUMEN GLOBAL)'!B1416</f>
        <v>0</v>
      </c>
      <c r="D1416" t="e">
        <f>INDEX('[1]CÓDIGOS DE PRODUCTO'!$D$3:$D$1000,MATCH(C1416,'[1]CÓDIGOS DE PRODUCTO'!$A$3:$A$1000,0))</f>
        <v>#N/A</v>
      </c>
      <c r="E1416">
        <f>VLOOKUP(C1416,'[1]CÓDIGOS DE PRODUCTO'!$A$4:$B$156,2,FALSE)</f>
        <v>0</v>
      </c>
      <c r="F1416">
        <f>INDEX('[1]CÓDIGOS DE PRODUCTO'!$C$3:$C$1000,MATCH(C1416,'[1]CÓDIGOS DE PRODUCTO'!$A$3:$A$1000,0))</f>
        <v>0</v>
      </c>
      <c r="G1416">
        <f>+'[1]VENTAS(RESUMEN GLOBAL)'!D1416-'[1]VENTAS(RESUMEN GLOBAL)'!E1416</f>
        <v>0</v>
      </c>
      <c r="H1416" s="9">
        <f>+'[1]VENTAS(RESUMEN GLOBAL)'!K1416</f>
        <v>0</v>
      </c>
      <c r="I1416" s="8">
        <f>+G1416*'[1]VENTAS(RESUMEN GLOBAL)'!F1416</f>
        <v>0</v>
      </c>
      <c r="J1416" s="8">
        <f>'[1]VENTAS(RESUMEN GLOBAL)'!G1416*(1-'[1]VENTAS(RESUMEN GLOBAL)'!H1416)</f>
        <v>0</v>
      </c>
      <c r="K1416" s="8">
        <f t="shared" si="22"/>
        <v>0</v>
      </c>
      <c r="L1416" s="8">
        <f>+'[1]VENTAS(RESUMEN GLOBAL)'!J1416</f>
        <v>0</v>
      </c>
      <c r="M1416" s="8">
        <f>+Tabla1[[#This Row],[utilidad x dia]]*7</f>
        <v>0</v>
      </c>
    </row>
    <row r="1417" spans="1:13" x14ac:dyDescent="0.3">
      <c r="A1417" s="6">
        <f>+'[1]VENTAS(RESUMEN GLOBAL)'!L1417</f>
        <v>0</v>
      </c>
      <c r="B1417" s="6">
        <f>+'[1]VENTAS(RESUMEN GLOBAL)'!M1417</f>
        <v>0</v>
      </c>
      <c r="C1417">
        <f>+'[1]VENTAS(RESUMEN GLOBAL)'!B1417</f>
        <v>0</v>
      </c>
      <c r="D1417" t="e">
        <f>INDEX('[1]CÓDIGOS DE PRODUCTO'!$D$3:$D$1000,MATCH(C1417,'[1]CÓDIGOS DE PRODUCTO'!$A$3:$A$1000,0))</f>
        <v>#N/A</v>
      </c>
      <c r="E1417">
        <f>VLOOKUP(C1417,'[1]CÓDIGOS DE PRODUCTO'!$A$4:$B$156,2,FALSE)</f>
        <v>0</v>
      </c>
      <c r="F1417">
        <f>INDEX('[1]CÓDIGOS DE PRODUCTO'!$C$3:$C$1000,MATCH(C1417,'[1]CÓDIGOS DE PRODUCTO'!$A$3:$A$1000,0))</f>
        <v>0</v>
      </c>
      <c r="G1417">
        <f>+'[1]VENTAS(RESUMEN GLOBAL)'!D1417-'[1]VENTAS(RESUMEN GLOBAL)'!E1417</f>
        <v>0</v>
      </c>
      <c r="H1417" s="9">
        <f>+'[1]VENTAS(RESUMEN GLOBAL)'!K1417</f>
        <v>0</v>
      </c>
      <c r="I1417" s="8">
        <f>+G1417*'[1]VENTAS(RESUMEN GLOBAL)'!F1417</f>
        <v>0</v>
      </c>
      <c r="J1417" s="8">
        <f>'[1]VENTAS(RESUMEN GLOBAL)'!G1417*(1-'[1]VENTAS(RESUMEN GLOBAL)'!H1417)</f>
        <v>0</v>
      </c>
      <c r="K1417" s="8">
        <f t="shared" si="22"/>
        <v>0</v>
      </c>
      <c r="L1417" s="8">
        <f>+'[1]VENTAS(RESUMEN GLOBAL)'!J1417</f>
        <v>0</v>
      </c>
      <c r="M1417" s="8">
        <f>+Tabla1[[#This Row],[utilidad x dia]]*7</f>
        <v>0</v>
      </c>
    </row>
    <row r="1418" spans="1:13" x14ac:dyDescent="0.3">
      <c r="A1418" s="6">
        <f>+'[1]VENTAS(RESUMEN GLOBAL)'!L1418</f>
        <v>0</v>
      </c>
      <c r="B1418" s="6">
        <f>+'[1]VENTAS(RESUMEN GLOBAL)'!M1418</f>
        <v>0</v>
      </c>
      <c r="C1418">
        <f>+'[1]VENTAS(RESUMEN GLOBAL)'!B1418</f>
        <v>0</v>
      </c>
      <c r="D1418" t="e">
        <f>INDEX('[1]CÓDIGOS DE PRODUCTO'!$D$3:$D$1000,MATCH(C1418,'[1]CÓDIGOS DE PRODUCTO'!$A$3:$A$1000,0))</f>
        <v>#N/A</v>
      </c>
      <c r="E1418">
        <f>VLOOKUP(C1418,'[1]CÓDIGOS DE PRODUCTO'!$A$4:$B$156,2,FALSE)</f>
        <v>0</v>
      </c>
      <c r="F1418">
        <f>INDEX('[1]CÓDIGOS DE PRODUCTO'!$C$3:$C$1000,MATCH(C1418,'[1]CÓDIGOS DE PRODUCTO'!$A$3:$A$1000,0))</f>
        <v>0</v>
      </c>
      <c r="G1418">
        <f>+'[1]VENTAS(RESUMEN GLOBAL)'!D1418-'[1]VENTAS(RESUMEN GLOBAL)'!E1418</f>
        <v>0</v>
      </c>
      <c r="H1418" s="9">
        <f>+'[1]VENTAS(RESUMEN GLOBAL)'!K1418</f>
        <v>0</v>
      </c>
      <c r="I1418" s="8">
        <f>+G1418*'[1]VENTAS(RESUMEN GLOBAL)'!F1418</f>
        <v>0</v>
      </c>
      <c r="J1418" s="8">
        <f>'[1]VENTAS(RESUMEN GLOBAL)'!G1418*(1-'[1]VENTAS(RESUMEN GLOBAL)'!H1418)</f>
        <v>0</v>
      </c>
      <c r="K1418" s="8">
        <f t="shared" si="22"/>
        <v>0</v>
      </c>
      <c r="L1418" s="8">
        <f>+'[1]VENTAS(RESUMEN GLOBAL)'!J1418</f>
        <v>0</v>
      </c>
      <c r="M1418" s="8">
        <f>+Tabla1[[#This Row],[utilidad x dia]]*7</f>
        <v>0</v>
      </c>
    </row>
    <row r="1419" spans="1:13" x14ac:dyDescent="0.3">
      <c r="A1419" s="6">
        <f>+'[1]VENTAS(RESUMEN GLOBAL)'!L1419</f>
        <v>0</v>
      </c>
      <c r="B1419" s="6">
        <f>+'[1]VENTAS(RESUMEN GLOBAL)'!M1419</f>
        <v>0</v>
      </c>
      <c r="C1419">
        <f>+'[1]VENTAS(RESUMEN GLOBAL)'!B1419</f>
        <v>0</v>
      </c>
      <c r="D1419" t="e">
        <f>INDEX('[1]CÓDIGOS DE PRODUCTO'!$D$3:$D$1000,MATCH(C1419,'[1]CÓDIGOS DE PRODUCTO'!$A$3:$A$1000,0))</f>
        <v>#N/A</v>
      </c>
      <c r="E1419">
        <f>VLOOKUP(C1419,'[1]CÓDIGOS DE PRODUCTO'!$A$4:$B$156,2,FALSE)</f>
        <v>0</v>
      </c>
      <c r="F1419">
        <f>INDEX('[1]CÓDIGOS DE PRODUCTO'!$C$3:$C$1000,MATCH(C1419,'[1]CÓDIGOS DE PRODUCTO'!$A$3:$A$1000,0))</f>
        <v>0</v>
      </c>
      <c r="G1419">
        <f>+'[1]VENTAS(RESUMEN GLOBAL)'!D1419-'[1]VENTAS(RESUMEN GLOBAL)'!E1419</f>
        <v>0</v>
      </c>
      <c r="H1419" s="9">
        <f>+'[1]VENTAS(RESUMEN GLOBAL)'!K1419</f>
        <v>0</v>
      </c>
      <c r="I1419" s="8">
        <f>+G1419*'[1]VENTAS(RESUMEN GLOBAL)'!F1419</f>
        <v>0</v>
      </c>
      <c r="J1419" s="8">
        <f>'[1]VENTAS(RESUMEN GLOBAL)'!G1419*(1-'[1]VENTAS(RESUMEN GLOBAL)'!H1419)</f>
        <v>0</v>
      </c>
      <c r="K1419" s="8">
        <f t="shared" si="22"/>
        <v>0</v>
      </c>
      <c r="L1419" s="8">
        <f>+'[1]VENTAS(RESUMEN GLOBAL)'!J1419</f>
        <v>0</v>
      </c>
      <c r="M1419" s="8">
        <f>+Tabla1[[#This Row],[utilidad x dia]]*7</f>
        <v>0</v>
      </c>
    </row>
    <row r="1420" spans="1:13" x14ac:dyDescent="0.3">
      <c r="A1420" s="6">
        <f>+'[1]VENTAS(RESUMEN GLOBAL)'!L1420</f>
        <v>0</v>
      </c>
      <c r="B1420" s="6">
        <f>+'[1]VENTAS(RESUMEN GLOBAL)'!M1420</f>
        <v>0</v>
      </c>
      <c r="C1420">
        <f>+'[1]VENTAS(RESUMEN GLOBAL)'!B1420</f>
        <v>0</v>
      </c>
      <c r="D1420" t="e">
        <f>INDEX('[1]CÓDIGOS DE PRODUCTO'!$D$3:$D$1000,MATCH(C1420,'[1]CÓDIGOS DE PRODUCTO'!$A$3:$A$1000,0))</f>
        <v>#N/A</v>
      </c>
      <c r="E1420">
        <f>VLOOKUP(C1420,'[1]CÓDIGOS DE PRODUCTO'!$A$4:$B$156,2,FALSE)</f>
        <v>0</v>
      </c>
      <c r="F1420">
        <f>INDEX('[1]CÓDIGOS DE PRODUCTO'!$C$3:$C$1000,MATCH(C1420,'[1]CÓDIGOS DE PRODUCTO'!$A$3:$A$1000,0))</f>
        <v>0</v>
      </c>
      <c r="G1420">
        <f>+'[1]VENTAS(RESUMEN GLOBAL)'!D1420-'[1]VENTAS(RESUMEN GLOBAL)'!E1420</f>
        <v>0</v>
      </c>
      <c r="H1420" s="9">
        <f>+'[1]VENTAS(RESUMEN GLOBAL)'!K1420</f>
        <v>0</v>
      </c>
      <c r="I1420" s="8">
        <f>+G1420*'[1]VENTAS(RESUMEN GLOBAL)'!F1420</f>
        <v>0</v>
      </c>
      <c r="J1420" s="8">
        <f>'[1]VENTAS(RESUMEN GLOBAL)'!G1420*(1-'[1]VENTAS(RESUMEN GLOBAL)'!H1420)</f>
        <v>0</v>
      </c>
      <c r="K1420" s="8">
        <f t="shared" si="22"/>
        <v>0</v>
      </c>
      <c r="L1420" s="8">
        <f>+'[1]VENTAS(RESUMEN GLOBAL)'!J1420</f>
        <v>0</v>
      </c>
      <c r="M1420" s="8">
        <f>+Tabla1[[#This Row],[utilidad x dia]]*7</f>
        <v>0</v>
      </c>
    </row>
    <row r="1421" spans="1:13" x14ac:dyDescent="0.3">
      <c r="A1421" s="6">
        <f>+'[1]VENTAS(RESUMEN GLOBAL)'!L1421</f>
        <v>0</v>
      </c>
      <c r="B1421" s="6">
        <f>+'[1]VENTAS(RESUMEN GLOBAL)'!M1421</f>
        <v>0</v>
      </c>
      <c r="C1421">
        <f>+'[1]VENTAS(RESUMEN GLOBAL)'!B1421</f>
        <v>0</v>
      </c>
      <c r="D1421" t="e">
        <f>INDEX('[1]CÓDIGOS DE PRODUCTO'!$D$3:$D$1000,MATCH(C1421,'[1]CÓDIGOS DE PRODUCTO'!$A$3:$A$1000,0))</f>
        <v>#N/A</v>
      </c>
      <c r="E1421">
        <f>VLOOKUP(C1421,'[1]CÓDIGOS DE PRODUCTO'!$A$4:$B$156,2,FALSE)</f>
        <v>0</v>
      </c>
      <c r="F1421">
        <f>INDEX('[1]CÓDIGOS DE PRODUCTO'!$C$3:$C$1000,MATCH(C1421,'[1]CÓDIGOS DE PRODUCTO'!$A$3:$A$1000,0))</f>
        <v>0</v>
      </c>
      <c r="G1421">
        <f>+'[1]VENTAS(RESUMEN GLOBAL)'!D1421-'[1]VENTAS(RESUMEN GLOBAL)'!E1421</f>
        <v>0</v>
      </c>
      <c r="H1421" s="9">
        <f>+'[1]VENTAS(RESUMEN GLOBAL)'!K1421</f>
        <v>0</v>
      </c>
      <c r="I1421" s="8">
        <f>+G1421*'[1]VENTAS(RESUMEN GLOBAL)'!F1421</f>
        <v>0</v>
      </c>
      <c r="J1421" s="8">
        <f>'[1]VENTAS(RESUMEN GLOBAL)'!G1421*(1-'[1]VENTAS(RESUMEN GLOBAL)'!H1421)</f>
        <v>0</v>
      </c>
      <c r="K1421" s="8">
        <f t="shared" si="22"/>
        <v>0</v>
      </c>
      <c r="L1421" s="8">
        <f>+'[1]VENTAS(RESUMEN GLOBAL)'!J1421</f>
        <v>0</v>
      </c>
      <c r="M1421" s="8">
        <f>+Tabla1[[#This Row],[utilidad x dia]]*7</f>
        <v>0</v>
      </c>
    </row>
    <row r="1422" spans="1:13" x14ac:dyDescent="0.3">
      <c r="A1422" s="6">
        <f>+'[1]VENTAS(RESUMEN GLOBAL)'!L1422</f>
        <v>0</v>
      </c>
      <c r="B1422" s="6">
        <f>+'[1]VENTAS(RESUMEN GLOBAL)'!M1422</f>
        <v>0</v>
      </c>
      <c r="C1422">
        <f>+'[1]VENTAS(RESUMEN GLOBAL)'!B1422</f>
        <v>0</v>
      </c>
      <c r="D1422" t="e">
        <f>INDEX('[1]CÓDIGOS DE PRODUCTO'!$D$3:$D$1000,MATCH(C1422,'[1]CÓDIGOS DE PRODUCTO'!$A$3:$A$1000,0))</f>
        <v>#N/A</v>
      </c>
      <c r="E1422">
        <f>VLOOKUP(C1422,'[1]CÓDIGOS DE PRODUCTO'!$A$4:$B$156,2,FALSE)</f>
        <v>0</v>
      </c>
      <c r="F1422">
        <f>INDEX('[1]CÓDIGOS DE PRODUCTO'!$C$3:$C$1000,MATCH(C1422,'[1]CÓDIGOS DE PRODUCTO'!$A$3:$A$1000,0))</f>
        <v>0</v>
      </c>
      <c r="G1422">
        <f>+'[1]VENTAS(RESUMEN GLOBAL)'!D1422-'[1]VENTAS(RESUMEN GLOBAL)'!E1422</f>
        <v>0</v>
      </c>
      <c r="H1422" s="9">
        <f>+'[1]VENTAS(RESUMEN GLOBAL)'!K1422</f>
        <v>0</v>
      </c>
      <c r="I1422" s="8">
        <f>+G1422*'[1]VENTAS(RESUMEN GLOBAL)'!F1422</f>
        <v>0</v>
      </c>
      <c r="J1422" s="8">
        <f>'[1]VENTAS(RESUMEN GLOBAL)'!G1422*(1-'[1]VENTAS(RESUMEN GLOBAL)'!H1422)</f>
        <v>0</v>
      </c>
      <c r="K1422" s="8">
        <f t="shared" si="22"/>
        <v>0</v>
      </c>
      <c r="L1422" s="8">
        <f>+'[1]VENTAS(RESUMEN GLOBAL)'!J1422</f>
        <v>0</v>
      </c>
      <c r="M1422" s="8">
        <f>+Tabla1[[#This Row],[utilidad x dia]]*7</f>
        <v>0</v>
      </c>
    </row>
    <row r="1423" spans="1:13" x14ac:dyDescent="0.3">
      <c r="A1423" s="6">
        <f>+'[1]VENTAS(RESUMEN GLOBAL)'!L1423</f>
        <v>0</v>
      </c>
      <c r="B1423" s="6">
        <f>+'[1]VENTAS(RESUMEN GLOBAL)'!M1423</f>
        <v>0</v>
      </c>
      <c r="C1423">
        <f>+'[1]VENTAS(RESUMEN GLOBAL)'!B1423</f>
        <v>0</v>
      </c>
      <c r="D1423" t="e">
        <f>INDEX('[1]CÓDIGOS DE PRODUCTO'!$D$3:$D$1000,MATCH(C1423,'[1]CÓDIGOS DE PRODUCTO'!$A$3:$A$1000,0))</f>
        <v>#N/A</v>
      </c>
      <c r="E1423">
        <f>VLOOKUP(C1423,'[1]CÓDIGOS DE PRODUCTO'!$A$4:$B$156,2,FALSE)</f>
        <v>0</v>
      </c>
      <c r="F1423">
        <f>INDEX('[1]CÓDIGOS DE PRODUCTO'!$C$3:$C$1000,MATCH(C1423,'[1]CÓDIGOS DE PRODUCTO'!$A$3:$A$1000,0))</f>
        <v>0</v>
      </c>
      <c r="G1423">
        <f>+'[1]VENTAS(RESUMEN GLOBAL)'!D1423-'[1]VENTAS(RESUMEN GLOBAL)'!E1423</f>
        <v>0</v>
      </c>
      <c r="H1423" s="9">
        <f>+'[1]VENTAS(RESUMEN GLOBAL)'!K1423</f>
        <v>0</v>
      </c>
      <c r="I1423" s="8">
        <f>+G1423*'[1]VENTAS(RESUMEN GLOBAL)'!F1423</f>
        <v>0</v>
      </c>
      <c r="J1423" s="8">
        <f>'[1]VENTAS(RESUMEN GLOBAL)'!G1423*(1-'[1]VENTAS(RESUMEN GLOBAL)'!H1423)</f>
        <v>0</v>
      </c>
      <c r="K1423" s="8">
        <f t="shared" si="22"/>
        <v>0</v>
      </c>
      <c r="L1423" s="8">
        <f>+'[1]VENTAS(RESUMEN GLOBAL)'!J1423</f>
        <v>0</v>
      </c>
      <c r="M1423" s="8">
        <f>+Tabla1[[#This Row],[utilidad x dia]]*7</f>
        <v>0</v>
      </c>
    </row>
    <row r="1424" spans="1:13" x14ac:dyDescent="0.3">
      <c r="A1424" s="6">
        <f>+'[1]VENTAS(RESUMEN GLOBAL)'!L1424</f>
        <v>0</v>
      </c>
      <c r="B1424" s="6">
        <f>+'[1]VENTAS(RESUMEN GLOBAL)'!M1424</f>
        <v>0</v>
      </c>
      <c r="C1424">
        <f>+'[1]VENTAS(RESUMEN GLOBAL)'!B1424</f>
        <v>0</v>
      </c>
      <c r="D1424" t="e">
        <f>INDEX('[1]CÓDIGOS DE PRODUCTO'!$D$3:$D$1000,MATCH(C1424,'[1]CÓDIGOS DE PRODUCTO'!$A$3:$A$1000,0))</f>
        <v>#N/A</v>
      </c>
      <c r="E1424">
        <f>VLOOKUP(C1424,'[1]CÓDIGOS DE PRODUCTO'!$A$4:$B$156,2,FALSE)</f>
        <v>0</v>
      </c>
      <c r="F1424">
        <f>INDEX('[1]CÓDIGOS DE PRODUCTO'!$C$3:$C$1000,MATCH(C1424,'[1]CÓDIGOS DE PRODUCTO'!$A$3:$A$1000,0))</f>
        <v>0</v>
      </c>
      <c r="G1424">
        <f>+'[1]VENTAS(RESUMEN GLOBAL)'!D1424-'[1]VENTAS(RESUMEN GLOBAL)'!E1424</f>
        <v>0</v>
      </c>
      <c r="H1424" s="9">
        <f>+'[1]VENTAS(RESUMEN GLOBAL)'!K1424</f>
        <v>0</v>
      </c>
      <c r="I1424" s="8">
        <f>+G1424*'[1]VENTAS(RESUMEN GLOBAL)'!F1424</f>
        <v>0</v>
      </c>
      <c r="J1424" s="8">
        <f>'[1]VENTAS(RESUMEN GLOBAL)'!G1424*(1-'[1]VENTAS(RESUMEN GLOBAL)'!H1424)</f>
        <v>0</v>
      </c>
      <c r="K1424" s="8">
        <f t="shared" si="22"/>
        <v>0</v>
      </c>
      <c r="L1424" s="8">
        <f>+'[1]VENTAS(RESUMEN GLOBAL)'!J1424</f>
        <v>0</v>
      </c>
      <c r="M1424" s="8">
        <f>+Tabla1[[#This Row],[utilidad x dia]]*7</f>
        <v>0</v>
      </c>
    </row>
    <row r="1425" spans="1:13" x14ac:dyDescent="0.3">
      <c r="A1425" s="6">
        <f>+'[1]VENTAS(RESUMEN GLOBAL)'!L1425</f>
        <v>0</v>
      </c>
      <c r="B1425" s="6">
        <f>+'[1]VENTAS(RESUMEN GLOBAL)'!M1425</f>
        <v>0</v>
      </c>
      <c r="C1425">
        <f>+'[1]VENTAS(RESUMEN GLOBAL)'!B1425</f>
        <v>0</v>
      </c>
      <c r="D1425" t="e">
        <f>INDEX('[1]CÓDIGOS DE PRODUCTO'!$D$3:$D$1000,MATCH(C1425,'[1]CÓDIGOS DE PRODUCTO'!$A$3:$A$1000,0))</f>
        <v>#N/A</v>
      </c>
      <c r="E1425">
        <f>VLOOKUP(C1425,'[1]CÓDIGOS DE PRODUCTO'!$A$4:$B$156,2,FALSE)</f>
        <v>0</v>
      </c>
      <c r="F1425">
        <f>INDEX('[1]CÓDIGOS DE PRODUCTO'!$C$3:$C$1000,MATCH(C1425,'[1]CÓDIGOS DE PRODUCTO'!$A$3:$A$1000,0))</f>
        <v>0</v>
      </c>
      <c r="G1425">
        <f>+'[1]VENTAS(RESUMEN GLOBAL)'!D1425-'[1]VENTAS(RESUMEN GLOBAL)'!E1425</f>
        <v>0</v>
      </c>
      <c r="H1425" s="9">
        <f>+'[1]VENTAS(RESUMEN GLOBAL)'!K1425</f>
        <v>0</v>
      </c>
      <c r="I1425" s="8">
        <f>+G1425*'[1]VENTAS(RESUMEN GLOBAL)'!F1425</f>
        <v>0</v>
      </c>
      <c r="J1425" s="8">
        <f>'[1]VENTAS(RESUMEN GLOBAL)'!G1425*(1-'[1]VENTAS(RESUMEN GLOBAL)'!H1425)</f>
        <v>0</v>
      </c>
      <c r="K1425" s="8">
        <f t="shared" si="22"/>
        <v>0</v>
      </c>
      <c r="L1425" s="8">
        <f>+'[1]VENTAS(RESUMEN GLOBAL)'!J1425</f>
        <v>0</v>
      </c>
      <c r="M1425" s="8">
        <f>+Tabla1[[#This Row],[utilidad x dia]]*7</f>
        <v>0</v>
      </c>
    </row>
    <row r="1426" spans="1:13" x14ac:dyDescent="0.3">
      <c r="A1426" s="6">
        <f>+'[1]VENTAS(RESUMEN GLOBAL)'!L1426</f>
        <v>0</v>
      </c>
      <c r="B1426" s="6">
        <f>+'[1]VENTAS(RESUMEN GLOBAL)'!M1426</f>
        <v>0</v>
      </c>
      <c r="C1426">
        <f>+'[1]VENTAS(RESUMEN GLOBAL)'!B1426</f>
        <v>0</v>
      </c>
      <c r="D1426" t="e">
        <f>INDEX('[1]CÓDIGOS DE PRODUCTO'!$D$3:$D$1000,MATCH(C1426,'[1]CÓDIGOS DE PRODUCTO'!$A$3:$A$1000,0))</f>
        <v>#N/A</v>
      </c>
      <c r="E1426">
        <f>VLOOKUP(C1426,'[1]CÓDIGOS DE PRODUCTO'!$A$4:$B$156,2,FALSE)</f>
        <v>0</v>
      </c>
      <c r="F1426">
        <f>INDEX('[1]CÓDIGOS DE PRODUCTO'!$C$3:$C$1000,MATCH(C1426,'[1]CÓDIGOS DE PRODUCTO'!$A$3:$A$1000,0))</f>
        <v>0</v>
      </c>
      <c r="G1426">
        <f>+'[1]VENTAS(RESUMEN GLOBAL)'!D1426-'[1]VENTAS(RESUMEN GLOBAL)'!E1426</f>
        <v>0</v>
      </c>
      <c r="H1426" s="9">
        <f>+'[1]VENTAS(RESUMEN GLOBAL)'!K1426</f>
        <v>0</v>
      </c>
      <c r="I1426" s="8">
        <f>+G1426*'[1]VENTAS(RESUMEN GLOBAL)'!F1426</f>
        <v>0</v>
      </c>
      <c r="J1426" s="8">
        <f>'[1]VENTAS(RESUMEN GLOBAL)'!G1426*(1-'[1]VENTAS(RESUMEN GLOBAL)'!H1426)</f>
        <v>0</v>
      </c>
      <c r="K1426" s="8">
        <f t="shared" si="22"/>
        <v>0</v>
      </c>
      <c r="L1426" s="8">
        <f>+'[1]VENTAS(RESUMEN GLOBAL)'!J1426</f>
        <v>0</v>
      </c>
      <c r="M1426" s="8">
        <f>+Tabla1[[#This Row],[utilidad x dia]]*7</f>
        <v>0</v>
      </c>
    </row>
    <row r="1427" spans="1:13" x14ac:dyDescent="0.3">
      <c r="A1427" s="6">
        <f>+'[1]VENTAS(RESUMEN GLOBAL)'!L1427</f>
        <v>0</v>
      </c>
      <c r="B1427" s="6">
        <f>+'[1]VENTAS(RESUMEN GLOBAL)'!M1427</f>
        <v>0</v>
      </c>
      <c r="C1427">
        <f>+'[1]VENTAS(RESUMEN GLOBAL)'!B1427</f>
        <v>0</v>
      </c>
      <c r="D1427" t="e">
        <f>INDEX('[1]CÓDIGOS DE PRODUCTO'!$D$3:$D$1000,MATCH(C1427,'[1]CÓDIGOS DE PRODUCTO'!$A$3:$A$1000,0))</f>
        <v>#N/A</v>
      </c>
      <c r="E1427">
        <f>VLOOKUP(C1427,'[1]CÓDIGOS DE PRODUCTO'!$A$4:$B$156,2,FALSE)</f>
        <v>0</v>
      </c>
      <c r="F1427">
        <f>INDEX('[1]CÓDIGOS DE PRODUCTO'!$C$3:$C$1000,MATCH(C1427,'[1]CÓDIGOS DE PRODUCTO'!$A$3:$A$1000,0))</f>
        <v>0</v>
      </c>
      <c r="G1427">
        <f>+'[1]VENTAS(RESUMEN GLOBAL)'!D1427-'[1]VENTAS(RESUMEN GLOBAL)'!E1427</f>
        <v>0</v>
      </c>
      <c r="H1427" s="9">
        <f>+'[1]VENTAS(RESUMEN GLOBAL)'!K1427</f>
        <v>0</v>
      </c>
      <c r="I1427" s="8">
        <f>+G1427*'[1]VENTAS(RESUMEN GLOBAL)'!F1427</f>
        <v>0</v>
      </c>
      <c r="J1427" s="8">
        <f>'[1]VENTAS(RESUMEN GLOBAL)'!G1427*(1-'[1]VENTAS(RESUMEN GLOBAL)'!H1427)</f>
        <v>0</v>
      </c>
      <c r="K1427" s="8">
        <f t="shared" si="22"/>
        <v>0</v>
      </c>
      <c r="L1427" s="8">
        <f>+'[1]VENTAS(RESUMEN GLOBAL)'!J1427</f>
        <v>0</v>
      </c>
      <c r="M1427" s="8">
        <f>+Tabla1[[#This Row],[utilidad x dia]]*7</f>
        <v>0</v>
      </c>
    </row>
    <row r="1428" spans="1:13" x14ac:dyDescent="0.3">
      <c r="A1428" s="6">
        <f>+'[1]VENTAS(RESUMEN GLOBAL)'!L1428</f>
        <v>0</v>
      </c>
      <c r="B1428" s="6">
        <f>+'[1]VENTAS(RESUMEN GLOBAL)'!M1428</f>
        <v>0</v>
      </c>
      <c r="C1428">
        <f>+'[1]VENTAS(RESUMEN GLOBAL)'!B1428</f>
        <v>0</v>
      </c>
      <c r="D1428" t="e">
        <f>INDEX('[1]CÓDIGOS DE PRODUCTO'!$D$3:$D$1000,MATCH(C1428,'[1]CÓDIGOS DE PRODUCTO'!$A$3:$A$1000,0))</f>
        <v>#N/A</v>
      </c>
      <c r="E1428">
        <f>VLOOKUP(C1428,'[1]CÓDIGOS DE PRODUCTO'!$A$4:$B$156,2,FALSE)</f>
        <v>0</v>
      </c>
      <c r="F1428">
        <f>INDEX('[1]CÓDIGOS DE PRODUCTO'!$C$3:$C$1000,MATCH(C1428,'[1]CÓDIGOS DE PRODUCTO'!$A$3:$A$1000,0))</f>
        <v>0</v>
      </c>
      <c r="G1428">
        <f>+'[1]VENTAS(RESUMEN GLOBAL)'!D1428-'[1]VENTAS(RESUMEN GLOBAL)'!E1428</f>
        <v>0</v>
      </c>
      <c r="H1428" s="9">
        <f>+'[1]VENTAS(RESUMEN GLOBAL)'!K1428</f>
        <v>0</v>
      </c>
      <c r="I1428" s="8">
        <f>+G1428*'[1]VENTAS(RESUMEN GLOBAL)'!F1428</f>
        <v>0</v>
      </c>
      <c r="J1428" s="8">
        <f>'[1]VENTAS(RESUMEN GLOBAL)'!G1428*(1-'[1]VENTAS(RESUMEN GLOBAL)'!H1428)</f>
        <v>0</v>
      </c>
      <c r="K1428" s="8">
        <f t="shared" si="22"/>
        <v>0</v>
      </c>
      <c r="L1428" s="8">
        <f>+'[1]VENTAS(RESUMEN GLOBAL)'!J1428</f>
        <v>0</v>
      </c>
      <c r="M1428" s="8">
        <f>+Tabla1[[#This Row],[utilidad x dia]]*7</f>
        <v>0</v>
      </c>
    </row>
    <row r="1429" spans="1:13" x14ac:dyDescent="0.3">
      <c r="A1429" s="6">
        <f>+'[1]VENTAS(RESUMEN GLOBAL)'!L1429</f>
        <v>0</v>
      </c>
      <c r="B1429" s="6">
        <f>+'[1]VENTAS(RESUMEN GLOBAL)'!M1429</f>
        <v>0</v>
      </c>
      <c r="C1429">
        <f>+'[1]VENTAS(RESUMEN GLOBAL)'!B1429</f>
        <v>0</v>
      </c>
      <c r="D1429" t="e">
        <f>INDEX('[1]CÓDIGOS DE PRODUCTO'!$D$3:$D$1000,MATCH(C1429,'[1]CÓDIGOS DE PRODUCTO'!$A$3:$A$1000,0))</f>
        <v>#N/A</v>
      </c>
      <c r="E1429">
        <f>VLOOKUP(C1429,'[1]CÓDIGOS DE PRODUCTO'!$A$4:$B$156,2,FALSE)</f>
        <v>0</v>
      </c>
      <c r="F1429">
        <f>INDEX('[1]CÓDIGOS DE PRODUCTO'!$C$3:$C$1000,MATCH(C1429,'[1]CÓDIGOS DE PRODUCTO'!$A$3:$A$1000,0))</f>
        <v>0</v>
      </c>
      <c r="G1429">
        <f>+'[1]VENTAS(RESUMEN GLOBAL)'!D1429-'[1]VENTAS(RESUMEN GLOBAL)'!E1429</f>
        <v>0</v>
      </c>
      <c r="H1429" s="9">
        <f>+'[1]VENTAS(RESUMEN GLOBAL)'!K1429</f>
        <v>0</v>
      </c>
      <c r="I1429" s="8">
        <f>+G1429*'[1]VENTAS(RESUMEN GLOBAL)'!F1429</f>
        <v>0</v>
      </c>
      <c r="J1429" s="8">
        <f>'[1]VENTAS(RESUMEN GLOBAL)'!G1429*(1-'[1]VENTAS(RESUMEN GLOBAL)'!H1429)</f>
        <v>0</v>
      </c>
      <c r="K1429" s="8">
        <f t="shared" si="22"/>
        <v>0</v>
      </c>
      <c r="L1429" s="8">
        <f>+'[1]VENTAS(RESUMEN GLOBAL)'!J1429</f>
        <v>0</v>
      </c>
      <c r="M1429" s="8">
        <f>+Tabla1[[#This Row],[utilidad x dia]]*7</f>
        <v>0</v>
      </c>
    </row>
    <row r="1430" spans="1:13" x14ac:dyDescent="0.3">
      <c r="A1430" s="6">
        <f>+'[1]VENTAS(RESUMEN GLOBAL)'!L1430</f>
        <v>0</v>
      </c>
      <c r="B1430" s="6">
        <f>+'[1]VENTAS(RESUMEN GLOBAL)'!M1430</f>
        <v>0</v>
      </c>
      <c r="C1430">
        <f>+'[1]VENTAS(RESUMEN GLOBAL)'!B1430</f>
        <v>0</v>
      </c>
      <c r="D1430" t="e">
        <f>INDEX('[1]CÓDIGOS DE PRODUCTO'!$D$3:$D$1000,MATCH(C1430,'[1]CÓDIGOS DE PRODUCTO'!$A$3:$A$1000,0))</f>
        <v>#N/A</v>
      </c>
      <c r="E1430">
        <f>VLOOKUP(C1430,'[1]CÓDIGOS DE PRODUCTO'!$A$4:$B$156,2,FALSE)</f>
        <v>0</v>
      </c>
      <c r="F1430">
        <f>INDEX('[1]CÓDIGOS DE PRODUCTO'!$C$3:$C$1000,MATCH(C1430,'[1]CÓDIGOS DE PRODUCTO'!$A$3:$A$1000,0))</f>
        <v>0</v>
      </c>
      <c r="G1430">
        <f>+'[1]VENTAS(RESUMEN GLOBAL)'!D1430-'[1]VENTAS(RESUMEN GLOBAL)'!E1430</f>
        <v>0</v>
      </c>
      <c r="H1430" s="9">
        <f>+'[1]VENTAS(RESUMEN GLOBAL)'!K1430</f>
        <v>0</v>
      </c>
      <c r="I1430" s="8">
        <f>+G1430*'[1]VENTAS(RESUMEN GLOBAL)'!F1430</f>
        <v>0</v>
      </c>
      <c r="J1430" s="8">
        <f>'[1]VENTAS(RESUMEN GLOBAL)'!G1430*(1-'[1]VENTAS(RESUMEN GLOBAL)'!H1430)</f>
        <v>0</v>
      </c>
      <c r="K1430" s="8">
        <f t="shared" si="22"/>
        <v>0</v>
      </c>
      <c r="L1430" s="8">
        <f>+'[1]VENTAS(RESUMEN GLOBAL)'!J1430</f>
        <v>0</v>
      </c>
      <c r="M1430" s="8">
        <f>+Tabla1[[#This Row],[utilidad x dia]]*7</f>
        <v>0</v>
      </c>
    </row>
    <row r="1431" spans="1:13" x14ac:dyDescent="0.3">
      <c r="A1431" s="6">
        <f>+'[1]VENTAS(RESUMEN GLOBAL)'!L1431</f>
        <v>0</v>
      </c>
      <c r="B1431" s="6">
        <f>+'[1]VENTAS(RESUMEN GLOBAL)'!M1431</f>
        <v>0</v>
      </c>
      <c r="C1431">
        <f>+'[1]VENTAS(RESUMEN GLOBAL)'!B1431</f>
        <v>0</v>
      </c>
      <c r="D1431" t="e">
        <f>INDEX('[1]CÓDIGOS DE PRODUCTO'!$D$3:$D$1000,MATCH(C1431,'[1]CÓDIGOS DE PRODUCTO'!$A$3:$A$1000,0))</f>
        <v>#N/A</v>
      </c>
      <c r="E1431">
        <f>VLOOKUP(C1431,'[1]CÓDIGOS DE PRODUCTO'!$A$4:$B$156,2,FALSE)</f>
        <v>0</v>
      </c>
      <c r="F1431">
        <f>INDEX('[1]CÓDIGOS DE PRODUCTO'!$C$3:$C$1000,MATCH(C1431,'[1]CÓDIGOS DE PRODUCTO'!$A$3:$A$1000,0))</f>
        <v>0</v>
      </c>
      <c r="G1431">
        <f>+'[1]VENTAS(RESUMEN GLOBAL)'!D1431-'[1]VENTAS(RESUMEN GLOBAL)'!E1431</f>
        <v>0</v>
      </c>
      <c r="H1431" s="9">
        <f>+'[1]VENTAS(RESUMEN GLOBAL)'!K1431</f>
        <v>0</v>
      </c>
      <c r="I1431" s="8">
        <f>+G1431*'[1]VENTAS(RESUMEN GLOBAL)'!F1431</f>
        <v>0</v>
      </c>
      <c r="J1431" s="8">
        <f>'[1]VENTAS(RESUMEN GLOBAL)'!G1431*(1-'[1]VENTAS(RESUMEN GLOBAL)'!H1431)</f>
        <v>0</v>
      </c>
      <c r="K1431" s="8">
        <f t="shared" si="22"/>
        <v>0</v>
      </c>
      <c r="L1431" s="8">
        <f>+'[1]VENTAS(RESUMEN GLOBAL)'!J1431</f>
        <v>0</v>
      </c>
      <c r="M1431" s="8">
        <f>+Tabla1[[#This Row],[utilidad x dia]]*7</f>
        <v>0</v>
      </c>
    </row>
    <row r="1432" spans="1:13" x14ac:dyDescent="0.3">
      <c r="A1432" s="6">
        <f>+'[1]VENTAS(RESUMEN GLOBAL)'!L1432</f>
        <v>0</v>
      </c>
      <c r="B1432" s="6">
        <f>+'[1]VENTAS(RESUMEN GLOBAL)'!M1432</f>
        <v>0</v>
      </c>
      <c r="C1432">
        <f>+'[1]VENTAS(RESUMEN GLOBAL)'!B1432</f>
        <v>0</v>
      </c>
      <c r="D1432" t="e">
        <f>INDEX('[1]CÓDIGOS DE PRODUCTO'!$D$3:$D$1000,MATCH(C1432,'[1]CÓDIGOS DE PRODUCTO'!$A$3:$A$1000,0))</f>
        <v>#N/A</v>
      </c>
      <c r="E1432">
        <f>VLOOKUP(C1432,'[1]CÓDIGOS DE PRODUCTO'!$A$4:$B$156,2,FALSE)</f>
        <v>0</v>
      </c>
      <c r="F1432">
        <f>INDEX('[1]CÓDIGOS DE PRODUCTO'!$C$3:$C$1000,MATCH(C1432,'[1]CÓDIGOS DE PRODUCTO'!$A$3:$A$1000,0))</f>
        <v>0</v>
      </c>
      <c r="G1432">
        <f>+'[1]VENTAS(RESUMEN GLOBAL)'!D1432-'[1]VENTAS(RESUMEN GLOBAL)'!E1432</f>
        <v>0</v>
      </c>
      <c r="H1432" s="9">
        <f>+'[1]VENTAS(RESUMEN GLOBAL)'!K1432</f>
        <v>0</v>
      </c>
      <c r="I1432" s="8">
        <f>+G1432*'[1]VENTAS(RESUMEN GLOBAL)'!F1432</f>
        <v>0</v>
      </c>
      <c r="J1432" s="8">
        <f>'[1]VENTAS(RESUMEN GLOBAL)'!G1432*(1-'[1]VENTAS(RESUMEN GLOBAL)'!H1432)</f>
        <v>0</v>
      </c>
      <c r="K1432" s="8">
        <f t="shared" si="22"/>
        <v>0</v>
      </c>
      <c r="L1432" s="8">
        <f>+'[1]VENTAS(RESUMEN GLOBAL)'!J1432</f>
        <v>0</v>
      </c>
      <c r="M1432" s="8">
        <f>+Tabla1[[#This Row],[utilidad x dia]]*7</f>
        <v>0</v>
      </c>
    </row>
    <row r="1433" spans="1:13" x14ac:dyDescent="0.3">
      <c r="A1433" s="6">
        <f>+'[1]VENTAS(RESUMEN GLOBAL)'!L1433</f>
        <v>0</v>
      </c>
      <c r="B1433" s="6">
        <f>+'[1]VENTAS(RESUMEN GLOBAL)'!M1433</f>
        <v>0</v>
      </c>
      <c r="C1433">
        <f>+'[1]VENTAS(RESUMEN GLOBAL)'!B1433</f>
        <v>0</v>
      </c>
      <c r="D1433" t="e">
        <f>INDEX('[1]CÓDIGOS DE PRODUCTO'!$D$3:$D$1000,MATCH(C1433,'[1]CÓDIGOS DE PRODUCTO'!$A$3:$A$1000,0))</f>
        <v>#N/A</v>
      </c>
      <c r="E1433">
        <f>VLOOKUP(C1433,'[1]CÓDIGOS DE PRODUCTO'!$A$4:$B$156,2,FALSE)</f>
        <v>0</v>
      </c>
      <c r="F1433">
        <f>INDEX('[1]CÓDIGOS DE PRODUCTO'!$C$3:$C$1000,MATCH(C1433,'[1]CÓDIGOS DE PRODUCTO'!$A$3:$A$1000,0))</f>
        <v>0</v>
      </c>
      <c r="G1433">
        <f>+'[1]VENTAS(RESUMEN GLOBAL)'!D1433-'[1]VENTAS(RESUMEN GLOBAL)'!E1433</f>
        <v>0</v>
      </c>
      <c r="H1433" s="9">
        <f>+'[1]VENTAS(RESUMEN GLOBAL)'!K1433</f>
        <v>0</v>
      </c>
      <c r="I1433" s="8">
        <f>+G1433*'[1]VENTAS(RESUMEN GLOBAL)'!F1433</f>
        <v>0</v>
      </c>
      <c r="J1433" s="8">
        <f>'[1]VENTAS(RESUMEN GLOBAL)'!G1433*(1-'[1]VENTAS(RESUMEN GLOBAL)'!H1433)</f>
        <v>0</v>
      </c>
      <c r="K1433" s="8">
        <f t="shared" si="22"/>
        <v>0</v>
      </c>
      <c r="L1433" s="8">
        <f>+'[1]VENTAS(RESUMEN GLOBAL)'!J1433</f>
        <v>0</v>
      </c>
      <c r="M1433" s="8">
        <f>+Tabla1[[#This Row],[utilidad x dia]]*7</f>
        <v>0</v>
      </c>
    </row>
    <row r="1434" spans="1:13" x14ac:dyDescent="0.3">
      <c r="A1434" s="6">
        <f>+'[1]VENTAS(RESUMEN GLOBAL)'!L1434</f>
        <v>0</v>
      </c>
      <c r="B1434" s="6">
        <f>+'[1]VENTAS(RESUMEN GLOBAL)'!M1434</f>
        <v>0</v>
      </c>
      <c r="C1434">
        <f>+'[1]VENTAS(RESUMEN GLOBAL)'!B1434</f>
        <v>0</v>
      </c>
      <c r="D1434" t="e">
        <f>INDEX('[1]CÓDIGOS DE PRODUCTO'!$D$3:$D$1000,MATCH(C1434,'[1]CÓDIGOS DE PRODUCTO'!$A$3:$A$1000,0))</f>
        <v>#N/A</v>
      </c>
      <c r="E1434">
        <f>VLOOKUP(C1434,'[1]CÓDIGOS DE PRODUCTO'!$A$4:$B$156,2,FALSE)</f>
        <v>0</v>
      </c>
      <c r="F1434">
        <f>INDEX('[1]CÓDIGOS DE PRODUCTO'!$C$3:$C$1000,MATCH(C1434,'[1]CÓDIGOS DE PRODUCTO'!$A$3:$A$1000,0))</f>
        <v>0</v>
      </c>
      <c r="G1434">
        <f>+'[1]VENTAS(RESUMEN GLOBAL)'!D1434-'[1]VENTAS(RESUMEN GLOBAL)'!E1434</f>
        <v>0</v>
      </c>
      <c r="H1434" s="9">
        <f>+'[1]VENTAS(RESUMEN GLOBAL)'!K1434</f>
        <v>0</v>
      </c>
      <c r="I1434" s="8">
        <f>+G1434*'[1]VENTAS(RESUMEN GLOBAL)'!F1434</f>
        <v>0</v>
      </c>
      <c r="J1434" s="8">
        <f>'[1]VENTAS(RESUMEN GLOBAL)'!G1434*(1-'[1]VENTAS(RESUMEN GLOBAL)'!H1434)</f>
        <v>0</v>
      </c>
      <c r="K1434" s="8">
        <f t="shared" si="22"/>
        <v>0</v>
      </c>
      <c r="L1434" s="8">
        <f>+'[1]VENTAS(RESUMEN GLOBAL)'!J1434</f>
        <v>0</v>
      </c>
      <c r="M1434" s="8">
        <f>+Tabla1[[#This Row],[utilidad x dia]]*7</f>
        <v>0</v>
      </c>
    </row>
    <row r="1435" spans="1:13" x14ac:dyDescent="0.3">
      <c r="A1435" s="6">
        <f>+'[1]VENTAS(RESUMEN GLOBAL)'!L1435</f>
        <v>0</v>
      </c>
      <c r="B1435" s="6">
        <f>+'[1]VENTAS(RESUMEN GLOBAL)'!M1435</f>
        <v>0</v>
      </c>
      <c r="C1435">
        <f>+'[1]VENTAS(RESUMEN GLOBAL)'!B1435</f>
        <v>0</v>
      </c>
      <c r="D1435" t="e">
        <f>INDEX('[1]CÓDIGOS DE PRODUCTO'!$D$3:$D$1000,MATCH(C1435,'[1]CÓDIGOS DE PRODUCTO'!$A$3:$A$1000,0))</f>
        <v>#N/A</v>
      </c>
      <c r="E1435">
        <f>VLOOKUP(C1435,'[1]CÓDIGOS DE PRODUCTO'!$A$4:$B$156,2,FALSE)</f>
        <v>0</v>
      </c>
      <c r="F1435">
        <f>INDEX('[1]CÓDIGOS DE PRODUCTO'!$C$3:$C$1000,MATCH(C1435,'[1]CÓDIGOS DE PRODUCTO'!$A$3:$A$1000,0))</f>
        <v>0</v>
      </c>
      <c r="G1435">
        <f>+'[1]VENTAS(RESUMEN GLOBAL)'!D1435-'[1]VENTAS(RESUMEN GLOBAL)'!E1435</f>
        <v>0</v>
      </c>
      <c r="H1435" s="9">
        <f>+'[1]VENTAS(RESUMEN GLOBAL)'!K1435</f>
        <v>0</v>
      </c>
      <c r="I1435" s="8">
        <f>+G1435*'[1]VENTAS(RESUMEN GLOBAL)'!F1435</f>
        <v>0</v>
      </c>
      <c r="J1435" s="8">
        <f>'[1]VENTAS(RESUMEN GLOBAL)'!G1435*(1-'[1]VENTAS(RESUMEN GLOBAL)'!H1435)</f>
        <v>0</v>
      </c>
      <c r="K1435" s="8">
        <f t="shared" si="22"/>
        <v>0</v>
      </c>
      <c r="L1435" s="8">
        <f>+'[1]VENTAS(RESUMEN GLOBAL)'!J1435</f>
        <v>0</v>
      </c>
      <c r="M1435" s="8">
        <f>+Tabla1[[#This Row],[utilidad x dia]]*7</f>
        <v>0</v>
      </c>
    </row>
    <row r="1436" spans="1:13" x14ac:dyDescent="0.3">
      <c r="A1436" s="6">
        <f>+'[1]VENTAS(RESUMEN GLOBAL)'!L1436</f>
        <v>0</v>
      </c>
      <c r="B1436" s="6">
        <f>+'[1]VENTAS(RESUMEN GLOBAL)'!M1436</f>
        <v>0</v>
      </c>
      <c r="C1436">
        <f>+'[1]VENTAS(RESUMEN GLOBAL)'!B1436</f>
        <v>0</v>
      </c>
      <c r="D1436" t="e">
        <f>INDEX('[1]CÓDIGOS DE PRODUCTO'!$D$3:$D$1000,MATCH(C1436,'[1]CÓDIGOS DE PRODUCTO'!$A$3:$A$1000,0))</f>
        <v>#N/A</v>
      </c>
      <c r="E1436">
        <f>VLOOKUP(C1436,'[1]CÓDIGOS DE PRODUCTO'!$A$4:$B$156,2,FALSE)</f>
        <v>0</v>
      </c>
      <c r="F1436">
        <f>INDEX('[1]CÓDIGOS DE PRODUCTO'!$C$3:$C$1000,MATCH(C1436,'[1]CÓDIGOS DE PRODUCTO'!$A$3:$A$1000,0))</f>
        <v>0</v>
      </c>
      <c r="G1436">
        <f>+'[1]VENTAS(RESUMEN GLOBAL)'!D1436-'[1]VENTAS(RESUMEN GLOBAL)'!E1436</f>
        <v>0</v>
      </c>
      <c r="H1436" s="9">
        <f>+'[1]VENTAS(RESUMEN GLOBAL)'!K1436</f>
        <v>0</v>
      </c>
      <c r="I1436" s="8">
        <f>+G1436*'[1]VENTAS(RESUMEN GLOBAL)'!F1436</f>
        <v>0</v>
      </c>
      <c r="J1436" s="8">
        <f>'[1]VENTAS(RESUMEN GLOBAL)'!G1436*(1-'[1]VENTAS(RESUMEN GLOBAL)'!H1436)</f>
        <v>0</v>
      </c>
      <c r="K1436" s="8">
        <f t="shared" si="22"/>
        <v>0</v>
      </c>
      <c r="L1436" s="8">
        <f>+'[1]VENTAS(RESUMEN GLOBAL)'!J1436</f>
        <v>0</v>
      </c>
      <c r="M1436" s="8">
        <f>+Tabla1[[#This Row],[utilidad x dia]]*7</f>
        <v>0</v>
      </c>
    </row>
    <row r="1437" spans="1:13" x14ac:dyDescent="0.3">
      <c r="A1437" s="6">
        <f>+'[1]VENTAS(RESUMEN GLOBAL)'!L1437</f>
        <v>0</v>
      </c>
      <c r="B1437" s="6">
        <f>+'[1]VENTAS(RESUMEN GLOBAL)'!M1437</f>
        <v>0</v>
      </c>
      <c r="C1437">
        <f>+'[1]VENTAS(RESUMEN GLOBAL)'!B1437</f>
        <v>0</v>
      </c>
      <c r="D1437" t="e">
        <f>INDEX('[1]CÓDIGOS DE PRODUCTO'!$D$3:$D$1000,MATCH(C1437,'[1]CÓDIGOS DE PRODUCTO'!$A$3:$A$1000,0))</f>
        <v>#N/A</v>
      </c>
      <c r="E1437">
        <f>VLOOKUP(C1437,'[1]CÓDIGOS DE PRODUCTO'!$A$4:$B$156,2,FALSE)</f>
        <v>0</v>
      </c>
      <c r="F1437">
        <f>INDEX('[1]CÓDIGOS DE PRODUCTO'!$C$3:$C$1000,MATCH(C1437,'[1]CÓDIGOS DE PRODUCTO'!$A$3:$A$1000,0))</f>
        <v>0</v>
      </c>
      <c r="G1437">
        <f>+'[1]VENTAS(RESUMEN GLOBAL)'!D1437-'[1]VENTAS(RESUMEN GLOBAL)'!E1437</f>
        <v>0</v>
      </c>
      <c r="H1437" s="9">
        <f>+'[1]VENTAS(RESUMEN GLOBAL)'!K1437</f>
        <v>0</v>
      </c>
      <c r="I1437" s="8">
        <f>+G1437*'[1]VENTAS(RESUMEN GLOBAL)'!F1437</f>
        <v>0</v>
      </c>
      <c r="J1437" s="8">
        <f>'[1]VENTAS(RESUMEN GLOBAL)'!G1437*(1-'[1]VENTAS(RESUMEN GLOBAL)'!H1437)</f>
        <v>0</v>
      </c>
      <c r="K1437" s="8">
        <f t="shared" si="22"/>
        <v>0</v>
      </c>
      <c r="L1437" s="8">
        <f>+'[1]VENTAS(RESUMEN GLOBAL)'!J1437</f>
        <v>0</v>
      </c>
      <c r="M1437" s="8">
        <f>+Tabla1[[#This Row],[utilidad x dia]]*7</f>
        <v>0</v>
      </c>
    </row>
    <row r="1438" spans="1:13" x14ac:dyDescent="0.3">
      <c r="A1438" s="6">
        <f>+'[1]VENTAS(RESUMEN GLOBAL)'!L1438</f>
        <v>0</v>
      </c>
      <c r="B1438" s="6">
        <f>+'[1]VENTAS(RESUMEN GLOBAL)'!M1438</f>
        <v>0</v>
      </c>
      <c r="C1438">
        <f>+'[1]VENTAS(RESUMEN GLOBAL)'!B1438</f>
        <v>0</v>
      </c>
      <c r="D1438" t="e">
        <f>INDEX('[1]CÓDIGOS DE PRODUCTO'!$D$3:$D$1000,MATCH(C1438,'[1]CÓDIGOS DE PRODUCTO'!$A$3:$A$1000,0))</f>
        <v>#N/A</v>
      </c>
      <c r="E1438">
        <f>VLOOKUP(C1438,'[1]CÓDIGOS DE PRODUCTO'!$A$4:$B$156,2,FALSE)</f>
        <v>0</v>
      </c>
      <c r="F1438">
        <f>INDEX('[1]CÓDIGOS DE PRODUCTO'!$C$3:$C$1000,MATCH(C1438,'[1]CÓDIGOS DE PRODUCTO'!$A$3:$A$1000,0))</f>
        <v>0</v>
      </c>
      <c r="G1438">
        <f>+'[1]VENTAS(RESUMEN GLOBAL)'!D1438-'[1]VENTAS(RESUMEN GLOBAL)'!E1438</f>
        <v>0</v>
      </c>
      <c r="H1438" s="9">
        <f>+'[1]VENTAS(RESUMEN GLOBAL)'!K1438</f>
        <v>0</v>
      </c>
      <c r="I1438" s="8">
        <f>+G1438*'[1]VENTAS(RESUMEN GLOBAL)'!F1438</f>
        <v>0</v>
      </c>
      <c r="J1438" s="8">
        <f>'[1]VENTAS(RESUMEN GLOBAL)'!G1438*(1-'[1]VENTAS(RESUMEN GLOBAL)'!H1438)</f>
        <v>0</v>
      </c>
      <c r="K1438" s="8">
        <f t="shared" si="22"/>
        <v>0</v>
      </c>
      <c r="L1438" s="8">
        <f>+'[1]VENTAS(RESUMEN GLOBAL)'!J1438</f>
        <v>0</v>
      </c>
      <c r="M1438" s="8">
        <f>+Tabla1[[#This Row],[utilidad x dia]]*7</f>
        <v>0</v>
      </c>
    </row>
    <row r="1439" spans="1:13" x14ac:dyDescent="0.3">
      <c r="A1439" s="6">
        <f>+'[1]VENTAS(RESUMEN GLOBAL)'!L1439</f>
        <v>0</v>
      </c>
      <c r="B1439" s="6">
        <f>+'[1]VENTAS(RESUMEN GLOBAL)'!M1439</f>
        <v>0</v>
      </c>
      <c r="C1439">
        <f>+'[1]VENTAS(RESUMEN GLOBAL)'!B1439</f>
        <v>0</v>
      </c>
      <c r="D1439" t="e">
        <f>INDEX('[1]CÓDIGOS DE PRODUCTO'!$D$3:$D$1000,MATCH(C1439,'[1]CÓDIGOS DE PRODUCTO'!$A$3:$A$1000,0))</f>
        <v>#N/A</v>
      </c>
      <c r="E1439">
        <f>VLOOKUP(C1439,'[1]CÓDIGOS DE PRODUCTO'!$A$4:$B$156,2,FALSE)</f>
        <v>0</v>
      </c>
      <c r="F1439">
        <f>INDEX('[1]CÓDIGOS DE PRODUCTO'!$C$3:$C$1000,MATCH(C1439,'[1]CÓDIGOS DE PRODUCTO'!$A$3:$A$1000,0))</f>
        <v>0</v>
      </c>
      <c r="G1439">
        <f>+'[1]VENTAS(RESUMEN GLOBAL)'!D1439-'[1]VENTAS(RESUMEN GLOBAL)'!E1439</f>
        <v>0</v>
      </c>
      <c r="H1439" s="9">
        <f>+'[1]VENTAS(RESUMEN GLOBAL)'!K1439</f>
        <v>0</v>
      </c>
      <c r="I1439" s="8">
        <f>+G1439*'[1]VENTAS(RESUMEN GLOBAL)'!F1439</f>
        <v>0</v>
      </c>
      <c r="J1439" s="8">
        <f>'[1]VENTAS(RESUMEN GLOBAL)'!G1439*(1-'[1]VENTAS(RESUMEN GLOBAL)'!H1439)</f>
        <v>0</v>
      </c>
      <c r="K1439" s="8">
        <f t="shared" si="22"/>
        <v>0</v>
      </c>
      <c r="L1439" s="8">
        <f>+'[1]VENTAS(RESUMEN GLOBAL)'!J1439</f>
        <v>0</v>
      </c>
      <c r="M1439" s="8">
        <f>+Tabla1[[#This Row],[utilidad x dia]]*7</f>
        <v>0</v>
      </c>
    </row>
    <row r="1440" spans="1:13" x14ac:dyDescent="0.3">
      <c r="A1440" s="6">
        <f>+'[1]VENTAS(RESUMEN GLOBAL)'!L1440</f>
        <v>0</v>
      </c>
      <c r="B1440" s="6">
        <f>+'[1]VENTAS(RESUMEN GLOBAL)'!M1440</f>
        <v>0</v>
      </c>
      <c r="C1440">
        <f>+'[1]VENTAS(RESUMEN GLOBAL)'!B1440</f>
        <v>0</v>
      </c>
      <c r="D1440" t="e">
        <f>INDEX('[1]CÓDIGOS DE PRODUCTO'!$D$3:$D$1000,MATCH(C1440,'[1]CÓDIGOS DE PRODUCTO'!$A$3:$A$1000,0))</f>
        <v>#N/A</v>
      </c>
      <c r="E1440">
        <f>VLOOKUP(C1440,'[1]CÓDIGOS DE PRODUCTO'!$A$4:$B$156,2,FALSE)</f>
        <v>0</v>
      </c>
      <c r="F1440">
        <f>INDEX('[1]CÓDIGOS DE PRODUCTO'!$C$3:$C$1000,MATCH(C1440,'[1]CÓDIGOS DE PRODUCTO'!$A$3:$A$1000,0))</f>
        <v>0</v>
      </c>
      <c r="G1440">
        <f>+'[1]VENTAS(RESUMEN GLOBAL)'!D1440-'[1]VENTAS(RESUMEN GLOBAL)'!E1440</f>
        <v>0</v>
      </c>
      <c r="H1440" s="9">
        <f>+'[1]VENTAS(RESUMEN GLOBAL)'!K1440</f>
        <v>0</v>
      </c>
      <c r="I1440" s="8">
        <f>+G1440*'[1]VENTAS(RESUMEN GLOBAL)'!F1440</f>
        <v>0</v>
      </c>
      <c r="J1440" s="8">
        <f>'[1]VENTAS(RESUMEN GLOBAL)'!G1440*(1-'[1]VENTAS(RESUMEN GLOBAL)'!H1440)</f>
        <v>0</v>
      </c>
      <c r="K1440" s="8">
        <f t="shared" si="22"/>
        <v>0</v>
      </c>
      <c r="L1440" s="8">
        <f>+'[1]VENTAS(RESUMEN GLOBAL)'!J1440</f>
        <v>0</v>
      </c>
      <c r="M1440" s="8">
        <f>+Tabla1[[#This Row],[utilidad x dia]]*7</f>
        <v>0</v>
      </c>
    </row>
    <row r="1441" spans="1:13" x14ac:dyDescent="0.3">
      <c r="A1441" s="6">
        <f>+'[1]VENTAS(RESUMEN GLOBAL)'!L1441</f>
        <v>0</v>
      </c>
      <c r="B1441" s="6">
        <f>+'[1]VENTAS(RESUMEN GLOBAL)'!M1441</f>
        <v>0</v>
      </c>
      <c r="C1441">
        <f>+'[1]VENTAS(RESUMEN GLOBAL)'!B1441</f>
        <v>0</v>
      </c>
      <c r="D1441" t="e">
        <f>INDEX('[1]CÓDIGOS DE PRODUCTO'!$D$3:$D$1000,MATCH(C1441,'[1]CÓDIGOS DE PRODUCTO'!$A$3:$A$1000,0))</f>
        <v>#N/A</v>
      </c>
      <c r="E1441">
        <f>VLOOKUP(C1441,'[1]CÓDIGOS DE PRODUCTO'!$A$4:$B$156,2,FALSE)</f>
        <v>0</v>
      </c>
      <c r="F1441">
        <f>INDEX('[1]CÓDIGOS DE PRODUCTO'!$C$3:$C$1000,MATCH(C1441,'[1]CÓDIGOS DE PRODUCTO'!$A$3:$A$1000,0))</f>
        <v>0</v>
      </c>
      <c r="G1441">
        <f>+'[1]VENTAS(RESUMEN GLOBAL)'!D1441-'[1]VENTAS(RESUMEN GLOBAL)'!E1441</f>
        <v>0</v>
      </c>
      <c r="H1441" s="9">
        <f>+'[1]VENTAS(RESUMEN GLOBAL)'!K1441</f>
        <v>0</v>
      </c>
      <c r="I1441" s="8">
        <f>+G1441*'[1]VENTAS(RESUMEN GLOBAL)'!F1441</f>
        <v>0</v>
      </c>
      <c r="J1441" s="8">
        <f>'[1]VENTAS(RESUMEN GLOBAL)'!G1441*(1-'[1]VENTAS(RESUMEN GLOBAL)'!H1441)</f>
        <v>0</v>
      </c>
      <c r="K1441" s="8">
        <f t="shared" si="22"/>
        <v>0</v>
      </c>
      <c r="L1441" s="8">
        <f>+'[1]VENTAS(RESUMEN GLOBAL)'!J1441</f>
        <v>0</v>
      </c>
      <c r="M1441" s="8">
        <f>+Tabla1[[#This Row],[utilidad x dia]]*7</f>
        <v>0</v>
      </c>
    </row>
    <row r="1442" spans="1:13" x14ac:dyDescent="0.3">
      <c r="A1442" s="6">
        <f>+'[1]VENTAS(RESUMEN GLOBAL)'!L1442</f>
        <v>0</v>
      </c>
      <c r="B1442" s="6">
        <f>+'[1]VENTAS(RESUMEN GLOBAL)'!M1442</f>
        <v>0</v>
      </c>
      <c r="C1442">
        <f>+'[1]VENTAS(RESUMEN GLOBAL)'!B1442</f>
        <v>0</v>
      </c>
      <c r="D1442" t="e">
        <f>INDEX('[1]CÓDIGOS DE PRODUCTO'!$D$3:$D$1000,MATCH(C1442,'[1]CÓDIGOS DE PRODUCTO'!$A$3:$A$1000,0))</f>
        <v>#N/A</v>
      </c>
      <c r="E1442">
        <f>VLOOKUP(C1442,'[1]CÓDIGOS DE PRODUCTO'!$A$4:$B$156,2,FALSE)</f>
        <v>0</v>
      </c>
      <c r="F1442">
        <f>INDEX('[1]CÓDIGOS DE PRODUCTO'!$C$3:$C$1000,MATCH(C1442,'[1]CÓDIGOS DE PRODUCTO'!$A$3:$A$1000,0))</f>
        <v>0</v>
      </c>
      <c r="G1442">
        <f>+'[1]VENTAS(RESUMEN GLOBAL)'!D1442-'[1]VENTAS(RESUMEN GLOBAL)'!E1442</f>
        <v>0</v>
      </c>
      <c r="H1442" s="9">
        <f>+'[1]VENTAS(RESUMEN GLOBAL)'!K1442</f>
        <v>0</v>
      </c>
      <c r="I1442" s="8">
        <f>+G1442*'[1]VENTAS(RESUMEN GLOBAL)'!F1442</f>
        <v>0</v>
      </c>
      <c r="J1442" s="8">
        <f>'[1]VENTAS(RESUMEN GLOBAL)'!G1442*(1-'[1]VENTAS(RESUMEN GLOBAL)'!H1442)</f>
        <v>0</v>
      </c>
      <c r="K1442" s="8">
        <f t="shared" si="22"/>
        <v>0</v>
      </c>
      <c r="L1442" s="8">
        <f>+'[1]VENTAS(RESUMEN GLOBAL)'!J1442</f>
        <v>0</v>
      </c>
      <c r="M1442" s="8">
        <f>+Tabla1[[#This Row],[utilidad x dia]]*7</f>
        <v>0</v>
      </c>
    </row>
    <row r="1443" spans="1:13" x14ac:dyDescent="0.3">
      <c r="A1443" s="6">
        <f>+'[1]VENTAS(RESUMEN GLOBAL)'!L1443</f>
        <v>0</v>
      </c>
      <c r="B1443" s="6">
        <f>+'[1]VENTAS(RESUMEN GLOBAL)'!M1443</f>
        <v>0</v>
      </c>
      <c r="C1443">
        <f>+'[1]VENTAS(RESUMEN GLOBAL)'!B1443</f>
        <v>0</v>
      </c>
      <c r="D1443" t="e">
        <f>INDEX('[1]CÓDIGOS DE PRODUCTO'!$D$3:$D$1000,MATCH(C1443,'[1]CÓDIGOS DE PRODUCTO'!$A$3:$A$1000,0))</f>
        <v>#N/A</v>
      </c>
      <c r="E1443">
        <f>VLOOKUP(C1443,'[1]CÓDIGOS DE PRODUCTO'!$A$4:$B$156,2,FALSE)</f>
        <v>0</v>
      </c>
      <c r="F1443">
        <f>INDEX('[1]CÓDIGOS DE PRODUCTO'!$C$3:$C$1000,MATCH(C1443,'[1]CÓDIGOS DE PRODUCTO'!$A$3:$A$1000,0))</f>
        <v>0</v>
      </c>
      <c r="G1443">
        <f>+'[1]VENTAS(RESUMEN GLOBAL)'!D1443-'[1]VENTAS(RESUMEN GLOBAL)'!E1443</f>
        <v>0</v>
      </c>
      <c r="H1443" s="9">
        <f>+'[1]VENTAS(RESUMEN GLOBAL)'!K1443</f>
        <v>0</v>
      </c>
      <c r="I1443" s="8">
        <f>+G1443*'[1]VENTAS(RESUMEN GLOBAL)'!F1443</f>
        <v>0</v>
      </c>
      <c r="J1443" s="8">
        <f>'[1]VENTAS(RESUMEN GLOBAL)'!G1443*(1-'[1]VENTAS(RESUMEN GLOBAL)'!H1443)</f>
        <v>0</v>
      </c>
      <c r="K1443" s="8">
        <f t="shared" si="22"/>
        <v>0</v>
      </c>
      <c r="L1443" s="8">
        <f>+'[1]VENTAS(RESUMEN GLOBAL)'!J1443</f>
        <v>0</v>
      </c>
      <c r="M1443" s="8">
        <f>+Tabla1[[#This Row],[utilidad x dia]]*7</f>
        <v>0</v>
      </c>
    </row>
    <row r="1444" spans="1:13" x14ac:dyDescent="0.3">
      <c r="A1444" s="6">
        <f>+'[1]VENTAS(RESUMEN GLOBAL)'!L1444</f>
        <v>0</v>
      </c>
      <c r="B1444" s="6">
        <f>+'[1]VENTAS(RESUMEN GLOBAL)'!M1444</f>
        <v>0</v>
      </c>
      <c r="C1444">
        <f>+'[1]VENTAS(RESUMEN GLOBAL)'!B1444</f>
        <v>0</v>
      </c>
      <c r="D1444" t="e">
        <f>INDEX('[1]CÓDIGOS DE PRODUCTO'!$D$3:$D$1000,MATCH(C1444,'[1]CÓDIGOS DE PRODUCTO'!$A$3:$A$1000,0))</f>
        <v>#N/A</v>
      </c>
      <c r="E1444">
        <f>VLOOKUP(C1444,'[1]CÓDIGOS DE PRODUCTO'!$A$4:$B$156,2,FALSE)</f>
        <v>0</v>
      </c>
      <c r="F1444">
        <f>INDEX('[1]CÓDIGOS DE PRODUCTO'!$C$3:$C$1000,MATCH(C1444,'[1]CÓDIGOS DE PRODUCTO'!$A$3:$A$1000,0))</f>
        <v>0</v>
      </c>
      <c r="G1444">
        <f>+'[1]VENTAS(RESUMEN GLOBAL)'!D1444-'[1]VENTAS(RESUMEN GLOBAL)'!E1444</f>
        <v>0</v>
      </c>
      <c r="H1444" s="9">
        <f>+'[1]VENTAS(RESUMEN GLOBAL)'!K1444</f>
        <v>0</v>
      </c>
      <c r="I1444" s="8">
        <f>+G1444*'[1]VENTAS(RESUMEN GLOBAL)'!F1444</f>
        <v>0</v>
      </c>
      <c r="J1444" s="8">
        <f>'[1]VENTAS(RESUMEN GLOBAL)'!G1444*(1-'[1]VENTAS(RESUMEN GLOBAL)'!H1444)</f>
        <v>0</v>
      </c>
      <c r="K1444" s="8">
        <f t="shared" si="22"/>
        <v>0</v>
      </c>
      <c r="L1444" s="8">
        <f>+'[1]VENTAS(RESUMEN GLOBAL)'!J1444</f>
        <v>0</v>
      </c>
      <c r="M1444" s="8">
        <f>+Tabla1[[#This Row],[utilidad x dia]]*7</f>
        <v>0</v>
      </c>
    </row>
    <row r="1445" spans="1:13" x14ac:dyDescent="0.3">
      <c r="A1445" s="6">
        <f>+'[1]VENTAS(RESUMEN GLOBAL)'!L1445</f>
        <v>0</v>
      </c>
      <c r="B1445" s="6">
        <f>+'[1]VENTAS(RESUMEN GLOBAL)'!M1445</f>
        <v>0</v>
      </c>
      <c r="C1445">
        <f>+'[1]VENTAS(RESUMEN GLOBAL)'!B1445</f>
        <v>0</v>
      </c>
      <c r="D1445" t="e">
        <f>INDEX('[1]CÓDIGOS DE PRODUCTO'!$D$3:$D$1000,MATCH(C1445,'[1]CÓDIGOS DE PRODUCTO'!$A$3:$A$1000,0))</f>
        <v>#N/A</v>
      </c>
      <c r="E1445">
        <f>VLOOKUP(C1445,'[1]CÓDIGOS DE PRODUCTO'!$A$4:$B$156,2,FALSE)</f>
        <v>0</v>
      </c>
      <c r="F1445">
        <f>INDEX('[1]CÓDIGOS DE PRODUCTO'!$C$3:$C$1000,MATCH(C1445,'[1]CÓDIGOS DE PRODUCTO'!$A$3:$A$1000,0))</f>
        <v>0</v>
      </c>
      <c r="G1445">
        <f>+'[1]VENTAS(RESUMEN GLOBAL)'!D1445-'[1]VENTAS(RESUMEN GLOBAL)'!E1445</f>
        <v>0</v>
      </c>
      <c r="H1445" s="9">
        <f>+'[1]VENTAS(RESUMEN GLOBAL)'!K1445</f>
        <v>0</v>
      </c>
      <c r="I1445" s="8">
        <f>+G1445*'[1]VENTAS(RESUMEN GLOBAL)'!F1445</f>
        <v>0</v>
      </c>
      <c r="J1445" s="8">
        <f>'[1]VENTAS(RESUMEN GLOBAL)'!G1445*(1-'[1]VENTAS(RESUMEN GLOBAL)'!H1445)</f>
        <v>0</v>
      </c>
      <c r="K1445" s="8">
        <f t="shared" si="22"/>
        <v>0</v>
      </c>
      <c r="L1445" s="8">
        <f>+'[1]VENTAS(RESUMEN GLOBAL)'!J1445</f>
        <v>0</v>
      </c>
      <c r="M1445" s="8">
        <f>+Tabla1[[#This Row],[utilidad x dia]]*7</f>
        <v>0</v>
      </c>
    </row>
    <row r="1446" spans="1:13" x14ac:dyDescent="0.3">
      <c r="A1446" s="6">
        <f>+'[1]VENTAS(RESUMEN GLOBAL)'!L1446</f>
        <v>0</v>
      </c>
      <c r="B1446" s="6">
        <f>+'[1]VENTAS(RESUMEN GLOBAL)'!M1446</f>
        <v>0</v>
      </c>
      <c r="C1446">
        <f>+'[1]VENTAS(RESUMEN GLOBAL)'!B1446</f>
        <v>0</v>
      </c>
      <c r="D1446" t="e">
        <f>INDEX('[1]CÓDIGOS DE PRODUCTO'!$D$3:$D$1000,MATCH(C1446,'[1]CÓDIGOS DE PRODUCTO'!$A$3:$A$1000,0))</f>
        <v>#N/A</v>
      </c>
      <c r="E1446">
        <f>VLOOKUP(C1446,'[1]CÓDIGOS DE PRODUCTO'!$A$4:$B$156,2,FALSE)</f>
        <v>0</v>
      </c>
      <c r="F1446">
        <f>INDEX('[1]CÓDIGOS DE PRODUCTO'!$C$3:$C$1000,MATCH(C1446,'[1]CÓDIGOS DE PRODUCTO'!$A$3:$A$1000,0))</f>
        <v>0</v>
      </c>
      <c r="G1446">
        <f>+'[1]VENTAS(RESUMEN GLOBAL)'!D1446-'[1]VENTAS(RESUMEN GLOBAL)'!E1446</f>
        <v>0</v>
      </c>
      <c r="H1446" s="9">
        <f>+'[1]VENTAS(RESUMEN GLOBAL)'!K1446</f>
        <v>0</v>
      </c>
      <c r="I1446" s="8">
        <f>+G1446*'[1]VENTAS(RESUMEN GLOBAL)'!F1446</f>
        <v>0</v>
      </c>
      <c r="J1446" s="8">
        <f>'[1]VENTAS(RESUMEN GLOBAL)'!G1446*(1-'[1]VENTAS(RESUMEN GLOBAL)'!H1446)</f>
        <v>0</v>
      </c>
      <c r="K1446" s="8">
        <f t="shared" si="22"/>
        <v>0</v>
      </c>
      <c r="L1446" s="8">
        <f>+'[1]VENTAS(RESUMEN GLOBAL)'!J1446</f>
        <v>0</v>
      </c>
      <c r="M1446" s="8">
        <f>+Tabla1[[#This Row],[utilidad x dia]]*7</f>
        <v>0</v>
      </c>
    </row>
    <row r="1447" spans="1:13" x14ac:dyDescent="0.3">
      <c r="A1447" s="6">
        <f>+'[1]VENTAS(RESUMEN GLOBAL)'!L1447</f>
        <v>0</v>
      </c>
      <c r="B1447" s="6">
        <f>+'[1]VENTAS(RESUMEN GLOBAL)'!M1447</f>
        <v>0</v>
      </c>
      <c r="C1447">
        <f>+'[1]VENTAS(RESUMEN GLOBAL)'!B1447</f>
        <v>0</v>
      </c>
      <c r="D1447" t="e">
        <f>INDEX('[1]CÓDIGOS DE PRODUCTO'!$D$3:$D$1000,MATCH(C1447,'[1]CÓDIGOS DE PRODUCTO'!$A$3:$A$1000,0))</f>
        <v>#N/A</v>
      </c>
      <c r="E1447">
        <f>VLOOKUP(C1447,'[1]CÓDIGOS DE PRODUCTO'!$A$4:$B$156,2,FALSE)</f>
        <v>0</v>
      </c>
      <c r="F1447">
        <f>INDEX('[1]CÓDIGOS DE PRODUCTO'!$C$3:$C$1000,MATCH(C1447,'[1]CÓDIGOS DE PRODUCTO'!$A$3:$A$1000,0))</f>
        <v>0</v>
      </c>
      <c r="G1447">
        <f>+'[1]VENTAS(RESUMEN GLOBAL)'!D1447-'[1]VENTAS(RESUMEN GLOBAL)'!E1447</f>
        <v>0</v>
      </c>
      <c r="H1447" s="9">
        <f>+'[1]VENTAS(RESUMEN GLOBAL)'!K1447</f>
        <v>0</v>
      </c>
      <c r="I1447" s="8">
        <f>+G1447*'[1]VENTAS(RESUMEN GLOBAL)'!F1447</f>
        <v>0</v>
      </c>
      <c r="J1447" s="8">
        <f>'[1]VENTAS(RESUMEN GLOBAL)'!G1447*(1-'[1]VENTAS(RESUMEN GLOBAL)'!H1447)</f>
        <v>0</v>
      </c>
      <c r="K1447" s="8">
        <f t="shared" si="22"/>
        <v>0</v>
      </c>
      <c r="L1447" s="8">
        <f>+'[1]VENTAS(RESUMEN GLOBAL)'!J1447</f>
        <v>0</v>
      </c>
      <c r="M1447" s="8">
        <f>+Tabla1[[#This Row],[utilidad x dia]]*7</f>
        <v>0</v>
      </c>
    </row>
    <row r="1448" spans="1:13" x14ac:dyDescent="0.3">
      <c r="A1448" s="6">
        <f>+'[1]VENTAS(RESUMEN GLOBAL)'!L1448</f>
        <v>0</v>
      </c>
      <c r="B1448" s="6">
        <f>+'[1]VENTAS(RESUMEN GLOBAL)'!M1448</f>
        <v>0</v>
      </c>
      <c r="C1448">
        <f>+'[1]VENTAS(RESUMEN GLOBAL)'!B1448</f>
        <v>0</v>
      </c>
      <c r="D1448" t="e">
        <f>INDEX('[1]CÓDIGOS DE PRODUCTO'!$D$3:$D$1000,MATCH(C1448,'[1]CÓDIGOS DE PRODUCTO'!$A$3:$A$1000,0))</f>
        <v>#N/A</v>
      </c>
      <c r="E1448">
        <f>VLOOKUP(C1448,'[1]CÓDIGOS DE PRODUCTO'!$A$4:$B$156,2,FALSE)</f>
        <v>0</v>
      </c>
      <c r="F1448">
        <f>INDEX('[1]CÓDIGOS DE PRODUCTO'!$C$3:$C$1000,MATCH(C1448,'[1]CÓDIGOS DE PRODUCTO'!$A$3:$A$1000,0))</f>
        <v>0</v>
      </c>
      <c r="G1448">
        <f>+'[1]VENTAS(RESUMEN GLOBAL)'!D1448-'[1]VENTAS(RESUMEN GLOBAL)'!E1448</f>
        <v>0</v>
      </c>
      <c r="H1448" s="9">
        <f>+'[1]VENTAS(RESUMEN GLOBAL)'!K1448</f>
        <v>0</v>
      </c>
      <c r="I1448" s="8">
        <f>+G1448*'[1]VENTAS(RESUMEN GLOBAL)'!F1448</f>
        <v>0</v>
      </c>
      <c r="J1448" s="8">
        <f>'[1]VENTAS(RESUMEN GLOBAL)'!G1448*(1-'[1]VENTAS(RESUMEN GLOBAL)'!H1448)</f>
        <v>0</v>
      </c>
      <c r="K1448" s="8">
        <f t="shared" si="22"/>
        <v>0</v>
      </c>
      <c r="L1448" s="8">
        <f>+'[1]VENTAS(RESUMEN GLOBAL)'!J1448</f>
        <v>0</v>
      </c>
      <c r="M1448" s="8">
        <f>+Tabla1[[#This Row],[utilidad x dia]]*7</f>
        <v>0</v>
      </c>
    </row>
    <row r="1449" spans="1:13" x14ac:dyDescent="0.3">
      <c r="A1449" s="6">
        <f>+'[1]VENTAS(RESUMEN GLOBAL)'!L1449</f>
        <v>0</v>
      </c>
      <c r="B1449" s="6">
        <f>+'[1]VENTAS(RESUMEN GLOBAL)'!M1449</f>
        <v>0</v>
      </c>
      <c r="C1449">
        <f>+'[1]VENTAS(RESUMEN GLOBAL)'!B1449</f>
        <v>0</v>
      </c>
      <c r="D1449" t="e">
        <f>INDEX('[1]CÓDIGOS DE PRODUCTO'!$D$3:$D$1000,MATCH(C1449,'[1]CÓDIGOS DE PRODUCTO'!$A$3:$A$1000,0))</f>
        <v>#N/A</v>
      </c>
      <c r="E1449">
        <f>VLOOKUP(C1449,'[1]CÓDIGOS DE PRODUCTO'!$A$4:$B$156,2,FALSE)</f>
        <v>0</v>
      </c>
      <c r="F1449">
        <f>INDEX('[1]CÓDIGOS DE PRODUCTO'!$C$3:$C$1000,MATCH(C1449,'[1]CÓDIGOS DE PRODUCTO'!$A$3:$A$1000,0))</f>
        <v>0</v>
      </c>
      <c r="G1449">
        <f>+'[1]VENTAS(RESUMEN GLOBAL)'!D1449-'[1]VENTAS(RESUMEN GLOBAL)'!E1449</f>
        <v>0</v>
      </c>
      <c r="H1449" s="9">
        <f>+'[1]VENTAS(RESUMEN GLOBAL)'!K1449</f>
        <v>0</v>
      </c>
      <c r="I1449" s="8">
        <f>+G1449*'[1]VENTAS(RESUMEN GLOBAL)'!F1449</f>
        <v>0</v>
      </c>
      <c r="J1449" s="8">
        <f>'[1]VENTAS(RESUMEN GLOBAL)'!G1449*(1-'[1]VENTAS(RESUMEN GLOBAL)'!H1449)</f>
        <v>0</v>
      </c>
      <c r="K1449" s="8">
        <f t="shared" si="22"/>
        <v>0</v>
      </c>
      <c r="L1449" s="8">
        <f>+'[1]VENTAS(RESUMEN GLOBAL)'!J1449</f>
        <v>0</v>
      </c>
      <c r="M1449" s="8">
        <f>+Tabla1[[#This Row],[utilidad x dia]]*7</f>
        <v>0</v>
      </c>
    </row>
    <row r="1450" spans="1:13" x14ac:dyDescent="0.3">
      <c r="A1450" s="6">
        <f>+'[1]VENTAS(RESUMEN GLOBAL)'!L1450</f>
        <v>0</v>
      </c>
      <c r="B1450" s="6">
        <f>+'[1]VENTAS(RESUMEN GLOBAL)'!M1450</f>
        <v>0</v>
      </c>
      <c r="C1450">
        <f>+'[1]VENTAS(RESUMEN GLOBAL)'!B1450</f>
        <v>0</v>
      </c>
      <c r="D1450" t="e">
        <f>INDEX('[1]CÓDIGOS DE PRODUCTO'!$D$3:$D$1000,MATCH(C1450,'[1]CÓDIGOS DE PRODUCTO'!$A$3:$A$1000,0))</f>
        <v>#N/A</v>
      </c>
      <c r="E1450">
        <f>VLOOKUP(C1450,'[1]CÓDIGOS DE PRODUCTO'!$A$4:$B$156,2,FALSE)</f>
        <v>0</v>
      </c>
      <c r="F1450">
        <f>INDEX('[1]CÓDIGOS DE PRODUCTO'!$C$3:$C$1000,MATCH(C1450,'[1]CÓDIGOS DE PRODUCTO'!$A$3:$A$1000,0))</f>
        <v>0</v>
      </c>
      <c r="G1450">
        <f>+'[1]VENTAS(RESUMEN GLOBAL)'!D1450-'[1]VENTAS(RESUMEN GLOBAL)'!E1450</f>
        <v>0</v>
      </c>
      <c r="H1450" s="9">
        <f>+'[1]VENTAS(RESUMEN GLOBAL)'!K1450</f>
        <v>0</v>
      </c>
      <c r="I1450" s="8">
        <f>+G1450*'[1]VENTAS(RESUMEN GLOBAL)'!F1450</f>
        <v>0</v>
      </c>
      <c r="J1450" s="8">
        <f>'[1]VENTAS(RESUMEN GLOBAL)'!G1450*(1-'[1]VENTAS(RESUMEN GLOBAL)'!H1450)</f>
        <v>0</v>
      </c>
      <c r="K1450" s="8">
        <f t="shared" si="22"/>
        <v>0</v>
      </c>
      <c r="L1450" s="8">
        <f>+'[1]VENTAS(RESUMEN GLOBAL)'!J1450</f>
        <v>0</v>
      </c>
      <c r="M1450" s="8">
        <f>+Tabla1[[#This Row],[utilidad x dia]]*7</f>
        <v>0</v>
      </c>
    </row>
    <row r="1451" spans="1:13" x14ac:dyDescent="0.3">
      <c r="A1451" s="6">
        <f>+'[1]VENTAS(RESUMEN GLOBAL)'!L1451</f>
        <v>0</v>
      </c>
      <c r="B1451" s="6">
        <f>+'[1]VENTAS(RESUMEN GLOBAL)'!M1451</f>
        <v>0</v>
      </c>
      <c r="C1451">
        <f>+'[1]VENTAS(RESUMEN GLOBAL)'!B1451</f>
        <v>0</v>
      </c>
      <c r="D1451" t="e">
        <f>INDEX('[1]CÓDIGOS DE PRODUCTO'!$D$3:$D$1000,MATCH(C1451,'[1]CÓDIGOS DE PRODUCTO'!$A$3:$A$1000,0))</f>
        <v>#N/A</v>
      </c>
      <c r="E1451">
        <f>VLOOKUP(C1451,'[1]CÓDIGOS DE PRODUCTO'!$A$4:$B$156,2,FALSE)</f>
        <v>0</v>
      </c>
      <c r="F1451">
        <f>INDEX('[1]CÓDIGOS DE PRODUCTO'!$C$3:$C$1000,MATCH(C1451,'[1]CÓDIGOS DE PRODUCTO'!$A$3:$A$1000,0))</f>
        <v>0</v>
      </c>
      <c r="G1451">
        <f>+'[1]VENTAS(RESUMEN GLOBAL)'!D1451-'[1]VENTAS(RESUMEN GLOBAL)'!E1451</f>
        <v>0</v>
      </c>
      <c r="H1451" s="9">
        <f>+'[1]VENTAS(RESUMEN GLOBAL)'!K1451</f>
        <v>0</v>
      </c>
      <c r="I1451" s="8">
        <f>+G1451*'[1]VENTAS(RESUMEN GLOBAL)'!F1451</f>
        <v>0</v>
      </c>
      <c r="J1451" s="8">
        <f>'[1]VENTAS(RESUMEN GLOBAL)'!G1451*(1-'[1]VENTAS(RESUMEN GLOBAL)'!H1451)</f>
        <v>0</v>
      </c>
      <c r="K1451" s="8">
        <f t="shared" si="22"/>
        <v>0</v>
      </c>
      <c r="L1451" s="8">
        <f>+'[1]VENTAS(RESUMEN GLOBAL)'!J1451</f>
        <v>0</v>
      </c>
      <c r="M1451" s="8">
        <f>+Tabla1[[#This Row],[utilidad x dia]]*7</f>
        <v>0</v>
      </c>
    </row>
    <row r="1452" spans="1:13" x14ac:dyDescent="0.3">
      <c r="A1452" s="6">
        <f>+'[1]VENTAS(RESUMEN GLOBAL)'!L1452</f>
        <v>0</v>
      </c>
      <c r="B1452" s="6">
        <f>+'[1]VENTAS(RESUMEN GLOBAL)'!M1452</f>
        <v>0</v>
      </c>
      <c r="C1452">
        <f>+'[1]VENTAS(RESUMEN GLOBAL)'!B1452</f>
        <v>0</v>
      </c>
      <c r="D1452" t="e">
        <f>INDEX('[1]CÓDIGOS DE PRODUCTO'!$D$3:$D$1000,MATCH(C1452,'[1]CÓDIGOS DE PRODUCTO'!$A$3:$A$1000,0))</f>
        <v>#N/A</v>
      </c>
      <c r="E1452">
        <f>VLOOKUP(C1452,'[1]CÓDIGOS DE PRODUCTO'!$A$4:$B$156,2,FALSE)</f>
        <v>0</v>
      </c>
      <c r="F1452">
        <f>INDEX('[1]CÓDIGOS DE PRODUCTO'!$C$3:$C$1000,MATCH(C1452,'[1]CÓDIGOS DE PRODUCTO'!$A$3:$A$1000,0))</f>
        <v>0</v>
      </c>
      <c r="G1452">
        <f>+'[1]VENTAS(RESUMEN GLOBAL)'!D1452-'[1]VENTAS(RESUMEN GLOBAL)'!E1452</f>
        <v>0</v>
      </c>
      <c r="H1452" s="9">
        <f>+'[1]VENTAS(RESUMEN GLOBAL)'!K1452</f>
        <v>0</v>
      </c>
      <c r="I1452" s="8">
        <f>+G1452*'[1]VENTAS(RESUMEN GLOBAL)'!F1452</f>
        <v>0</v>
      </c>
      <c r="J1452" s="8">
        <f>'[1]VENTAS(RESUMEN GLOBAL)'!G1452*(1-'[1]VENTAS(RESUMEN GLOBAL)'!H1452)</f>
        <v>0</v>
      </c>
      <c r="K1452" s="8">
        <f t="shared" si="22"/>
        <v>0</v>
      </c>
      <c r="L1452" s="8">
        <f>+'[1]VENTAS(RESUMEN GLOBAL)'!J1452</f>
        <v>0</v>
      </c>
      <c r="M1452" s="8">
        <f>+Tabla1[[#This Row],[utilidad x dia]]*7</f>
        <v>0</v>
      </c>
    </row>
    <row r="1453" spans="1:13" x14ac:dyDescent="0.3">
      <c r="A1453" s="6">
        <f>+'[1]VENTAS(RESUMEN GLOBAL)'!L1453</f>
        <v>0</v>
      </c>
      <c r="B1453" s="6">
        <f>+'[1]VENTAS(RESUMEN GLOBAL)'!M1453</f>
        <v>0</v>
      </c>
      <c r="C1453">
        <f>+'[1]VENTAS(RESUMEN GLOBAL)'!B1453</f>
        <v>0</v>
      </c>
      <c r="D1453" t="e">
        <f>INDEX('[1]CÓDIGOS DE PRODUCTO'!$D$3:$D$1000,MATCH(C1453,'[1]CÓDIGOS DE PRODUCTO'!$A$3:$A$1000,0))</f>
        <v>#N/A</v>
      </c>
      <c r="E1453">
        <f>VLOOKUP(C1453,'[1]CÓDIGOS DE PRODUCTO'!$A$4:$B$156,2,FALSE)</f>
        <v>0</v>
      </c>
      <c r="F1453">
        <f>INDEX('[1]CÓDIGOS DE PRODUCTO'!$C$3:$C$1000,MATCH(C1453,'[1]CÓDIGOS DE PRODUCTO'!$A$3:$A$1000,0))</f>
        <v>0</v>
      </c>
      <c r="G1453">
        <f>+'[1]VENTAS(RESUMEN GLOBAL)'!D1453-'[1]VENTAS(RESUMEN GLOBAL)'!E1453</f>
        <v>0</v>
      </c>
      <c r="H1453" s="9">
        <f>+'[1]VENTAS(RESUMEN GLOBAL)'!K1453</f>
        <v>0</v>
      </c>
      <c r="I1453" s="8">
        <f>+G1453*'[1]VENTAS(RESUMEN GLOBAL)'!F1453</f>
        <v>0</v>
      </c>
      <c r="J1453" s="8">
        <f>'[1]VENTAS(RESUMEN GLOBAL)'!G1453*(1-'[1]VENTAS(RESUMEN GLOBAL)'!H1453)</f>
        <v>0</v>
      </c>
      <c r="K1453" s="8">
        <f t="shared" si="22"/>
        <v>0</v>
      </c>
      <c r="L1453" s="8">
        <f>+'[1]VENTAS(RESUMEN GLOBAL)'!J1453</f>
        <v>0</v>
      </c>
      <c r="M1453" s="8">
        <f>+Tabla1[[#This Row],[utilidad x dia]]*7</f>
        <v>0</v>
      </c>
    </row>
    <row r="1454" spans="1:13" x14ac:dyDescent="0.3">
      <c r="A1454" s="6">
        <f>+'[1]VENTAS(RESUMEN GLOBAL)'!L1454</f>
        <v>0</v>
      </c>
      <c r="B1454" s="6">
        <f>+'[1]VENTAS(RESUMEN GLOBAL)'!M1454</f>
        <v>0</v>
      </c>
      <c r="C1454">
        <f>+'[1]VENTAS(RESUMEN GLOBAL)'!B1454</f>
        <v>0</v>
      </c>
      <c r="D1454" t="e">
        <f>INDEX('[1]CÓDIGOS DE PRODUCTO'!$D$3:$D$1000,MATCH(C1454,'[1]CÓDIGOS DE PRODUCTO'!$A$3:$A$1000,0))</f>
        <v>#N/A</v>
      </c>
      <c r="E1454">
        <f>VLOOKUP(C1454,'[1]CÓDIGOS DE PRODUCTO'!$A$4:$B$156,2,FALSE)</f>
        <v>0</v>
      </c>
      <c r="F1454">
        <f>INDEX('[1]CÓDIGOS DE PRODUCTO'!$C$3:$C$1000,MATCH(C1454,'[1]CÓDIGOS DE PRODUCTO'!$A$3:$A$1000,0))</f>
        <v>0</v>
      </c>
      <c r="G1454">
        <f>+'[1]VENTAS(RESUMEN GLOBAL)'!D1454-'[1]VENTAS(RESUMEN GLOBAL)'!E1454</f>
        <v>0</v>
      </c>
      <c r="H1454" s="9">
        <f>+'[1]VENTAS(RESUMEN GLOBAL)'!K1454</f>
        <v>0</v>
      </c>
      <c r="I1454" s="8">
        <f>+G1454*'[1]VENTAS(RESUMEN GLOBAL)'!F1454</f>
        <v>0</v>
      </c>
      <c r="J1454" s="8">
        <f>'[1]VENTAS(RESUMEN GLOBAL)'!G1454*(1-'[1]VENTAS(RESUMEN GLOBAL)'!H1454)</f>
        <v>0</v>
      </c>
      <c r="K1454" s="8">
        <f t="shared" si="22"/>
        <v>0</v>
      </c>
      <c r="L1454" s="8">
        <f>+'[1]VENTAS(RESUMEN GLOBAL)'!J1454</f>
        <v>0</v>
      </c>
      <c r="M1454" s="8">
        <f>+Tabla1[[#This Row],[utilidad x dia]]*7</f>
        <v>0</v>
      </c>
    </row>
    <row r="1455" spans="1:13" x14ac:dyDescent="0.3">
      <c r="A1455" s="6">
        <f>+'[1]VENTAS(RESUMEN GLOBAL)'!L1455</f>
        <v>0</v>
      </c>
      <c r="B1455" s="6">
        <f>+'[1]VENTAS(RESUMEN GLOBAL)'!M1455</f>
        <v>0</v>
      </c>
      <c r="C1455">
        <f>+'[1]VENTAS(RESUMEN GLOBAL)'!B1455</f>
        <v>0</v>
      </c>
      <c r="D1455" t="e">
        <f>INDEX('[1]CÓDIGOS DE PRODUCTO'!$D$3:$D$1000,MATCH(C1455,'[1]CÓDIGOS DE PRODUCTO'!$A$3:$A$1000,0))</f>
        <v>#N/A</v>
      </c>
      <c r="E1455">
        <f>VLOOKUP(C1455,'[1]CÓDIGOS DE PRODUCTO'!$A$4:$B$156,2,FALSE)</f>
        <v>0</v>
      </c>
      <c r="F1455">
        <f>INDEX('[1]CÓDIGOS DE PRODUCTO'!$C$3:$C$1000,MATCH(C1455,'[1]CÓDIGOS DE PRODUCTO'!$A$3:$A$1000,0))</f>
        <v>0</v>
      </c>
      <c r="G1455">
        <f>+'[1]VENTAS(RESUMEN GLOBAL)'!D1455-'[1]VENTAS(RESUMEN GLOBAL)'!E1455</f>
        <v>0</v>
      </c>
      <c r="H1455" s="9">
        <f>+'[1]VENTAS(RESUMEN GLOBAL)'!K1455</f>
        <v>0</v>
      </c>
      <c r="I1455" s="8">
        <f>+G1455*'[1]VENTAS(RESUMEN GLOBAL)'!F1455</f>
        <v>0</v>
      </c>
      <c r="J1455" s="8">
        <f>'[1]VENTAS(RESUMEN GLOBAL)'!G1455*(1-'[1]VENTAS(RESUMEN GLOBAL)'!H1455)</f>
        <v>0</v>
      </c>
      <c r="K1455" s="8">
        <f t="shared" si="22"/>
        <v>0</v>
      </c>
      <c r="L1455" s="8">
        <f>+'[1]VENTAS(RESUMEN GLOBAL)'!J1455</f>
        <v>0</v>
      </c>
      <c r="M1455" s="8">
        <f>+Tabla1[[#This Row],[utilidad x dia]]*7</f>
        <v>0</v>
      </c>
    </row>
    <row r="1456" spans="1:13" x14ac:dyDescent="0.3">
      <c r="A1456" s="6">
        <f>+'[1]VENTAS(RESUMEN GLOBAL)'!L1456</f>
        <v>0</v>
      </c>
      <c r="B1456" s="6">
        <f>+'[1]VENTAS(RESUMEN GLOBAL)'!M1456</f>
        <v>0</v>
      </c>
      <c r="C1456">
        <f>+'[1]VENTAS(RESUMEN GLOBAL)'!B1456</f>
        <v>0</v>
      </c>
      <c r="D1456" t="e">
        <f>INDEX('[1]CÓDIGOS DE PRODUCTO'!$D$3:$D$1000,MATCH(C1456,'[1]CÓDIGOS DE PRODUCTO'!$A$3:$A$1000,0))</f>
        <v>#N/A</v>
      </c>
      <c r="E1456">
        <f>VLOOKUP(C1456,'[1]CÓDIGOS DE PRODUCTO'!$A$4:$B$156,2,FALSE)</f>
        <v>0</v>
      </c>
      <c r="F1456">
        <f>INDEX('[1]CÓDIGOS DE PRODUCTO'!$C$3:$C$1000,MATCH(C1456,'[1]CÓDIGOS DE PRODUCTO'!$A$3:$A$1000,0))</f>
        <v>0</v>
      </c>
      <c r="G1456">
        <f>+'[1]VENTAS(RESUMEN GLOBAL)'!D1456-'[1]VENTAS(RESUMEN GLOBAL)'!E1456</f>
        <v>0</v>
      </c>
      <c r="H1456" s="9">
        <f>+'[1]VENTAS(RESUMEN GLOBAL)'!K1456</f>
        <v>0</v>
      </c>
      <c r="I1456" s="8">
        <f>+G1456*'[1]VENTAS(RESUMEN GLOBAL)'!F1456</f>
        <v>0</v>
      </c>
      <c r="J1456" s="8">
        <f>'[1]VENTAS(RESUMEN GLOBAL)'!G1456*(1-'[1]VENTAS(RESUMEN GLOBAL)'!H1456)</f>
        <v>0</v>
      </c>
      <c r="K1456" s="8">
        <f t="shared" si="22"/>
        <v>0</v>
      </c>
      <c r="L1456" s="8">
        <f>+'[1]VENTAS(RESUMEN GLOBAL)'!J1456</f>
        <v>0</v>
      </c>
      <c r="M1456" s="8">
        <f>+Tabla1[[#This Row],[utilidad x dia]]*7</f>
        <v>0</v>
      </c>
    </row>
    <row r="1457" spans="1:13" x14ac:dyDescent="0.3">
      <c r="A1457" s="6">
        <f>+'[1]VENTAS(RESUMEN GLOBAL)'!L1457</f>
        <v>0</v>
      </c>
      <c r="B1457" s="6">
        <f>+'[1]VENTAS(RESUMEN GLOBAL)'!M1457</f>
        <v>0</v>
      </c>
      <c r="C1457">
        <f>+'[1]VENTAS(RESUMEN GLOBAL)'!B1457</f>
        <v>0</v>
      </c>
      <c r="D1457" t="e">
        <f>INDEX('[1]CÓDIGOS DE PRODUCTO'!$D$3:$D$1000,MATCH(C1457,'[1]CÓDIGOS DE PRODUCTO'!$A$3:$A$1000,0))</f>
        <v>#N/A</v>
      </c>
      <c r="E1457">
        <f>VLOOKUP(C1457,'[1]CÓDIGOS DE PRODUCTO'!$A$4:$B$156,2,FALSE)</f>
        <v>0</v>
      </c>
      <c r="F1457">
        <f>INDEX('[1]CÓDIGOS DE PRODUCTO'!$C$3:$C$1000,MATCH(C1457,'[1]CÓDIGOS DE PRODUCTO'!$A$3:$A$1000,0))</f>
        <v>0</v>
      </c>
      <c r="G1457">
        <f>+'[1]VENTAS(RESUMEN GLOBAL)'!D1457-'[1]VENTAS(RESUMEN GLOBAL)'!E1457</f>
        <v>0</v>
      </c>
      <c r="H1457" s="9">
        <f>+'[1]VENTAS(RESUMEN GLOBAL)'!K1457</f>
        <v>0</v>
      </c>
      <c r="I1457" s="8">
        <f>+G1457*'[1]VENTAS(RESUMEN GLOBAL)'!F1457</f>
        <v>0</v>
      </c>
      <c r="J1457" s="8">
        <f>'[1]VENTAS(RESUMEN GLOBAL)'!G1457*(1-'[1]VENTAS(RESUMEN GLOBAL)'!H1457)</f>
        <v>0</v>
      </c>
      <c r="K1457" s="8">
        <f t="shared" si="22"/>
        <v>0</v>
      </c>
      <c r="L1457" s="8">
        <f>+'[1]VENTAS(RESUMEN GLOBAL)'!J1457</f>
        <v>0</v>
      </c>
      <c r="M1457" s="8">
        <f>+Tabla1[[#This Row],[utilidad x dia]]*7</f>
        <v>0</v>
      </c>
    </row>
    <row r="1458" spans="1:13" x14ac:dyDescent="0.3">
      <c r="A1458" s="6">
        <f>+'[1]VENTAS(RESUMEN GLOBAL)'!L1458</f>
        <v>0</v>
      </c>
      <c r="B1458" s="6">
        <f>+'[1]VENTAS(RESUMEN GLOBAL)'!M1458</f>
        <v>0</v>
      </c>
      <c r="C1458">
        <f>+'[1]VENTAS(RESUMEN GLOBAL)'!B1458</f>
        <v>0</v>
      </c>
      <c r="D1458" t="e">
        <f>INDEX('[1]CÓDIGOS DE PRODUCTO'!$D$3:$D$1000,MATCH(C1458,'[1]CÓDIGOS DE PRODUCTO'!$A$3:$A$1000,0))</f>
        <v>#N/A</v>
      </c>
      <c r="E1458">
        <f>VLOOKUP(C1458,'[1]CÓDIGOS DE PRODUCTO'!$A$4:$B$156,2,FALSE)</f>
        <v>0</v>
      </c>
      <c r="F1458">
        <f>INDEX('[1]CÓDIGOS DE PRODUCTO'!$C$3:$C$1000,MATCH(C1458,'[1]CÓDIGOS DE PRODUCTO'!$A$3:$A$1000,0))</f>
        <v>0</v>
      </c>
      <c r="G1458">
        <f>+'[1]VENTAS(RESUMEN GLOBAL)'!D1458-'[1]VENTAS(RESUMEN GLOBAL)'!E1458</f>
        <v>0</v>
      </c>
      <c r="H1458" s="9">
        <f>+'[1]VENTAS(RESUMEN GLOBAL)'!K1458</f>
        <v>0</v>
      </c>
      <c r="I1458" s="8">
        <f>+G1458*'[1]VENTAS(RESUMEN GLOBAL)'!F1458</f>
        <v>0</v>
      </c>
      <c r="J1458" s="8">
        <f>'[1]VENTAS(RESUMEN GLOBAL)'!G1458*(1-'[1]VENTAS(RESUMEN GLOBAL)'!H1458)</f>
        <v>0</v>
      </c>
      <c r="K1458" s="8">
        <f t="shared" si="22"/>
        <v>0</v>
      </c>
      <c r="L1458" s="8">
        <f>+'[1]VENTAS(RESUMEN GLOBAL)'!J1458</f>
        <v>0</v>
      </c>
      <c r="M1458" s="8">
        <f>+Tabla1[[#This Row],[utilidad x dia]]*7</f>
        <v>0</v>
      </c>
    </row>
    <row r="1459" spans="1:13" x14ac:dyDescent="0.3">
      <c r="A1459" s="6">
        <f>+'[1]VENTAS(RESUMEN GLOBAL)'!L1459</f>
        <v>0</v>
      </c>
      <c r="B1459" s="6">
        <f>+'[1]VENTAS(RESUMEN GLOBAL)'!M1459</f>
        <v>0</v>
      </c>
      <c r="C1459">
        <f>+'[1]VENTAS(RESUMEN GLOBAL)'!B1459</f>
        <v>0</v>
      </c>
      <c r="D1459" t="e">
        <f>INDEX('[1]CÓDIGOS DE PRODUCTO'!$D$3:$D$1000,MATCH(C1459,'[1]CÓDIGOS DE PRODUCTO'!$A$3:$A$1000,0))</f>
        <v>#N/A</v>
      </c>
      <c r="E1459">
        <f>VLOOKUP(C1459,'[1]CÓDIGOS DE PRODUCTO'!$A$4:$B$156,2,FALSE)</f>
        <v>0</v>
      </c>
      <c r="F1459">
        <f>INDEX('[1]CÓDIGOS DE PRODUCTO'!$C$3:$C$1000,MATCH(C1459,'[1]CÓDIGOS DE PRODUCTO'!$A$3:$A$1000,0))</f>
        <v>0</v>
      </c>
      <c r="G1459">
        <f>+'[1]VENTAS(RESUMEN GLOBAL)'!D1459-'[1]VENTAS(RESUMEN GLOBAL)'!E1459</f>
        <v>0</v>
      </c>
      <c r="H1459" s="9">
        <f>+'[1]VENTAS(RESUMEN GLOBAL)'!K1459</f>
        <v>0</v>
      </c>
      <c r="I1459" s="8">
        <f>+G1459*'[1]VENTAS(RESUMEN GLOBAL)'!F1459</f>
        <v>0</v>
      </c>
      <c r="J1459" s="8">
        <f>'[1]VENTAS(RESUMEN GLOBAL)'!G1459*(1-'[1]VENTAS(RESUMEN GLOBAL)'!H1459)</f>
        <v>0</v>
      </c>
      <c r="K1459" s="8">
        <f t="shared" si="22"/>
        <v>0</v>
      </c>
      <c r="L1459" s="8">
        <f>+'[1]VENTAS(RESUMEN GLOBAL)'!J1459</f>
        <v>0</v>
      </c>
      <c r="M1459" s="8">
        <f>+Tabla1[[#This Row],[utilidad x dia]]*7</f>
        <v>0</v>
      </c>
    </row>
    <row r="1460" spans="1:13" x14ac:dyDescent="0.3">
      <c r="A1460" s="6">
        <f>+'[1]VENTAS(RESUMEN GLOBAL)'!L1460</f>
        <v>0</v>
      </c>
      <c r="B1460" s="6">
        <f>+'[1]VENTAS(RESUMEN GLOBAL)'!M1460</f>
        <v>0</v>
      </c>
      <c r="C1460">
        <f>+'[1]VENTAS(RESUMEN GLOBAL)'!B1460</f>
        <v>0</v>
      </c>
      <c r="D1460" t="e">
        <f>INDEX('[1]CÓDIGOS DE PRODUCTO'!$D$3:$D$1000,MATCH(C1460,'[1]CÓDIGOS DE PRODUCTO'!$A$3:$A$1000,0))</f>
        <v>#N/A</v>
      </c>
      <c r="E1460">
        <f>VLOOKUP(C1460,'[1]CÓDIGOS DE PRODUCTO'!$A$4:$B$156,2,FALSE)</f>
        <v>0</v>
      </c>
      <c r="F1460">
        <f>INDEX('[1]CÓDIGOS DE PRODUCTO'!$C$3:$C$1000,MATCH(C1460,'[1]CÓDIGOS DE PRODUCTO'!$A$3:$A$1000,0))</f>
        <v>0</v>
      </c>
      <c r="G1460">
        <f>+'[1]VENTAS(RESUMEN GLOBAL)'!D1460-'[1]VENTAS(RESUMEN GLOBAL)'!E1460</f>
        <v>0</v>
      </c>
      <c r="H1460" s="9">
        <f>+'[1]VENTAS(RESUMEN GLOBAL)'!K1460</f>
        <v>0</v>
      </c>
      <c r="I1460" s="8">
        <f>+G1460*'[1]VENTAS(RESUMEN GLOBAL)'!F1460</f>
        <v>0</v>
      </c>
      <c r="J1460" s="8">
        <f>'[1]VENTAS(RESUMEN GLOBAL)'!G1460*(1-'[1]VENTAS(RESUMEN GLOBAL)'!H1460)</f>
        <v>0</v>
      </c>
      <c r="K1460" s="8">
        <f t="shared" si="22"/>
        <v>0</v>
      </c>
      <c r="L1460" s="8">
        <f>+'[1]VENTAS(RESUMEN GLOBAL)'!J1460</f>
        <v>0</v>
      </c>
      <c r="M1460" s="8">
        <f>+Tabla1[[#This Row],[utilidad x dia]]*7</f>
        <v>0</v>
      </c>
    </row>
    <row r="1461" spans="1:13" x14ac:dyDescent="0.3">
      <c r="A1461" s="6">
        <f>+'[1]VENTAS(RESUMEN GLOBAL)'!L1461</f>
        <v>0</v>
      </c>
      <c r="B1461" s="6">
        <f>+'[1]VENTAS(RESUMEN GLOBAL)'!M1461</f>
        <v>0</v>
      </c>
      <c r="C1461">
        <f>+'[1]VENTAS(RESUMEN GLOBAL)'!B1461</f>
        <v>0</v>
      </c>
      <c r="D1461" t="e">
        <f>INDEX('[1]CÓDIGOS DE PRODUCTO'!$D$3:$D$1000,MATCH(C1461,'[1]CÓDIGOS DE PRODUCTO'!$A$3:$A$1000,0))</f>
        <v>#N/A</v>
      </c>
      <c r="E1461">
        <f>VLOOKUP(C1461,'[1]CÓDIGOS DE PRODUCTO'!$A$4:$B$156,2,FALSE)</f>
        <v>0</v>
      </c>
      <c r="F1461">
        <f>INDEX('[1]CÓDIGOS DE PRODUCTO'!$C$3:$C$1000,MATCH(C1461,'[1]CÓDIGOS DE PRODUCTO'!$A$3:$A$1000,0))</f>
        <v>0</v>
      </c>
      <c r="G1461">
        <f>+'[1]VENTAS(RESUMEN GLOBAL)'!D1461-'[1]VENTAS(RESUMEN GLOBAL)'!E1461</f>
        <v>0</v>
      </c>
      <c r="H1461" s="9">
        <f>+'[1]VENTAS(RESUMEN GLOBAL)'!K1461</f>
        <v>0</v>
      </c>
      <c r="I1461" s="8">
        <f>+G1461*'[1]VENTAS(RESUMEN GLOBAL)'!F1461</f>
        <v>0</v>
      </c>
      <c r="J1461" s="8">
        <f>'[1]VENTAS(RESUMEN GLOBAL)'!G1461*(1-'[1]VENTAS(RESUMEN GLOBAL)'!H1461)</f>
        <v>0</v>
      </c>
      <c r="K1461" s="8">
        <f t="shared" si="22"/>
        <v>0</v>
      </c>
      <c r="L1461" s="8">
        <f>+'[1]VENTAS(RESUMEN GLOBAL)'!J1461</f>
        <v>0</v>
      </c>
      <c r="M1461" s="8">
        <f>+Tabla1[[#This Row],[utilidad x dia]]*7</f>
        <v>0</v>
      </c>
    </row>
    <row r="1462" spans="1:13" x14ac:dyDescent="0.3">
      <c r="A1462" s="6">
        <f>+'[1]VENTAS(RESUMEN GLOBAL)'!L1462</f>
        <v>0</v>
      </c>
      <c r="B1462" s="6">
        <f>+'[1]VENTAS(RESUMEN GLOBAL)'!M1462</f>
        <v>0</v>
      </c>
      <c r="C1462">
        <f>+'[1]VENTAS(RESUMEN GLOBAL)'!B1462</f>
        <v>0</v>
      </c>
      <c r="D1462" t="e">
        <f>INDEX('[1]CÓDIGOS DE PRODUCTO'!$D$3:$D$1000,MATCH(C1462,'[1]CÓDIGOS DE PRODUCTO'!$A$3:$A$1000,0))</f>
        <v>#N/A</v>
      </c>
      <c r="E1462">
        <f>VLOOKUP(C1462,'[1]CÓDIGOS DE PRODUCTO'!$A$4:$B$156,2,FALSE)</f>
        <v>0</v>
      </c>
      <c r="F1462">
        <f>INDEX('[1]CÓDIGOS DE PRODUCTO'!$C$3:$C$1000,MATCH(C1462,'[1]CÓDIGOS DE PRODUCTO'!$A$3:$A$1000,0))</f>
        <v>0</v>
      </c>
      <c r="G1462">
        <f>+'[1]VENTAS(RESUMEN GLOBAL)'!D1462-'[1]VENTAS(RESUMEN GLOBAL)'!E1462</f>
        <v>0</v>
      </c>
      <c r="H1462" s="9">
        <f>+'[1]VENTAS(RESUMEN GLOBAL)'!K1462</f>
        <v>0</v>
      </c>
      <c r="I1462" s="8">
        <f>+G1462*'[1]VENTAS(RESUMEN GLOBAL)'!F1462</f>
        <v>0</v>
      </c>
      <c r="J1462" s="8">
        <f>'[1]VENTAS(RESUMEN GLOBAL)'!G1462*(1-'[1]VENTAS(RESUMEN GLOBAL)'!H1462)</f>
        <v>0</v>
      </c>
      <c r="K1462" s="8">
        <f t="shared" si="22"/>
        <v>0</v>
      </c>
      <c r="L1462" s="8">
        <f>+'[1]VENTAS(RESUMEN GLOBAL)'!J1462</f>
        <v>0</v>
      </c>
      <c r="M1462" s="8">
        <f>+Tabla1[[#This Row],[utilidad x dia]]*7</f>
        <v>0</v>
      </c>
    </row>
    <row r="1463" spans="1:13" x14ac:dyDescent="0.3">
      <c r="A1463" s="6">
        <f>+'[1]VENTAS(RESUMEN GLOBAL)'!L1463</f>
        <v>0</v>
      </c>
      <c r="B1463" s="6">
        <f>+'[1]VENTAS(RESUMEN GLOBAL)'!M1463</f>
        <v>0</v>
      </c>
      <c r="C1463">
        <f>+'[1]VENTAS(RESUMEN GLOBAL)'!B1463</f>
        <v>0</v>
      </c>
      <c r="D1463" t="e">
        <f>INDEX('[1]CÓDIGOS DE PRODUCTO'!$D$3:$D$1000,MATCH(C1463,'[1]CÓDIGOS DE PRODUCTO'!$A$3:$A$1000,0))</f>
        <v>#N/A</v>
      </c>
      <c r="E1463">
        <f>VLOOKUP(C1463,'[1]CÓDIGOS DE PRODUCTO'!$A$4:$B$156,2,FALSE)</f>
        <v>0</v>
      </c>
      <c r="F1463">
        <f>INDEX('[1]CÓDIGOS DE PRODUCTO'!$C$3:$C$1000,MATCH(C1463,'[1]CÓDIGOS DE PRODUCTO'!$A$3:$A$1000,0))</f>
        <v>0</v>
      </c>
      <c r="G1463">
        <f>+'[1]VENTAS(RESUMEN GLOBAL)'!D1463-'[1]VENTAS(RESUMEN GLOBAL)'!E1463</f>
        <v>0</v>
      </c>
      <c r="H1463" s="9">
        <f>+'[1]VENTAS(RESUMEN GLOBAL)'!K1463</f>
        <v>0</v>
      </c>
      <c r="I1463" s="8">
        <f>+G1463*'[1]VENTAS(RESUMEN GLOBAL)'!F1463</f>
        <v>0</v>
      </c>
      <c r="J1463" s="8">
        <f>'[1]VENTAS(RESUMEN GLOBAL)'!G1463*(1-'[1]VENTAS(RESUMEN GLOBAL)'!H1463)</f>
        <v>0</v>
      </c>
      <c r="K1463" s="8">
        <f t="shared" si="22"/>
        <v>0</v>
      </c>
      <c r="L1463" s="8">
        <f>+'[1]VENTAS(RESUMEN GLOBAL)'!J1463</f>
        <v>0</v>
      </c>
      <c r="M1463" s="8">
        <f>+Tabla1[[#This Row],[utilidad x dia]]*7</f>
        <v>0</v>
      </c>
    </row>
    <row r="1464" spans="1:13" x14ac:dyDescent="0.3">
      <c r="A1464" s="6">
        <f>+'[1]VENTAS(RESUMEN GLOBAL)'!L1464</f>
        <v>0</v>
      </c>
      <c r="B1464" s="6">
        <f>+'[1]VENTAS(RESUMEN GLOBAL)'!M1464</f>
        <v>0</v>
      </c>
      <c r="C1464">
        <f>+'[1]VENTAS(RESUMEN GLOBAL)'!B1464</f>
        <v>0</v>
      </c>
      <c r="D1464" t="e">
        <f>INDEX('[1]CÓDIGOS DE PRODUCTO'!$D$3:$D$1000,MATCH(C1464,'[1]CÓDIGOS DE PRODUCTO'!$A$3:$A$1000,0))</f>
        <v>#N/A</v>
      </c>
      <c r="E1464">
        <f>VLOOKUP(C1464,'[1]CÓDIGOS DE PRODUCTO'!$A$4:$B$156,2,FALSE)</f>
        <v>0</v>
      </c>
      <c r="F1464">
        <f>INDEX('[1]CÓDIGOS DE PRODUCTO'!$C$3:$C$1000,MATCH(C1464,'[1]CÓDIGOS DE PRODUCTO'!$A$3:$A$1000,0))</f>
        <v>0</v>
      </c>
      <c r="G1464">
        <f>+'[1]VENTAS(RESUMEN GLOBAL)'!D1464-'[1]VENTAS(RESUMEN GLOBAL)'!E1464</f>
        <v>0</v>
      </c>
      <c r="H1464" s="9">
        <f>+'[1]VENTAS(RESUMEN GLOBAL)'!K1464</f>
        <v>0</v>
      </c>
      <c r="I1464" s="8">
        <f>+G1464*'[1]VENTAS(RESUMEN GLOBAL)'!F1464</f>
        <v>0</v>
      </c>
      <c r="J1464" s="8">
        <f>'[1]VENTAS(RESUMEN GLOBAL)'!G1464*(1-'[1]VENTAS(RESUMEN GLOBAL)'!H1464)</f>
        <v>0</v>
      </c>
      <c r="K1464" s="8">
        <f t="shared" si="22"/>
        <v>0</v>
      </c>
      <c r="L1464" s="8">
        <f>+'[1]VENTAS(RESUMEN GLOBAL)'!J1464</f>
        <v>0</v>
      </c>
      <c r="M1464" s="8">
        <f>+Tabla1[[#This Row],[utilidad x dia]]*7</f>
        <v>0</v>
      </c>
    </row>
    <row r="1465" spans="1:13" x14ac:dyDescent="0.3">
      <c r="A1465" s="6">
        <f>+'[1]VENTAS(RESUMEN GLOBAL)'!L1465</f>
        <v>0</v>
      </c>
      <c r="B1465" s="6">
        <f>+'[1]VENTAS(RESUMEN GLOBAL)'!M1465</f>
        <v>0</v>
      </c>
      <c r="C1465">
        <f>+'[1]VENTAS(RESUMEN GLOBAL)'!B1465</f>
        <v>0</v>
      </c>
      <c r="D1465" t="e">
        <f>INDEX('[1]CÓDIGOS DE PRODUCTO'!$D$3:$D$1000,MATCH(C1465,'[1]CÓDIGOS DE PRODUCTO'!$A$3:$A$1000,0))</f>
        <v>#N/A</v>
      </c>
      <c r="E1465">
        <f>VLOOKUP(C1465,'[1]CÓDIGOS DE PRODUCTO'!$A$4:$B$156,2,FALSE)</f>
        <v>0</v>
      </c>
      <c r="F1465">
        <f>INDEX('[1]CÓDIGOS DE PRODUCTO'!$C$3:$C$1000,MATCH(C1465,'[1]CÓDIGOS DE PRODUCTO'!$A$3:$A$1000,0))</f>
        <v>0</v>
      </c>
      <c r="G1465">
        <f>+'[1]VENTAS(RESUMEN GLOBAL)'!D1465-'[1]VENTAS(RESUMEN GLOBAL)'!E1465</f>
        <v>0</v>
      </c>
      <c r="H1465" s="9">
        <f>+'[1]VENTAS(RESUMEN GLOBAL)'!K1465</f>
        <v>0</v>
      </c>
      <c r="I1465" s="8">
        <f>+G1465*'[1]VENTAS(RESUMEN GLOBAL)'!F1465</f>
        <v>0</v>
      </c>
      <c r="J1465" s="8">
        <f>'[1]VENTAS(RESUMEN GLOBAL)'!G1465*(1-'[1]VENTAS(RESUMEN GLOBAL)'!H1465)</f>
        <v>0</v>
      </c>
      <c r="K1465" s="8">
        <f t="shared" si="22"/>
        <v>0</v>
      </c>
      <c r="L1465" s="8">
        <f>+'[1]VENTAS(RESUMEN GLOBAL)'!J1465</f>
        <v>0</v>
      </c>
      <c r="M1465" s="8">
        <f>+Tabla1[[#This Row],[utilidad x dia]]*7</f>
        <v>0</v>
      </c>
    </row>
    <row r="1466" spans="1:13" x14ac:dyDescent="0.3">
      <c r="A1466" s="6">
        <f>+'[1]VENTAS(RESUMEN GLOBAL)'!L1466</f>
        <v>0</v>
      </c>
      <c r="B1466" s="6">
        <f>+'[1]VENTAS(RESUMEN GLOBAL)'!M1466</f>
        <v>0</v>
      </c>
      <c r="C1466">
        <f>+'[1]VENTAS(RESUMEN GLOBAL)'!B1466</f>
        <v>0</v>
      </c>
      <c r="D1466" t="e">
        <f>INDEX('[1]CÓDIGOS DE PRODUCTO'!$D$3:$D$1000,MATCH(C1466,'[1]CÓDIGOS DE PRODUCTO'!$A$3:$A$1000,0))</f>
        <v>#N/A</v>
      </c>
      <c r="E1466">
        <f>VLOOKUP(C1466,'[1]CÓDIGOS DE PRODUCTO'!$A$4:$B$156,2,FALSE)</f>
        <v>0</v>
      </c>
      <c r="F1466">
        <f>INDEX('[1]CÓDIGOS DE PRODUCTO'!$C$3:$C$1000,MATCH(C1466,'[1]CÓDIGOS DE PRODUCTO'!$A$3:$A$1000,0))</f>
        <v>0</v>
      </c>
      <c r="G1466">
        <f>+'[1]VENTAS(RESUMEN GLOBAL)'!D1466-'[1]VENTAS(RESUMEN GLOBAL)'!E1466</f>
        <v>0</v>
      </c>
      <c r="H1466" s="9">
        <f>+'[1]VENTAS(RESUMEN GLOBAL)'!K1466</f>
        <v>0</v>
      </c>
      <c r="I1466" s="8">
        <f>+G1466*'[1]VENTAS(RESUMEN GLOBAL)'!F1466</f>
        <v>0</v>
      </c>
      <c r="J1466" s="8">
        <f>'[1]VENTAS(RESUMEN GLOBAL)'!G1466*(1-'[1]VENTAS(RESUMEN GLOBAL)'!H1466)</f>
        <v>0</v>
      </c>
      <c r="K1466" s="8">
        <f t="shared" si="22"/>
        <v>0</v>
      </c>
      <c r="L1466" s="8">
        <f>+'[1]VENTAS(RESUMEN GLOBAL)'!J1466</f>
        <v>0</v>
      </c>
      <c r="M1466" s="8">
        <f>+Tabla1[[#This Row],[utilidad x dia]]*7</f>
        <v>0</v>
      </c>
    </row>
    <row r="1467" spans="1:13" x14ac:dyDescent="0.3">
      <c r="A1467" s="6">
        <f>+'[1]VENTAS(RESUMEN GLOBAL)'!L1467</f>
        <v>0</v>
      </c>
      <c r="B1467" s="6">
        <f>+'[1]VENTAS(RESUMEN GLOBAL)'!M1467</f>
        <v>0</v>
      </c>
      <c r="C1467">
        <f>+'[1]VENTAS(RESUMEN GLOBAL)'!B1467</f>
        <v>0</v>
      </c>
      <c r="D1467" t="e">
        <f>INDEX('[1]CÓDIGOS DE PRODUCTO'!$D$3:$D$1000,MATCH(C1467,'[1]CÓDIGOS DE PRODUCTO'!$A$3:$A$1000,0))</f>
        <v>#N/A</v>
      </c>
      <c r="E1467">
        <f>VLOOKUP(C1467,'[1]CÓDIGOS DE PRODUCTO'!$A$4:$B$156,2,FALSE)</f>
        <v>0</v>
      </c>
      <c r="F1467">
        <f>INDEX('[1]CÓDIGOS DE PRODUCTO'!$C$3:$C$1000,MATCH(C1467,'[1]CÓDIGOS DE PRODUCTO'!$A$3:$A$1000,0))</f>
        <v>0</v>
      </c>
      <c r="G1467">
        <f>+'[1]VENTAS(RESUMEN GLOBAL)'!D1467-'[1]VENTAS(RESUMEN GLOBAL)'!E1467</f>
        <v>0</v>
      </c>
      <c r="H1467" s="9">
        <f>+'[1]VENTAS(RESUMEN GLOBAL)'!K1467</f>
        <v>0</v>
      </c>
      <c r="I1467" s="8">
        <f>+G1467*'[1]VENTAS(RESUMEN GLOBAL)'!F1467</f>
        <v>0</v>
      </c>
      <c r="J1467" s="8">
        <f>'[1]VENTAS(RESUMEN GLOBAL)'!G1467*(1-'[1]VENTAS(RESUMEN GLOBAL)'!H1467)</f>
        <v>0</v>
      </c>
      <c r="K1467" s="8">
        <f t="shared" si="22"/>
        <v>0</v>
      </c>
      <c r="L1467" s="8">
        <f>+'[1]VENTAS(RESUMEN GLOBAL)'!J1467</f>
        <v>0</v>
      </c>
      <c r="M1467" s="8">
        <f>+Tabla1[[#This Row],[utilidad x dia]]*7</f>
        <v>0</v>
      </c>
    </row>
    <row r="1468" spans="1:13" x14ac:dyDescent="0.3">
      <c r="A1468" s="6">
        <f>+'[1]VENTAS(RESUMEN GLOBAL)'!L1468</f>
        <v>0</v>
      </c>
      <c r="B1468" s="6">
        <f>+'[1]VENTAS(RESUMEN GLOBAL)'!M1468</f>
        <v>0</v>
      </c>
      <c r="C1468">
        <f>+'[1]VENTAS(RESUMEN GLOBAL)'!B1468</f>
        <v>0</v>
      </c>
      <c r="D1468" t="e">
        <f>INDEX('[1]CÓDIGOS DE PRODUCTO'!$D$3:$D$1000,MATCH(C1468,'[1]CÓDIGOS DE PRODUCTO'!$A$3:$A$1000,0))</f>
        <v>#N/A</v>
      </c>
      <c r="E1468">
        <f>VLOOKUP(C1468,'[1]CÓDIGOS DE PRODUCTO'!$A$4:$B$156,2,FALSE)</f>
        <v>0</v>
      </c>
      <c r="F1468">
        <f>INDEX('[1]CÓDIGOS DE PRODUCTO'!$C$3:$C$1000,MATCH(C1468,'[1]CÓDIGOS DE PRODUCTO'!$A$3:$A$1000,0))</f>
        <v>0</v>
      </c>
      <c r="G1468">
        <f>+'[1]VENTAS(RESUMEN GLOBAL)'!D1468-'[1]VENTAS(RESUMEN GLOBAL)'!E1468</f>
        <v>0</v>
      </c>
      <c r="H1468" s="9">
        <f>+'[1]VENTAS(RESUMEN GLOBAL)'!K1468</f>
        <v>0</v>
      </c>
      <c r="I1468" s="8">
        <f>+G1468*'[1]VENTAS(RESUMEN GLOBAL)'!F1468</f>
        <v>0</v>
      </c>
      <c r="J1468" s="8">
        <f>'[1]VENTAS(RESUMEN GLOBAL)'!G1468*(1-'[1]VENTAS(RESUMEN GLOBAL)'!H1468)</f>
        <v>0</v>
      </c>
      <c r="K1468" s="8">
        <f t="shared" si="22"/>
        <v>0</v>
      </c>
      <c r="L1468" s="8">
        <f>+'[1]VENTAS(RESUMEN GLOBAL)'!J1468</f>
        <v>0</v>
      </c>
      <c r="M1468" s="8">
        <f>+Tabla1[[#This Row],[utilidad x dia]]*7</f>
        <v>0</v>
      </c>
    </row>
    <row r="1469" spans="1:13" x14ac:dyDescent="0.3">
      <c r="A1469" s="6">
        <f>+'[1]VENTAS(RESUMEN GLOBAL)'!L1469</f>
        <v>0</v>
      </c>
      <c r="B1469" s="6">
        <f>+'[1]VENTAS(RESUMEN GLOBAL)'!M1469</f>
        <v>0</v>
      </c>
      <c r="C1469">
        <f>+'[1]VENTAS(RESUMEN GLOBAL)'!B1469</f>
        <v>0</v>
      </c>
      <c r="D1469" t="e">
        <f>INDEX('[1]CÓDIGOS DE PRODUCTO'!$D$3:$D$1000,MATCH(C1469,'[1]CÓDIGOS DE PRODUCTO'!$A$3:$A$1000,0))</f>
        <v>#N/A</v>
      </c>
      <c r="E1469">
        <f>VLOOKUP(C1469,'[1]CÓDIGOS DE PRODUCTO'!$A$4:$B$156,2,FALSE)</f>
        <v>0</v>
      </c>
      <c r="F1469">
        <f>INDEX('[1]CÓDIGOS DE PRODUCTO'!$C$3:$C$1000,MATCH(C1469,'[1]CÓDIGOS DE PRODUCTO'!$A$3:$A$1000,0))</f>
        <v>0</v>
      </c>
      <c r="G1469">
        <f>+'[1]VENTAS(RESUMEN GLOBAL)'!D1469-'[1]VENTAS(RESUMEN GLOBAL)'!E1469</f>
        <v>0</v>
      </c>
      <c r="H1469" s="9">
        <f>+'[1]VENTAS(RESUMEN GLOBAL)'!K1469</f>
        <v>0</v>
      </c>
      <c r="I1469" s="8">
        <f>+G1469*'[1]VENTAS(RESUMEN GLOBAL)'!F1469</f>
        <v>0</v>
      </c>
      <c r="J1469" s="8">
        <f>'[1]VENTAS(RESUMEN GLOBAL)'!G1469*(1-'[1]VENTAS(RESUMEN GLOBAL)'!H1469)</f>
        <v>0</v>
      </c>
      <c r="K1469" s="8">
        <f t="shared" si="22"/>
        <v>0</v>
      </c>
      <c r="L1469" s="8">
        <f>+'[1]VENTAS(RESUMEN GLOBAL)'!J1469</f>
        <v>0</v>
      </c>
      <c r="M1469" s="8">
        <f>+Tabla1[[#This Row],[utilidad x dia]]*7</f>
        <v>0</v>
      </c>
    </row>
    <row r="1470" spans="1:13" x14ac:dyDescent="0.3">
      <c r="A1470" s="6">
        <f>+'[1]VENTAS(RESUMEN GLOBAL)'!L1470</f>
        <v>0</v>
      </c>
      <c r="B1470" s="6">
        <f>+'[1]VENTAS(RESUMEN GLOBAL)'!M1470</f>
        <v>0</v>
      </c>
      <c r="C1470">
        <f>+'[1]VENTAS(RESUMEN GLOBAL)'!B1470</f>
        <v>0</v>
      </c>
      <c r="D1470" t="e">
        <f>INDEX('[1]CÓDIGOS DE PRODUCTO'!$D$3:$D$1000,MATCH(C1470,'[1]CÓDIGOS DE PRODUCTO'!$A$3:$A$1000,0))</f>
        <v>#N/A</v>
      </c>
      <c r="E1470">
        <f>VLOOKUP(C1470,'[1]CÓDIGOS DE PRODUCTO'!$A$4:$B$156,2,FALSE)</f>
        <v>0</v>
      </c>
      <c r="F1470">
        <f>INDEX('[1]CÓDIGOS DE PRODUCTO'!$C$3:$C$1000,MATCH(C1470,'[1]CÓDIGOS DE PRODUCTO'!$A$3:$A$1000,0))</f>
        <v>0</v>
      </c>
      <c r="G1470">
        <f>+'[1]VENTAS(RESUMEN GLOBAL)'!D1470-'[1]VENTAS(RESUMEN GLOBAL)'!E1470</f>
        <v>0</v>
      </c>
      <c r="H1470" s="9">
        <f>+'[1]VENTAS(RESUMEN GLOBAL)'!K1470</f>
        <v>0</v>
      </c>
      <c r="I1470" s="8">
        <f>+G1470*'[1]VENTAS(RESUMEN GLOBAL)'!F1470</f>
        <v>0</v>
      </c>
      <c r="J1470" s="8">
        <f>'[1]VENTAS(RESUMEN GLOBAL)'!G1470*(1-'[1]VENTAS(RESUMEN GLOBAL)'!H1470)</f>
        <v>0</v>
      </c>
      <c r="K1470" s="8">
        <f t="shared" si="22"/>
        <v>0</v>
      </c>
      <c r="L1470" s="8">
        <f>+'[1]VENTAS(RESUMEN GLOBAL)'!J1470</f>
        <v>0</v>
      </c>
      <c r="M1470" s="8">
        <f>+Tabla1[[#This Row],[utilidad x dia]]*7</f>
        <v>0</v>
      </c>
    </row>
    <row r="1471" spans="1:13" x14ac:dyDescent="0.3">
      <c r="A1471" s="6">
        <f>+'[1]VENTAS(RESUMEN GLOBAL)'!L1471</f>
        <v>0</v>
      </c>
      <c r="B1471" s="6">
        <f>+'[1]VENTAS(RESUMEN GLOBAL)'!M1471</f>
        <v>0</v>
      </c>
      <c r="C1471">
        <f>+'[1]VENTAS(RESUMEN GLOBAL)'!B1471</f>
        <v>0</v>
      </c>
      <c r="D1471" t="e">
        <f>INDEX('[1]CÓDIGOS DE PRODUCTO'!$D$3:$D$1000,MATCH(C1471,'[1]CÓDIGOS DE PRODUCTO'!$A$3:$A$1000,0))</f>
        <v>#N/A</v>
      </c>
      <c r="E1471">
        <f>VLOOKUP(C1471,'[1]CÓDIGOS DE PRODUCTO'!$A$4:$B$156,2,FALSE)</f>
        <v>0</v>
      </c>
      <c r="F1471">
        <f>INDEX('[1]CÓDIGOS DE PRODUCTO'!$C$3:$C$1000,MATCH(C1471,'[1]CÓDIGOS DE PRODUCTO'!$A$3:$A$1000,0))</f>
        <v>0</v>
      </c>
      <c r="G1471">
        <f>+'[1]VENTAS(RESUMEN GLOBAL)'!D1471-'[1]VENTAS(RESUMEN GLOBAL)'!E1471</f>
        <v>0</v>
      </c>
      <c r="H1471" s="9">
        <f>+'[1]VENTAS(RESUMEN GLOBAL)'!K1471</f>
        <v>0</v>
      </c>
      <c r="I1471" s="8">
        <f>+G1471*'[1]VENTAS(RESUMEN GLOBAL)'!F1471</f>
        <v>0</v>
      </c>
      <c r="J1471" s="8">
        <f>'[1]VENTAS(RESUMEN GLOBAL)'!G1471*(1-'[1]VENTAS(RESUMEN GLOBAL)'!H1471)</f>
        <v>0</v>
      </c>
      <c r="K1471" s="8">
        <f t="shared" si="22"/>
        <v>0</v>
      </c>
      <c r="L1471" s="8">
        <f>+'[1]VENTAS(RESUMEN GLOBAL)'!J1471</f>
        <v>0</v>
      </c>
      <c r="M1471" s="8">
        <f>+Tabla1[[#This Row],[utilidad x dia]]*7</f>
        <v>0</v>
      </c>
    </row>
    <row r="1472" spans="1:13" x14ac:dyDescent="0.3">
      <c r="A1472" s="6">
        <f>+'[1]VENTAS(RESUMEN GLOBAL)'!L1472</f>
        <v>0</v>
      </c>
      <c r="B1472" s="6">
        <f>+'[1]VENTAS(RESUMEN GLOBAL)'!M1472</f>
        <v>0</v>
      </c>
      <c r="C1472">
        <f>+'[1]VENTAS(RESUMEN GLOBAL)'!B1472</f>
        <v>0</v>
      </c>
      <c r="D1472" t="e">
        <f>INDEX('[1]CÓDIGOS DE PRODUCTO'!$D$3:$D$1000,MATCH(C1472,'[1]CÓDIGOS DE PRODUCTO'!$A$3:$A$1000,0))</f>
        <v>#N/A</v>
      </c>
      <c r="E1472">
        <f>VLOOKUP(C1472,'[1]CÓDIGOS DE PRODUCTO'!$A$4:$B$156,2,FALSE)</f>
        <v>0</v>
      </c>
      <c r="F1472">
        <f>INDEX('[1]CÓDIGOS DE PRODUCTO'!$C$3:$C$1000,MATCH(C1472,'[1]CÓDIGOS DE PRODUCTO'!$A$3:$A$1000,0))</f>
        <v>0</v>
      </c>
      <c r="G1472">
        <f>+'[1]VENTAS(RESUMEN GLOBAL)'!D1472-'[1]VENTAS(RESUMEN GLOBAL)'!E1472</f>
        <v>0</v>
      </c>
      <c r="H1472" s="9">
        <f>+'[1]VENTAS(RESUMEN GLOBAL)'!K1472</f>
        <v>0</v>
      </c>
      <c r="I1472" s="8">
        <f>+G1472*'[1]VENTAS(RESUMEN GLOBAL)'!F1472</f>
        <v>0</v>
      </c>
      <c r="J1472" s="8">
        <f>'[1]VENTAS(RESUMEN GLOBAL)'!G1472*(1-'[1]VENTAS(RESUMEN GLOBAL)'!H1472)</f>
        <v>0</v>
      </c>
      <c r="K1472" s="8">
        <f t="shared" si="22"/>
        <v>0</v>
      </c>
      <c r="L1472" s="8">
        <f>+'[1]VENTAS(RESUMEN GLOBAL)'!J1472</f>
        <v>0</v>
      </c>
      <c r="M1472" s="8">
        <f>+Tabla1[[#This Row],[utilidad x dia]]*7</f>
        <v>0</v>
      </c>
    </row>
    <row r="1473" spans="1:13" x14ac:dyDescent="0.3">
      <c r="A1473" s="6">
        <f>+'[1]VENTAS(RESUMEN GLOBAL)'!L1473</f>
        <v>0</v>
      </c>
      <c r="B1473" s="6">
        <f>+'[1]VENTAS(RESUMEN GLOBAL)'!M1473</f>
        <v>0</v>
      </c>
      <c r="C1473">
        <f>+'[1]VENTAS(RESUMEN GLOBAL)'!B1473</f>
        <v>0</v>
      </c>
      <c r="D1473" t="e">
        <f>INDEX('[1]CÓDIGOS DE PRODUCTO'!$D$3:$D$1000,MATCH(C1473,'[1]CÓDIGOS DE PRODUCTO'!$A$3:$A$1000,0))</f>
        <v>#N/A</v>
      </c>
      <c r="E1473">
        <f>VLOOKUP(C1473,'[1]CÓDIGOS DE PRODUCTO'!$A$4:$B$156,2,FALSE)</f>
        <v>0</v>
      </c>
      <c r="F1473">
        <f>INDEX('[1]CÓDIGOS DE PRODUCTO'!$C$3:$C$1000,MATCH(C1473,'[1]CÓDIGOS DE PRODUCTO'!$A$3:$A$1000,0))</f>
        <v>0</v>
      </c>
      <c r="G1473">
        <f>+'[1]VENTAS(RESUMEN GLOBAL)'!D1473-'[1]VENTAS(RESUMEN GLOBAL)'!E1473</f>
        <v>0</v>
      </c>
      <c r="H1473" s="9">
        <f>+'[1]VENTAS(RESUMEN GLOBAL)'!K1473</f>
        <v>0</v>
      </c>
      <c r="I1473" s="8">
        <f>+G1473*'[1]VENTAS(RESUMEN GLOBAL)'!F1473</f>
        <v>0</v>
      </c>
      <c r="J1473" s="8">
        <f>'[1]VENTAS(RESUMEN GLOBAL)'!G1473*(1-'[1]VENTAS(RESUMEN GLOBAL)'!H1473)</f>
        <v>0</v>
      </c>
      <c r="K1473" s="8">
        <f t="shared" si="22"/>
        <v>0</v>
      </c>
      <c r="L1473" s="8">
        <f>+'[1]VENTAS(RESUMEN GLOBAL)'!J1473</f>
        <v>0</v>
      </c>
      <c r="M1473" s="8">
        <f>+Tabla1[[#This Row],[utilidad x dia]]*7</f>
        <v>0</v>
      </c>
    </row>
    <row r="1474" spans="1:13" x14ac:dyDescent="0.3">
      <c r="A1474" s="6">
        <f>+'[1]VENTAS(RESUMEN GLOBAL)'!L1474</f>
        <v>0</v>
      </c>
      <c r="B1474" s="6">
        <f>+'[1]VENTAS(RESUMEN GLOBAL)'!M1474</f>
        <v>0</v>
      </c>
      <c r="C1474">
        <f>+'[1]VENTAS(RESUMEN GLOBAL)'!B1474</f>
        <v>0</v>
      </c>
      <c r="D1474" t="e">
        <f>INDEX('[1]CÓDIGOS DE PRODUCTO'!$D$3:$D$1000,MATCH(C1474,'[1]CÓDIGOS DE PRODUCTO'!$A$3:$A$1000,0))</f>
        <v>#N/A</v>
      </c>
      <c r="E1474">
        <f>VLOOKUP(C1474,'[1]CÓDIGOS DE PRODUCTO'!$A$4:$B$156,2,FALSE)</f>
        <v>0</v>
      </c>
      <c r="F1474">
        <f>INDEX('[1]CÓDIGOS DE PRODUCTO'!$C$3:$C$1000,MATCH(C1474,'[1]CÓDIGOS DE PRODUCTO'!$A$3:$A$1000,0))</f>
        <v>0</v>
      </c>
      <c r="G1474">
        <f>+'[1]VENTAS(RESUMEN GLOBAL)'!D1474-'[1]VENTAS(RESUMEN GLOBAL)'!E1474</f>
        <v>0</v>
      </c>
      <c r="H1474" s="9">
        <f>+'[1]VENTAS(RESUMEN GLOBAL)'!K1474</f>
        <v>0</v>
      </c>
      <c r="I1474" s="8">
        <f>+G1474*'[1]VENTAS(RESUMEN GLOBAL)'!F1474</f>
        <v>0</v>
      </c>
      <c r="J1474" s="8">
        <f>'[1]VENTAS(RESUMEN GLOBAL)'!G1474*(1-'[1]VENTAS(RESUMEN GLOBAL)'!H1474)</f>
        <v>0</v>
      </c>
      <c r="K1474" s="8">
        <f t="shared" si="22"/>
        <v>0</v>
      </c>
      <c r="L1474" s="8">
        <f>+'[1]VENTAS(RESUMEN GLOBAL)'!J1474</f>
        <v>0</v>
      </c>
      <c r="M1474" s="8">
        <f>+Tabla1[[#This Row],[utilidad x dia]]*7</f>
        <v>0</v>
      </c>
    </row>
    <row r="1475" spans="1:13" x14ac:dyDescent="0.3">
      <c r="A1475" s="6">
        <f>+'[1]VENTAS(RESUMEN GLOBAL)'!L1475</f>
        <v>0</v>
      </c>
      <c r="B1475" s="6">
        <f>+'[1]VENTAS(RESUMEN GLOBAL)'!M1475</f>
        <v>0</v>
      </c>
      <c r="C1475">
        <f>+'[1]VENTAS(RESUMEN GLOBAL)'!B1475</f>
        <v>0</v>
      </c>
      <c r="D1475" t="e">
        <f>INDEX('[1]CÓDIGOS DE PRODUCTO'!$D$3:$D$1000,MATCH(C1475,'[1]CÓDIGOS DE PRODUCTO'!$A$3:$A$1000,0))</f>
        <v>#N/A</v>
      </c>
      <c r="E1475">
        <f>VLOOKUP(C1475,'[1]CÓDIGOS DE PRODUCTO'!$A$4:$B$156,2,FALSE)</f>
        <v>0</v>
      </c>
      <c r="F1475">
        <f>INDEX('[1]CÓDIGOS DE PRODUCTO'!$C$3:$C$1000,MATCH(C1475,'[1]CÓDIGOS DE PRODUCTO'!$A$3:$A$1000,0))</f>
        <v>0</v>
      </c>
      <c r="G1475">
        <f>+'[1]VENTAS(RESUMEN GLOBAL)'!D1475-'[1]VENTAS(RESUMEN GLOBAL)'!E1475</f>
        <v>0</v>
      </c>
      <c r="H1475" s="9">
        <f>+'[1]VENTAS(RESUMEN GLOBAL)'!K1475</f>
        <v>0</v>
      </c>
      <c r="I1475" s="8">
        <f>+G1475*'[1]VENTAS(RESUMEN GLOBAL)'!F1475</f>
        <v>0</v>
      </c>
      <c r="J1475" s="8">
        <f>'[1]VENTAS(RESUMEN GLOBAL)'!G1475*(1-'[1]VENTAS(RESUMEN GLOBAL)'!H1475)</f>
        <v>0</v>
      </c>
      <c r="K1475" s="8">
        <f t="shared" ref="K1475:K1538" si="23">+I1475-J1475</f>
        <v>0</v>
      </c>
      <c r="L1475" s="8">
        <f>+'[1]VENTAS(RESUMEN GLOBAL)'!J1475</f>
        <v>0</v>
      </c>
      <c r="M1475" s="8">
        <f>+Tabla1[[#This Row],[utilidad x dia]]*7</f>
        <v>0</v>
      </c>
    </row>
    <row r="1476" spans="1:13" x14ac:dyDescent="0.3">
      <c r="A1476" s="6">
        <f>+'[1]VENTAS(RESUMEN GLOBAL)'!L1476</f>
        <v>0</v>
      </c>
      <c r="B1476" s="6">
        <f>+'[1]VENTAS(RESUMEN GLOBAL)'!M1476</f>
        <v>0</v>
      </c>
      <c r="C1476">
        <f>+'[1]VENTAS(RESUMEN GLOBAL)'!B1476</f>
        <v>0</v>
      </c>
      <c r="D1476" t="e">
        <f>INDEX('[1]CÓDIGOS DE PRODUCTO'!$D$3:$D$1000,MATCH(C1476,'[1]CÓDIGOS DE PRODUCTO'!$A$3:$A$1000,0))</f>
        <v>#N/A</v>
      </c>
      <c r="E1476">
        <f>VLOOKUP(C1476,'[1]CÓDIGOS DE PRODUCTO'!$A$4:$B$156,2,FALSE)</f>
        <v>0</v>
      </c>
      <c r="F1476">
        <f>INDEX('[1]CÓDIGOS DE PRODUCTO'!$C$3:$C$1000,MATCH(C1476,'[1]CÓDIGOS DE PRODUCTO'!$A$3:$A$1000,0))</f>
        <v>0</v>
      </c>
      <c r="G1476">
        <f>+'[1]VENTAS(RESUMEN GLOBAL)'!D1476-'[1]VENTAS(RESUMEN GLOBAL)'!E1476</f>
        <v>0</v>
      </c>
      <c r="H1476" s="9">
        <f>+'[1]VENTAS(RESUMEN GLOBAL)'!K1476</f>
        <v>0</v>
      </c>
      <c r="I1476" s="8">
        <f>+G1476*'[1]VENTAS(RESUMEN GLOBAL)'!F1476</f>
        <v>0</v>
      </c>
      <c r="J1476" s="8">
        <f>'[1]VENTAS(RESUMEN GLOBAL)'!G1476*(1-'[1]VENTAS(RESUMEN GLOBAL)'!H1476)</f>
        <v>0</v>
      </c>
      <c r="K1476" s="8">
        <f t="shared" si="23"/>
        <v>0</v>
      </c>
      <c r="L1476" s="8">
        <f>+'[1]VENTAS(RESUMEN GLOBAL)'!J1476</f>
        <v>0</v>
      </c>
      <c r="M1476" s="8">
        <f>+Tabla1[[#This Row],[utilidad x dia]]*7</f>
        <v>0</v>
      </c>
    </row>
    <row r="1477" spans="1:13" x14ac:dyDescent="0.3">
      <c r="A1477" s="6">
        <f>+'[1]VENTAS(RESUMEN GLOBAL)'!L1477</f>
        <v>0</v>
      </c>
      <c r="B1477" s="6">
        <f>+'[1]VENTAS(RESUMEN GLOBAL)'!M1477</f>
        <v>0</v>
      </c>
      <c r="C1477">
        <f>+'[1]VENTAS(RESUMEN GLOBAL)'!B1477</f>
        <v>0</v>
      </c>
      <c r="D1477" t="e">
        <f>INDEX('[1]CÓDIGOS DE PRODUCTO'!$D$3:$D$1000,MATCH(C1477,'[1]CÓDIGOS DE PRODUCTO'!$A$3:$A$1000,0))</f>
        <v>#N/A</v>
      </c>
      <c r="E1477">
        <f>VLOOKUP(C1477,'[1]CÓDIGOS DE PRODUCTO'!$A$4:$B$156,2,FALSE)</f>
        <v>0</v>
      </c>
      <c r="F1477">
        <f>INDEX('[1]CÓDIGOS DE PRODUCTO'!$C$3:$C$1000,MATCH(C1477,'[1]CÓDIGOS DE PRODUCTO'!$A$3:$A$1000,0))</f>
        <v>0</v>
      </c>
      <c r="G1477">
        <f>+'[1]VENTAS(RESUMEN GLOBAL)'!D1477-'[1]VENTAS(RESUMEN GLOBAL)'!E1477</f>
        <v>0</v>
      </c>
      <c r="H1477" s="9">
        <f>+'[1]VENTAS(RESUMEN GLOBAL)'!K1477</f>
        <v>0</v>
      </c>
      <c r="I1477" s="8">
        <f>+G1477*'[1]VENTAS(RESUMEN GLOBAL)'!F1477</f>
        <v>0</v>
      </c>
      <c r="J1477" s="8">
        <f>'[1]VENTAS(RESUMEN GLOBAL)'!G1477*(1-'[1]VENTAS(RESUMEN GLOBAL)'!H1477)</f>
        <v>0</v>
      </c>
      <c r="K1477" s="8">
        <f t="shared" si="23"/>
        <v>0</v>
      </c>
      <c r="L1477" s="8">
        <f>+'[1]VENTAS(RESUMEN GLOBAL)'!J1477</f>
        <v>0</v>
      </c>
      <c r="M1477" s="8">
        <f>+Tabla1[[#This Row],[utilidad x dia]]*7</f>
        <v>0</v>
      </c>
    </row>
    <row r="1478" spans="1:13" x14ac:dyDescent="0.3">
      <c r="A1478" s="6">
        <f>+'[1]VENTAS(RESUMEN GLOBAL)'!L1478</f>
        <v>0</v>
      </c>
      <c r="B1478" s="6">
        <f>+'[1]VENTAS(RESUMEN GLOBAL)'!M1478</f>
        <v>0</v>
      </c>
      <c r="C1478">
        <f>+'[1]VENTAS(RESUMEN GLOBAL)'!B1478</f>
        <v>0</v>
      </c>
      <c r="D1478" t="e">
        <f>INDEX('[1]CÓDIGOS DE PRODUCTO'!$D$3:$D$1000,MATCH(C1478,'[1]CÓDIGOS DE PRODUCTO'!$A$3:$A$1000,0))</f>
        <v>#N/A</v>
      </c>
      <c r="E1478">
        <f>VLOOKUP(C1478,'[1]CÓDIGOS DE PRODUCTO'!$A$4:$B$156,2,FALSE)</f>
        <v>0</v>
      </c>
      <c r="F1478">
        <f>INDEX('[1]CÓDIGOS DE PRODUCTO'!$C$3:$C$1000,MATCH(C1478,'[1]CÓDIGOS DE PRODUCTO'!$A$3:$A$1000,0))</f>
        <v>0</v>
      </c>
      <c r="G1478">
        <f>+'[1]VENTAS(RESUMEN GLOBAL)'!D1478-'[1]VENTAS(RESUMEN GLOBAL)'!E1478</f>
        <v>0</v>
      </c>
      <c r="H1478" s="9">
        <f>+'[1]VENTAS(RESUMEN GLOBAL)'!K1478</f>
        <v>0</v>
      </c>
      <c r="I1478" s="8">
        <f>+G1478*'[1]VENTAS(RESUMEN GLOBAL)'!F1478</f>
        <v>0</v>
      </c>
      <c r="J1478" s="8">
        <f>'[1]VENTAS(RESUMEN GLOBAL)'!G1478*(1-'[1]VENTAS(RESUMEN GLOBAL)'!H1478)</f>
        <v>0</v>
      </c>
      <c r="K1478" s="8">
        <f t="shared" si="23"/>
        <v>0</v>
      </c>
      <c r="L1478" s="8">
        <f>+'[1]VENTAS(RESUMEN GLOBAL)'!J1478</f>
        <v>0</v>
      </c>
      <c r="M1478" s="8">
        <f>+Tabla1[[#This Row],[utilidad x dia]]*7</f>
        <v>0</v>
      </c>
    </row>
    <row r="1479" spans="1:13" x14ac:dyDescent="0.3">
      <c r="A1479" s="6">
        <f>+'[1]VENTAS(RESUMEN GLOBAL)'!L1479</f>
        <v>0</v>
      </c>
      <c r="B1479" s="6">
        <f>+'[1]VENTAS(RESUMEN GLOBAL)'!M1479</f>
        <v>0</v>
      </c>
      <c r="C1479">
        <f>+'[1]VENTAS(RESUMEN GLOBAL)'!B1479</f>
        <v>0</v>
      </c>
      <c r="D1479" t="e">
        <f>INDEX('[1]CÓDIGOS DE PRODUCTO'!$D$3:$D$1000,MATCH(C1479,'[1]CÓDIGOS DE PRODUCTO'!$A$3:$A$1000,0))</f>
        <v>#N/A</v>
      </c>
      <c r="E1479">
        <f>VLOOKUP(C1479,'[1]CÓDIGOS DE PRODUCTO'!$A$4:$B$156,2,FALSE)</f>
        <v>0</v>
      </c>
      <c r="F1479">
        <f>INDEX('[1]CÓDIGOS DE PRODUCTO'!$C$3:$C$1000,MATCH(C1479,'[1]CÓDIGOS DE PRODUCTO'!$A$3:$A$1000,0))</f>
        <v>0</v>
      </c>
      <c r="G1479">
        <f>+'[1]VENTAS(RESUMEN GLOBAL)'!D1479-'[1]VENTAS(RESUMEN GLOBAL)'!E1479</f>
        <v>0</v>
      </c>
      <c r="H1479" s="9">
        <f>+'[1]VENTAS(RESUMEN GLOBAL)'!K1479</f>
        <v>0</v>
      </c>
      <c r="I1479" s="8">
        <f>+G1479*'[1]VENTAS(RESUMEN GLOBAL)'!F1479</f>
        <v>0</v>
      </c>
      <c r="J1479" s="8">
        <f>'[1]VENTAS(RESUMEN GLOBAL)'!G1479*(1-'[1]VENTAS(RESUMEN GLOBAL)'!H1479)</f>
        <v>0</v>
      </c>
      <c r="K1479" s="8">
        <f t="shared" si="23"/>
        <v>0</v>
      </c>
      <c r="L1479" s="8">
        <f>+'[1]VENTAS(RESUMEN GLOBAL)'!J1479</f>
        <v>0</v>
      </c>
      <c r="M1479" s="8">
        <f>+Tabla1[[#This Row],[utilidad x dia]]*7</f>
        <v>0</v>
      </c>
    </row>
    <row r="1480" spans="1:13" x14ac:dyDescent="0.3">
      <c r="A1480" s="6">
        <f>+'[1]VENTAS(RESUMEN GLOBAL)'!L1480</f>
        <v>0</v>
      </c>
      <c r="B1480" s="6">
        <f>+'[1]VENTAS(RESUMEN GLOBAL)'!M1480</f>
        <v>0</v>
      </c>
      <c r="C1480">
        <f>+'[1]VENTAS(RESUMEN GLOBAL)'!B1480</f>
        <v>0</v>
      </c>
      <c r="D1480" t="e">
        <f>INDEX('[1]CÓDIGOS DE PRODUCTO'!$D$3:$D$1000,MATCH(C1480,'[1]CÓDIGOS DE PRODUCTO'!$A$3:$A$1000,0))</f>
        <v>#N/A</v>
      </c>
      <c r="E1480">
        <f>VLOOKUP(C1480,'[1]CÓDIGOS DE PRODUCTO'!$A$4:$B$156,2,FALSE)</f>
        <v>0</v>
      </c>
      <c r="F1480">
        <f>INDEX('[1]CÓDIGOS DE PRODUCTO'!$C$3:$C$1000,MATCH(C1480,'[1]CÓDIGOS DE PRODUCTO'!$A$3:$A$1000,0))</f>
        <v>0</v>
      </c>
      <c r="G1480">
        <f>+'[1]VENTAS(RESUMEN GLOBAL)'!D1480-'[1]VENTAS(RESUMEN GLOBAL)'!E1480</f>
        <v>0</v>
      </c>
      <c r="H1480" s="9">
        <f>+'[1]VENTAS(RESUMEN GLOBAL)'!K1480</f>
        <v>0</v>
      </c>
      <c r="I1480" s="8">
        <f>+G1480*'[1]VENTAS(RESUMEN GLOBAL)'!F1480</f>
        <v>0</v>
      </c>
      <c r="J1480" s="8">
        <f>'[1]VENTAS(RESUMEN GLOBAL)'!G1480*(1-'[1]VENTAS(RESUMEN GLOBAL)'!H1480)</f>
        <v>0</v>
      </c>
      <c r="K1480" s="8">
        <f t="shared" si="23"/>
        <v>0</v>
      </c>
      <c r="L1480" s="8">
        <f>+'[1]VENTAS(RESUMEN GLOBAL)'!J1480</f>
        <v>0</v>
      </c>
      <c r="M1480" s="8">
        <f>+Tabla1[[#This Row],[utilidad x dia]]*7</f>
        <v>0</v>
      </c>
    </row>
    <row r="1481" spans="1:13" x14ac:dyDescent="0.3">
      <c r="A1481" s="6">
        <f>+'[1]VENTAS(RESUMEN GLOBAL)'!L1481</f>
        <v>0</v>
      </c>
      <c r="B1481" s="6">
        <f>+'[1]VENTAS(RESUMEN GLOBAL)'!M1481</f>
        <v>0</v>
      </c>
      <c r="C1481">
        <f>+'[1]VENTAS(RESUMEN GLOBAL)'!B1481</f>
        <v>0</v>
      </c>
      <c r="D1481" t="e">
        <f>INDEX('[1]CÓDIGOS DE PRODUCTO'!$D$3:$D$1000,MATCH(C1481,'[1]CÓDIGOS DE PRODUCTO'!$A$3:$A$1000,0))</f>
        <v>#N/A</v>
      </c>
      <c r="E1481">
        <f>VLOOKUP(C1481,'[1]CÓDIGOS DE PRODUCTO'!$A$4:$B$156,2,FALSE)</f>
        <v>0</v>
      </c>
      <c r="F1481">
        <f>INDEX('[1]CÓDIGOS DE PRODUCTO'!$C$3:$C$1000,MATCH(C1481,'[1]CÓDIGOS DE PRODUCTO'!$A$3:$A$1000,0))</f>
        <v>0</v>
      </c>
      <c r="G1481">
        <f>+'[1]VENTAS(RESUMEN GLOBAL)'!D1481-'[1]VENTAS(RESUMEN GLOBAL)'!E1481</f>
        <v>0</v>
      </c>
      <c r="H1481" s="9">
        <f>+'[1]VENTAS(RESUMEN GLOBAL)'!K1481</f>
        <v>0</v>
      </c>
      <c r="I1481" s="8">
        <f>+G1481*'[1]VENTAS(RESUMEN GLOBAL)'!F1481</f>
        <v>0</v>
      </c>
      <c r="J1481" s="8">
        <f>'[1]VENTAS(RESUMEN GLOBAL)'!G1481*(1-'[1]VENTAS(RESUMEN GLOBAL)'!H1481)</f>
        <v>0</v>
      </c>
      <c r="K1481" s="8">
        <f t="shared" si="23"/>
        <v>0</v>
      </c>
      <c r="L1481" s="8">
        <f>+'[1]VENTAS(RESUMEN GLOBAL)'!J1481</f>
        <v>0</v>
      </c>
      <c r="M1481" s="8">
        <f>+Tabla1[[#This Row],[utilidad x dia]]*7</f>
        <v>0</v>
      </c>
    </row>
    <row r="1482" spans="1:13" x14ac:dyDescent="0.3">
      <c r="A1482" s="6">
        <f>+'[1]VENTAS(RESUMEN GLOBAL)'!L1482</f>
        <v>0</v>
      </c>
      <c r="B1482" s="6">
        <f>+'[1]VENTAS(RESUMEN GLOBAL)'!M1482</f>
        <v>0</v>
      </c>
      <c r="C1482">
        <f>+'[1]VENTAS(RESUMEN GLOBAL)'!B1482</f>
        <v>0</v>
      </c>
      <c r="D1482" t="e">
        <f>INDEX('[1]CÓDIGOS DE PRODUCTO'!$D$3:$D$1000,MATCH(C1482,'[1]CÓDIGOS DE PRODUCTO'!$A$3:$A$1000,0))</f>
        <v>#N/A</v>
      </c>
      <c r="E1482">
        <f>VLOOKUP(C1482,'[1]CÓDIGOS DE PRODUCTO'!$A$4:$B$156,2,FALSE)</f>
        <v>0</v>
      </c>
      <c r="F1482">
        <f>INDEX('[1]CÓDIGOS DE PRODUCTO'!$C$3:$C$1000,MATCH(C1482,'[1]CÓDIGOS DE PRODUCTO'!$A$3:$A$1000,0))</f>
        <v>0</v>
      </c>
      <c r="G1482">
        <f>+'[1]VENTAS(RESUMEN GLOBAL)'!D1482-'[1]VENTAS(RESUMEN GLOBAL)'!E1482</f>
        <v>0</v>
      </c>
      <c r="H1482" s="9">
        <f>+'[1]VENTAS(RESUMEN GLOBAL)'!K1482</f>
        <v>0</v>
      </c>
      <c r="I1482" s="8">
        <f>+G1482*'[1]VENTAS(RESUMEN GLOBAL)'!F1482</f>
        <v>0</v>
      </c>
      <c r="J1482" s="8">
        <f>'[1]VENTAS(RESUMEN GLOBAL)'!G1482*(1-'[1]VENTAS(RESUMEN GLOBAL)'!H1482)</f>
        <v>0</v>
      </c>
      <c r="K1482" s="8">
        <f t="shared" si="23"/>
        <v>0</v>
      </c>
      <c r="L1482" s="8">
        <f>+'[1]VENTAS(RESUMEN GLOBAL)'!J1482</f>
        <v>0</v>
      </c>
      <c r="M1482" s="8">
        <f>+Tabla1[[#This Row],[utilidad x dia]]*7</f>
        <v>0</v>
      </c>
    </row>
    <row r="1483" spans="1:13" x14ac:dyDescent="0.3">
      <c r="A1483" s="6">
        <f>+'[1]VENTAS(RESUMEN GLOBAL)'!L1483</f>
        <v>0</v>
      </c>
      <c r="B1483" s="6">
        <f>+'[1]VENTAS(RESUMEN GLOBAL)'!M1483</f>
        <v>0</v>
      </c>
      <c r="C1483">
        <f>+'[1]VENTAS(RESUMEN GLOBAL)'!B1483</f>
        <v>0</v>
      </c>
      <c r="D1483" t="e">
        <f>INDEX('[1]CÓDIGOS DE PRODUCTO'!$D$3:$D$1000,MATCH(C1483,'[1]CÓDIGOS DE PRODUCTO'!$A$3:$A$1000,0))</f>
        <v>#N/A</v>
      </c>
      <c r="E1483">
        <f>VLOOKUP(C1483,'[1]CÓDIGOS DE PRODUCTO'!$A$4:$B$156,2,FALSE)</f>
        <v>0</v>
      </c>
      <c r="F1483">
        <f>INDEX('[1]CÓDIGOS DE PRODUCTO'!$C$3:$C$1000,MATCH(C1483,'[1]CÓDIGOS DE PRODUCTO'!$A$3:$A$1000,0))</f>
        <v>0</v>
      </c>
      <c r="G1483">
        <f>+'[1]VENTAS(RESUMEN GLOBAL)'!D1483-'[1]VENTAS(RESUMEN GLOBAL)'!E1483</f>
        <v>0</v>
      </c>
      <c r="H1483" s="9">
        <f>+'[1]VENTAS(RESUMEN GLOBAL)'!K1483</f>
        <v>0</v>
      </c>
      <c r="I1483" s="8">
        <f>+G1483*'[1]VENTAS(RESUMEN GLOBAL)'!F1483</f>
        <v>0</v>
      </c>
      <c r="J1483" s="8">
        <f>'[1]VENTAS(RESUMEN GLOBAL)'!G1483*(1-'[1]VENTAS(RESUMEN GLOBAL)'!H1483)</f>
        <v>0</v>
      </c>
      <c r="K1483" s="8">
        <f t="shared" si="23"/>
        <v>0</v>
      </c>
      <c r="L1483" s="8">
        <f>+'[1]VENTAS(RESUMEN GLOBAL)'!J1483</f>
        <v>0</v>
      </c>
      <c r="M1483" s="8">
        <f>+Tabla1[[#This Row],[utilidad x dia]]*7</f>
        <v>0</v>
      </c>
    </row>
    <row r="1484" spans="1:13" x14ac:dyDescent="0.3">
      <c r="A1484" s="6">
        <f>+'[1]VENTAS(RESUMEN GLOBAL)'!L1484</f>
        <v>0</v>
      </c>
      <c r="B1484" s="6">
        <f>+'[1]VENTAS(RESUMEN GLOBAL)'!M1484</f>
        <v>0</v>
      </c>
      <c r="C1484">
        <f>+'[1]VENTAS(RESUMEN GLOBAL)'!B1484</f>
        <v>0</v>
      </c>
      <c r="D1484" t="e">
        <f>INDEX('[1]CÓDIGOS DE PRODUCTO'!$D$3:$D$1000,MATCH(C1484,'[1]CÓDIGOS DE PRODUCTO'!$A$3:$A$1000,0))</f>
        <v>#N/A</v>
      </c>
      <c r="E1484">
        <f>VLOOKUP(C1484,'[1]CÓDIGOS DE PRODUCTO'!$A$4:$B$156,2,FALSE)</f>
        <v>0</v>
      </c>
      <c r="F1484">
        <f>INDEX('[1]CÓDIGOS DE PRODUCTO'!$C$3:$C$1000,MATCH(C1484,'[1]CÓDIGOS DE PRODUCTO'!$A$3:$A$1000,0))</f>
        <v>0</v>
      </c>
      <c r="G1484">
        <f>+'[1]VENTAS(RESUMEN GLOBAL)'!D1484-'[1]VENTAS(RESUMEN GLOBAL)'!E1484</f>
        <v>0</v>
      </c>
      <c r="H1484" s="9">
        <f>+'[1]VENTAS(RESUMEN GLOBAL)'!K1484</f>
        <v>0</v>
      </c>
      <c r="I1484" s="8">
        <f>+G1484*'[1]VENTAS(RESUMEN GLOBAL)'!F1484</f>
        <v>0</v>
      </c>
      <c r="J1484" s="8">
        <f>'[1]VENTAS(RESUMEN GLOBAL)'!G1484*(1-'[1]VENTAS(RESUMEN GLOBAL)'!H1484)</f>
        <v>0</v>
      </c>
      <c r="K1484" s="8">
        <f t="shared" si="23"/>
        <v>0</v>
      </c>
      <c r="L1484" s="8">
        <f>+'[1]VENTAS(RESUMEN GLOBAL)'!J1484</f>
        <v>0</v>
      </c>
      <c r="M1484" s="8">
        <f>+Tabla1[[#This Row],[utilidad x dia]]*7</f>
        <v>0</v>
      </c>
    </row>
    <row r="1485" spans="1:13" x14ac:dyDescent="0.3">
      <c r="A1485" s="6">
        <f>+'[1]VENTAS(RESUMEN GLOBAL)'!L1485</f>
        <v>0</v>
      </c>
      <c r="B1485" s="6">
        <f>+'[1]VENTAS(RESUMEN GLOBAL)'!M1485</f>
        <v>0</v>
      </c>
      <c r="C1485">
        <f>+'[1]VENTAS(RESUMEN GLOBAL)'!B1485</f>
        <v>0</v>
      </c>
      <c r="D1485" t="e">
        <f>INDEX('[1]CÓDIGOS DE PRODUCTO'!$D$3:$D$1000,MATCH(C1485,'[1]CÓDIGOS DE PRODUCTO'!$A$3:$A$1000,0))</f>
        <v>#N/A</v>
      </c>
      <c r="E1485">
        <f>VLOOKUP(C1485,'[1]CÓDIGOS DE PRODUCTO'!$A$4:$B$156,2,FALSE)</f>
        <v>0</v>
      </c>
      <c r="F1485">
        <f>INDEX('[1]CÓDIGOS DE PRODUCTO'!$C$3:$C$1000,MATCH(C1485,'[1]CÓDIGOS DE PRODUCTO'!$A$3:$A$1000,0))</f>
        <v>0</v>
      </c>
      <c r="G1485">
        <f>+'[1]VENTAS(RESUMEN GLOBAL)'!D1485-'[1]VENTAS(RESUMEN GLOBAL)'!E1485</f>
        <v>0</v>
      </c>
      <c r="H1485" s="9">
        <f>+'[1]VENTAS(RESUMEN GLOBAL)'!K1485</f>
        <v>0</v>
      </c>
      <c r="I1485" s="8">
        <f>+G1485*'[1]VENTAS(RESUMEN GLOBAL)'!F1485</f>
        <v>0</v>
      </c>
      <c r="J1485" s="8">
        <f>'[1]VENTAS(RESUMEN GLOBAL)'!G1485*(1-'[1]VENTAS(RESUMEN GLOBAL)'!H1485)</f>
        <v>0</v>
      </c>
      <c r="K1485" s="8">
        <f t="shared" si="23"/>
        <v>0</v>
      </c>
      <c r="L1485" s="8">
        <f>+'[1]VENTAS(RESUMEN GLOBAL)'!J1485</f>
        <v>0</v>
      </c>
      <c r="M1485" s="8">
        <f>+Tabla1[[#This Row],[utilidad x dia]]*7</f>
        <v>0</v>
      </c>
    </row>
    <row r="1486" spans="1:13" x14ac:dyDescent="0.3">
      <c r="A1486" s="6">
        <f>+'[1]VENTAS(RESUMEN GLOBAL)'!L1486</f>
        <v>0</v>
      </c>
      <c r="B1486" s="6">
        <f>+'[1]VENTAS(RESUMEN GLOBAL)'!M1486</f>
        <v>0</v>
      </c>
      <c r="C1486">
        <f>+'[1]VENTAS(RESUMEN GLOBAL)'!B1486</f>
        <v>0</v>
      </c>
      <c r="D1486" t="e">
        <f>INDEX('[1]CÓDIGOS DE PRODUCTO'!$D$3:$D$1000,MATCH(C1486,'[1]CÓDIGOS DE PRODUCTO'!$A$3:$A$1000,0))</f>
        <v>#N/A</v>
      </c>
      <c r="E1486">
        <f>VLOOKUP(C1486,'[1]CÓDIGOS DE PRODUCTO'!$A$4:$B$156,2,FALSE)</f>
        <v>0</v>
      </c>
      <c r="F1486">
        <f>INDEX('[1]CÓDIGOS DE PRODUCTO'!$C$3:$C$1000,MATCH(C1486,'[1]CÓDIGOS DE PRODUCTO'!$A$3:$A$1000,0))</f>
        <v>0</v>
      </c>
      <c r="G1486">
        <f>+'[1]VENTAS(RESUMEN GLOBAL)'!D1486-'[1]VENTAS(RESUMEN GLOBAL)'!E1486</f>
        <v>0</v>
      </c>
      <c r="H1486" s="9">
        <f>+'[1]VENTAS(RESUMEN GLOBAL)'!K1486</f>
        <v>0</v>
      </c>
      <c r="I1486" s="8">
        <f>+G1486*'[1]VENTAS(RESUMEN GLOBAL)'!F1486</f>
        <v>0</v>
      </c>
      <c r="J1486" s="8">
        <f>'[1]VENTAS(RESUMEN GLOBAL)'!G1486*(1-'[1]VENTAS(RESUMEN GLOBAL)'!H1486)</f>
        <v>0</v>
      </c>
      <c r="K1486" s="8">
        <f t="shared" si="23"/>
        <v>0</v>
      </c>
      <c r="L1486" s="8">
        <f>+'[1]VENTAS(RESUMEN GLOBAL)'!J1486</f>
        <v>0</v>
      </c>
      <c r="M1486" s="8">
        <f>+Tabla1[[#This Row],[utilidad x dia]]*7</f>
        <v>0</v>
      </c>
    </row>
    <row r="1487" spans="1:13" x14ac:dyDescent="0.3">
      <c r="A1487" s="6">
        <f>+'[1]VENTAS(RESUMEN GLOBAL)'!L1487</f>
        <v>0</v>
      </c>
      <c r="B1487" s="6">
        <f>+'[1]VENTAS(RESUMEN GLOBAL)'!M1487</f>
        <v>0</v>
      </c>
      <c r="C1487">
        <f>+'[1]VENTAS(RESUMEN GLOBAL)'!B1487</f>
        <v>0</v>
      </c>
      <c r="D1487" t="e">
        <f>INDEX('[1]CÓDIGOS DE PRODUCTO'!$D$3:$D$1000,MATCH(C1487,'[1]CÓDIGOS DE PRODUCTO'!$A$3:$A$1000,0))</f>
        <v>#N/A</v>
      </c>
      <c r="E1487">
        <f>VLOOKUP(C1487,'[1]CÓDIGOS DE PRODUCTO'!$A$4:$B$156,2,FALSE)</f>
        <v>0</v>
      </c>
      <c r="F1487">
        <f>INDEX('[1]CÓDIGOS DE PRODUCTO'!$C$3:$C$1000,MATCH(C1487,'[1]CÓDIGOS DE PRODUCTO'!$A$3:$A$1000,0))</f>
        <v>0</v>
      </c>
      <c r="G1487">
        <f>+'[1]VENTAS(RESUMEN GLOBAL)'!D1487-'[1]VENTAS(RESUMEN GLOBAL)'!E1487</f>
        <v>0</v>
      </c>
      <c r="H1487" s="9">
        <f>+'[1]VENTAS(RESUMEN GLOBAL)'!K1487</f>
        <v>0</v>
      </c>
      <c r="I1487" s="8">
        <f>+G1487*'[1]VENTAS(RESUMEN GLOBAL)'!F1487</f>
        <v>0</v>
      </c>
      <c r="J1487" s="8">
        <f>'[1]VENTAS(RESUMEN GLOBAL)'!G1487*(1-'[1]VENTAS(RESUMEN GLOBAL)'!H1487)</f>
        <v>0</v>
      </c>
      <c r="K1487" s="8">
        <f t="shared" si="23"/>
        <v>0</v>
      </c>
      <c r="L1487" s="8">
        <f>+'[1]VENTAS(RESUMEN GLOBAL)'!J1487</f>
        <v>0</v>
      </c>
      <c r="M1487" s="8">
        <f>+Tabla1[[#This Row],[utilidad x dia]]*7</f>
        <v>0</v>
      </c>
    </row>
    <row r="1488" spans="1:13" x14ac:dyDescent="0.3">
      <c r="A1488" s="6">
        <f>+'[1]VENTAS(RESUMEN GLOBAL)'!L1488</f>
        <v>0</v>
      </c>
      <c r="B1488" s="6">
        <f>+'[1]VENTAS(RESUMEN GLOBAL)'!M1488</f>
        <v>0</v>
      </c>
      <c r="C1488">
        <f>+'[1]VENTAS(RESUMEN GLOBAL)'!B1488</f>
        <v>0</v>
      </c>
      <c r="D1488" t="e">
        <f>INDEX('[1]CÓDIGOS DE PRODUCTO'!$D$3:$D$1000,MATCH(C1488,'[1]CÓDIGOS DE PRODUCTO'!$A$3:$A$1000,0))</f>
        <v>#N/A</v>
      </c>
      <c r="E1488">
        <f>VLOOKUP(C1488,'[1]CÓDIGOS DE PRODUCTO'!$A$4:$B$156,2,FALSE)</f>
        <v>0</v>
      </c>
      <c r="F1488">
        <f>INDEX('[1]CÓDIGOS DE PRODUCTO'!$C$3:$C$1000,MATCH(C1488,'[1]CÓDIGOS DE PRODUCTO'!$A$3:$A$1000,0))</f>
        <v>0</v>
      </c>
      <c r="G1488">
        <f>+'[1]VENTAS(RESUMEN GLOBAL)'!D1488-'[1]VENTAS(RESUMEN GLOBAL)'!E1488</f>
        <v>0</v>
      </c>
      <c r="H1488" s="9">
        <f>+'[1]VENTAS(RESUMEN GLOBAL)'!K1488</f>
        <v>0</v>
      </c>
      <c r="I1488" s="8">
        <f>+G1488*'[1]VENTAS(RESUMEN GLOBAL)'!F1488</f>
        <v>0</v>
      </c>
      <c r="J1488" s="8">
        <f>'[1]VENTAS(RESUMEN GLOBAL)'!G1488*(1-'[1]VENTAS(RESUMEN GLOBAL)'!H1488)</f>
        <v>0</v>
      </c>
      <c r="K1488" s="8">
        <f t="shared" si="23"/>
        <v>0</v>
      </c>
      <c r="L1488" s="8">
        <f>+'[1]VENTAS(RESUMEN GLOBAL)'!J1488</f>
        <v>0</v>
      </c>
      <c r="M1488" s="8">
        <f>+Tabla1[[#This Row],[utilidad x dia]]*7</f>
        <v>0</v>
      </c>
    </row>
    <row r="1489" spans="1:13" x14ac:dyDescent="0.3">
      <c r="A1489" s="6">
        <f>+'[1]VENTAS(RESUMEN GLOBAL)'!L1489</f>
        <v>0</v>
      </c>
      <c r="B1489" s="6">
        <f>+'[1]VENTAS(RESUMEN GLOBAL)'!M1489</f>
        <v>0</v>
      </c>
      <c r="C1489">
        <f>+'[1]VENTAS(RESUMEN GLOBAL)'!B1489</f>
        <v>0</v>
      </c>
      <c r="D1489" t="e">
        <f>INDEX('[1]CÓDIGOS DE PRODUCTO'!$D$3:$D$1000,MATCH(C1489,'[1]CÓDIGOS DE PRODUCTO'!$A$3:$A$1000,0))</f>
        <v>#N/A</v>
      </c>
      <c r="E1489">
        <f>VLOOKUP(C1489,'[1]CÓDIGOS DE PRODUCTO'!$A$4:$B$156,2,FALSE)</f>
        <v>0</v>
      </c>
      <c r="F1489">
        <f>INDEX('[1]CÓDIGOS DE PRODUCTO'!$C$3:$C$1000,MATCH(C1489,'[1]CÓDIGOS DE PRODUCTO'!$A$3:$A$1000,0))</f>
        <v>0</v>
      </c>
      <c r="G1489">
        <f>+'[1]VENTAS(RESUMEN GLOBAL)'!D1489-'[1]VENTAS(RESUMEN GLOBAL)'!E1489</f>
        <v>0</v>
      </c>
      <c r="H1489" s="9">
        <f>+'[1]VENTAS(RESUMEN GLOBAL)'!K1489</f>
        <v>0</v>
      </c>
      <c r="I1489" s="8">
        <f>+G1489*'[1]VENTAS(RESUMEN GLOBAL)'!F1489</f>
        <v>0</v>
      </c>
      <c r="J1489" s="8">
        <f>'[1]VENTAS(RESUMEN GLOBAL)'!G1489*(1-'[1]VENTAS(RESUMEN GLOBAL)'!H1489)</f>
        <v>0</v>
      </c>
      <c r="K1489" s="8">
        <f t="shared" si="23"/>
        <v>0</v>
      </c>
      <c r="L1489" s="8">
        <f>+'[1]VENTAS(RESUMEN GLOBAL)'!J1489</f>
        <v>0</v>
      </c>
      <c r="M1489" s="8">
        <f>+Tabla1[[#This Row],[utilidad x dia]]*7</f>
        <v>0</v>
      </c>
    </row>
    <row r="1490" spans="1:13" x14ac:dyDescent="0.3">
      <c r="A1490" s="6">
        <f>+'[1]VENTAS(RESUMEN GLOBAL)'!L1490</f>
        <v>0</v>
      </c>
      <c r="B1490" s="6">
        <f>+'[1]VENTAS(RESUMEN GLOBAL)'!M1490</f>
        <v>0</v>
      </c>
      <c r="C1490">
        <f>+'[1]VENTAS(RESUMEN GLOBAL)'!B1490</f>
        <v>0</v>
      </c>
      <c r="D1490" t="e">
        <f>INDEX('[1]CÓDIGOS DE PRODUCTO'!$D$3:$D$1000,MATCH(C1490,'[1]CÓDIGOS DE PRODUCTO'!$A$3:$A$1000,0))</f>
        <v>#N/A</v>
      </c>
      <c r="E1490">
        <f>VLOOKUP(C1490,'[1]CÓDIGOS DE PRODUCTO'!$A$4:$B$156,2,FALSE)</f>
        <v>0</v>
      </c>
      <c r="F1490">
        <f>INDEX('[1]CÓDIGOS DE PRODUCTO'!$C$3:$C$1000,MATCH(C1490,'[1]CÓDIGOS DE PRODUCTO'!$A$3:$A$1000,0))</f>
        <v>0</v>
      </c>
      <c r="G1490">
        <f>+'[1]VENTAS(RESUMEN GLOBAL)'!D1490-'[1]VENTAS(RESUMEN GLOBAL)'!E1490</f>
        <v>0</v>
      </c>
      <c r="H1490" s="9">
        <f>+'[1]VENTAS(RESUMEN GLOBAL)'!K1490</f>
        <v>0</v>
      </c>
      <c r="I1490" s="8">
        <f>+G1490*'[1]VENTAS(RESUMEN GLOBAL)'!F1490</f>
        <v>0</v>
      </c>
      <c r="J1490" s="8">
        <f>'[1]VENTAS(RESUMEN GLOBAL)'!G1490*(1-'[1]VENTAS(RESUMEN GLOBAL)'!H1490)</f>
        <v>0</v>
      </c>
      <c r="K1490" s="8">
        <f t="shared" si="23"/>
        <v>0</v>
      </c>
      <c r="L1490" s="8">
        <f>+'[1]VENTAS(RESUMEN GLOBAL)'!J1490</f>
        <v>0</v>
      </c>
      <c r="M1490" s="8">
        <f>+Tabla1[[#This Row],[utilidad x dia]]*7</f>
        <v>0</v>
      </c>
    </row>
    <row r="1491" spans="1:13" x14ac:dyDescent="0.3">
      <c r="A1491" s="6">
        <f>+'[1]VENTAS(RESUMEN GLOBAL)'!L1491</f>
        <v>0</v>
      </c>
      <c r="B1491" s="6">
        <f>+'[1]VENTAS(RESUMEN GLOBAL)'!M1491</f>
        <v>0</v>
      </c>
      <c r="C1491">
        <f>+'[1]VENTAS(RESUMEN GLOBAL)'!B1491</f>
        <v>0</v>
      </c>
      <c r="D1491" t="e">
        <f>INDEX('[1]CÓDIGOS DE PRODUCTO'!$D$3:$D$1000,MATCH(C1491,'[1]CÓDIGOS DE PRODUCTO'!$A$3:$A$1000,0))</f>
        <v>#N/A</v>
      </c>
      <c r="E1491">
        <f>VLOOKUP(C1491,'[1]CÓDIGOS DE PRODUCTO'!$A$4:$B$156,2,FALSE)</f>
        <v>0</v>
      </c>
      <c r="F1491">
        <f>INDEX('[1]CÓDIGOS DE PRODUCTO'!$C$3:$C$1000,MATCH(C1491,'[1]CÓDIGOS DE PRODUCTO'!$A$3:$A$1000,0))</f>
        <v>0</v>
      </c>
      <c r="G1491">
        <f>+'[1]VENTAS(RESUMEN GLOBAL)'!D1491-'[1]VENTAS(RESUMEN GLOBAL)'!E1491</f>
        <v>0</v>
      </c>
      <c r="H1491" s="9">
        <f>+'[1]VENTAS(RESUMEN GLOBAL)'!K1491</f>
        <v>0</v>
      </c>
      <c r="I1491" s="8">
        <f>+G1491*'[1]VENTAS(RESUMEN GLOBAL)'!F1491</f>
        <v>0</v>
      </c>
      <c r="J1491" s="8">
        <f>'[1]VENTAS(RESUMEN GLOBAL)'!G1491*(1-'[1]VENTAS(RESUMEN GLOBAL)'!H1491)</f>
        <v>0</v>
      </c>
      <c r="K1491" s="8">
        <f t="shared" si="23"/>
        <v>0</v>
      </c>
      <c r="L1491" s="8">
        <f>+'[1]VENTAS(RESUMEN GLOBAL)'!J1491</f>
        <v>0</v>
      </c>
      <c r="M1491" s="8">
        <f>+Tabla1[[#This Row],[utilidad x dia]]*7</f>
        <v>0</v>
      </c>
    </row>
    <row r="1492" spans="1:13" x14ac:dyDescent="0.3">
      <c r="A1492" s="6">
        <f>+'[1]VENTAS(RESUMEN GLOBAL)'!L1492</f>
        <v>0</v>
      </c>
      <c r="B1492" s="6">
        <f>+'[1]VENTAS(RESUMEN GLOBAL)'!M1492</f>
        <v>0</v>
      </c>
      <c r="C1492">
        <f>+'[1]VENTAS(RESUMEN GLOBAL)'!B1492</f>
        <v>0</v>
      </c>
      <c r="D1492" t="e">
        <f>INDEX('[1]CÓDIGOS DE PRODUCTO'!$D$3:$D$1000,MATCH(C1492,'[1]CÓDIGOS DE PRODUCTO'!$A$3:$A$1000,0))</f>
        <v>#N/A</v>
      </c>
      <c r="E1492">
        <f>VLOOKUP(C1492,'[1]CÓDIGOS DE PRODUCTO'!$A$4:$B$156,2,FALSE)</f>
        <v>0</v>
      </c>
      <c r="F1492">
        <f>INDEX('[1]CÓDIGOS DE PRODUCTO'!$C$3:$C$1000,MATCH(C1492,'[1]CÓDIGOS DE PRODUCTO'!$A$3:$A$1000,0))</f>
        <v>0</v>
      </c>
      <c r="G1492">
        <f>+'[1]VENTAS(RESUMEN GLOBAL)'!D1492-'[1]VENTAS(RESUMEN GLOBAL)'!E1492</f>
        <v>0</v>
      </c>
      <c r="H1492" s="9">
        <f>+'[1]VENTAS(RESUMEN GLOBAL)'!K1492</f>
        <v>0</v>
      </c>
      <c r="I1492" s="8">
        <f>+G1492*'[1]VENTAS(RESUMEN GLOBAL)'!F1492</f>
        <v>0</v>
      </c>
      <c r="J1492" s="8">
        <f>'[1]VENTAS(RESUMEN GLOBAL)'!G1492*(1-'[1]VENTAS(RESUMEN GLOBAL)'!H1492)</f>
        <v>0</v>
      </c>
      <c r="K1492" s="8">
        <f t="shared" si="23"/>
        <v>0</v>
      </c>
      <c r="L1492" s="8">
        <f>+'[1]VENTAS(RESUMEN GLOBAL)'!J1492</f>
        <v>0</v>
      </c>
      <c r="M1492" s="8">
        <f>+Tabla1[[#This Row],[utilidad x dia]]*7</f>
        <v>0</v>
      </c>
    </row>
    <row r="1493" spans="1:13" x14ac:dyDescent="0.3">
      <c r="A1493" s="6">
        <f>+'[1]VENTAS(RESUMEN GLOBAL)'!L1493</f>
        <v>0</v>
      </c>
      <c r="B1493" s="6">
        <f>+'[1]VENTAS(RESUMEN GLOBAL)'!M1493</f>
        <v>0</v>
      </c>
      <c r="C1493">
        <f>+'[1]VENTAS(RESUMEN GLOBAL)'!B1493</f>
        <v>0</v>
      </c>
      <c r="D1493" t="e">
        <f>INDEX('[1]CÓDIGOS DE PRODUCTO'!$D$3:$D$1000,MATCH(C1493,'[1]CÓDIGOS DE PRODUCTO'!$A$3:$A$1000,0))</f>
        <v>#N/A</v>
      </c>
      <c r="E1493">
        <f>VLOOKUP(C1493,'[1]CÓDIGOS DE PRODUCTO'!$A$4:$B$156,2,FALSE)</f>
        <v>0</v>
      </c>
      <c r="F1493">
        <f>INDEX('[1]CÓDIGOS DE PRODUCTO'!$C$3:$C$1000,MATCH(C1493,'[1]CÓDIGOS DE PRODUCTO'!$A$3:$A$1000,0))</f>
        <v>0</v>
      </c>
      <c r="G1493">
        <f>+'[1]VENTAS(RESUMEN GLOBAL)'!D1493-'[1]VENTAS(RESUMEN GLOBAL)'!E1493</f>
        <v>0</v>
      </c>
      <c r="H1493" s="9">
        <f>+'[1]VENTAS(RESUMEN GLOBAL)'!K1493</f>
        <v>0</v>
      </c>
      <c r="I1493" s="8">
        <f>+G1493*'[1]VENTAS(RESUMEN GLOBAL)'!F1493</f>
        <v>0</v>
      </c>
      <c r="J1493" s="8">
        <f>'[1]VENTAS(RESUMEN GLOBAL)'!G1493*(1-'[1]VENTAS(RESUMEN GLOBAL)'!H1493)</f>
        <v>0</v>
      </c>
      <c r="K1493" s="8">
        <f t="shared" si="23"/>
        <v>0</v>
      </c>
      <c r="L1493" s="8">
        <f>+'[1]VENTAS(RESUMEN GLOBAL)'!J1493</f>
        <v>0</v>
      </c>
      <c r="M1493" s="8">
        <f>+Tabla1[[#This Row],[utilidad x dia]]*7</f>
        <v>0</v>
      </c>
    </row>
    <row r="1494" spans="1:13" x14ac:dyDescent="0.3">
      <c r="A1494" s="6">
        <f>+'[1]VENTAS(RESUMEN GLOBAL)'!L1494</f>
        <v>0</v>
      </c>
      <c r="B1494" s="6">
        <f>+'[1]VENTAS(RESUMEN GLOBAL)'!M1494</f>
        <v>0</v>
      </c>
      <c r="C1494">
        <f>+'[1]VENTAS(RESUMEN GLOBAL)'!B1494</f>
        <v>0</v>
      </c>
      <c r="D1494" t="e">
        <f>INDEX('[1]CÓDIGOS DE PRODUCTO'!$D$3:$D$1000,MATCH(C1494,'[1]CÓDIGOS DE PRODUCTO'!$A$3:$A$1000,0))</f>
        <v>#N/A</v>
      </c>
      <c r="E1494">
        <f>VLOOKUP(C1494,'[1]CÓDIGOS DE PRODUCTO'!$A$4:$B$156,2,FALSE)</f>
        <v>0</v>
      </c>
      <c r="F1494">
        <f>INDEX('[1]CÓDIGOS DE PRODUCTO'!$C$3:$C$1000,MATCH(C1494,'[1]CÓDIGOS DE PRODUCTO'!$A$3:$A$1000,0))</f>
        <v>0</v>
      </c>
      <c r="G1494">
        <f>+'[1]VENTAS(RESUMEN GLOBAL)'!D1494-'[1]VENTAS(RESUMEN GLOBAL)'!E1494</f>
        <v>0</v>
      </c>
      <c r="H1494" s="9">
        <f>+'[1]VENTAS(RESUMEN GLOBAL)'!K1494</f>
        <v>0</v>
      </c>
      <c r="I1494" s="8">
        <f>+G1494*'[1]VENTAS(RESUMEN GLOBAL)'!F1494</f>
        <v>0</v>
      </c>
      <c r="J1494" s="8">
        <f>'[1]VENTAS(RESUMEN GLOBAL)'!G1494*(1-'[1]VENTAS(RESUMEN GLOBAL)'!H1494)</f>
        <v>0</v>
      </c>
      <c r="K1494" s="8">
        <f t="shared" si="23"/>
        <v>0</v>
      </c>
      <c r="L1494" s="8">
        <f>+'[1]VENTAS(RESUMEN GLOBAL)'!J1494</f>
        <v>0</v>
      </c>
      <c r="M1494" s="8">
        <f>+Tabla1[[#This Row],[utilidad x dia]]*7</f>
        <v>0</v>
      </c>
    </row>
    <row r="1495" spans="1:13" x14ac:dyDescent="0.3">
      <c r="A1495" s="6">
        <f>+'[1]VENTAS(RESUMEN GLOBAL)'!L1495</f>
        <v>0</v>
      </c>
      <c r="B1495" s="6">
        <f>+'[1]VENTAS(RESUMEN GLOBAL)'!M1495</f>
        <v>0</v>
      </c>
      <c r="C1495">
        <f>+'[1]VENTAS(RESUMEN GLOBAL)'!B1495</f>
        <v>0</v>
      </c>
      <c r="D1495" t="e">
        <f>INDEX('[1]CÓDIGOS DE PRODUCTO'!$D$3:$D$1000,MATCH(C1495,'[1]CÓDIGOS DE PRODUCTO'!$A$3:$A$1000,0))</f>
        <v>#N/A</v>
      </c>
      <c r="E1495">
        <f>VLOOKUP(C1495,'[1]CÓDIGOS DE PRODUCTO'!$A$4:$B$156,2,FALSE)</f>
        <v>0</v>
      </c>
      <c r="F1495">
        <f>INDEX('[1]CÓDIGOS DE PRODUCTO'!$C$3:$C$1000,MATCH(C1495,'[1]CÓDIGOS DE PRODUCTO'!$A$3:$A$1000,0))</f>
        <v>0</v>
      </c>
      <c r="G1495">
        <f>+'[1]VENTAS(RESUMEN GLOBAL)'!D1495-'[1]VENTAS(RESUMEN GLOBAL)'!E1495</f>
        <v>0</v>
      </c>
      <c r="H1495" s="9">
        <f>+'[1]VENTAS(RESUMEN GLOBAL)'!K1495</f>
        <v>0</v>
      </c>
      <c r="I1495" s="8">
        <f>+G1495*'[1]VENTAS(RESUMEN GLOBAL)'!F1495</f>
        <v>0</v>
      </c>
      <c r="J1495" s="8">
        <f>'[1]VENTAS(RESUMEN GLOBAL)'!G1495*(1-'[1]VENTAS(RESUMEN GLOBAL)'!H1495)</f>
        <v>0</v>
      </c>
      <c r="K1495" s="8">
        <f t="shared" si="23"/>
        <v>0</v>
      </c>
      <c r="L1495" s="8">
        <f>+'[1]VENTAS(RESUMEN GLOBAL)'!J1495</f>
        <v>0</v>
      </c>
      <c r="M1495" s="8">
        <f>+Tabla1[[#This Row],[utilidad x dia]]*7</f>
        <v>0</v>
      </c>
    </row>
    <row r="1496" spans="1:13" x14ac:dyDescent="0.3">
      <c r="A1496" s="6">
        <f>+'[1]VENTAS(RESUMEN GLOBAL)'!L1496</f>
        <v>0</v>
      </c>
      <c r="B1496" s="6">
        <f>+'[1]VENTAS(RESUMEN GLOBAL)'!M1496</f>
        <v>0</v>
      </c>
      <c r="C1496">
        <f>+'[1]VENTAS(RESUMEN GLOBAL)'!B1496</f>
        <v>0</v>
      </c>
      <c r="D1496" t="e">
        <f>INDEX('[1]CÓDIGOS DE PRODUCTO'!$D$3:$D$1000,MATCH(C1496,'[1]CÓDIGOS DE PRODUCTO'!$A$3:$A$1000,0))</f>
        <v>#N/A</v>
      </c>
      <c r="E1496">
        <f>VLOOKUP(C1496,'[1]CÓDIGOS DE PRODUCTO'!$A$4:$B$156,2,FALSE)</f>
        <v>0</v>
      </c>
      <c r="F1496">
        <f>INDEX('[1]CÓDIGOS DE PRODUCTO'!$C$3:$C$1000,MATCH(C1496,'[1]CÓDIGOS DE PRODUCTO'!$A$3:$A$1000,0))</f>
        <v>0</v>
      </c>
      <c r="G1496">
        <f>+'[1]VENTAS(RESUMEN GLOBAL)'!D1496-'[1]VENTAS(RESUMEN GLOBAL)'!E1496</f>
        <v>0</v>
      </c>
      <c r="H1496" s="9">
        <f>+'[1]VENTAS(RESUMEN GLOBAL)'!K1496</f>
        <v>0</v>
      </c>
      <c r="I1496" s="8">
        <f>+G1496*'[1]VENTAS(RESUMEN GLOBAL)'!F1496</f>
        <v>0</v>
      </c>
      <c r="J1496" s="8">
        <f>'[1]VENTAS(RESUMEN GLOBAL)'!G1496*(1-'[1]VENTAS(RESUMEN GLOBAL)'!H1496)</f>
        <v>0</v>
      </c>
      <c r="K1496" s="8">
        <f t="shared" si="23"/>
        <v>0</v>
      </c>
      <c r="L1496" s="8">
        <f>+'[1]VENTAS(RESUMEN GLOBAL)'!J1496</f>
        <v>0</v>
      </c>
      <c r="M1496" s="8">
        <f>+Tabla1[[#This Row],[utilidad x dia]]*7</f>
        <v>0</v>
      </c>
    </row>
    <row r="1497" spans="1:13" x14ac:dyDescent="0.3">
      <c r="A1497" s="6">
        <f>+'[1]VENTAS(RESUMEN GLOBAL)'!L1497</f>
        <v>0</v>
      </c>
      <c r="B1497" s="6">
        <f>+'[1]VENTAS(RESUMEN GLOBAL)'!M1497</f>
        <v>0</v>
      </c>
      <c r="C1497">
        <f>+'[1]VENTAS(RESUMEN GLOBAL)'!B1497</f>
        <v>0</v>
      </c>
      <c r="D1497" t="e">
        <f>INDEX('[1]CÓDIGOS DE PRODUCTO'!$D$3:$D$1000,MATCH(C1497,'[1]CÓDIGOS DE PRODUCTO'!$A$3:$A$1000,0))</f>
        <v>#N/A</v>
      </c>
      <c r="E1497">
        <f>VLOOKUP(C1497,'[1]CÓDIGOS DE PRODUCTO'!$A$4:$B$156,2,FALSE)</f>
        <v>0</v>
      </c>
      <c r="F1497">
        <f>INDEX('[1]CÓDIGOS DE PRODUCTO'!$C$3:$C$1000,MATCH(C1497,'[1]CÓDIGOS DE PRODUCTO'!$A$3:$A$1000,0))</f>
        <v>0</v>
      </c>
      <c r="G1497">
        <f>+'[1]VENTAS(RESUMEN GLOBAL)'!D1497-'[1]VENTAS(RESUMEN GLOBAL)'!E1497</f>
        <v>0</v>
      </c>
      <c r="H1497" s="9">
        <f>+'[1]VENTAS(RESUMEN GLOBAL)'!K1497</f>
        <v>0</v>
      </c>
      <c r="I1497" s="8">
        <f>+G1497*'[1]VENTAS(RESUMEN GLOBAL)'!F1497</f>
        <v>0</v>
      </c>
      <c r="J1497" s="8">
        <f>'[1]VENTAS(RESUMEN GLOBAL)'!G1497*(1-'[1]VENTAS(RESUMEN GLOBAL)'!H1497)</f>
        <v>0</v>
      </c>
      <c r="K1497" s="8">
        <f t="shared" si="23"/>
        <v>0</v>
      </c>
      <c r="L1497" s="8">
        <f>+'[1]VENTAS(RESUMEN GLOBAL)'!J1497</f>
        <v>0</v>
      </c>
      <c r="M1497" s="8">
        <f>+Tabla1[[#This Row],[utilidad x dia]]*7</f>
        <v>0</v>
      </c>
    </row>
    <row r="1498" spans="1:13" x14ac:dyDescent="0.3">
      <c r="A1498" s="6">
        <f>+'[1]VENTAS(RESUMEN GLOBAL)'!L1498</f>
        <v>0</v>
      </c>
      <c r="B1498" s="6">
        <f>+'[1]VENTAS(RESUMEN GLOBAL)'!M1498</f>
        <v>0</v>
      </c>
      <c r="C1498">
        <f>+'[1]VENTAS(RESUMEN GLOBAL)'!B1498</f>
        <v>0</v>
      </c>
      <c r="D1498" t="e">
        <f>INDEX('[1]CÓDIGOS DE PRODUCTO'!$D$3:$D$1000,MATCH(C1498,'[1]CÓDIGOS DE PRODUCTO'!$A$3:$A$1000,0))</f>
        <v>#N/A</v>
      </c>
      <c r="E1498">
        <f>VLOOKUP(C1498,'[1]CÓDIGOS DE PRODUCTO'!$A$4:$B$156,2,FALSE)</f>
        <v>0</v>
      </c>
      <c r="F1498">
        <f>INDEX('[1]CÓDIGOS DE PRODUCTO'!$C$3:$C$1000,MATCH(C1498,'[1]CÓDIGOS DE PRODUCTO'!$A$3:$A$1000,0))</f>
        <v>0</v>
      </c>
      <c r="G1498">
        <f>+'[1]VENTAS(RESUMEN GLOBAL)'!D1498-'[1]VENTAS(RESUMEN GLOBAL)'!E1498</f>
        <v>0</v>
      </c>
      <c r="H1498" s="9">
        <f>+'[1]VENTAS(RESUMEN GLOBAL)'!K1498</f>
        <v>0</v>
      </c>
      <c r="I1498" s="8">
        <f>+G1498*'[1]VENTAS(RESUMEN GLOBAL)'!F1498</f>
        <v>0</v>
      </c>
      <c r="J1498" s="8">
        <f>'[1]VENTAS(RESUMEN GLOBAL)'!G1498*(1-'[1]VENTAS(RESUMEN GLOBAL)'!H1498)</f>
        <v>0</v>
      </c>
      <c r="K1498" s="8">
        <f t="shared" si="23"/>
        <v>0</v>
      </c>
      <c r="L1498" s="8">
        <f>+'[1]VENTAS(RESUMEN GLOBAL)'!J1498</f>
        <v>0</v>
      </c>
      <c r="M1498" s="8">
        <f>+Tabla1[[#This Row],[utilidad x dia]]*7</f>
        <v>0</v>
      </c>
    </row>
    <row r="1499" spans="1:13" x14ac:dyDescent="0.3">
      <c r="A1499" s="6">
        <f>+'[1]VENTAS(RESUMEN GLOBAL)'!L1499</f>
        <v>0</v>
      </c>
      <c r="B1499" s="6">
        <f>+'[1]VENTAS(RESUMEN GLOBAL)'!M1499</f>
        <v>0</v>
      </c>
      <c r="C1499">
        <f>+'[1]VENTAS(RESUMEN GLOBAL)'!B1499</f>
        <v>0</v>
      </c>
      <c r="D1499" t="e">
        <f>INDEX('[1]CÓDIGOS DE PRODUCTO'!$D$3:$D$1000,MATCH(C1499,'[1]CÓDIGOS DE PRODUCTO'!$A$3:$A$1000,0))</f>
        <v>#N/A</v>
      </c>
      <c r="E1499">
        <f>VLOOKUP(C1499,'[1]CÓDIGOS DE PRODUCTO'!$A$4:$B$156,2,FALSE)</f>
        <v>0</v>
      </c>
      <c r="F1499">
        <f>INDEX('[1]CÓDIGOS DE PRODUCTO'!$C$3:$C$1000,MATCH(C1499,'[1]CÓDIGOS DE PRODUCTO'!$A$3:$A$1000,0))</f>
        <v>0</v>
      </c>
      <c r="G1499">
        <f>+'[1]VENTAS(RESUMEN GLOBAL)'!D1499-'[1]VENTAS(RESUMEN GLOBAL)'!E1499</f>
        <v>0</v>
      </c>
      <c r="H1499" s="9">
        <f>+'[1]VENTAS(RESUMEN GLOBAL)'!K1499</f>
        <v>0</v>
      </c>
      <c r="I1499" s="8">
        <f>+G1499*'[1]VENTAS(RESUMEN GLOBAL)'!F1499</f>
        <v>0</v>
      </c>
      <c r="J1499" s="8">
        <f>'[1]VENTAS(RESUMEN GLOBAL)'!G1499*(1-'[1]VENTAS(RESUMEN GLOBAL)'!H1499)</f>
        <v>0</v>
      </c>
      <c r="K1499" s="8">
        <f t="shared" si="23"/>
        <v>0</v>
      </c>
      <c r="L1499" s="8">
        <f>+'[1]VENTAS(RESUMEN GLOBAL)'!J1499</f>
        <v>0</v>
      </c>
      <c r="M1499" s="8">
        <f>+Tabla1[[#This Row],[utilidad x dia]]*7</f>
        <v>0</v>
      </c>
    </row>
    <row r="1500" spans="1:13" x14ac:dyDescent="0.3">
      <c r="A1500" s="6">
        <f>+'[1]VENTAS(RESUMEN GLOBAL)'!L1500</f>
        <v>0</v>
      </c>
      <c r="B1500" s="6">
        <f>+'[1]VENTAS(RESUMEN GLOBAL)'!M1500</f>
        <v>0</v>
      </c>
      <c r="C1500">
        <f>+'[1]VENTAS(RESUMEN GLOBAL)'!B1500</f>
        <v>0</v>
      </c>
      <c r="D1500" t="e">
        <f>INDEX('[1]CÓDIGOS DE PRODUCTO'!$D$3:$D$1000,MATCH(C1500,'[1]CÓDIGOS DE PRODUCTO'!$A$3:$A$1000,0))</f>
        <v>#N/A</v>
      </c>
      <c r="E1500">
        <f>VLOOKUP(C1500,'[1]CÓDIGOS DE PRODUCTO'!$A$4:$B$156,2,FALSE)</f>
        <v>0</v>
      </c>
      <c r="F1500">
        <f>INDEX('[1]CÓDIGOS DE PRODUCTO'!$C$3:$C$1000,MATCH(C1500,'[1]CÓDIGOS DE PRODUCTO'!$A$3:$A$1000,0))</f>
        <v>0</v>
      </c>
      <c r="G1500">
        <f>+'[1]VENTAS(RESUMEN GLOBAL)'!D1500-'[1]VENTAS(RESUMEN GLOBAL)'!E1500</f>
        <v>0</v>
      </c>
      <c r="H1500" s="9">
        <f>+'[1]VENTAS(RESUMEN GLOBAL)'!K1500</f>
        <v>0</v>
      </c>
      <c r="I1500" s="8">
        <f>+G1500*'[1]VENTAS(RESUMEN GLOBAL)'!F1500</f>
        <v>0</v>
      </c>
      <c r="J1500" s="8">
        <f>'[1]VENTAS(RESUMEN GLOBAL)'!G1500*(1-'[1]VENTAS(RESUMEN GLOBAL)'!H1500)</f>
        <v>0</v>
      </c>
      <c r="K1500" s="8">
        <f t="shared" si="23"/>
        <v>0</v>
      </c>
      <c r="L1500" s="8">
        <f>+'[1]VENTAS(RESUMEN GLOBAL)'!J1500</f>
        <v>0</v>
      </c>
      <c r="M1500" s="8">
        <f>+Tabla1[[#This Row],[utilidad x dia]]*7</f>
        <v>0</v>
      </c>
    </row>
    <row r="1501" spans="1:13" x14ac:dyDescent="0.3">
      <c r="A1501" s="6">
        <f>+'[1]VENTAS(RESUMEN GLOBAL)'!L1501</f>
        <v>0</v>
      </c>
      <c r="B1501" s="6">
        <f>+'[1]VENTAS(RESUMEN GLOBAL)'!M1501</f>
        <v>0</v>
      </c>
      <c r="C1501">
        <f>+'[1]VENTAS(RESUMEN GLOBAL)'!B1501</f>
        <v>0</v>
      </c>
      <c r="D1501" t="e">
        <f>INDEX('[1]CÓDIGOS DE PRODUCTO'!$D$3:$D$1000,MATCH(C1501,'[1]CÓDIGOS DE PRODUCTO'!$A$3:$A$1000,0))</f>
        <v>#N/A</v>
      </c>
      <c r="E1501">
        <f>VLOOKUP(C1501,'[1]CÓDIGOS DE PRODUCTO'!$A$4:$B$156,2,FALSE)</f>
        <v>0</v>
      </c>
      <c r="F1501">
        <f>INDEX('[1]CÓDIGOS DE PRODUCTO'!$C$3:$C$1000,MATCH(C1501,'[1]CÓDIGOS DE PRODUCTO'!$A$3:$A$1000,0))</f>
        <v>0</v>
      </c>
      <c r="G1501">
        <f>+'[1]VENTAS(RESUMEN GLOBAL)'!D1501-'[1]VENTAS(RESUMEN GLOBAL)'!E1501</f>
        <v>0</v>
      </c>
      <c r="H1501" s="9">
        <f>+'[1]VENTAS(RESUMEN GLOBAL)'!K1501</f>
        <v>0</v>
      </c>
      <c r="I1501" s="8">
        <f>+G1501*'[1]VENTAS(RESUMEN GLOBAL)'!F1501</f>
        <v>0</v>
      </c>
      <c r="J1501" s="8">
        <f>'[1]VENTAS(RESUMEN GLOBAL)'!G1501*(1-'[1]VENTAS(RESUMEN GLOBAL)'!H1501)</f>
        <v>0</v>
      </c>
      <c r="K1501" s="8">
        <f t="shared" si="23"/>
        <v>0</v>
      </c>
      <c r="L1501" s="8">
        <f>+'[1]VENTAS(RESUMEN GLOBAL)'!J1501</f>
        <v>0</v>
      </c>
      <c r="M1501" s="8">
        <f>+Tabla1[[#This Row],[utilidad x dia]]*7</f>
        <v>0</v>
      </c>
    </row>
    <row r="1502" spans="1:13" x14ac:dyDescent="0.3">
      <c r="A1502" s="6">
        <f>+'[1]VENTAS(RESUMEN GLOBAL)'!L1502</f>
        <v>0</v>
      </c>
      <c r="B1502" s="6">
        <f>+'[1]VENTAS(RESUMEN GLOBAL)'!M1502</f>
        <v>0</v>
      </c>
      <c r="C1502">
        <f>+'[1]VENTAS(RESUMEN GLOBAL)'!B1502</f>
        <v>0</v>
      </c>
      <c r="D1502" t="e">
        <f>INDEX('[1]CÓDIGOS DE PRODUCTO'!$D$3:$D$1000,MATCH(C1502,'[1]CÓDIGOS DE PRODUCTO'!$A$3:$A$1000,0))</f>
        <v>#N/A</v>
      </c>
      <c r="E1502">
        <f>VLOOKUP(C1502,'[1]CÓDIGOS DE PRODUCTO'!$A$4:$B$156,2,FALSE)</f>
        <v>0</v>
      </c>
      <c r="F1502">
        <f>INDEX('[1]CÓDIGOS DE PRODUCTO'!$C$3:$C$1000,MATCH(C1502,'[1]CÓDIGOS DE PRODUCTO'!$A$3:$A$1000,0))</f>
        <v>0</v>
      </c>
      <c r="G1502">
        <f>+'[1]VENTAS(RESUMEN GLOBAL)'!D1502-'[1]VENTAS(RESUMEN GLOBAL)'!E1502</f>
        <v>0</v>
      </c>
      <c r="H1502" s="9">
        <f>+'[1]VENTAS(RESUMEN GLOBAL)'!K1502</f>
        <v>0</v>
      </c>
      <c r="I1502" s="8">
        <f>+G1502*'[1]VENTAS(RESUMEN GLOBAL)'!F1502</f>
        <v>0</v>
      </c>
      <c r="J1502" s="8">
        <f>'[1]VENTAS(RESUMEN GLOBAL)'!G1502*(1-'[1]VENTAS(RESUMEN GLOBAL)'!H1502)</f>
        <v>0</v>
      </c>
      <c r="K1502" s="8">
        <f t="shared" si="23"/>
        <v>0</v>
      </c>
      <c r="L1502" s="8">
        <f>+'[1]VENTAS(RESUMEN GLOBAL)'!J1502</f>
        <v>0</v>
      </c>
      <c r="M1502" s="8">
        <f>+Tabla1[[#This Row],[utilidad x dia]]*7</f>
        <v>0</v>
      </c>
    </row>
    <row r="1503" spans="1:13" x14ac:dyDescent="0.3">
      <c r="A1503" s="6">
        <f>+'[1]VENTAS(RESUMEN GLOBAL)'!L1503</f>
        <v>0</v>
      </c>
      <c r="B1503" s="6">
        <f>+'[1]VENTAS(RESUMEN GLOBAL)'!M1503</f>
        <v>0</v>
      </c>
      <c r="C1503">
        <f>+'[1]VENTAS(RESUMEN GLOBAL)'!B1503</f>
        <v>0</v>
      </c>
      <c r="D1503" t="e">
        <f>INDEX('[1]CÓDIGOS DE PRODUCTO'!$D$3:$D$1000,MATCH(C1503,'[1]CÓDIGOS DE PRODUCTO'!$A$3:$A$1000,0))</f>
        <v>#N/A</v>
      </c>
      <c r="E1503">
        <f>VLOOKUP(C1503,'[1]CÓDIGOS DE PRODUCTO'!$A$4:$B$156,2,FALSE)</f>
        <v>0</v>
      </c>
      <c r="F1503">
        <f>INDEX('[1]CÓDIGOS DE PRODUCTO'!$C$3:$C$1000,MATCH(C1503,'[1]CÓDIGOS DE PRODUCTO'!$A$3:$A$1000,0))</f>
        <v>0</v>
      </c>
      <c r="G1503">
        <f>+'[1]VENTAS(RESUMEN GLOBAL)'!D1503-'[1]VENTAS(RESUMEN GLOBAL)'!E1503</f>
        <v>0</v>
      </c>
      <c r="H1503" s="9">
        <f>+'[1]VENTAS(RESUMEN GLOBAL)'!K1503</f>
        <v>0</v>
      </c>
      <c r="I1503" s="8">
        <f>+G1503*'[1]VENTAS(RESUMEN GLOBAL)'!F1503</f>
        <v>0</v>
      </c>
      <c r="J1503" s="8">
        <f>'[1]VENTAS(RESUMEN GLOBAL)'!G1503*(1-'[1]VENTAS(RESUMEN GLOBAL)'!H1503)</f>
        <v>0</v>
      </c>
      <c r="K1503" s="8">
        <f t="shared" si="23"/>
        <v>0</v>
      </c>
      <c r="L1503" s="8">
        <f>+'[1]VENTAS(RESUMEN GLOBAL)'!J1503</f>
        <v>0</v>
      </c>
      <c r="M1503" s="8">
        <f>+Tabla1[[#This Row],[utilidad x dia]]*7</f>
        <v>0</v>
      </c>
    </row>
    <row r="1504" spans="1:13" x14ac:dyDescent="0.3">
      <c r="A1504" s="6">
        <f>+'[1]VENTAS(RESUMEN GLOBAL)'!L1504</f>
        <v>0</v>
      </c>
      <c r="B1504" s="6">
        <f>+'[1]VENTAS(RESUMEN GLOBAL)'!M1504</f>
        <v>0</v>
      </c>
      <c r="C1504">
        <f>+'[1]VENTAS(RESUMEN GLOBAL)'!B1504</f>
        <v>0</v>
      </c>
      <c r="D1504" t="e">
        <f>INDEX('[1]CÓDIGOS DE PRODUCTO'!$D$3:$D$1000,MATCH(C1504,'[1]CÓDIGOS DE PRODUCTO'!$A$3:$A$1000,0))</f>
        <v>#N/A</v>
      </c>
      <c r="E1504">
        <f>VLOOKUP(C1504,'[1]CÓDIGOS DE PRODUCTO'!$A$4:$B$156,2,FALSE)</f>
        <v>0</v>
      </c>
      <c r="F1504">
        <f>INDEX('[1]CÓDIGOS DE PRODUCTO'!$C$3:$C$1000,MATCH(C1504,'[1]CÓDIGOS DE PRODUCTO'!$A$3:$A$1000,0))</f>
        <v>0</v>
      </c>
      <c r="G1504">
        <f>+'[1]VENTAS(RESUMEN GLOBAL)'!D1504-'[1]VENTAS(RESUMEN GLOBAL)'!E1504</f>
        <v>0</v>
      </c>
      <c r="H1504" s="9">
        <f>+'[1]VENTAS(RESUMEN GLOBAL)'!K1504</f>
        <v>0</v>
      </c>
      <c r="I1504" s="8">
        <f>+G1504*'[1]VENTAS(RESUMEN GLOBAL)'!F1504</f>
        <v>0</v>
      </c>
      <c r="J1504" s="8">
        <f>'[1]VENTAS(RESUMEN GLOBAL)'!G1504*(1-'[1]VENTAS(RESUMEN GLOBAL)'!H1504)</f>
        <v>0</v>
      </c>
      <c r="K1504" s="8">
        <f t="shared" si="23"/>
        <v>0</v>
      </c>
      <c r="L1504" s="8">
        <f>+'[1]VENTAS(RESUMEN GLOBAL)'!J1504</f>
        <v>0</v>
      </c>
      <c r="M1504" s="8">
        <f>+Tabla1[[#This Row],[utilidad x dia]]*7</f>
        <v>0</v>
      </c>
    </row>
    <row r="1505" spans="1:13" x14ac:dyDescent="0.3">
      <c r="A1505" s="6">
        <f>+'[1]VENTAS(RESUMEN GLOBAL)'!L1505</f>
        <v>0</v>
      </c>
      <c r="B1505" s="6">
        <f>+'[1]VENTAS(RESUMEN GLOBAL)'!M1505</f>
        <v>0</v>
      </c>
      <c r="C1505">
        <f>+'[1]VENTAS(RESUMEN GLOBAL)'!B1505</f>
        <v>0</v>
      </c>
      <c r="D1505" t="e">
        <f>INDEX('[1]CÓDIGOS DE PRODUCTO'!$D$3:$D$1000,MATCH(C1505,'[1]CÓDIGOS DE PRODUCTO'!$A$3:$A$1000,0))</f>
        <v>#N/A</v>
      </c>
      <c r="E1505">
        <f>VLOOKUP(C1505,'[1]CÓDIGOS DE PRODUCTO'!$A$4:$B$156,2,FALSE)</f>
        <v>0</v>
      </c>
      <c r="F1505">
        <f>INDEX('[1]CÓDIGOS DE PRODUCTO'!$C$3:$C$1000,MATCH(C1505,'[1]CÓDIGOS DE PRODUCTO'!$A$3:$A$1000,0))</f>
        <v>0</v>
      </c>
      <c r="G1505">
        <f>+'[1]VENTAS(RESUMEN GLOBAL)'!D1505-'[1]VENTAS(RESUMEN GLOBAL)'!E1505</f>
        <v>0</v>
      </c>
      <c r="H1505" s="9">
        <f>+'[1]VENTAS(RESUMEN GLOBAL)'!K1505</f>
        <v>0</v>
      </c>
      <c r="I1505" s="8">
        <f>+G1505*'[1]VENTAS(RESUMEN GLOBAL)'!F1505</f>
        <v>0</v>
      </c>
      <c r="J1505" s="8">
        <f>'[1]VENTAS(RESUMEN GLOBAL)'!G1505*(1-'[1]VENTAS(RESUMEN GLOBAL)'!H1505)</f>
        <v>0</v>
      </c>
      <c r="K1505" s="8">
        <f t="shared" si="23"/>
        <v>0</v>
      </c>
      <c r="L1505" s="8">
        <f>+'[1]VENTAS(RESUMEN GLOBAL)'!J1505</f>
        <v>0</v>
      </c>
      <c r="M1505" s="8">
        <f>+Tabla1[[#This Row],[utilidad x dia]]*7</f>
        <v>0</v>
      </c>
    </row>
    <row r="1506" spans="1:13" x14ac:dyDescent="0.3">
      <c r="A1506" s="6">
        <f>+'[1]VENTAS(RESUMEN GLOBAL)'!L1506</f>
        <v>0</v>
      </c>
      <c r="B1506" s="6">
        <f>+'[1]VENTAS(RESUMEN GLOBAL)'!M1506</f>
        <v>0</v>
      </c>
      <c r="C1506">
        <f>+'[1]VENTAS(RESUMEN GLOBAL)'!B1506</f>
        <v>0</v>
      </c>
      <c r="D1506" t="e">
        <f>INDEX('[1]CÓDIGOS DE PRODUCTO'!$D$3:$D$1000,MATCH(C1506,'[1]CÓDIGOS DE PRODUCTO'!$A$3:$A$1000,0))</f>
        <v>#N/A</v>
      </c>
      <c r="E1506">
        <f>VLOOKUP(C1506,'[1]CÓDIGOS DE PRODUCTO'!$A$4:$B$156,2,FALSE)</f>
        <v>0</v>
      </c>
      <c r="F1506">
        <f>INDEX('[1]CÓDIGOS DE PRODUCTO'!$C$3:$C$1000,MATCH(C1506,'[1]CÓDIGOS DE PRODUCTO'!$A$3:$A$1000,0))</f>
        <v>0</v>
      </c>
      <c r="G1506">
        <f>+'[1]VENTAS(RESUMEN GLOBAL)'!D1506-'[1]VENTAS(RESUMEN GLOBAL)'!E1506</f>
        <v>0</v>
      </c>
      <c r="H1506" s="9">
        <f>+'[1]VENTAS(RESUMEN GLOBAL)'!K1506</f>
        <v>0</v>
      </c>
      <c r="I1506" s="8">
        <f>+G1506*'[1]VENTAS(RESUMEN GLOBAL)'!F1506</f>
        <v>0</v>
      </c>
      <c r="J1506" s="8">
        <f>'[1]VENTAS(RESUMEN GLOBAL)'!G1506*(1-'[1]VENTAS(RESUMEN GLOBAL)'!H1506)</f>
        <v>0</v>
      </c>
      <c r="K1506" s="8">
        <f t="shared" si="23"/>
        <v>0</v>
      </c>
      <c r="L1506" s="8">
        <f>+'[1]VENTAS(RESUMEN GLOBAL)'!J1506</f>
        <v>0</v>
      </c>
      <c r="M1506" s="8">
        <f>+Tabla1[[#This Row],[utilidad x dia]]*7</f>
        <v>0</v>
      </c>
    </row>
    <row r="1507" spans="1:13" x14ac:dyDescent="0.3">
      <c r="A1507" s="6">
        <f>+'[1]VENTAS(RESUMEN GLOBAL)'!L1507</f>
        <v>0</v>
      </c>
      <c r="B1507" s="6">
        <f>+'[1]VENTAS(RESUMEN GLOBAL)'!M1507</f>
        <v>0</v>
      </c>
      <c r="C1507">
        <f>+'[1]VENTAS(RESUMEN GLOBAL)'!B1507</f>
        <v>0</v>
      </c>
      <c r="D1507" t="e">
        <f>INDEX('[1]CÓDIGOS DE PRODUCTO'!$D$3:$D$1000,MATCH(C1507,'[1]CÓDIGOS DE PRODUCTO'!$A$3:$A$1000,0))</f>
        <v>#N/A</v>
      </c>
      <c r="E1507">
        <f>VLOOKUP(C1507,'[1]CÓDIGOS DE PRODUCTO'!$A$4:$B$156,2,FALSE)</f>
        <v>0</v>
      </c>
      <c r="F1507">
        <f>INDEX('[1]CÓDIGOS DE PRODUCTO'!$C$3:$C$1000,MATCH(C1507,'[1]CÓDIGOS DE PRODUCTO'!$A$3:$A$1000,0))</f>
        <v>0</v>
      </c>
      <c r="G1507">
        <f>+'[1]VENTAS(RESUMEN GLOBAL)'!D1507-'[1]VENTAS(RESUMEN GLOBAL)'!E1507</f>
        <v>0</v>
      </c>
      <c r="H1507" s="9">
        <f>+'[1]VENTAS(RESUMEN GLOBAL)'!K1507</f>
        <v>0</v>
      </c>
      <c r="I1507" s="8">
        <f>+G1507*'[1]VENTAS(RESUMEN GLOBAL)'!F1507</f>
        <v>0</v>
      </c>
      <c r="J1507" s="8">
        <f>'[1]VENTAS(RESUMEN GLOBAL)'!G1507*(1-'[1]VENTAS(RESUMEN GLOBAL)'!H1507)</f>
        <v>0</v>
      </c>
      <c r="K1507" s="8">
        <f t="shared" si="23"/>
        <v>0</v>
      </c>
      <c r="L1507" s="8">
        <f>+'[1]VENTAS(RESUMEN GLOBAL)'!J1507</f>
        <v>0</v>
      </c>
      <c r="M1507" s="8">
        <f>+Tabla1[[#This Row],[utilidad x dia]]*7</f>
        <v>0</v>
      </c>
    </row>
    <row r="1508" spans="1:13" x14ac:dyDescent="0.3">
      <c r="A1508" s="6">
        <f>+'[1]VENTAS(RESUMEN GLOBAL)'!L1508</f>
        <v>0</v>
      </c>
      <c r="B1508" s="6">
        <f>+'[1]VENTAS(RESUMEN GLOBAL)'!M1508</f>
        <v>0</v>
      </c>
      <c r="C1508">
        <f>+'[1]VENTAS(RESUMEN GLOBAL)'!B1508</f>
        <v>0</v>
      </c>
      <c r="D1508" t="e">
        <f>INDEX('[1]CÓDIGOS DE PRODUCTO'!$D$3:$D$1000,MATCH(C1508,'[1]CÓDIGOS DE PRODUCTO'!$A$3:$A$1000,0))</f>
        <v>#N/A</v>
      </c>
      <c r="E1508">
        <f>VLOOKUP(C1508,'[1]CÓDIGOS DE PRODUCTO'!$A$4:$B$156,2,FALSE)</f>
        <v>0</v>
      </c>
      <c r="F1508">
        <f>INDEX('[1]CÓDIGOS DE PRODUCTO'!$C$3:$C$1000,MATCH(C1508,'[1]CÓDIGOS DE PRODUCTO'!$A$3:$A$1000,0))</f>
        <v>0</v>
      </c>
      <c r="G1508">
        <f>+'[1]VENTAS(RESUMEN GLOBAL)'!D1508-'[1]VENTAS(RESUMEN GLOBAL)'!E1508</f>
        <v>0</v>
      </c>
      <c r="H1508" s="9">
        <f>+'[1]VENTAS(RESUMEN GLOBAL)'!K1508</f>
        <v>0</v>
      </c>
      <c r="I1508" s="8">
        <f>+G1508*'[1]VENTAS(RESUMEN GLOBAL)'!F1508</f>
        <v>0</v>
      </c>
      <c r="J1508" s="8">
        <f>'[1]VENTAS(RESUMEN GLOBAL)'!G1508*(1-'[1]VENTAS(RESUMEN GLOBAL)'!H1508)</f>
        <v>0</v>
      </c>
      <c r="K1508" s="8">
        <f t="shared" si="23"/>
        <v>0</v>
      </c>
      <c r="L1508" s="8">
        <f>+'[1]VENTAS(RESUMEN GLOBAL)'!J1508</f>
        <v>0</v>
      </c>
      <c r="M1508" s="8">
        <f>+Tabla1[[#This Row],[utilidad x dia]]*7</f>
        <v>0</v>
      </c>
    </row>
    <row r="1509" spans="1:13" x14ac:dyDescent="0.3">
      <c r="A1509" s="6">
        <f>+'[1]VENTAS(RESUMEN GLOBAL)'!L1509</f>
        <v>0</v>
      </c>
      <c r="B1509" s="6">
        <f>+'[1]VENTAS(RESUMEN GLOBAL)'!M1509</f>
        <v>0</v>
      </c>
      <c r="C1509">
        <f>+'[1]VENTAS(RESUMEN GLOBAL)'!B1509</f>
        <v>0</v>
      </c>
      <c r="D1509" t="e">
        <f>INDEX('[1]CÓDIGOS DE PRODUCTO'!$D$3:$D$1000,MATCH(C1509,'[1]CÓDIGOS DE PRODUCTO'!$A$3:$A$1000,0))</f>
        <v>#N/A</v>
      </c>
      <c r="E1509">
        <f>VLOOKUP(C1509,'[1]CÓDIGOS DE PRODUCTO'!$A$4:$B$156,2,FALSE)</f>
        <v>0</v>
      </c>
      <c r="F1509">
        <f>INDEX('[1]CÓDIGOS DE PRODUCTO'!$C$3:$C$1000,MATCH(C1509,'[1]CÓDIGOS DE PRODUCTO'!$A$3:$A$1000,0))</f>
        <v>0</v>
      </c>
      <c r="G1509">
        <f>+'[1]VENTAS(RESUMEN GLOBAL)'!D1509-'[1]VENTAS(RESUMEN GLOBAL)'!E1509</f>
        <v>0</v>
      </c>
      <c r="H1509" s="9">
        <f>+'[1]VENTAS(RESUMEN GLOBAL)'!K1509</f>
        <v>0</v>
      </c>
      <c r="I1509" s="8">
        <f>+G1509*'[1]VENTAS(RESUMEN GLOBAL)'!F1509</f>
        <v>0</v>
      </c>
      <c r="J1509" s="8">
        <f>'[1]VENTAS(RESUMEN GLOBAL)'!G1509*(1-'[1]VENTAS(RESUMEN GLOBAL)'!H1509)</f>
        <v>0</v>
      </c>
      <c r="K1509" s="8">
        <f t="shared" si="23"/>
        <v>0</v>
      </c>
      <c r="L1509" s="8">
        <f>+'[1]VENTAS(RESUMEN GLOBAL)'!J1509</f>
        <v>0</v>
      </c>
      <c r="M1509" s="8">
        <f>+Tabla1[[#This Row],[utilidad x dia]]*7</f>
        <v>0</v>
      </c>
    </row>
    <row r="1510" spans="1:13" x14ac:dyDescent="0.3">
      <c r="A1510" s="6">
        <f>+'[1]VENTAS(RESUMEN GLOBAL)'!L1510</f>
        <v>0</v>
      </c>
      <c r="B1510" s="6">
        <f>+'[1]VENTAS(RESUMEN GLOBAL)'!M1510</f>
        <v>0</v>
      </c>
      <c r="C1510">
        <f>+'[1]VENTAS(RESUMEN GLOBAL)'!B1510</f>
        <v>0</v>
      </c>
      <c r="D1510" t="e">
        <f>INDEX('[1]CÓDIGOS DE PRODUCTO'!$D$3:$D$1000,MATCH(C1510,'[1]CÓDIGOS DE PRODUCTO'!$A$3:$A$1000,0))</f>
        <v>#N/A</v>
      </c>
      <c r="E1510">
        <f>VLOOKUP(C1510,'[1]CÓDIGOS DE PRODUCTO'!$A$4:$B$156,2,FALSE)</f>
        <v>0</v>
      </c>
      <c r="F1510">
        <f>INDEX('[1]CÓDIGOS DE PRODUCTO'!$C$3:$C$1000,MATCH(C1510,'[1]CÓDIGOS DE PRODUCTO'!$A$3:$A$1000,0))</f>
        <v>0</v>
      </c>
      <c r="G1510">
        <f>+'[1]VENTAS(RESUMEN GLOBAL)'!D1510-'[1]VENTAS(RESUMEN GLOBAL)'!E1510</f>
        <v>0</v>
      </c>
      <c r="H1510" s="9">
        <f>+'[1]VENTAS(RESUMEN GLOBAL)'!K1510</f>
        <v>0</v>
      </c>
      <c r="I1510" s="8">
        <f>+G1510*'[1]VENTAS(RESUMEN GLOBAL)'!F1510</f>
        <v>0</v>
      </c>
      <c r="J1510" s="8">
        <f>'[1]VENTAS(RESUMEN GLOBAL)'!G1510*(1-'[1]VENTAS(RESUMEN GLOBAL)'!H1510)</f>
        <v>0</v>
      </c>
      <c r="K1510" s="8">
        <f t="shared" si="23"/>
        <v>0</v>
      </c>
      <c r="L1510" s="8">
        <f>+'[1]VENTAS(RESUMEN GLOBAL)'!J1510</f>
        <v>0</v>
      </c>
      <c r="M1510" s="8">
        <f>+Tabla1[[#This Row],[utilidad x dia]]*7</f>
        <v>0</v>
      </c>
    </row>
    <row r="1511" spans="1:13" x14ac:dyDescent="0.3">
      <c r="A1511" s="6">
        <f>+'[1]VENTAS(RESUMEN GLOBAL)'!L1511</f>
        <v>0</v>
      </c>
      <c r="B1511" s="6">
        <f>+'[1]VENTAS(RESUMEN GLOBAL)'!M1511</f>
        <v>0</v>
      </c>
      <c r="C1511">
        <f>+'[1]VENTAS(RESUMEN GLOBAL)'!B1511</f>
        <v>0</v>
      </c>
      <c r="D1511" t="e">
        <f>INDEX('[1]CÓDIGOS DE PRODUCTO'!$D$3:$D$1000,MATCH(C1511,'[1]CÓDIGOS DE PRODUCTO'!$A$3:$A$1000,0))</f>
        <v>#N/A</v>
      </c>
      <c r="E1511">
        <f>VLOOKUP(C1511,'[1]CÓDIGOS DE PRODUCTO'!$A$4:$B$156,2,FALSE)</f>
        <v>0</v>
      </c>
      <c r="F1511">
        <f>INDEX('[1]CÓDIGOS DE PRODUCTO'!$C$3:$C$1000,MATCH(C1511,'[1]CÓDIGOS DE PRODUCTO'!$A$3:$A$1000,0))</f>
        <v>0</v>
      </c>
      <c r="G1511">
        <f>+'[1]VENTAS(RESUMEN GLOBAL)'!D1511-'[1]VENTAS(RESUMEN GLOBAL)'!E1511</f>
        <v>0</v>
      </c>
      <c r="H1511" s="9">
        <f>+'[1]VENTAS(RESUMEN GLOBAL)'!K1511</f>
        <v>0</v>
      </c>
      <c r="I1511" s="8">
        <f>+G1511*'[1]VENTAS(RESUMEN GLOBAL)'!F1511</f>
        <v>0</v>
      </c>
      <c r="J1511" s="8">
        <f>'[1]VENTAS(RESUMEN GLOBAL)'!G1511*(1-'[1]VENTAS(RESUMEN GLOBAL)'!H1511)</f>
        <v>0</v>
      </c>
      <c r="K1511" s="8">
        <f t="shared" si="23"/>
        <v>0</v>
      </c>
      <c r="L1511" s="8">
        <f>+'[1]VENTAS(RESUMEN GLOBAL)'!J1511</f>
        <v>0</v>
      </c>
      <c r="M1511" s="8">
        <f>+Tabla1[[#This Row],[utilidad x dia]]*7</f>
        <v>0</v>
      </c>
    </row>
    <row r="1512" spans="1:13" x14ac:dyDescent="0.3">
      <c r="A1512" s="6">
        <f>+'[1]VENTAS(RESUMEN GLOBAL)'!L1512</f>
        <v>0</v>
      </c>
      <c r="B1512" s="6">
        <f>+'[1]VENTAS(RESUMEN GLOBAL)'!M1512</f>
        <v>0</v>
      </c>
      <c r="C1512">
        <f>+'[1]VENTAS(RESUMEN GLOBAL)'!B1512</f>
        <v>0</v>
      </c>
      <c r="D1512" t="e">
        <f>INDEX('[1]CÓDIGOS DE PRODUCTO'!$D$3:$D$1000,MATCH(C1512,'[1]CÓDIGOS DE PRODUCTO'!$A$3:$A$1000,0))</f>
        <v>#N/A</v>
      </c>
      <c r="E1512">
        <f>VLOOKUP(C1512,'[1]CÓDIGOS DE PRODUCTO'!$A$4:$B$156,2,FALSE)</f>
        <v>0</v>
      </c>
      <c r="F1512">
        <f>INDEX('[1]CÓDIGOS DE PRODUCTO'!$C$3:$C$1000,MATCH(C1512,'[1]CÓDIGOS DE PRODUCTO'!$A$3:$A$1000,0))</f>
        <v>0</v>
      </c>
      <c r="G1512">
        <f>+'[1]VENTAS(RESUMEN GLOBAL)'!D1512-'[1]VENTAS(RESUMEN GLOBAL)'!E1512</f>
        <v>0</v>
      </c>
      <c r="H1512" s="9">
        <f>+'[1]VENTAS(RESUMEN GLOBAL)'!K1512</f>
        <v>0</v>
      </c>
      <c r="I1512" s="8">
        <f>+G1512*'[1]VENTAS(RESUMEN GLOBAL)'!F1512</f>
        <v>0</v>
      </c>
      <c r="J1512" s="8">
        <f>'[1]VENTAS(RESUMEN GLOBAL)'!G1512*(1-'[1]VENTAS(RESUMEN GLOBAL)'!H1512)</f>
        <v>0</v>
      </c>
      <c r="K1512" s="8">
        <f t="shared" si="23"/>
        <v>0</v>
      </c>
      <c r="L1512" s="8">
        <f>+'[1]VENTAS(RESUMEN GLOBAL)'!J1512</f>
        <v>0</v>
      </c>
      <c r="M1512" s="8">
        <f>+Tabla1[[#This Row],[utilidad x dia]]*7</f>
        <v>0</v>
      </c>
    </row>
    <row r="1513" spans="1:13" x14ac:dyDescent="0.3">
      <c r="A1513" s="6">
        <f>+'[1]VENTAS(RESUMEN GLOBAL)'!L1513</f>
        <v>0</v>
      </c>
      <c r="B1513" s="6">
        <f>+'[1]VENTAS(RESUMEN GLOBAL)'!M1513</f>
        <v>0</v>
      </c>
      <c r="C1513">
        <f>+'[1]VENTAS(RESUMEN GLOBAL)'!B1513</f>
        <v>0</v>
      </c>
      <c r="D1513" t="e">
        <f>INDEX('[1]CÓDIGOS DE PRODUCTO'!$D$3:$D$1000,MATCH(C1513,'[1]CÓDIGOS DE PRODUCTO'!$A$3:$A$1000,0))</f>
        <v>#N/A</v>
      </c>
      <c r="E1513">
        <f>VLOOKUP(C1513,'[1]CÓDIGOS DE PRODUCTO'!$A$4:$B$156,2,FALSE)</f>
        <v>0</v>
      </c>
      <c r="F1513">
        <f>INDEX('[1]CÓDIGOS DE PRODUCTO'!$C$3:$C$1000,MATCH(C1513,'[1]CÓDIGOS DE PRODUCTO'!$A$3:$A$1000,0))</f>
        <v>0</v>
      </c>
      <c r="G1513">
        <f>+'[1]VENTAS(RESUMEN GLOBAL)'!D1513-'[1]VENTAS(RESUMEN GLOBAL)'!E1513</f>
        <v>0</v>
      </c>
      <c r="H1513" s="9">
        <f>+'[1]VENTAS(RESUMEN GLOBAL)'!K1513</f>
        <v>0</v>
      </c>
      <c r="I1513" s="8">
        <f>+G1513*'[1]VENTAS(RESUMEN GLOBAL)'!F1513</f>
        <v>0</v>
      </c>
      <c r="J1513" s="8">
        <f>'[1]VENTAS(RESUMEN GLOBAL)'!G1513*(1-'[1]VENTAS(RESUMEN GLOBAL)'!H1513)</f>
        <v>0</v>
      </c>
      <c r="K1513" s="8">
        <f t="shared" si="23"/>
        <v>0</v>
      </c>
      <c r="L1513" s="8">
        <f>+'[1]VENTAS(RESUMEN GLOBAL)'!J1513</f>
        <v>0</v>
      </c>
      <c r="M1513" s="8">
        <f>+Tabla1[[#This Row],[utilidad x dia]]*7</f>
        <v>0</v>
      </c>
    </row>
    <row r="1514" spans="1:13" x14ac:dyDescent="0.3">
      <c r="A1514" s="6">
        <f>+'[1]VENTAS(RESUMEN GLOBAL)'!L1514</f>
        <v>0</v>
      </c>
      <c r="B1514" s="6">
        <f>+'[1]VENTAS(RESUMEN GLOBAL)'!M1514</f>
        <v>0</v>
      </c>
      <c r="C1514">
        <f>+'[1]VENTAS(RESUMEN GLOBAL)'!B1514</f>
        <v>0</v>
      </c>
      <c r="D1514" t="e">
        <f>INDEX('[1]CÓDIGOS DE PRODUCTO'!$D$3:$D$1000,MATCH(C1514,'[1]CÓDIGOS DE PRODUCTO'!$A$3:$A$1000,0))</f>
        <v>#N/A</v>
      </c>
      <c r="E1514">
        <f>VLOOKUP(C1514,'[1]CÓDIGOS DE PRODUCTO'!$A$4:$B$156,2,FALSE)</f>
        <v>0</v>
      </c>
      <c r="F1514">
        <f>INDEX('[1]CÓDIGOS DE PRODUCTO'!$C$3:$C$1000,MATCH(C1514,'[1]CÓDIGOS DE PRODUCTO'!$A$3:$A$1000,0))</f>
        <v>0</v>
      </c>
      <c r="G1514">
        <f>+'[1]VENTAS(RESUMEN GLOBAL)'!D1514-'[1]VENTAS(RESUMEN GLOBAL)'!E1514</f>
        <v>0</v>
      </c>
      <c r="H1514" s="9">
        <f>+'[1]VENTAS(RESUMEN GLOBAL)'!K1514</f>
        <v>0</v>
      </c>
      <c r="I1514" s="8">
        <f>+G1514*'[1]VENTAS(RESUMEN GLOBAL)'!F1514</f>
        <v>0</v>
      </c>
      <c r="J1514" s="8">
        <f>'[1]VENTAS(RESUMEN GLOBAL)'!G1514*(1-'[1]VENTAS(RESUMEN GLOBAL)'!H1514)</f>
        <v>0</v>
      </c>
      <c r="K1514" s="8">
        <f t="shared" si="23"/>
        <v>0</v>
      </c>
      <c r="L1514" s="8">
        <f>+'[1]VENTAS(RESUMEN GLOBAL)'!J1514</f>
        <v>0</v>
      </c>
      <c r="M1514" s="8">
        <f>+Tabla1[[#This Row],[utilidad x dia]]*7</f>
        <v>0</v>
      </c>
    </row>
    <row r="1515" spans="1:13" x14ac:dyDescent="0.3">
      <c r="A1515" s="6">
        <f>+'[1]VENTAS(RESUMEN GLOBAL)'!L1515</f>
        <v>0</v>
      </c>
      <c r="B1515" s="6">
        <f>+'[1]VENTAS(RESUMEN GLOBAL)'!M1515</f>
        <v>0</v>
      </c>
      <c r="C1515">
        <f>+'[1]VENTAS(RESUMEN GLOBAL)'!B1515</f>
        <v>0</v>
      </c>
      <c r="D1515" t="e">
        <f>INDEX('[1]CÓDIGOS DE PRODUCTO'!$D$3:$D$1000,MATCH(C1515,'[1]CÓDIGOS DE PRODUCTO'!$A$3:$A$1000,0))</f>
        <v>#N/A</v>
      </c>
      <c r="E1515">
        <f>VLOOKUP(C1515,'[1]CÓDIGOS DE PRODUCTO'!$A$4:$B$156,2,FALSE)</f>
        <v>0</v>
      </c>
      <c r="F1515">
        <f>INDEX('[1]CÓDIGOS DE PRODUCTO'!$C$3:$C$1000,MATCH(C1515,'[1]CÓDIGOS DE PRODUCTO'!$A$3:$A$1000,0))</f>
        <v>0</v>
      </c>
      <c r="G1515">
        <f>+'[1]VENTAS(RESUMEN GLOBAL)'!D1515-'[1]VENTAS(RESUMEN GLOBAL)'!E1515</f>
        <v>0</v>
      </c>
      <c r="H1515" s="9">
        <f>+'[1]VENTAS(RESUMEN GLOBAL)'!K1515</f>
        <v>0</v>
      </c>
      <c r="I1515" s="8">
        <f>+G1515*'[1]VENTAS(RESUMEN GLOBAL)'!F1515</f>
        <v>0</v>
      </c>
      <c r="J1515" s="8">
        <f>'[1]VENTAS(RESUMEN GLOBAL)'!G1515*(1-'[1]VENTAS(RESUMEN GLOBAL)'!H1515)</f>
        <v>0</v>
      </c>
      <c r="K1515" s="8">
        <f t="shared" si="23"/>
        <v>0</v>
      </c>
      <c r="L1515" s="8">
        <f>+'[1]VENTAS(RESUMEN GLOBAL)'!J1515</f>
        <v>0</v>
      </c>
      <c r="M1515" s="8">
        <f>+Tabla1[[#This Row],[utilidad x dia]]*7</f>
        <v>0</v>
      </c>
    </row>
    <row r="1516" spans="1:13" x14ac:dyDescent="0.3">
      <c r="A1516" s="6">
        <f>+'[1]VENTAS(RESUMEN GLOBAL)'!L1516</f>
        <v>0</v>
      </c>
      <c r="B1516" s="6">
        <f>+'[1]VENTAS(RESUMEN GLOBAL)'!M1516</f>
        <v>0</v>
      </c>
      <c r="C1516">
        <f>+'[1]VENTAS(RESUMEN GLOBAL)'!B1516</f>
        <v>0</v>
      </c>
      <c r="D1516" t="e">
        <f>INDEX('[1]CÓDIGOS DE PRODUCTO'!$D$3:$D$1000,MATCH(C1516,'[1]CÓDIGOS DE PRODUCTO'!$A$3:$A$1000,0))</f>
        <v>#N/A</v>
      </c>
      <c r="E1516">
        <f>VLOOKUP(C1516,'[1]CÓDIGOS DE PRODUCTO'!$A$4:$B$156,2,FALSE)</f>
        <v>0</v>
      </c>
      <c r="F1516">
        <f>INDEX('[1]CÓDIGOS DE PRODUCTO'!$C$3:$C$1000,MATCH(C1516,'[1]CÓDIGOS DE PRODUCTO'!$A$3:$A$1000,0))</f>
        <v>0</v>
      </c>
      <c r="G1516">
        <f>+'[1]VENTAS(RESUMEN GLOBAL)'!D1516-'[1]VENTAS(RESUMEN GLOBAL)'!E1516</f>
        <v>0</v>
      </c>
      <c r="H1516" s="9">
        <f>+'[1]VENTAS(RESUMEN GLOBAL)'!K1516</f>
        <v>0</v>
      </c>
      <c r="I1516" s="8">
        <f>+G1516*'[1]VENTAS(RESUMEN GLOBAL)'!F1516</f>
        <v>0</v>
      </c>
      <c r="J1516" s="8">
        <f>'[1]VENTAS(RESUMEN GLOBAL)'!G1516*(1-'[1]VENTAS(RESUMEN GLOBAL)'!H1516)</f>
        <v>0</v>
      </c>
      <c r="K1516" s="8">
        <f t="shared" si="23"/>
        <v>0</v>
      </c>
      <c r="L1516" s="8">
        <f>+'[1]VENTAS(RESUMEN GLOBAL)'!J1516</f>
        <v>0</v>
      </c>
      <c r="M1516" s="8">
        <f>+Tabla1[[#This Row],[utilidad x dia]]*7</f>
        <v>0</v>
      </c>
    </row>
    <row r="1517" spans="1:13" x14ac:dyDescent="0.3">
      <c r="A1517" s="6">
        <f>+'[1]VENTAS(RESUMEN GLOBAL)'!L1517</f>
        <v>0</v>
      </c>
      <c r="B1517" s="6">
        <f>+'[1]VENTAS(RESUMEN GLOBAL)'!M1517</f>
        <v>0</v>
      </c>
      <c r="C1517">
        <f>+'[1]VENTAS(RESUMEN GLOBAL)'!B1517</f>
        <v>0</v>
      </c>
      <c r="D1517" t="e">
        <f>INDEX('[1]CÓDIGOS DE PRODUCTO'!$D$3:$D$1000,MATCH(C1517,'[1]CÓDIGOS DE PRODUCTO'!$A$3:$A$1000,0))</f>
        <v>#N/A</v>
      </c>
      <c r="E1517">
        <f>VLOOKUP(C1517,'[1]CÓDIGOS DE PRODUCTO'!$A$4:$B$156,2,FALSE)</f>
        <v>0</v>
      </c>
      <c r="F1517">
        <f>INDEX('[1]CÓDIGOS DE PRODUCTO'!$C$3:$C$1000,MATCH(C1517,'[1]CÓDIGOS DE PRODUCTO'!$A$3:$A$1000,0))</f>
        <v>0</v>
      </c>
      <c r="G1517">
        <f>+'[1]VENTAS(RESUMEN GLOBAL)'!D1517-'[1]VENTAS(RESUMEN GLOBAL)'!E1517</f>
        <v>0</v>
      </c>
      <c r="H1517" s="9">
        <f>+'[1]VENTAS(RESUMEN GLOBAL)'!K1517</f>
        <v>0</v>
      </c>
      <c r="I1517" s="8">
        <f>+G1517*'[1]VENTAS(RESUMEN GLOBAL)'!F1517</f>
        <v>0</v>
      </c>
      <c r="J1517" s="8">
        <f>'[1]VENTAS(RESUMEN GLOBAL)'!G1517*(1-'[1]VENTAS(RESUMEN GLOBAL)'!H1517)</f>
        <v>0</v>
      </c>
      <c r="K1517" s="8">
        <f t="shared" si="23"/>
        <v>0</v>
      </c>
      <c r="L1517" s="8">
        <f>+'[1]VENTAS(RESUMEN GLOBAL)'!J1517</f>
        <v>0</v>
      </c>
      <c r="M1517" s="8">
        <f>+Tabla1[[#This Row],[utilidad x dia]]*7</f>
        <v>0</v>
      </c>
    </row>
    <row r="1518" spans="1:13" x14ac:dyDescent="0.3">
      <c r="A1518" s="6">
        <f>+'[1]VENTAS(RESUMEN GLOBAL)'!L1518</f>
        <v>0</v>
      </c>
      <c r="B1518" s="6">
        <f>+'[1]VENTAS(RESUMEN GLOBAL)'!M1518</f>
        <v>0</v>
      </c>
      <c r="C1518">
        <f>+'[1]VENTAS(RESUMEN GLOBAL)'!B1518</f>
        <v>0</v>
      </c>
      <c r="D1518" t="e">
        <f>INDEX('[1]CÓDIGOS DE PRODUCTO'!$D$3:$D$1000,MATCH(C1518,'[1]CÓDIGOS DE PRODUCTO'!$A$3:$A$1000,0))</f>
        <v>#N/A</v>
      </c>
      <c r="E1518">
        <f>VLOOKUP(C1518,'[1]CÓDIGOS DE PRODUCTO'!$A$4:$B$156,2,FALSE)</f>
        <v>0</v>
      </c>
      <c r="F1518">
        <f>INDEX('[1]CÓDIGOS DE PRODUCTO'!$C$3:$C$1000,MATCH(C1518,'[1]CÓDIGOS DE PRODUCTO'!$A$3:$A$1000,0))</f>
        <v>0</v>
      </c>
      <c r="G1518">
        <f>+'[1]VENTAS(RESUMEN GLOBAL)'!D1518-'[1]VENTAS(RESUMEN GLOBAL)'!E1518</f>
        <v>0</v>
      </c>
      <c r="H1518" s="9">
        <f>+'[1]VENTAS(RESUMEN GLOBAL)'!K1518</f>
        <v>0</v>
      </c>
      <c r="I1518" s="8">
        <f>+G1518*'[1]VENTAS(RESUMEN GLOBAL)'!F1518</f>
        <v>0</v>
      </c>
      <c r="J1518" s="8">
        <f>'[1]VENTAS(RESUMEN GLOBAL)'!G1518*(1-'[1]VENTAS(RESUMEN GLOBAL)'!H1518)</f>
        <v>0</v>
      </c>
      <c r="K1518" s="8">
        <f t="shared" si="23"/>
        <v>0</v>
      </c>
      <c r="L1518" s="8">
        <f>+'[1]VENTAS(RESUMEN GLOBAL)'!J1518</f>
        <v>0</v>
      </c>
      <c r="M1518" s="8">
        <f>+Tabla1[[#This Row],[utilidad x dia]]*7</f>
        <v>0</v>
      </c>
    </row>
    <row r="1519" spans="1:13" x14ac:dyDescent="0.3">
      <c r="A1519" s="6">
        <f>+'[1]VENTAS(RESUMEN GLOBAL)'!L1519</f>
        <v>0</v>
      </c>
      <c r="B1519" s="6">
        <f>+'[1]VENTAS(RESUMEN GLOBAL)'!M1519</f>
        <v>0</v>
      </c>
      <c r="C1519">
        <f>+'[1]VENTAS(RESUMEN GLOBAL)'!B1519</f>
        <v>0</v>
      </c>
      <c r="D1519" t="e">
        <f>INDEX('[1]CÓDIGOS DE PRODUCTO'!$D$3:$D$1000,MATCH(C1519,'[1]CÓDIGOS DE PRODUCTO'!$A$3:$A$1000,0))</f>
        <v>#N/A</v>
      </c>
      <c r="E1519">
        <f>VLOOKUP(C1519,'[1]CÓDIGOS DE PRODUCTO'!$A$4:$B$156,2,FALSE)</f>
        <v>0</v>
      </c>
      <c r="F1519">
        <f>INDEX('[1]CÓDIGOS DE PRODUCTO'!$C$3:$C$1000,MATCH(C1519,'[1]CÓDIGOS DE PRODUCTO'!$A$3:$A$1000,0))</f>
        <v>0</v>
      </c>
      <c r="G1519">
        <f>+'[1]VENTAS(RESUMEN GLOBAL)'!D1519-'[1]VENTAS(RESUMEN GLOBAL)'!E1519</f>
        <v>0</v>
      </c>
      <c r="H1519" s="9">
        <f>+'[1]VENTAS(RESUMEN GLOBAL)'!K1519</f>
        <v>0</v>
      </c>
      <c r="I1519" s="8">
        <f>+G1519*'[1]VENTAS(RESUMEN GLOBAL)'!F1519</f>
        <v>0</v>
      </c>
      <c r="J1519" s="8">
        <f>'[1]VENTAS(RESUMEN GLOBAL)'!G1519*(1-'[1]VENTAS(RESUMEN GLOBAL)'!H1519)</f>
        <v>0</v>
      </c>
      <c r="K1519" s="8">
        <f t="shared" si="23"/>
        <v>0</v>
      </c>
      <c r="L1519" s="8">
        <f>+'[1]VENTAS(RESUMEN GLOBAL)'!J1519</f>
        <v>0</v>
      </c>
      <c r="M1519" s="8">
        <f>+Tabla1[[#This Row],[utilidad x dia]]*7</f>
        <v>0</v>
      </c>
    </row>
    <row r="1520" spans="1:13" x14ac:dyDescent="0.3">
      <c r="A1520" s="6">
        <f>+'[1]VENTAS(RESUMEN GLOBAL)'!L1520</f>
        <v>0</v>
      </c>
      <c r="B1520" s="6">
        <f>+'[1]VENTAS(RESUMEN GLOBAL)'!M1520</f>
        <v>0</v>
      </c>
      <c r="C1520">
        <f>+'[1]VENTAS(RESUMEN GLOBAL)'!B1520</f>
        <v>0</v>
      </c>
      <c r="D1520" t="e">
        <f>INDEX('[1]CÓDIGOS DE PRODUCTO'!$D$3:$D$1000,MATCH(C1520,'[1]CÓDIGOS DE PRODUCTO'!$A$3:$A$1000,0))</f>
        <v>#N/A</v>
      </c>
      <c r="E1520">
        <f>VLOOKUP(C1520,'[1]CÓDIGOS DE PRODUCTO'!$A$4:$B$156,2,FALSE)</f>
        <v>0</v>
      </c>
      <c r="F1520">
        <f>INDEX('[1]CÓDIGOS DE PRODUCTO'!$C$3:$C$1000,MATCH(C1520,'[1]CÓDIGOS DE PRODUCTO'!$A$3:$A$1000,0))</f>
        <v>0</v>
      </c>
      <c r="G1520">
        <f>+'[1]VENTAS(RESUMEN GLOBAL)'!D1520-'[1]VENTAS(RESUMEN GLOBAL)'!E1520</f>
        <v>0</v>
      </c>
      <c r="H1520" s="9">
        <f>+'[1]VENTAS(RESUMEN GLOBAL)'!K1520</f>
        <v>0</v>
      </c>
      <c r="I1520" s="8">
        <f>+G1520*'[1]VENTAS(RESUMEN GLOBAL)'!F1520</f>
        <v>0</v>
      </c>
      <c r="J1520" s="8">
        <f>'[1]VENTAS(RESUMEN GLOBAL)'!G1520*(1-'[1]VENTAS(RESUMEN GLOBAL)'!H1520)</f>
        <v>0</v>
      </c>
      <c r="K1520" s="8">
        <f t="shared" si="23"/>
        <v>0</v>
      </c>
      <c r="L1520" s="8">
        <f>+'[1]VENTAS(RESUMEN GLOBAL)'!J1520</f>
        <v>0</v>
      </c>
      <c r="M1520" s="8">
        <f>+Tabla1[[#This Row],[utilidad x dia]]*7</f>
        <v>0</v>
      </c>
    </row>
    <row r="1521" spans="1:13" x14ac:dyDescent="0.3">
      <c r="A1521" s="6">
        <f>+'[1]VENTAS(RESUMEN GLOBAL)'!L1521</f>
        <v>0</v>
      </c>
      <c r="B1521" s="6">
        <f>+'[1]VENTAS(RESUMEN GLOBAL)'!M1521</f>
        <v>0</v>
      </c>
      <c r="C1521">
        <f>+'[1]VENTAS(RESUMEN GLOBAL)'!B1521</f>
        <v>0</v>
      </c>
      <c r="D1521" t="e">
        <f>INDEX('[1]CÓDIGOS DE PRODUCTO'!$D$3:$D$1000,MATCH(C1521,'[1]CÓDIGOS DE PRODUCTO'!$A$3:$A$1000,0))</f>
        <v>#N/A</v>
      </c>
      <c r="E1521">
        <f>VLOOKUP(C1521,'[1]CÓDIGOS DE PRODUCTO'!$A$4:$B$156,2,FALSE)</f>
        <v>0</v>
      </c>
      <c r="F1521">
        <f>INDEX('[1]CÓDIGOS DE PRODUCTO'!$C$3:$C$1000,MATCH(C1521,'[1]CÓDIGOS DE PRODUCTO'!$A$3:$A$1000,0))</f>
        <v>0</v>
      </c>
      <c r="G1521">
        <f>+'[1]VENTAS(RESUMEN GLOBAL)'!D1521-'[1]VENTAS(RESUMEN GLOBAL)'!E1521</f>
        <v>0</v>
      </c>
      <c r="H1521" s="9">
        <f>+'[1]VENTAS(RESUMEN GLOBAL)'!K1521</f>
        <v>0</v>
      </c>
      <c r="I1521" s="8">
        <f>+G1521*'[1]VENTAS(RESUMEN GLOBAL)'!F1521</f>
        <v>0</v>
      </c>
      <c r="J1521" s="8">
        <f>'[1]VENTAS(RESUMEN GLOBAL)'!G1521*(1-'[1]VENTAS(RESUMEN GLOBAL)'!H1521)</f>
        <v>0</v>
      </c>
      <c r="K1521" s="8">
        <f t="shared" si="23"/>
        <v>0</v>
      </c>
      <c r="L1521" s="8">
        <f>+'[1]VENTAS(RESUMEN GLOBAL)'!J1521</f>
        <v>0</v>
      </c>
      <c r="M1521" s="8">
        <f>+Tabla1[[#This Row],[utilidad x dia]]*7</f>
        <v>0</v>
      </c>
    </row>
    <row r="1522" spans="1:13" x14ac:dyDescent="0.3">
      <c r="A1522" s="6">
        <f>+'[1]VENTAS(RESUMEN GLOBAL)'!L1522</f>
        <v>0</v>
      </c>
      <c r="B1522" s="6">
        <f>+'[1]VENTAS(RESUMEN GLOBAL)'!M1522</f>
        <v>0</v>
      </c>
      <c r="C1522">
        <f>+'[1]VENTAS(RESUMEN GLOBAL)'!B1522</f>
        <v>0</v>
      </c>
      <c r="D1522" t="e">
        <f>INDEX('[1]CÓDIGOS DE PRODUCTO'!$D$3:$D$1000,MATCH(C1522,'[1]CÓDIGOS DE PRODUCTO'!$A$3:$A$1000,0))</f>
        <v>#N/A</v>
      </c>
      <c r="E1522">
        <f>VLOOKUP(C1522,'[1]CÓDIGOS DE PRODUCTO'!$A$4:$B$156,2,FALSE)</f>
        <v>0</v>
      </c>
      <c r="F1522">
        <f>INDEX('[1]CÓDIGOS DE PRODUCTO'!$C$3:$C$1000,MATCH(C1522,'[1]CÓDIGOS DE PRODUCTO'!$A$3:$A$1000,0))</f>
        <v>0</v>
      </c>
      <c r="G1522">
        <f>+'[1]VENTAS(RESUMEN GLOBAL)'!D1522-'[1]VENTAS(RESUMEN GLOBAL)'!E1522</f>
        <v>0</v>
      </c>
      <c r="H1522" s="9">
        <f>+'[1]VENTAS(RESUMEN GLOBAL)'!K1522</f>
        <v>0</v>
      </c>
      <c r="I1522" s="8">
        <f>+G1522*'[1]VENTAS(RESUMEN GLOBAL)'!F1522</f>
        <v>0</v>
      </c>
      <c r="J1522" s="8">
        <f>'[1]VENTAS(RESUMEN GLOBAL)'!G1522*(1-'[1]VENTAS(RESUMEN GLOBAL)'!H1522)</f>
        <v>0</v>
      </c>
      <c r="K1522" s="8">
        <f t="shared" si="23"/>
        <v>0</v>
      </c>
      <c r="L1522" s="8">
        <f>+'[1]VENTAS(RESUMEN GLOBAL)'!J1522</f>
        <v>0</v>
      </c>
      <c r="M1522" s="8">
        <f>+Tabla1[[#This Row],[utilidad x dia]]*7</f>
        <v>0</v>
      </c>
    </row>
    <row r="1523" spans="1:13" x14ac:dyDescent="0.3">
      <c r="A1523" s="6">
        <f>+'[1]VENTAS(RESUMEN GLOBAL)'!L1523</f>
        <v>0</v>
      </c>
      <c r="B1523" s="6">
        <f>+'[1]VENTAS(RESUMEN GLOBAL)'!M1523</f>
        <v>0</v>
      </c>
      <c r="C1523">
        <f>+'[1]VENTAS(RESUMEN GLOBAL)'!B1523</f>
        <v>0</v>
      </c>
      <c r="D1523" t="e">
        <f>INDEX('[1]CÓDIGOS DE PRODUCTO'!$D$3:$D$1000,MATCH(C1523,'[1]CÓDIGOS DE PRODUCTO'!$A$3:$A$1000,0))</f>
        <v>#N/A</v>
      </c>
      <c r="E1523">
        <f>VLOOKUP(C1523,'[1]CÓDIGOS DE PRODUCTO'!$A$4:$B$156,2,FALSE)</f>
        <v>0</v>
      </c>
      <c r="F1523">
        <f>INDEX('[1]CÓDIGOS DE PRODUCTO'!$C$3:$C$1000,MATCH(C1523,'[1]CÓDIGOS DE PRODUCTO'!$A$3:$A$1000,0))</f>
        <v>0</v>
      </c>
      <c r="G1523">
        <f>+'[1]VENTAS(RESUMEN GLOBAL)'!D1523-'[1]VENTAS(RESUMEN GLOBAL)'!E1523</f>
        <v>0</v>
      </c>
      <c r="H1523" s="9">
        <f>+'[1]VENTAS(RESUMEN GLOBAL)'!K1523</f>
        <v>0</v>
      </c>
      <c r="I1523" s="8">
        <f>+G1523*'[1]VENTAS(RESUMEN GLOBAL)'!F1523</f>
        <v>0</v>
      </c>
      <c r="J1523" s="8">
        <f>'[1]VENTAS(RESUMEN GLOBAL)'!G1523*(1-'[1]VENTAS(RESUMEN GLOBAL)'!H1523)</f>
        <v>0</v>
      </c>
      <c r="K1523" s="8">
        <f t="shared" si="23"/>
        <v>0</v>
      </c>
      <c r="L1523" s="8">
        <f>+'[1]VENTAS(RESUMEN GLOBAL)'!J1523</f>
        <v>0</v>
      </c>
      <c r="M1523" s="8">
        <f>+Tabla1[[#This Row],[utilidad x dia]]*7</f>
        <v>0</v>
      </c>
    </row>
    <row r="1524" spans="1:13" x14ac:dyDescent="0.3">
      <c r="A1524" s="6">
        <f>+'[1]VENTAS(RESUMEN GLOBAL)'!L1524</f>
        <v>0</v>
      </c>
      <c r="B1524" s="6">
        <f>+'[1]VENTAS(RESUMEN GLOBAL)'!M1524</f>
        <v>0</v>
      </c>
      <c r="C1524">
        <f>+'[1]VENTAS(RESUMEN GLOBAL)'!B1524</f>
        <v>0</v>
      </c>
      <c r="D1524" t="e">
        <f>INDEX('[1]CÓDIGOS DE PRODUCTO'!$D$3:$D$1000,MATCH(C1524,'[1]CÓDIGOS DE PRODUCTO'!$A$3:$A$1000,0))</f>
        <v>#N/A</v>
      </c>
      <c r="E1524">
        <f>VLOOKUP(C1524,'[1]CÓDIGOS DE PRODUCTO'!$A$4:$B$156,2,FALSE)</f>
        <v>0</v>
      </c>
      <c r="F1524">
        <f>INDEX('[1]CÓDIGOS DE PRODUCTO'!$C$3:$C$1000,MATCH(C1524,'[1]CÓDIGOS DE PRODUCTO'!$A$3:$A$1000,0))</f>
        <v>0</v>
      </c>
      <c r="G1524">
        <f>+'[1]VENTAS(RESUMEN GLOBAL)'!D1524-'[1]VENTAS(RESUMEN GLOBAL)'!E1524</f>
        <v>0</v>
      </c>
      <c r="H1524" s="9">
        <f>+'[1]VENTAS(RESUMEN GLOBAL)'!K1524</f>
        <v>0</v>
      </c>
      <c r="I1524" s="8">
        <f>+G1524*'[1]VENTAS(RESUMEN GLOBAL)'!F1524</f>
        <v>0</v>
      </c>
      <c r="J1524" s="8">
        <f>'[1]VENTAS(RESUMEN GLOBAL)'!G1524*(1-'[1]VENTAS(RESUMEN GLOBAL)'!H1524)</f>
        <v>0</v>
      </c>
      <c r="K1524" s="8">
        <f t="shared" si="23"/>
        <v>0</v>
      </c>
      <c r="L1524" s="8">
        <f>+'[1]VENTAS(RESUMEN GLOBAL)'!J1524</f>
        <v>0</v>
      </c>
      <c r="M1524" s="8">
        <f>+Tabla1[[#This Row],[utilidad x dia]]*7</f>
        <v>0</v>
      </c>
    </row>
    <row r="1525" spans="1:13" x14ac:dyDescent="0.3">
      <c r="A1525" s="6">
        <f>+'[1]VENTAS(RESUMEN GLOBAL)'!L1525</f>
        <v>0</v>
      </c>
      <c r="B1525" s="6">
        <f>+'[1]VENTAS(RESUMEN GLOBAL)'!M1525</f>
        <v>0</v>
      </c>
      <c r="C1525">
        <f>+'[1]VENTAS(RESUMEN GLOBAL)'!B1525</f>
        <v>0</v>
      </c>
      <c r="D1525" t="e">
        <f>INDEX('[1]CÓDIGOS DE PRODUCTO'!$D$3:$D$1000,MATCH(C1525,'[1]CÓDIGOS DE PRODUCTO'!$A$3:$A$1000,0))</f>
        <v>#N/A</v>
      </c>
      <c r="E1525">
        <f>VLOOKUP(C1525,'[1]CÓDIGOS DE PRODUCTO'!$A$4:$B$156,2,FALSE)</f>
        <v>0</v>
      </c>
      <c r="F1525">
        <f>INDEX('[1]CÓDIGOS DE PRODUCTO'!$C$3:$C$1000,MATCH(C1525,'[1]CÓDIGOS DE PRODUCTO'!$A$3:$A$1000,0))</f>
        <v>0</v>
      </c>
      <c r="G1525">
        <f>+'[1]VENTAS(RESUMEN GLOBAL)'!D1525-'[1]VENTAS(RESUMEN GLOBAL)'!E1525</f>
        <v>0</v>
      </c>
      <c r="H1525" s="9">
        <f>+'[1]VENTAS(RESUMEN GLOBAL)'!K1525</f>
        <v>0</v>
      </c>
      <c r="I1525" s="8">
        <f>+G1525*'[1]VENTAS(RESUMEN GLOBAL)'!F1525</f>
        <v>0</v>
      </c>
      <c r="J1525" s="8">
        <f>'[1]VENTAS(RESUMEN GLOBAL)'!G1525*(1-'[1]VENTAS(RESUMEN GLOBAL)'!H1525)</f>
        <v>0</v>
      </c>
      <c r="K1525" s="8">
        <f t="shared" si="23"/>
        <v>0</v>
      </c>
      <c r="L1525" s="8">
        <f>+'[1]VENTAS(RESUMEN GLOBAL)'!J1525</f>
        <v>0</v>
      </c>
      <c r="M1525" s="8">
        <f>+Tabla1[[#This Row],[utilidad x dia]]*7</f>
        <v>0</v>
      </c>
    </row>
    <row r="1526" spans="1:13" x14ac:dyDescent="0.3">
      <c r="A1526" s="6">
        <f>+'[1]VENTAS(RESUMEN GLOBAL)'!L1526</f>
        <v>0</v>
      </c>
      <c r="B1526" s="6">
        <f>+'[1]VENTAS(RESUMEN GLOBAL)'!M1526</f>
        <v>0</v>
      </c>
      <c r="C1526">
        <f>+'[1]VENTAS(RESUMEN GLOBAL)'!B1526</f>
        <v>0</v>
      </c>
      <c r="D1526" t="e">
        <f>INDEX('[1]CÓDIGOS DE PRODUCTO'!$D$3:$D$1000,MATCH(C1526,'[1]CÓDIGOS DE PRODUCTO'!$A$3:$A$1000,0))</f>
        <v>#N/A</v>
      </c>
      <c r="E1526">
        <f>VLOOKUP(C1526,'[1]CÓDIGOS DE PRODUCTO'!$A$4:$B$156,2,FALSE)</f>
        <v>0</v>
      </c>
      <c r="F1526">
        <f>INDEX('[1]CÓDIGOS DE PRODUCTO'!$C$3:$C$1000,MATCH(C1526,'[1]CÓDIGOS DE PRODUCTO'!$A$3:$A$1000,0))</f>
        <v>0</v>
      </c>
      <c r="G1526">
        <f>+'[1]VENTAS(RESUMEN GLOBAL)'!D1526-'[1]VENTAS(RESUMEN GLOBAL)'!E1526</f>
        <v>0</v>
      </c>
      <c r="H1526" s="9">
        <f>+'[1]VENTAS(RESUMEN GLOBAL)'!K1526</f>
        <v>0</v>
      </c>
      <c r="I1526" s="8">
        <f>+G1526*'[1]VENTAS(RESUMEN GLOBAL)'!F1526</f>
        <v>0</v>
      </c>
      <c r="J1526" s="8">
        <f>'[1]VENTAS(RESUMEN GLOBAL)'!G1526*(1-'[1]VENTAS(RESUMEN GLOBAL)'!H1526)</f>
        <v>0</v>
      </c>
      <c r="K1526" s="8">
        <f t="shared" si="23"/>
        <v>0</v>
      </c>
      <c r="L1526" s="8">
        <f>+'[1]VENTAS(RESUMEN GLOBAL)'!J1526</f>
        <v>0</v>
      </c>
      <c r="M1526" s="8">
        <f>+Tabla1[[#This Row],[utilidad x dia]]*7</f>
        <v>0</v>
      </c>
    </row>
    <row r="1527" spans="1:13" x14ac:dyDescent="0.3">
      <c r="A1527" s="6">
        <f>+'[1]VENTAS(RESUMEN GLOBAL)'!L1527</f>
        <v>0</v>
      </c>
      <c r="B1527" s="6">
        <f>+'[1]VENTAS(RESUMEN GLOBAL)'!M1527</f>
        <v>0</v>
      </c>
      <c r="C1527">
        <f>+'[1]VENTAS(RESUMEN GLOBAL)'!B1527</f>
        <v>0</v>
      </c>
      <c r="D1527" t="e">
        <f>INDEX('[1]CÓDIGOS DE PRODUCTO'!$D$3:$D$1000,MATCH(C1527,'[1]CÓDIGOS DE PRODUCTO'!$A$3:$A$1000,0))</f>
        <v>#N/A</v>
      </c>
      <c r="E1527">
        <f>VLOOKUP(C1527,'[1]CÓDIGOS DE PRODUCTO'!$A$4:$B$156,2,FALSE)</f>
        <v>0</v>
      </c>
      <c r="F1527">
        <f>INDEX('[1]CÓDIGOS DE PRODUCTO'!$C$3:$C$1000,MATCH(C1527,'[1]CÓDIGOS DE PRODUCTO'!$A$3:$A$1000,0))</f>
        <v>0</v>
      </c>
      <c r="G1527">
        <f>+'[1]VENTAS(RESUMEN GLOBAL)'!D1527-'[1]VENTAS(RESUMEN GLOBAL)'!E1527</f>
        <v>0</v>
      </c>
      <c r="H1527" s="9">
        <f>+'[1]VENTAS(RESUMEN GLOBAL)'!K1527</f>
        <v>0</v>
      </c>
      <c r="I1527" s="8">
        <f>+G1527*'[1]VENTAS(RESUMEN GLOBAL)'!F1527</f>
        <v>0</v>
      </c>
      <c r="J1527" s="8">
        <f>'[1]VENTAS(RESUMEN GLOBAL)'!G1527*(1-'[1]VENTAS(RESUMEN GLOBAL)'!H1527)</f>
        <v>0</v>
      </c>
      <c r="K1527" s="8">
        <f t="shared" si="23"/>
        <v>0</v>
      </c>
      <c r="L1527" s="8">
        <f>+'[1]VENTAS(RESUMEN GLOBAL)'!J1527</f>
        <v>0</v>
      </c>
      <c r="M1527" s="8">
        <f>+Tabla1[[#This Row],[utilidad x dia]]*7</f>
        <v>0</v>
      </c>
    </row>
    <row r="1528" spans="1:13" x14ac:dyDescent="0.3">
      <c r="A1528" s="6">
        <f>+'[1]VENTAS(RESUMEN GLOBAL)'!L1528</f>
        <v>0</v>
      </c>
      <c r="B1528" s="6">
        <f>+'[1]VENTAS(RESUMEN GLOBAL)'!M1528</f>
        <v>0</v>
      </c>
      <c r="C1528">
        <f>+'[1]VENTAS(RESUMEN GLOBAL)'!B1528</f>
        <v>0</v>
      </c>
      <c r="D1528" t="e">
        <f>INDEX('[1]CÓDIGOS DE PRODUCTO'!$D$3:$D$1000,MATCH(C1528,'[1]CÓDIGOS DE PRODUCTO'!$A$3:$A$1000,0))</f>
        <v>#N/A</v>
      </c>
      <c r="E1528">
        <f>VLOOKUP(C1528,'[1]CÓDIGOS DE PRODUCTO'!$A$4:$B$156,2,FALSE)</f>
        <v>0</v>
      </c>
      <c r="F1528">
        <f>INDEX('[1]CÓDIGOS DE PRODUCTO'!$C$3:$C$1000,MATCH(C1528,'[1]CÓDIGOS DE PRODUCTO'!$A$3:$A$1000,0))</f>
        <v>0</v>
      </c>
      <c r="G1528">
        <f>+'[1]VENTAS(RESUMEN GLOBAL)'!D1528-'[1]VENTAS(RESUMEN GLOBAL)'!E1528</f>
        <v>0</v>
      </c>
      <c r="H1528" s="9">
        <f>+'[1]VENTAS(RESUMEN GLOBAL)'!K1528</f>
        <v>0</v>
      </c>
      <c r="I1528" s="8">
        <f>+G1528*'[1]VENTAS(RESUMEN GLOBAL)'!F1528</f>
        <v>0</v>
      </c>
      <c r="J1528" s="8">
        <f>'[1]VENTAS(RESUMEN GLOBAL)'!G1528*(1-'[1]VENTAS(RESUMEN GLOBAL)'!H1528)</f>
        <v>0</v>
      </c>
      <c r="K1528" s="8">
        <f t="shared" si="23"/>
        <v>0</v>
      </c>
      <c r="L1528" s="8">
        <f>+'[1]VENTAS(RESUMEN GLOBAL)'!J1528</f>
        <v>0</v>
      </c>
      <c r="M1528" s="8">
        <f>+Tabla1[[#This Row],[utilidad x dia]]*7</f>
        <v>0</v>
      </c>
    </row>
    <row r="1529" spans="1:13" x14ac:dyDescent="0.3">
      <c r="A1529" s="6">
        <f>+'[1]VENTAS(RESUMEN GLOBAL)'!L1529</f>
        <v>0</v>
      </c>
      <c r="B1529" s="6">
        <f>+'[1]VENTAS(RESUMEN GLOBAL)'!M1529</f>
        <v>0</v>
      </c>
      <c r="C1529">
        <f>+'[1]VENTAS(RESUMEN GLOBAL)'!B1529</f>
        <v>0</v>
      </c>
      <c r="D1529" t="e">
        <f>INDEX('[1]CÓDIGOS DE PRODUCTO'!$D$3:$D$1000,MATCH(C1529,'[1]CÓDIGOS DE PRODUCTO'!$A$3:$A$1000,0))</f>
        <v>#N/A</v>
      </c>
      <c r="E1529">
        <f>VLOOKUP(C1529,'[1]CÓDIGOS DE PRODUCTO'!$A$4:$B$156,2,FALSE)</f>
        <v>0</v>
      </c>
      <c r="F1529">
        <f>INDEX('[1]CÓDIGOS DE PRODUCTO'!$C$3:$C$1000,MATCH(C1529,'[1]CÓDIGOS DE PRODUCTO'!$A$3:$A$1000,0))</f>
        <v>0</v>
      </c>
      <c r="G1529">
        <f>+'[1]VENTAS(RESUMEN GLOBAL)'!D1529-'[1]VENTAS(RESUMEN GLOBAL)'!E1529</f>
        <v>0</v>
      </c>
      <c r="H1529" s="9">
        <f>+'[1]VENTAS(RESUMEN GLOBAL)'!K1529</f>
        <v>0</v>
      </c>
      <c r="I1529" s="8">
        <f>+G1529*'[1]VENTAS(RESUMEN GLOBAL)'!F1529</f>
        <v>0</v>
      </c>
      <c r="J1529" s="8">
        <f>'[1]VENTAS(RESUMEN GLOBAL)'!G1529*(1-'[1]VENTAS(RESUMEN GLOBAL)'!H1529)</f>
        <v>0</v>
      </c>
      <c r="K1529" s="8">
        <f t="shared" si="23"/>
        <v>0</v>
      </c>
      <c r="L1529" s="8">
        <f>+'[1]VENTAS(RESUMEN GLOBAL)'!J1529</f>
        <v>0</v>
      </c>
      <c r="M1529" s="8">
        <f>+Tabla1[[#This Row],[utilidad x dia]]*7</f>
        <v>0</v>
      </c>
    </row>
    <row r="1530" spans="1:13" x14ac:dyDescent="0.3">
      <c r="A1530" s="6">
        <f>+'[1]VENTAS(RESUMEN GLOBAL)'!L1530</f>
        <v>0</v>
      </c>
      <c r="B1530" s="6">
        <f>+'[1]VENTAS(RESUMEN GLOBAL)'!M1530</f>
        <v>0</v>
      </c>
      <c r="C1530">
        <f>+'[1]VENTAS(RESUMEN GLOBAL)'!B1530</f>
        <v>0</v>
      </c>
      <c r="D1530" t="e">
        <f>INDEX('[1]CÓDIGOS DE PRODUCTO'!$D$3:$D$1000,MATCH(C1530,'[1]CÓDIGOS DE PRODUCTO'!$A$3:$A$1000,0))</f>
        <v>#N/A</v>
      </c>
      <c r="E1530">
        <f>VLOOKUP(C1530,'[1]CÓDIGOS DE PRODUCTO'!$A$4:$B$156,2,FALSE)</f>
        <v>0</v>
      </c>
      <c r="F1530">
        <f>INDEX('[1]CÓDIGOS DE PRODUCTO'!$C$3:$C$1000,MATCH(C1530,'[1]CÓDIGOS DE PRODUCTO'!$A$3:$A$1000,0))</f>
        <v>0</v>
      </c>
      <c r="G1530">
        <f>+'[1]VENTAS(RESUMEN GLOBAL)'!D1530-'[1]VENTAS(RESUMEN GLOBAL)'!E1530</f>
        <v>0</v>
      </c>
      <c r="H1530" s="9">
        <f>+'[1]VENTAS(RESUMEN GLOBAL)'!K1530</f>
        <v>0</v>
      </c>
      <c r="I1530" s="8">
        <f>+G1530*'[1]VENTAS(RESUMEN GLOBAL)'!F1530</f>
        <v>0</v>
      </c>
      <c r="J1530" s="8">
        <f>'[1]VENTAS(RESUMEN GLOBAL)'!G1530*(1-'[1]VENTAS(RESUMEN GLOBAL)'!H1530)</f>
        <v>0</v>
      </c>
      <c r="K1530" s="8">
        <f t="shared" si="23"/>
        <v>0</v>
      </c>
      <c r="L1530" s="8">
        <f>+'[1]VENTAS(RESUMEN GLOBAL)'!J1530</f>
        <v>0</v>
      </c>
      <c r="M1530" s="8">
        <f>+Tabla1[[#This Row],[utilidad x dia]]*7</f>
        <v>0</v>
      </c>
    </row>
    <row r="1531" spans="1:13" x14ac:dyDescent="0.3">
      <c r="A1531" s="6">
        <f>+'[1]VENTAS(RESUMEN GLOBAL)'!L1531</f>
        <v>0</v>
      </c>
      <c r="B1531" s="6">
        <f>+'[1]VENTAS(RESUMEN GLOBAL)'!M1531</f>
        <v>0</v>
      </c>
      <c r="C1531">
        <f>+'[1]VENTAS(RESUMEN GLOBAL)'!B1531</f>
        <v>0</v>
      </c>
      <c r="D1531" t="e">
        <f>INDEX('[1]CÓDIGOS DE PRODUCTO'!$D$3:$D$1000,MATCH(C1531,'[1]CÓDIGOS DE PRODUCTO'!$A$3:$A$1000,0))</f>
        <v>#N/A</v>
      </c>
      <c r="E1531">
        <f>VLOOKUP(C1531,'[1]CÓDIGOS DE PRODUCTO'!$A$4:$B$156,2,FALSE)</f>
        <v>0</v>
      </c>
      <c r="F1531">
        <f>INDEX('[1]CÓDIGOS DE PRODUCTO'!$C$3:$C$1000,MATCH(C1531,'[1]CÓDIGOS DE PRODUCTO'!$A$3:$A$1000,0))</f>
        <v>0</v>
      </c>
      <c r="G1531">
        <f>+'[1]VENTAS(RESUMEN GLOBAL)'!D1531-'[1]VENTAS(RESUMEN GLOBAL)'!E1531</f>
        <v>0</v>
      </c>
      <c r="H1531" s="9">
        <f>+'[1]VENTAS(RESUMEN GLOBAL)'!K1531</f>
        <v>0</v>
      </c>
      <c r="I1531" s="8">
        <f>+G1531*'[1]VENTAS(RESUMEN GLOBAL)'!F1531</f>
        <v>0</v>
      </c>
      <c r="J1531" s="8">
        <f>'[1]VENTAS(RESUMEN GLOBAL)'!G1531*(1-'[1]VENTAS(RESUMEN GLOBAL)'!H1531)</f>
        <v>0</v>
      </c>
      <c r="K1531" s="8">
        <f t="shared" si="23"/>
        <v>0</v>
      </c>
      <c r="L1531" s="8">
        <f>+'[1]VENTAS(RESUMEN GLOBAL)'!J1531</f>
        <v>0</v>
      </c>
      <c r="M1531" s="8">
        <f>+Tabla1[[#This Row],[utilidad x dia]]*7</f>
        <v>0</v>
      </c>
    </row>
    <row r="1532" spans="1:13" x14ac:dyDescent="0.3">
      <c r="A1532" s="6">
        <f>+'[1]VENTAS(RESUMEN GLOBAL)'!L1532</f>
        <v>0</v>
      </c>
      <c r="B1532" s="6">
        <f>+'[1]VENTAS(RESUMEN GLOBAL)'!M1532</f>
        <v>0</v>
      </c>
      <c r="C1532">
        <f>+'[1]VENTAS(RESUMEN GLOBAL)'!B1532</f>
        <v>0</v>
      </c>
      <c r="D1532" t="e">
        <f>INDEX('[1]CÓDIGOS DE PRODUCTO'!$D$3:$D$1000,MATCH(C1532,'[1]CÓDIGOS DE PRODUCTO'!$A$3:$A$1000,0))</f>
        <v>#N/A</v>
      </c>
      <c r="E1532">
        <f>VLOOKUP(C1532,'[1]CÓDIGOS DE PRODUCTO'!$A$4:$B$156,2,FALSE)</f>
        <v>0</v>
      </c>
      <c r="F1532">
        <f>INDEX('[1]CÓDIGOS DE PRODUCTO'!$C$3:$C$1000,MATCH(C1532,'[1]CÓDIGOS DE PRODUCTO'!$A$3:$A$1000,0))</f>
        <v>0</v>
      </c>
      <c r="G1532">
        <f>+'[1]VENTAS(RESUMEN GLOBAL)'!D1532-'[1]VENTAS(RESUMEN GLOBAL)'!E1532</f>
        <v>0</v>
      </c>
      <c r="H1532" s="9">
        <f>+'[1]VENTAS(RESUMEN GLOBAL)'!K1532</f>
        <v>0</v>
      </c>
      <c r="I1532" s="8">
        <f>+G1532*'[1]VENTAS(RESUMEN GLOBAL)'!F1532</f>
        <v>0</v>
      </c>
      <c r="J1532" s="8">
        <f>'[1]VENTAS(RESUMEN GLOBAL)'!G1532*(1-'[1]VENTAS(RESUMEN GLOBAL)'!H1532)</f>
        <v>0</v>
      </c>
      <c r="K1532" s="8">
        <f t="shared" si="23"/>
        <v>0</v>
      </c>
      <c r="L1532" s="8">
        <f>+'[1]VENTAS(RESUMEN GLOBAL)'!J1532</f>
        <v>0</v>
      </c>
      <c r="M1532" s="8">
        <f>+Tabla1[[#This Row],[utilidad x dia]]*7</f>
        <v>0</v>
      </c>
    </row>
    <row r="1533" spans="1:13" x14ac:dyDescent="0.3">
      <c r="A1533" s="6">
        <f>+'[1]VENTAS(RESUMEN GLOBAL)'!L1533</f>
        <v>0</v>
      </c>
      <c r="B1533" s="6">
        <f>+'[1]VENTAS(RESUMEN GLOBAL)'!M1533</f>
        <v>0</v>
      </c>
      <c r="C1533">
        <f>+'[1]VENTAS(RESUMEN GLOBAL)'!B1533</f>
        <v>0</v>
      </c>
      <c r="D1533" t="e">
        <f>INDEX('[1]CÓDIGOS DE PRODUCTO'!$D$3:$D$1000,MATCH(C1533,'[1]CÓDIGOS DE PRODUCTO'!$A$3:$A$1000,0))</f>
        <v>#N/A</v>
      </c>
      <c r="E1533">
        <f>VLOOKUP(C1533,'[1]CÓDIGOS DE PRODUCTO'!$A$4:$B$156,2,FALSE)</f>
        <v>0</v>
      </c>
      <c r="F1533">
        <f>INDEX('[1]CÓDIGOS DE PRODUCTO'!$C$3:$C$1000,MATCH(C1533,'[1]CÓDIGOS DE PRODUCTO'!$A$3:$A$1000,0))</f>
        <v>0</v>
      </c>
      <c r="G1533">
        <f>+'[1]VENTAS(RESUMEN GLOBAL)'!D1533-'[1]VENTAS(RESUMEN GLOBAL)'!E1533</f>
        <v>0</v>
      </c>
      <c r="H1533" s="9">
        <f>+'[1]VENTAS(RESUMEN GLOBAL)'!K1533</f>
        <v>0</v>
      </c>
      <c r="I1533" s="8">
        <f>+G1533*'[1]VENTAS(RESUMEN GLOBAL)'!F1533</f>
        <v>0</v>
      </c>
      <c r="J1533" s="8">
        <f>'[1]VENTAS(RESUMEN GLOBAL)'!G1533*(1-'[1]VENTAS(RESUMEN GLOBAL)'!H1533)</f>
        <v>0</v>
      </c>
      <c r="K1533" s="8">
        <f t="shared" si="23"/>
        <v>0</v>
      </c>
      <c r="L1533" s="8">
        <f>+'[1]VENTAS(RESUMEN GLOBAL)'!J1533</f>
        <v>0</v>
      </c>
      <c r="M1533" s="8">
        <f>+Tabla1[[#This Row],[utilidad x dia]]*7</f>
        <v>0</v>
      </c>
    </row>
    <row r="1534" spans="1:13" x14ac:dyDescent="0.3">
      <c r="A1534" s="6">
        <f>+'[1]VENTAS(RESUMEN GLOBAL)'!L1534</f>
        <v>0</v>
      </c>
      <c r="B1534" s="6">
        <f>+'[1]VENTAS(RESUMEN GLOBAL)'!M1534</f>
        <v>0</v>
      </c>
      <c r="C1534">
        <f>+'[1]VENTAS(RESUMEN GLOBAL)'!B1534</f>
        <v>0</v>
      </c>
      <c r="D1534" t="e">
        <f>INDEX('[1]CÓDIGOS DE PRODUCTO'!$D$3:$D$1000,MATCH(C1534,'[1]CÓDIGOS DE PRODUCTO'!$A$3:$A$1000,0))</f>
        <v>#N/A</v>
      </c>
      <c r="E1534">
        <f>VLOOKUP(C1534,'[1]CÓDIGOS DE PRODUCTO'!$A$4:$B$156,2,FALSE)</f>
        <v>0</v>
      </c>
      <c r="F1534">
        <f>INDEX('[1]CÓDIGOS DE PRODUCTO'!$C$3:$C$1000,MATCH(C1534,'[1]CÓDIGOS DE PRODUCTO'!$A$3:$A$1000,0))</f>
        <v>0</v>
      </c>
      <c r="G1534">
        <f>+'[1]VENTAS(RESUMEN GLOBAL)'!D1534-'[1]VENTAS(RESUMEN GLOBAL)'!E1534</f>
        <v>0</v>
      </c>
      <c r="H1534" s="9">
        <f>+'[1]VENTAS(RESUMEN GLOBAL)'!K1534</f>
        <v>0</v>
      </c>
      <c r="I1534" s="8">
        <f>+G1534*'[1]VENTAS(RESUMEN GLOBAL)'!F1534</f>
        <v>0</v>
      </c>
      <c r="J1534" s="8">
        <f>'[1]VENTAS(RESUMEN GLOBAL)'!G1534*(1-'[1]VENTAS(RESUMEN GLOBAL)'!H1534)</f>
        <v>0</v>
      </c>
      <c r="K1534" s="8">
        <f t="shared" si="23"/>
        <v>0</v>
      </c>
      <c r="L1534" s="8">
        <f>+'[1]VENTAS(RESUMEN GLOBAL)'!J1534</f>
        <v>0</v>
      </c>
      <c r="M1534" s="8">
        <f>+Tabla1[[#This Row],[utilidad x dia]]*7</f>
        <v>0</v>
      </c>
    </row>
    <row r="1535" spans="1:13" x14ac:dyDescent="0.3">
      <c r="A1535" s="6">
        <f>+'[1]VENTAS(RESUMEN GLOBAL)'!L1535</f>
        <v>0</v>
      </c>
      <c r="B1535" s="6">
        <f>+'[1]VENTAS(RESUMEN GLOBAL)'!M1535</f>
        <v>0</v>
      </c>
      <c r="C1535">
        <f>+'[1]VENTAS(RESUMEN GLOBAL)'!B1535</f>
        <v>0</v>
      </c>
      <c r="D1535" t="e">
        <f>INDEX('[1]CÓDIGOS DE PRODUCTO'!$D$3:$D$1000,MATCH(C1535,'[1]CÓDIGOS DE PRODUCTO'!$A$3:$A$1000,0))</f>
        <v>#N/A</v>
      </c>
      <c r="E1535">
        <f>VLOOKUP(C1535,'[1]CÓDIGOS DE PRODUCTO'!$A$4:$B$156,2,FALSE)</f>
        <v>0</v>
      </c>
      <c r="F1535">
        <f>INDEX('[1]CÓDIGOS DE PRODUCTO'!$C$3:$C$1000,MATCH(C1535,'[1]CÓDIGOS DE PRODUCTO'!$A$3:$A$1000,0))</f>
        <v>0</v>
      </c>
      <c r="G1535">
        <f>+'[1]VENTAS(RESUMEN GLOBAL)'!D1535-'[1]VENTAS(RESUMEN GLOBAL)'!E1535</f>
        <v>0</v>
      </c>
      <c r="H1535" s="9">
        <f>+'[1]VENTAS(RESUMEN GLOBAL)'!K1535</f>
        <v>0</v>
      </c>
      <c r="I1535" s="8">
        <f>+G1535*'[1]VENTAS(RESUMEN GLOBAL)'!F1535</f>
        <v>0</v>
      </c>
      <c r="J1535" s="8">
        <f>'[1]VENTAS(RESUMEN GLOBAL)'!G1535*(1-'[1]VENTAS(RESUMEN GLOBAL)'!H1535)</f>
        <v>0</v>
      </c>
      <c r="K1535" s="8">
        <f t="shared" si="23"/>
        <v>0</v>
      </c>
      <c r="L1535" s="8">
        <f>+'[1]VENTAS(RESUMEN GLOBAL)'!J1535</f>
        <v>0</v>
      </c>
      <c r="M1535" s="8">
        <f>+Tabla1[[#This Row],[utilidad x dia]]*7</f>
        <v>0</v>
      </c>
    </row>
    <row r="1536" spans="1:13" x14ac:dyDescent="0.3">
      <c r="A1536" s="6">
        <f>+'[1]VENTAS(RESUMEN GLOBAL)'!L1536</f>
        <v>0</v>
      </c>
      <c r="B1536" s="6">
        <f>+'[1]VENTAS(RESUMEN GLOBAL)'!M1536</f>
        <v>0</v>
      </c>
      <c r="C1536">
        <f>+'[1]VENTAS(RESUMEN GLOBAL)'!B1536</f>
        <v>0</v>
      </c>
      <c r="D1536" t="e">
        <f>INDEX('[1]CÓDIGOS DE PRODUCTO'!$D$3:$D$1000,MATCH(C1536,'[1]CÓDIGOS DE PRODUCTO'!$A$3:$A$1000,0))</f>
        <v>#N/A</v>
      </c>
      <c r="E1536">
        <f>VLOOKUP(C1536,'[1]CÓDIGOS DE PRODUCTO'!$A$4:$B$156,2,FALSE)</f>
        <v>0</v>
      </c>
      <c r="F1536">
        <f>INDEX('[1]CÓDIGOS DE PRODUCTO'!$C$3:$C$1000,MATCH(C1536,'[1]CÓDIGOS DE PRODUCTO'!$A$3:$A$1000,0))</f>
        <v>0</v>
      </c>
      <c r="G1536">
        <f>+'[1]VENTAS(RESUMEN GLOBAL)'!D1536-'[1]VENTAS(RESUMEN GLOBAL)'!E1536</f>
        <v>0</v>
      </c>
      <c r="H1536" s="9">
        <f>+'[1]VENTAS(RESUMEN GLOBAL)'!K1536</f>
        <v>0</v>
      </c>
      <c r="I1536" s="8">
        <f>+G1536*'[1]VENTAS(RESUMEN GLOBAL)'!F1536</f>
        <v>0</v>
      </c>
      <c r="J1536" s="8">
        <f>'[1]VENTAS(RESUMEN GLOBAL)'!G1536*(1-'[1]VENTAS(RESUMEN GLOBAL)'!H1536)</f>
        <v>0</v>
      </c>
      <c r="K1536" s="8">
        <f t="shared" si="23"/>
        <v>0</v>
      </c>
      <c r="L1536" s="8">
        <f>+'[1]VENTAS(RESUMEN GLOBAL)'!J1536</f>
        <v>0</v>
      </c>
      <c r="M1536" s="8">
        <f>+Tabla1[[#This Row],[utilidad x dia]]*7</f>
        <v>0</v>
      </c>
    </row>
    <row r="1537" spans="1:13" x14ac:dyDescent="0.3">
      <c r="A1537" s="6">
        <f>+'[1]VENTAS(RESUMEN GLOBAL)'!L1537</f>
        <v>0</v>
      </c>
      <c r="B1537" s="6">
        <f>+'[1]VENTAS(RESUMEN GLOBAL)'!M1537</f>
        <v>0</v>
      </c>
      <c r="C1537">
        <f>+'[1]VENTAS(RESUMEN GLOBAL)'!B1537</f>
        <v>0</v>
      </c>
      <c r="D1537" t="e">
        <f>INDEX('[1]CÓDIGOS DE PRODUCTO'!$D$3:$D$1000,MATCH(C1537,'[1]CÓDIGOS DE PRODUCTO'!$A$3:$A$1000,0))</f>
        <v>#N/A</v>
      </c>
      <c r="E1537">
        <f>VLOOKUP(C1537,'[1]CÓDIGOS DE PRODUCTO'!$A$4:$B$156,2,FALSE)</f>
        <v>0</v>
      </c>
      <c r="F1537">
        <f>INDEX('[1]CÓDIGOS DE PRODUCTO'!$C$3:$C$1000,MATCH(C1537,'[1]CÓDIGOS DE PRODUCTO'!$A$3:$A$1000,0))</f>
        <v>0</v>
      </c>
      <c r="G1537">
        <f>+'[1]VENTAS(RESUMEN GLOBAL)'!D1537-'[1]VENTAS(RESUMEN GLOBAL)'!E1537</f>
        <v>0</v>
      </c>
      <c r="H1537" s="9">
        <f>+'[1]VENTAS(RESUMEN GLOBAL)'!K1537</f>
        <v>0</v>
      </c>
      <c r="I1537" s="8">
        <f>+G1537*'[1]VENTAS(RESUMEN GLOBAL)'!F1537</f>
        <v>0</v>
      </c>
      <c r="J1537" s="8">
        <f>'[1]VENTAS(RESUMEN GLOBAL)'!G1537*(1-'[1]VENTAS(RESUMEN GLOBAL)'!H1537)</f>
        <v>0</v>
      </c>
      <c r="K1537" s="8">
        <f t="shared" si="23"/>
        <v>0</v>
      </c>
      <c r="L1537" s="8">
        <f>+'[1]VENTAS(RESUMEN GLOBAL)'!J1537</f>
        <v>0</v>
      </c>
      <c r="M1537" s="8">
        <f>+Tabla1[[#This Row],[utilidad x dia]]*7</f>
        <v>0</v>
      </c>
    </row>
    <row r="1538" spans="1:13" x14ac:dyDescent="0.3">
      <c r="A1538" s="6">
        <f>+'[1]VENTAS(RESUMEN GLOBAL)'!L1538</f>
        <v>0</v>
      </c>
      <c r="B1538" s="6">
        <f>+'[1]VENTAS(RESUMEN GLOBAL)'!M1538</f>
        <v>0</v>
      </c>
      <c r="C1538">
        <f>+'[1]VENTAS(RESUMEN GLOBAL)'!B1538</f>
        <v>0</v>
      </c>
      <c r="D1538" t="e">
        <f>INDEX('[1]CÓDIGOS DE PRODUCTO'!$D$3:$D$1000,MATCH(C1538,'[1]CÓDIGOS DE PRODUCTO'!$A$3:$A$1000,0))</f>
        <v>#N/A</v>
      </c>
      <c r="E1538">
        <f>VLOOKUP(C1538,'[1]CÓDIGOS DE PRODUCTO'!$A$4:$B$156,2,FALSE)</f>
        <v>0</v>
      </c>
      <c r="F1538">
        <f>INDEX('[1]CÓDIGOS DE PRODUCTO'!$C$3:$C$1000,MATCH(C1538,'[1]CÓDIGOS DE PRODUCTO'!$A$3:$A$1000,0))</f>
        <v>0</v>
      </c>
      <c r="G1538">
        <f>+'[1]VENTAS(RESUMEN GLOBAL)'!D1538-'[1]VENTAS(RESUMEN GLOBAL)'!E1538</f>
        <v>0</v>
      </c>
      <c r="H1538" s="9">
        <f>+'[1]VENTAS(RESUMEN GLOBAL)'!K1538</f>
        <v>0</v>
      </c>
      <c r="I1538" s="8">
        <f>+G1538*'[1]VENTAS(RESUMEN GLOBAL)'!F1538</f>
        <v>0</v>
      </c>
      <c r="J1538" s="8">
        <f>'[1]VENTAS(RESUMEN GLOBAL)'!G1538*(1-'[1]VENTAS(RESUMEN GLOBAL)'!H1538)</f>
        <v>0</v>
      </c>
      <c r="K1538" s="8">
        <f t="shared" si="23"/>
        <v>0</v>
      </c>
      <c r="L1538" s="8">
        <f>+'[1]VENTAS(RESUMEN GLOBAL)'!J1538</f>
        <v>0</v>
      </c>
      <c r="M1538" s="8">
        <f>+Tabla1[[#This Row],[utilidad x dia]]*7</f>
        <v>0</v>
      </c>
    </row>
    <row r="1539" spans="1:13" x14ac:dyDescent="0.3">
      <c r="A1539" s="6">
        <f>+'[1]VENTAS(RESUMEN GLOBAL)'!L1539</f>
        <v>0</v>
      </c>
      <c r="B1539" s="6">
        <f>+'[1]VENTAS(RESUMEN GLOBAL)'!M1539</f>
        <v>0</v>
      </c>
      <c r="C1539">
        <f>+'[1]VENTAS(RESUMEN GLOBAL)'!B1539</f>
        <v>0</v>
      </c>
      <c r="D1539" t="e">
        <f>INDEX('[1]CÓDIGOS DE PRODUCTO'!$D$3:$D$1000,MATCH(C1539,'[1]CÓDIGOS DE PRODUCTO'!$A$3:$A$1000,0))</f>
        <v>#N/A</v>
      </c>
      <c r="E1539">
        <f>VLOOKUP(C1539,'[1]CÓDIGOS DE PRODUCTO'!$A$4:$B$156,2,FALSE)</f>
        <v>0</v>
      </c>
      <c r="F1539">
        <f>INDEX('[1]CÓDIGOS DE PRODUCTO'!$C$3:$C$1000,MATCH(C1539,'[1]CÓDIGOS DE PRODUCTO'!$A$3:$A$1000,0))</f>
        <v>0</v>
      </c>
      <c r="G1539">
        <f>+'[1]VENTAS(RESUMEN GLOBAL)'!D1539-'[1]VENTAS(RESUMEN GLOBAL)'!E1539</f>
        <v>0</v>
      </c>
      <c r="H1539" s="9">
        <f>+'[1]VENTAS(RESUMEN GLOBAL)'!K1539</f>
        <v>0</v>
      </c>
      <c r="I1539" s="8">
        <f>+G1539*'[1]VENTAS(RESUMEN GLOBAL)'!F1539</f>
        <v>0</v>
      </c>
      <c r="J1539" s="8">
        <f>'[1]VENTAS(RESUMEN GLOBAL)'!G1539*(1-'[1]VENTAS(RESUMEN GLOBAL)'!H1539)</f>
        <v>0</v>
      </c>
      <c r="K1539" s="8">
        <f t="shared" ref="K1539:K1602" si="24">+I1539-J1539</f>
        <v>0</v>
      </c>
      <c r="L1539" s="8">
        <f>+'[1]VENTAS(RESUMEN GLOBAL)'!J1539</f>
        <v>0</v>
      </c>
      <c r="M1539" s="8">
        <f>+Tabla1[[#This Row],[utilidad x dia]]*7</f>
        <v>0</v>
      </c>
    </row>
    <row r="1540" spans="1:13" x14ac:dyDescent="0.3">
      <c r="A1540" s="6">
        <f>+'[1]VENTAS(RESUMEN GLOBAL)'!L1540</f>
        <v>0</v>
      </c>
      <c r="B1540" s="6">
        <f>+'[1]VENTAS(RESUMEN GLOBAL)'!M1540</f>
        <v>0</v>
      </c>
      <c r="C1540">
        <f>+'[1]VENTAS(RESUMEN GLOBAL)'!B1540</f>
        <v>0</v>
      </c>
      <c r="D1540" t="e">
        <f>INDEX('[1]CÓDIGOS DE PRODUCTO'!$D$3:$D$1000,MATCH(C1540,'[1]CÓDIGOS DE PRODUCTO'!$A$3:$A$1000,0))</f>
        <v>#N/A</v>
      </c>
      <c r="E1540">
        <f>VLOOKUP(C1540,'[1]CÓDIGOS DE PRODUCTO'!$A$4:$B$156,2,FALSE)</f>
        <v>0</v>
      </c>
      <c r="F1540">
        <f>INDEX('[1]CÓDIGOS DE PRODUCTO'!$C$3:$C$1000,MATCH(C1540,'[1]CÓDIGOS DE PRODUCTO'!$A$3:$A$1000,0))</f>
        <v>0</v>
      </c>
      <c r="G1540">
        <f>+'[1]VENTAS(RESUMEN GLOBAL)'!D1540-'[1]VENTAS(RESUMEN GLOBAL)'!E1540</f>
        <v>0</v>
      </c>
      <c r="H1540" s="9">
        <f>+'[1]VENTAS(RESUMEN GLOBAL)'!K1540</f>
        <v>0</v>
      </c>
      <c r="I1540" s="8">
        <f>+G1540*'[1]VENTAS(RESUMEN GLOBAL)'!F1540</f>
        <v>0</v>
      </c>
      <c r="J1540" s="8">
        <f>'[1]VENTAS(RESUMEN GLOBAL)'!G1540*(1-'[1]VENTAS(RESUMEN GLOBAL)'!H1540)</f>
        <v>0</v>
      </c>
      <c r="K1540" s="8">
        <f t="shared" si="24"/>
        <v>0</v>
      </c>
      <c r="L1540" s="8">
        <f>+'[1]VENTAS(RESUMEN GLOBAL)'!J1540</f>
        <v>0</v>
      </c>
      <c r="M1540" s="8">
        <f>+Tabla1[[#This Row],[utilidad x dia]]*7</f>
        <v>0</v>
      </c>
    </row>
    <row r="1541" spans="1:13" x14ac:dyDescent="0.3">
      <c r="A1541" s="6">
        <f>+'[1]VENTAS(RESUMEN GLOBAL)'!L1541</f>
        <v>0</v>
      </c>
      <c r="B1541" s="6">
        <f>+'[1]VENTAS(RESUMEN GLOBAL)'!M1541</f>
        <v>0</v>
      </c>
      <c r="C1541">
        <f>+'[1]VENTAS(RESUMEN GLOBAL)'!B1541</f>
        <v>0</v>
      </c>
      <c r="D1541" t="e">
        <f>INDEX('[1]CÓDIGOS DE PRODUCTO'!$D$3:$D$1000,MATCH(C1541,'[1]CÓDIGOS DE PRODUCTO'!$A$3:$A$1000,0))</f>
        <v>#N/A</v>
      </c>
      <c r="E1541">
        <f>VLOOKUP(C1541,'[1]CÓDIGOS DE PRODUCTO'!$A$4:$B$156,2,FALSE)</f>
        <v>0</v>
      </c>
      <c r="F1541">
        <f>INDEX('[1]CÓDIGOS DE PRODUCTO'!$C$3:$C$1000,MATCH(C1541,'[1]CÓDIGOS DE PRODUCTO'!$A$3:$A$1000,0))</f>
        <v>0</v>
      </c>
      <c r="G1541">
        <f>+'[1]VENTAS(RESUMEN GLOBAL)'!D1541-'[1]VENTAS(RESUMEN GLOBAL)'!E1541</f>
        <v>0</v>
      </c>
      <c r="H1541" s="9">
        <f>+'[1]VENTAS(RESUMEN GLOBAL)'!K1541</f>
        <v>0</v>
      </c>
      <c r="I1541" s="8">
        <f>+G1541*'[1]VENTAS(RESUMEN GLOBAL)'!F1541</f>
        <v>0</v>
      </c>
      <c r="J1541" s="8">
        <f>'[1]VENTAS(RESUMEN GLOBAL)'!G1541*(1-'[1]VENTAS(RESUMEN GLOBAL)'!H1541)</f>
        <v>0</v>
      </c>
      <c r="K1541" s="8">
        <f t="shared" si="24"/>
        <v>0</v>
      </c>
      <c r="L1541" s="8">
        <f>+'[1]VENTAS(RESUMEN GLOBAL)'!J1541</f>
        <v>0</v>
      </c>
      <c r="M1541" s="8">
        <f>+Tabla1[[#This Row],[utilidad x dia]]*7</f>
        <v>0</v>
      </c>
    </row>
    <row r="1542" spans="1:13" x14ac:dyDescent="0.3">
      <c r="A1542" s="6">
        <f>+'[1]VENTAS(RESUMEN GLOBAL)'!L1542</f>
        <v>0</v>
      </c>
      <c r="B1542" s="6">
        <f>+'[1]VENTAS(RESUMEN GLOBAL)'!M1542</f>
        <v>0</v>
      </c>
      <c r="C1542">
        <f>+'[1]VENTAS(RESUMEN GLOBAL)'!B1542</f>
        <v>0</v>
      </c>
      <c r="D1542" t="e">
        <f>INDEX('[1]CÓDIGOS DE PRODUCTO'!$D$3:$D$1000,MATCH(C1542,'[1]CÓDIGOS DE PRODUCTO'!$A$3:$A$1000,0))</f>
        <v>#N/A</v>
      </c>
      <c r="E1542">
        <f>VLOOKUP(C1542,'[1]CÓDIGOS DE PRODUCTO'!$A$4:$B$156,2,FALSE)</f>
        <v>0</v>
      </c>
      <c r="F1542">
        <f>INDEX('[1]CÓDIGOS DE PRODUCTO'!$C$3:$C$1000,MATCH(C1542,'[1]CÓDIGOS DE PRODUCTO'!$A$3:$A$1000,0))</f>
        <v>0</v>
      </c>
      <c r="G1542">
        <f>+'[1]VENTAS(RESUMEN GLOBAL)'!D1542-'[1]VENTAS(RESUMEN GLOBAL)'!E1542</f>
        <v>0</v>
      </c>
      <c r="H1542" s="9">
        <f>+'[1]VENTAS(RESUMEN GLOBAL)'!K1542</f>
        <v>0</v>
      </c>
      <c r="I1542" s="8">
        <f>+G1542*'[1]VENTAS(RESUMEN GLOBAL)'!F1542</f>
        <v>0</v>
      </c>
      <c r="J1542" s="8">
        <f>'[1]VENTAS(RESUMEN GLOBAL)'!G1542*(1-'[1]VENTAS(RESUMEN GLOBAL)'!H1542)</f>
        <v>0</v>
      </c>
      <c r="K1542" s="8">
        <f t="shared" si="24"/>
        <v>0</v>
      </c>
      <c r="L1542" s="8">
        <f>+'[1]VENTAS(RESUMEN GLOBAL)'!J1542</f>
        <v>0</v>
      </c>
      <c r="M1542" s="8">
        <f>+Tabla1[[#This Row],[utilidad x dia]]*7</f>
        <v>0</v>
      </c>
    </row>
    <row r="1543" spans="1:13" x14ac:dyDescent="0.3">
      <c r="A1543" s="6">
        <f>+'[1]VENTAS(RESUMEN GLOBAL)'!L1543</f>
        <v>0</v>
      </c>
      <c r="B1543" s="6">
        <f>+'[1]VENTAS(RESUMEN GLOBAL)'!M1543</f>
        <v>0</v>
      </c>
      <c r="C1543">
        <f>+'[1]VENTAS(RESUMEN GLOBAL)'!B1543</f>
        <v>0</v>
      </c>
      <c r="D1543" t="e">
        <f>INDEX('[1]CÓDIGOS DE PRODUCTO'!$D$3:$D$1000,MATCH(C1543,'[1]CÓDIGOS DE PRODUCTO'!$A$3:$A$1000,0))</f>
        <v>#N/A</v>
      </c>
      <c r="E1543">
        <f>VLOOKUP(C1543,'[1]CÓDIGOS DE PRODUCTO'!$A$4:$B$156,2,FALSE)</f>
        <v>0</v>
      </c>
      <c r="F1543">
        <f>INDEX('[1]CÓDIGOS DE PRODUCTO'!$C$3:$C$1000,MATCH(C1543,'[1]CÓDIGOS DE PRODUCTO'!$A$3:$A$1000,0))</f>
        <v>0</v>
      </c>
      <c r="G1543">
        <f>+'[1]VENTAS(RESUMEN GLOBAL)'!D1543-'[1]VENTAS(RESUMEN GLOBAL)'!E1543</f>
        <v>0</v>
      </c>
      <c r="H1543" s="9">
        <f>+'[1]VENTAS(RESUMEN GLOBAL)'!K1543</f>
        <v>0</v>
      </c>
      <c r="I1543" s="8">
        <f>+G1543*'[1]VENTAS(RESUMEN GLOBAL)'!F1543</f>
        <v>0</v>
      </c>
      <c r="J1543" s="8">
        <f>'[1]VENTAS(RESUMEN GLOBAL)'!G1543*(1-'[1]VENTAS(RESUMEN GLOBAL)'!H1543)</f>
        <v>0</v>
      </c>
      <c r="K1543" s="8">
        <f t="shared" si="24"/>
        <v>0</v>
      </c>
      <c r="L1543" s="8">
        <f>+'[1]VENTAS(RESUMEN GLOBAL)'!J1543</f>
        <v>0</v>
      </c>
      <c r="M1543" s="8">
        <f>+Tabla1[[#This Row],[utilidad x dia]]*7</f>
        <v>0</v>
      </c>
    </row>
    <row r="1544" spans="1:13" x14ac:dyDescent="0.3">
      <c r="A1544" s="6">
        <f>+'[1]VENTAS(RESUMEN GLOBAL)'!L1544</f>
        <v>0</v>
      </c>
      <c r="B1544" s="6">
        <f>+'[1]VENTAS(RESUMEN GLOBAL)'!M1544</f>
        <v>0</v>
      </c>
      <c r="C1544">
        <f>+'[1]VENTAS(RESUMEN GLOBAL)'!B1544</f>
        <v>0</v>
      </c>
      <c r="D1544" t="e">
        <f>INDEX('[1]CÓDIGOS DE PRODUCTO'!$D$3:$D$1000,MATCH(C1544,'[1]CÓDIGOS DE PRODUCTO'!$A$3:$A$1000,0))</f>
        <v>#N/A</v>
      </c>
      <c r="E1544">
        <f>VLOOKUP(C1544,'[1]CÓDIGOS DE PRODUCTO'!$A$4:$B$156,2,FALSE)</f>
        <v>0</v>
      </c>
      <c r="F1544">
        <f>INDEX('[1]CÓDIGOS DE PRODUCTO'!$C$3:$C$1000,MATCH(C1544,'[1]CÓDIGOS DE PRODUCTO'!$A$3:$A$1000,0))</f>
        <v>0</v>
      </c>
      <c r="G1544">
        <f>+'[1]VENTAS(RESUMEN GLOBAL)'!D1544-'[1]VENTAS(RESUMEN GLOBAL)'!E1544</f>
        <v>0</v>
      </c>
      <c r="H1544" s="9">
        <f>+'[1]VENTAS(RESUMEN GLOBAL)'!K1544</f>
        <v>0</v>
      </c>
      <c r="I1544" s="8">
        <f>+G1544*'[1]VENTAS(RESUMEN GLOBAL)'!F1544</f>
        <v>0</v>
      </c>
      <c r="J1544" s="8">
        <f>'[1]VENTAS(RESUMEN GLOBAL)'!G1544*(1-'[1]VENTAS(RESUMEN GLOBAL)'!H1544)</f>
        <v>0</v>
      </c>
      <c r="K1544" s="8">
        <f t="shared" si="24"/>
        <v>0</v>
      </c>
      <c r="L1544" s="8">
        <f>+'[1]VENTAS(RESUMEN GLOBAL)'!J1544</f>
        <v>0</v>
      </c>
      <c r="M1544" s="8">
        <f>+Tabla1[[#This Row],[utilidad x dia]]*7</f>
        <v>0</v>
      </c>
    </row>
    <row r="1545" spans="1:13" x14ac:dyDescent="0.3">
      <c r="A1545" s="6">
        <f>+'[1]VENTAS(RESUMEN GLOBAL)'!L1545</f>
        <v>0</v>
      </c>
      <c r="B1545" s="6">
        <f>+'[1]VENTAS(RESUMEN GLOBAL)'!M1545</f>
        <v>0</v>
      </c>
      <c r="C1545">
        <f>+'[1]VENTAS(RESUMEN GLOBAL)'!B1545</f>
        <v>0</v>
      </c>
      <c r="D1545" t="e">
        <f>INDEX('[1]CÓDIGOS DE PRODUCTO'!$D$3:$D$1000,MATCH(C1545,'[1]CÓDIGOS DE PRODUCTO'!$A$3:$A$1000,0))</f>
        <v>#N/A</v>
      </c>
      <c r="E1545">
        <f>VLOOKUP(C1545,'[1]CÓDIGOS DE PRODUCTO'!$A$4:$B$156,2,FALSE)</f>
        <v>0</v>
      </c>
      <c r="F1545">
        <f>INDEX('[1]CÓDIGOS DE PRODUCTO'!$C$3:$C$1000,MATCH(C1545,'[1]CÓDIGOS DE PRODUCTO'!$A$3:$A$1000,0))</f>
        <v>0</v>
      </c>
      <c r="G1545">
        <f>+'[1]VENTAS(RESUMEN GLOBAL)'!D1545-'[1]VENTAS(RESUMEN GLOBAL)'!E1545</f>
        <v>0</v>
      </c>
      <c r="H1545" s="9">
        <f>+'[1]VENTAS(RESUMEN GLOBAL)'!K1545</f>
        <v>0</v>
      </c>
      <c r="I1545" s="8">
        <f>+G1545*'[1]VENTAS(RESUMEN GLOBAL)'!F1545</f>
        <v>0</v>
      </c>
      <c r="J1545" s="8">
        <f>'[1]VENTAS(RESUMEN GLOBAL)'!G1545*(1-'[1]VENTAS(RESUMEN GLOBAL)'!H1545)</f>
        <v>0</v>
      </c>
      <c r="K1545" s="8">
        <f t="shared" si="24"/>
        <v>0</v>
      </c>
      <c r="L1545" s="8">
        <f>+'[1]VENTAS(RESUMEN GLOBAL)'!J1545</f>
        <v>0</v>
      </c>
      <c r="M1545" s="8">
        <f>+Tabla1[[#This Row],[utilidad x dia]]*7</f>
        <v>0</v>
      </c>
    </row>
    <row r="1546" spans="1:13" x14ac:dyDescent="0.3">
      <c r="A1546" s="6">
        <f>+'[1]VENTAS(RESUMEN GLOBAL)'!L1546</f>
        <v>0</v>
      </c>
      <c r="B1546" s="6">
        <f>+'[1]VENTAS(RESUMEN GLOBAL)'!M1546</f>
        <v>0</v>
      </c>
      <c r="C1546">
        <f>+'[1]VENTAS(RESUMEN GLOBAL)'!B1546</f>
        <v>0</v>
      </c>
      <c r="D1546" t="e">
        <f>INDEX('[1]CÓDIGOS DE PRODUCTO'!$D$3:$D$1000,MATCH(C1546,'[1]CÓDIGOS DE PRODUCTO'!$A$3:$A$1000,0))</f>
        <v>#N/A</v>
      </c>
      <c r="E1546">
        <f>VLOOKUP(C1546,'[1]CÓDIGOS DE PRODUCTO'!$A$4:$B$156,2,FALSE)</f>
        <v>0</v>
      </c>
      <c r="F1546">
        <f>INDEX('[1]CÓDIGOS DE PRODUCTO'!$C$3:$C$1000,MATCH(C1546,'[1]CÓDIGOS DE PRODUCTO'!$A$3:$A$1000,0))</f>
        <v>0</v>
      </c>
      <c r="G1546">
        <f>+'[1]VENTAS(RESUMEN GLOBAL)'!D1546-'[1]VENTAS(RESUMEN GLOBAL)'!E1546</f>
        <v>0</v>
      </c>
      <c r="H1546" s="9">
        <f>+'[1]VENTAS(RESUMEN GLOBAL)'!K1546</f>
        <v>0</v>
      </c>
      <c r="I1546" s="8">
        <f>+G1546*'[1]VENTAS(RESUMEN GLOBAL)'!F1546</f>
        <v>0</v>
      </c>
      <c r="J1546" s="8">
        <f>'[1]VENTAS(RESUMEN GLOBAL)'!G1546*(1-'[1]VENTAS(RESUMEN GLOBAL)'!H1546)</f>
        <v>0</v>
      </c>
      <c r="K1546" s="8">
        <f t="shared" si="24"/>
        <v>0</v>
      </c>
      <c r="L1546" s="8">
        <f>+'[1]VENTAS(RESUMEN GLOBAL)'!J1546</f>
        <v>0</v>
      </c>
      <c r="M1546" s="8">
        <f>+Tabla1[[#This Row],[utilidad x dia]]*7</f>
        <v>0</v>
      </c>
    </row>
    <row r="1547" spans="1:13" x14ac:dyDescent="0.3">
      <c r="A1547" s="6">
        <f>+'[1]VENTAS(RESUMEN GLOBAL)'!L1547</f>
        <v>0</v>
      </c>
      <c r="B1547" s="6">
        <f>+'[1]VENTAS(RESUMEN GLOBAL)'!M1547</f>
        <v>0</v>
      </c>
      <c r="C1547">
        <f>+'[1]VENTAS(RESUMEN GLOBAL)'!B1547</f>
        <v>0</v>
      </c>
      <c r="D1547" t="e">
        <f>INDEX('[1]CÓDIGOS DE PRODUCTO'!$D$3:$D$1000,MATCH(C1547,'[1]CÓDIGOS DE PRODUCTO'!$A$3:$A$1000,0))</f>
        <v>#N/A</v>
      </c>
      <c r="E1547">
        <f>VLOOKUP(C1547,'[1]CÓDIGOS DE PRODUCTO'!$A$4:$B$156,2,FALSE)</f>
        <v>0</v>
      </c>
      <c r="F1547">
        <f>INDEX('[1]CÓDIGOS DE PRODUCTO'!$C$3:$C$1000,MATCH(C1547,'[1]CÓDIGOS DE PRODUCTO'!$A$3:$A$1000,0))</f>
        <v>0</v>
      </c>
      <c r="G1547">
        <f>+'[1]VENTAS(RESUMEN GLOBAL)'!D1547-'[1]VENTAS(RESUMEN GLOBAL)'!E1547</f>
        <v>0</v>
      </c>
      <c r="H1547" s="9">
        <f>+'[1]VENTAS(RESUMEN GLOBAL)'!K1547</f>
        <v>0</v>
      </c>
      <c r="I1547" s="8">
        <f>+G1547*'[1]VENTAS(RESUMEN GLOBAL)'!F1547</f>
        <v>0</v>
      </c>
      <c r="J1547" s="8">
        <f>'[1]VENTAS(RESUMEN GLOBAL)'!G1547*(1-'[1]VENTAS(RESUMEN GLOBAL)'!H1547)</f>
        <v>0</v>
      </c>
      <c r="K1547" s="8">
        <f t="shared" si="24"/>
        <v>0</v>
      </c>
      <c r="L1547" s="8">
        <f>+'[1]VENTAS(RESUMEN GLOBAL)'!J1547</f>
        <v>0</v>
      </c>
      <c r="M1547" s="8">
        <f>+Tabla1[[#This Row],[utilidad x dia]]*7</f>
        <v>0</v>
      </c>
    </row>
    <row r="1548" spans="1:13" x14ac:dyDescent="0.3">
      <c r="A1548" s="6">
        <f>+'[1]VENTAS(RESUMEN GLOBAL)'!L1548</f>
        <v>0</v>
      </c>
      <c r="B1548" s="6">
        <f>+'[1]VENTAS(RESUMEN GLOBAL)'!M1548</f>
        <v>0</v>
      </c>
      <c r="C1548">
        <f>+'[1]VENTAS(RESUMEN GLOBAL)'!B1548</f>
        <v>0</v>
      </c>
      <c r="D1548" t="e">
        <f>INDEX('[1]CÓDIGOS DE PRODUCTO'!$D$3:$D$1000,MATCH(C1548,'[1]CÓDIGOS DE PRODUCTO'!$A$3:$A$1000,0))</f>
        <v>#N/A</v>
      </c>
      <c r="E1548">
        <f>VLOOKUP(C1548,'[1]CÓDIGOS DE PRODUCTO'!$A$4:$B$156,2,FALSE)</f>
        <v>0</v>
      </c>
      <c r="F1548">
        <f>INDEX('[1]CÓDIGOS DE PRODUCTO'!$C$3:$C$1000,MATCH(C1548,'[1]CÓDIGOS DE PRODUCTO'!$A$3:$A$1000,0))</f>
        <v>0</v>
      </c>
      <c r="G1548">
        <f>+'[1]VENTAS(RESUMEN GLOBAL)'!D1548-'[1]VENTAS(RESUMEN GLOBAL)'!E1548</f>
        <v>0</v>
      </c>
      <c r="H1548" s="9">
        <f>+'[1]VENTAS(RESUMEN GLOBAL)'!K1548</f>
        <v>0</v>
      </c>
      <c r="I1548" s="8">
        <f>+G1548*'[1]VENTAS(RESUMEN GLOBAL)'!F1548</f>
        <v>0</v>
      </c>
      <c r="J1548" s="8">
        <f>'[1]VENTAS(RESUMEN GLOBAL)'!G1548*(1-'[1]VENTAS(RESUMEN GLOBAL)'!H1548)</f>
        <v>0</v>
      </c>
      <c r="K1548" s="8">
        <f t="shared" si="24"/>
        <v>0</v>
      </c>
      <c r="L1548" s="8">
        <f>+'[1]VENTAS(RESUMEN GLOBAL)'!J1548</f>
        <v>0</v>
      </c>
      <c r="M1548" s="8">
        <f>+Tabla1[[#This Row],[utilidad x dia]]*7</f>
        <v>0</v>
      </c>
    </row>
    <row r="1549" spans="1:13" x14ac:dyDescent="0.3">
      <c r="A1549" s="6">
        <f>+'[1]VENTAS(RESUMEN GLOBAL)'!L1549</f>
        <v>0</v>
      </c>
      <c r="B1549" s="6">
        <f>+'[1]VENTAS(RESUMEN GLOBAL)'!M1549</f>
        <v>0</v>
      </c>
      <c r="C1549">
        <f>+'[1]VENTAS(RESUMEN GLOBAL)'!B1549</f>
        <v>0</v>
      </c>
      <c r="D1549" t="e">
        <f>INDEX('[1]CÓDIGOS DE PRODUCTO'!$D$3:$D$1000,MATCH(C1549,'[1]CÓDIGOS DE PRODUCTO'!$A$3:$A$1000,0))</f>
        <v>#N/A</v>
      </c>
      <c r="E1549">
        <f>VLOOKUP(C1549,'[1]CÓDIGOS DE PRODUCTO'!$A$4:$B$156,2,FALSE)</f>
        <v>0</v>
      </c>
      <c r="F1549">
        <f>INDEX('[1]CÓDIGOS DE PRODUCTO'!$C$3:$C$1000,MATCH(C1549,'[1]CÓDIGOS DE PRODUCTO'!$A$3:$A$1000,0))</f>
        <v>0</v>
      </c>
      <c r="G1549">
        <f>+'[1]VENTAS(RESUMEN GLOBAL)'!D1549-'[1]VENTAS(RESUMEN GLOBAL)'!E1549</f>
        <v>0</v>
      </c>
      <c r="H1549" s="9">
        <f>+'[1]VENTAS(RESUMEN GLOBAL)'!K1549</f>
        <v>0</v>
      </c>
      <c r="I1549" s="8">
        <f>+G1549*'[1]VENTAS(RESUMEN GLOBAL)'!F1549</f>
        <v>0</v>
      </c>
      <c r="J1549" s="8">
        <f>'[1]VENTAS(RESUMEN GLOBAL)'!G1549*(1-'[1]VENTAS(RESUMEN GLOBAL)'!H1549)</f>
        <v>0</v>
      </c>
      <c r="K1549" s="8">
        <f t="shared" si="24"/>
        <v>0</v>
      </c>
      <c r="L1549" s="8">
        <f>+'[1]VENTAS(RESUMEN GLOBAL)'!J1549</f>
        <v>0</v>
      </c>
      <c r="M1549" s="8">
        <f>+Tabla1[[#This Row],[utilidad x dia]]*7</f>
        <v>0</v>
      </c>
    </row>
    <row r="1550" spans="1:13" x14ac:dyDescent="0.3">
      <c r="A1550" s="6">
        <f>+'[1]VENTAS(RESUMEN GLOBAL)'!L1550</f>
        <v>0</v>
      </c>
      <c r="B1550" s="6">
        <f>+'[1]VENTAS(RESUMEN GLOBAL)'!M1550</f>
        <v>0</v>
      </c>
      <c r="C1550">
        <f>+'[1]VENTAS(RESUMEN GLOBAL)'!B1550</f>
        <v>0</v>
      </c>
      <c r="D1550" t="e">
        <f>INDEX('[1]CÓDIGOS DE PRODUCTO'!$D$3:$D$1000,MATCH(C1550,'[1]CÓDIGOS DE PRODUCTO'!$A$3:$A$1000,0))</f>
        <v>#N/A</v>
      </c>
      <c r="E1550">
        <f>VLOOKUP(C1550,'[1]CÓDIGOS DE PRODUCTO'!$A$4:$B$156,2,FALSE)</f>
        <v>0</v>
      </c>
      <c r="F1550">
        <f>INDEX('[1]CÓDIGOS DE PRODUCTO'!$C$3:$C$1000,MATCH(C1550,'[1]CÓDIGOS DE PRODUCTO'!$A$3:$A$1000,0))</f>
        <v>0</v>
      </c>
      <c r="G1550">
        <f>+'[1]VENTAS(RESUMEN GLOBAL)'!D1550-'[1]VENTAS(RESUMEN GLOBAL)'!E1550</f>
        <v>0</v>
      </c>
      <c r="H1550" s="9">
        <f>+'[1]VENTAS(RESUMEN GLOBAL)'!K1550</f>
        <v>0</v>
      </c>
      <c r="I1550" s="8">
        <f>+G1550*'[1]VENTAS(RESUMEN GLOBAL)'!F1550</f>
        <v>0</v>
      </c>
      <c r="J1550" s="8">
        <f>'[1]VENTAS(RESUMEN GLOBAL)'!G1550*(1-'[1]VENTAS(RESUMEN GLOBAL)'!H1550)</f>
        <v>0</v>
      </c>
      <c r="K1550" s="8">
        <f t="shared" si="24"/>
        <v>0</v>
      </c>
      <c r="L1550" s="8">
        <f>+'[1]VENTAS(RESUMEN GLOBAL)'!J1550</f>
        <v>0</v>
      </c>
      <c r="M1550" s="8">
        <f>+Tabla1[[#This Row],[utilidad x dia]]*7</f>
        <v>0</v>
      </c>
    </row>
    <row r="1551" spans="1:13" x14ac:dyDescent="0.3">
      <c r="A1551" s="6">
        <f>+'[1]VENTAS(RESUMEN GLOBAL)'!L1551</f>
        <v>0</v>
      </c>
      <c r="B1551" s="6">
        <f>+'[1]VENTAS(RESUMEN GLOBAL)'!M1551</f>
        <v>0</v>
      </c>
      <c r="C1551">
        <f>+'[1]VENTAS(RESUMEN GLOBAL)'!B1551</f>
        <v>0</v>
      </c>
      <c r="D1551" t="e">
        <f>INDEX('[1]CÓDIGOS DE PRODUCTO'!$D$3:$D$1000,MATCH(C1551,'[1]CÓDIGOS DE PRODUCTO'!$A$3:$A$1000,0))</f>
        <v>#N/A</v>
      </c>
      <c r="E1551">
        <f>VLOOKUP(C1551,'[1]CÓDIGOS DE PRODUCTO'!$A$4:$B$156,2,FALSE)</f>
        <v>0</v>
      </c>
      <c r="F1551">
        <f>INDEX('[1]CÓDIGOS DE PRODUCTO'!$C$3:$C$1000,MATCH(C1551,'[1]CÓDIGOS DE PRODUCTO'!$A$3:$A$1000,0))</f>
        <v>0</v>
      </c>
      <c r="G1551">
        <f>+'[1]VENTAS(RESUMEN GLOBAL)'!D1551-'[1]VENTAS(RESUMEN GLOBAL)'!E1551</f>
        <v>0</v>
      </c>
      <c r="H1551" s="9">
        <f>+'[1]VENTAS(RESUMEN GLOBAL)'!K1551</f>
        <v>0</v>
      </c>
      <c r="I1551" s="8">
        <f>+G1551*'[1]VENTAS(RESUMEN GLOBAL)'!F1551</f>
        <v>0</v>
      </c>
      <c r="J1551" s="8">
        <f>'[1]VENTAS(RESUMEN GLOBAL)'!G1551*(1-'[1]VENTAS(RESUMEN GLOBAL)'!H1551)</f>
        <v>0</v>
      </c>
      <c r="K1551" s="8">
        <f t="shared" si="24"/>
        <v>0</v>
      </c>
      <c r="L1551" s="8">
        <f>+'[1]VENTAS(RESUMEN GLOBAL)'!J1551</f>
        <v>0</v>
      </c>
      <c r="M1551" s="8">
        <f>+Tabla1[[#This Row],[utilidad x dia]]*7</f>
        <v>0</v>
      </c>
    </row>
    <row r="1552" spans="1:13" x14ac:dyDescent="0.3">
      <c r="A1552" s="6">
        <f>+'[1]VENTAS(RESUMEN GLOBAL)'!L1552</f>
        <v>0</v>
      </c>
      <c r="B1552" s="6">
        <f>+'[1]VENTAS(RESUMEN GLOBAL)'!M1552</f>
        <v>0</v>
      </c>
      <c r="C1552">
        <f>+'[1]VENTAS(RESUMEN GLOBAL)'!B1552</f>
        <v>0</v>
      </c>
      <c r="D1552" t="e">
        <f>INDEX('[1]CÓDIGOS DE PRODUCTO'!$D$3:$D$1000,MATCH(C1552,'[1]CÓDIGOS DE PRODUCTO'!$A$3:$A$1000,0))</f>
        <v>#N/A</v>
      </c>
      <c r="E1552">
        <f>VLOOKUP(C1552,'[1]CÓDIGOS DE PRODUCTO'!$A$4:$B$156,2,FALSE)</f>
        <v>0</v>
      </c>
      <c r="F1552">
        <f>INDEX('[1]CÓDIGOS DE PRODUCTO'!$C$3:$C$1000,MATCH(C1552,'[1]CÓDIGOS DE PRODUCTO'!$A$3:$A$1000,0))</f>
        <v>0</v>
      </c>
      <c r="G1552">
        <f>+'[1]VENTAS(RESUMEN GLOBAL)'!D1552-'[1]VENTAS(RESUMEN GLOBAL)'!E1552</f>
        <v>0</v>
      </c>
      <c r="H1552" s="9">
        <f>+'[1]VENTAS(RESUMEN GLOBAL)'!K1552</f>
        <v>0</v>
      </c>
      <c r="I1552" s="8">
        <f>+G1552*'[1]VENTAS(RESUMEN GLOBAL)'!F1552</f>
        <v>0</v>
      </c>
      <c r="J1552" s="8">
        <f>'[1]VENTAS(RESUMEN GLOBAL)'!G1552*(1-'[1]VENTAS(RESUMEN GLOBAL)'!H1552)</f>
        <v>0</v>
      </c>
      <c r="K1552" s="8">
        <f t="shared" si="24"/>
        <v>0</v>
      </c>
      <c r="L1552" s="8">
        <f>+'[1]VENTAS(RESUMEN GLOBAL)'!J1552</f>
        <v>0</v>
      </c>
      <c r="M1552" s="8">
        <f>+Tabla1[[#This Row],[utilidad x dia]]*7</f>
        <v>0</v>
      </c>
    </row>
    <row r="1553" spans="1:13" x14ac:dyDescent="0.3">
      <c r="A1553" s="6">
        <f>+'[1]VENTAS(RESUMEN GLOBAL)'!L1553</f>
        <v>0</v>
      </c>
      <c r="B1553" s="6">
        <f>+'[1]VENTAS(RESUMEN GLOBAL)'!M1553</f>
        <v>0</v>
      </c>
      <c r="C1553">
        <f>+'[1]VENTAS(RESUMEN GLOBAL)'!B1553</f>
        <v>0</v>
      </c>
      <c r="D1553" t="e">
        <f>INDEX('[1]CÓDIGOS DE PRODUCTO'!$D$3:$D$1000,MATCH(C1553,'[1]CÓDIGOS DE PRODUCTO'!$A$3:$A$1000,0))</f>
        <v>#N/A</v>
      </c>
      <c r="E1553">
        <f>VLOOKUP(C1553,'[1]CÓDIGOS DE PRODUCTO'!$A$4:$B$156,2,FALSE)</f>
        <v>0</v>
      </c>
      <c r="F1553">
        <f>INDEX('[1]CÓDIGOS DE PRODUCTO'!$C$3:$C$1000,MATCH(C1553,'[1]CÓDIGOS DE PRODUCTO'!$A$3:$A$1000,0))</f>
        <v>0</v>
      </c>
      <c r="G1553">
        <f>+'[1]VENTAS(RESUMEN GLOBAL)'!D1553-'[1]VENTAS(RESUMEN GLOBAL)'!E1553</f>
        <v>0</v>
      </c>
      <c r="H1553" s="9">
        <f>+'[1]VENTAS(RESUMEN GLOBAL)'!K1553</f>
        <v>0</v>
      </c>
      <c r="I1553" s="8">
        <f>+G1553*'[1]VENTAS(RESUMEN GLOBAL)'!F1553</f>
        <v>0</v>
      </c>
      <c r="J1553" s="8">
        <f>'[1]VENTAS(RESUMEN GLOBAL)'!G1553*(1-'[1]VENTAS(RESUMEN GLOBAL)'!H1553)</f>
        <v>0</v>
      </c>
      <c r="K1553" s="8">
        <f t="shared" si="24"/>
        <v>0</v>
      </c>
      <c r="L1553" s="8">
        <f>+'[1]VENTAS(RESUMEN GLOBAL)'!J1553</f>
        <v>0</v>
      </c>
      <c r="M1553" s="8">
        <f>+Tabla1[[#This Row],[utilidad x dia]]*7</f>
        <v>0</v>
      </c>
    </row>
    <row r="1554" spans="1:13" x14ac:dyDescent="0.3">
      <c r="A1554" s="6">
        <f>+'[1]VENTAS(RESUMEN GLOBAL)'!L1554</f>
        <v>0</v>
      </c>
      <c r="B1554" s="6">
        <f>+'[1]VENTAS(RESUMEN GLOBAL)'!M1554</f>
        <v>0</v>
      </c>
      <c r="C1554">
        <f>+'[1]VENTAS(RESUMEN GLOBAL)'!B1554</f>
        <v>0</v>
      </c>
      <c r="D1554" t="e">
        <f>INDEX('[1]CÓDIGOS DE PRODUCTO'!$D$3:$D$1000,MATCH(C1554,'[1]CÓDIGOS DE PRODUCTO'!$A$3:$A$1000,0))</f>
        <v>#N/A</v>
      </c>
      <c r="E1554">
        <f>VLOOKUP(C1554,'[1]CÓDIGOS DE PRODUCTO'!$A$4:$B$156,2,FALSE)</f>
        <v>0</v>
      </c>
      <c r="F1554">
        <f>INDEX('[1]CÓDIGOS DE PRODUCTO'!$C$3:$C$1000,MATCH(C1554,'[1]CÓDIGOS DE PRODUCTO'!$A$3:$A$1000,0))</f>
        <v>0</v>
      </c>
      <c r="G1554">
        <f>+'[1]VENTAS(RESUMEN GLOBAL)'!D1554-'[1]VENTAS(RESUMEN GLOBAL)'!E1554</f>
        <v>0</v>
      </c>
      <c r="H1554" s="9">
        <f>+'[1]VENTAS(RESUMEN GLOBAL)'!K1554</f>
        <v>0</v>
      </c>
      <c r="I1554" s="8">
        <f>+G1554*'[1]VENTAS(RESUMEN GLOBAL)'!F1554</f>
        <v>0</v>
      </c>
      <c r="J1554" s="8">
        <f>'[1]VENTAS(RESUMEN GLOBAL)'!G1554*(1-'[1]VENTAS(RESUMEN GLOBAL)'!H1554)</f>
        <v>0</v>
      </c>
      <c r="K1554" s="8">
        <f t="shared" si="24"/>
        <v>0</v>
      </c>
      <c r="L1554" s="8">
        <f>+'[1]VENTAS(RESUMEN GLOBAL)'!J1554</f>
        <v>0</v>
      </c>
      <c r="M1554" s="8">
        <f>+Tabla1[[#This Row],[utilidad x dia]]*7</f>
        <v>0</v>
      </c>
    </row>
    <row r="1555" spans="1:13" x14ac:dyDescent="0.3">
      <c r="A1555" s="6">
        <f>+'[1]VENTAS(RESUMEN GLOBAL)'!L1555</f>
        <v>0</v>
      </c>
      <c r="B1555" s="6">
        <f>+'[1]VENTAS(RESUMEN GLOBAL)'!M1555</f>
        <v>0</v>
      </c>
      <c r="C1555">
        <f>+'[1]VENTAS(RESUMEN GLOBAL)'!B1555</f>
        <v>0</v>
      </c>
      <c r="D1555" t="e">
        <f>INDEX('[1]CÓDIGOS DE PRODUCTO'!$D$3:$D$1000,MATCH(C1555,'[1]CÓDIGOS DE PRODUCTO'!$A$3:$A$1000,0))</f>
        <v>#N/A</v>
      </c>
      <c r="E1555">
        <f>VLOOKUP(C1555,'[1]CÓDIGOS DE PRODUCTO'!$A$4:$B$156,2,FALSE)</f>
        <v>0</v>
      </c>
      <c r="F1555">
        <f>INDEX('[1]CÓDIGOS DE PRODUCTO'!$C$3:$C$1000,MATCH(C1555,'[1]CÓDIGOS DE PRODUCTO'!$A$3:$A$1000,0))</f>
        <v>0</v>
      </c>
      <c r="G1555">
        <f>+'[1]VENTAS(RESUMEN GLOBAL)'!D1555-'[1]VENTAS(RESUMEN GLOBAL)'!E1555</f>
        <v>0</v>
      </c>
      <c r="H1555" s="9">
        <f>+'[1]VENTAS(RESUMEN GLOBAL)'!K1555</f>
        <v>0</v>
      </c>
      <c r="I1555" s="8">
        <f>+G1555*'[1]VENTAS(RESUMEN GLOBAL)'!F1555</f>
        <v>0</v>
      </c>
      <c r="J1555" s="8">
        <f>'[1]VENTAS(RESUMEN GLOBAL)'!G1555*(1-'[1]VENTAS(RESUMEN GLOBAL)'!H1555)</f>
        <v>0</v>
      </c>
      <c r="K1555" s="8">
        <f t="shared" si="24"/>
        <v>0</v>
      </c>
      <c r="L1555" s="8">
        <f>+'[1]VENTAS(RESUMEN GLOBAL)'!J1555</f>
        <v>0</v>
      </c>
      <c r="M1555" s="8">
        <f>+Tabla1[[#This Row],[utilidad x dia]]*7</f>
        <v>0</v>
      </c>
    </row>
    <row r="1556" spans="1:13" x14ac:dyDescent="0.3">
      <c r="A1556" s="6">
        <f>+'[1]VENTAS(RESUMEN GLOBAL)'!L1556</f>
        <v>0</v>
      </c>
      <c r="B1556" s="6">
        <f>+'[1]VENTAS(RESUMEN GLOBAL)'!M1556</f>
        <v>0</v>
      </c>
      <c r="C1556">
        <f>+'[1]VENTAS(RESUMEN GLOBAL)'!B1556</f>
        <v>0</v>
      </c>
      <c r="D1556" t="e">
        <f>INDEX('[1]CÓDIGOS DE PRODUCTO'!$D$3:$D$1000,MATCH(C1556,'[1]CÓDIGOS DE PRODUCTO'!$A$3:$A$1000,0))</f>
        <v>#N/A</v>
      </c>
      <c r="E1556">
        <f>VLOOKUP(C1556,'[1]CÓDIGOS DE PRODUCTO'!$A$4:$B$156,2,FALSE)</f>
        <v>0</v>
      </c>
      <c r="F1556">
        <f>INDEX('[1]CÓDIGOS DE PRODUCTO'!$C$3:$C$1000,MATCH(C1556,'[1]CÓDIGOS DE PRODUCTO'!$A$3:$A$1000,0))</f>
        <v>0</v>
      </c>
      <c r="G1556">
        <f>+'[1]VENTAS(RESUMEN GLOBAL)'!D1556-'[1]VENTAS(RESUMEN GLOBAL)'!E1556</f>
        <v>0</v>
      </c>
      <c r="H1556" s="9">
        <f>+'[1]VENTAS(RESUMEN GLOBAL)'!K1556</f>
        <v>0</v>
      </c>
      <c r="I1556" s="8">
        <f>+G1556*'[1]VENTAS(RESUMEN GLOBAL)'!F1556</f>
        <v>0</v>
      </c>
      <c r="J1556" s="8">
        <f>'[1]VENTAS(RESUMEN GLOBAL)'!G1556*(1-'[1]VENTAS(RESUMEN GLOBAL)'!H1556)</f>
        <v>0</v>
      </c>
      <c r="K1556" s="8">
        <f t="shared" si="24"/>
        <v>0</v>
      </c>
      <c r="L1556" s="8">
        <f>+'[1]VENTAS(RESUMEN GLOBAL)'!J1556</f>
        <v>0</v>
      </c>
      <c r="M1556" s="8">
        <f>+Tabla1[[#This Row],[utilidad x dia]]*7</f>
        <v>0</v>
      </c>
    </row>
    <row r="1557" spans="1:13" x14ac:dyDescent="0.3">
      <c r="A1557" s="6">
        <f>+'[1]VENTAS(RESUMEN GLOBAL)'!L1557</f>
        <v>0</v>
      </c>
      <c r="B1557" s="6">
        <f>+'[1]VENTAS(RESUMEN GLOBAL)'!M1557</f>
        <v>0</v>
      </c>
      <c r="C1557">
        <f>+'[1]VENTAS(RESUMEN GLOBAL)'!B1557</f>
        <v>0</v>
      </c>
      <c r="D1557" t="e">
        <f>INDEX('[1]CÓDIGOS DE PRODUCTO'!$D$3:$D$1000,MATCH(C1557,'[1]CÓDIGOS DE PRODUCTO'!$A$3:$A$1000,0))</f>
        <v>#N/A</v>
      </c>
      <c r="E1557">
        <f>VLOOKUP(C1557,'[1]CÓDIGOS DE PRODUCTO'!$A$4:$B$156,2,FALSE)</f>
        <v>0</v>
      </c>
      <c r="F1557">
        <f>INDEX('[1]CÓDIGOS DE PRODUCTO'!$C$3:$C$1000,MATCH(C1557,'[1]CÓDIGOS DE PRODUCTO'!$A$3:$A$1000,0))</f>
        <v>0</v>
      </c>
      <c r="G1557">
        <f>+'[1]VENTAS(RESUMEN GLOBAL)'!D1557-'[1]VENTAS(RESUMEN GLOBAL)'!E1557</f>
        <v>0</v>
      </c>
      <c r="H1557" s="9">
        <f>+'[1]VENTAS(RESUMEN GLOBAL)'!K1557</f>
        <v>0</v>
      </c>
      <c r="I1557" s="8">
        <f>+G1557*'[1]VENTAS(RESUMEN GLOBAL)'!F1557</f>
        <v>0</v>
      </c>
      <c r="J1557" s="8">
        <f>'[1]VENTAS(RESUMEN GLOBAL)'!G1557*(1-'[1]VENTAS(RESUMEN GLOBAL)'!H1557)</f>
        <v>0</v>
      </c>
      <c r="K1557" s="8">
        <f t="shared" si="24"/>
        <v>0</v>
      </c>
      <c r="L1557" s="8">
        <f>+'[1]VENTAS(RESUMEN GLOBAL)'!J1557</f>
        <v>0</v>
      </c>
      <c r="M1557" s="8">
        <f>+Tabla1[[#This Row],[utilidad x dia]]*7</f>
        <v>0</v>
      </c>
    </row>
    <row r="1558" spans="1:13" x14ac:dyDescent="0.3">
      <c r="A1558" s="6">
        <f>+'[1]VENTAS(RESUMEN GLOBAL)'!L1558</f>
        <v>0</v>
      </c>
      <c r="B1558" s="6">
        <f>+'[1]VENTAS(RESUMEN GLOBAL)'!M1558</f>
        <v>0</v>
      </c>
      <c r="C1558">
        <f>+'[1]VENTAS(RESUMEN GLOBAL)'!B1558</f>
        <v>0</v>
      </c>
      <c r="D1558" t="e">
        <f>INDEX('[1]CÓDIGOS DE PRODUCTO'!$D$3:$D$1000,MATCH(C1558,'[1]CÓDIGOS DE PRODUCTO'!$A$3:$A$1000,0))</f>
        <v>#N/A</v>
      </c>
      <c r="E1558">
        <f>VLOOKUP(C1558,'[1]CÓDIGOS DE PRODUCTO'!$A$4:$B$156,2,FALSE)</f>
        <v>0</v>
      </c>
      <c r="F1558">
        <f>INDEX('[1]CÓDIGOS DE PRODUCTO'!$C$3:$C$1000,MATCH(C1558,'[1]CÓDIGOS DE PRODUCTO'!$A$3:$A$1000,0))</f>
        <v>0</v>
      </c>
      <c r="G1558">
        <f>+'[1]VENTAS(RESUMEN GLOBAL)'!D1558-'[1]VENTAS(RESUMEN GLOBAL)'!E1558</f>
        <v>0</v>
      </c>
      <c r="H1558" s="9">
        <f>+'[1]VENTAS(RESUMEN GLOBAL)'!K1558</f>
        <v>0</v>
      </c>
      <c r="I1558" s="8">
        <f>+G1558*'[1]VENTAS(RESUMEN GLOBAL)'!F1558</f>
        <v>0</v>
      </c>
      <c r="J1558" s="8">
        <f>'[1]VENTAS(RESUMEN GLOBAL)'!G1558*(1-'[1]VENTAS(RESUMEN GLOBAL)'!H1558)</f>
        <v>0</v>
      </c>
      <c r="K1558" s="8">
        <f t="shared" si="24"/>
        <v>0</v>
      </c>
      <c r="L1558" s="8">
        <f>+'[1]VENTAS(RESUMEN GLOBAL)'!J1558</f>
        <v>0</v>
      </c>
      <c r="M1558" s="8">
        <f>+Tabla1[[#This Row],[utilidad x dia]]*7</f>
        <v>0</v>
      </c>
    </row>
    <row r="1559" spans="1:13" x14ac:dyDescent="0.3">
      <c r="A1559" s="6">
        <f>+'[1]VENTAS(RESUMEN GLOBAL)'!L1559</f>
        <v>0</v>
      </c>
      <c r="B1559" s="6">
        <f>+'[1]VENTAS(RESUMEN GLOBAL)'!M1559</f>
        <v>0</v>
      </c>
      <c r="C1559">
        <f>+'[1]VENTAS(RESUMEN GLOBAL)'!B1559</f>
        <v>0</v>
      </c>
      <c r="D1559" t="e">
        <f>INDEX('[1]CÓDIGOS DE PRODUCTO'!$D$3:$D$1000,MATCH(C1559,'[1]CÓDIGOS DE PRODUCTO'!$A$3:$A$1000,0))</f>
        <v>#N/A</v>
      </c>
      <c r="E1559">
        <f>VLOOKUP(C1559,'[1]CÓDIGOS DE PRODUCTO'!$A$4:$B$156,2,FALSE)</f>
        <v>0</v>
      </c>
      <c r="F1559">
        <f>INDEX('[1]CÓDIGOS DE PRODUCTO'!$C$3:$C$1000,MATCH(C1559,'[1]CÓDIGOS DE PRODUCTO'!$A$3:$A$1000,0))</f>
        <v>0</v>
      </c>
      <c r="G1559">
        <f>+'[1]VENTAS(RESUMEN GLOBAL)'!D1559-'[1]VENTAS(RESUMEN GLOBAL)'!E1559</f>
        <v>0</v>
      </c>
      <c r="H1559" s="9">
        <f>+'[1]VENTAS(RESUMEN GLOBAL)'!K1559</f>
        <v>0</v>
      </c>
      <c r="I1559" s="8">
        <f>+G1559*'[1]VENTAS(RESUMEN GLOBAL)'!F1559</f>
        <v>0</v>
      </c>
      <c r="J1559" s="8">
        <f>'[1]VENTAS(RESUMEN GLOBAL)'!G1559*(1-'[1]VENTAS(RESUMEN GLOBAL)'!H1559)</f>
        <v>0</v>
      </c>
      <c r="K1559" s="8">
        <f t="shared" si="24"/>
        <v>0</v>
      </c>
      <c r="L1559" s="8">
        <f>+'[1]VENTAS(RESUMEN GLOBAL)'!J1559</f>
        <v>0</v>
      </c>
      <c r="M1559" s="8">
        <f>+Tabla1[[#This Row],[utilidad x dia]]*7</f>
        <v>0</v>
      </c>
    </row>
    <row r="1560" spans="1:13" x14ac:dyDescent="0.3">
      <c r="A1560" s="6">
        <f>+'[1]VENTAS(RESUMEN GLOBAL)'!L1560</f>
        <v>0</v>
      </c>
      <c r="B1560" s="6">
        <f>+'[1]VENTAS(RESUMEN GLOBAL)'!M1560</f>
        <v>0</v>
      </c>
      <c r="C1560">
        <f>+'[1]VENTAS(RESUMEN GLOBAL)'!B1560</f>
        <v>0</v>
      </c>
      <c r="D1560" t="e">
        <f>INDEX('[1]CÓDIGOS DE PRODUCTO'!$D$3:$D$1000,MATCH(C1560,'[1]CÓDIGOS DE PRODUCTO'!$A$3:$A$1000,0))</f>
        <v>#N/A</v>
      </c>
      <c r="E1560">
        <f>VLOOKUP(C1560,'[1]CÓDIGOS DE PRODUCTO'!$A$4:$B$156,2,FALSE)</f>
        <v>0</v>
      </c>
      <c r="F1560">
        <f>INDEX('[1]CÓDIGOS DE PRODUCTO'!$C$3:$C$1000,MATCH(C1560,'[1]CÓDIGOS DE PRODUCTO'!$A$3:$A$1000,0))</f>
        <v>0</v>
      </c>
      <c r="G1560">
        <f>+'[1]VENTAS(RESUMEN GLOBAL)'!D1560-'[1]VENTAS(RESUMEN GLOBAL)'!E1560</f>
        <v>0</v>
      </c>
      <c r="H1560" s="9">
        <f>+'[1]VENTAS(RESUMEN GLOBAL)'!K1560</f>
        <v>0</v>
      </c>
      <c r="I1560" s="8">
        <f>+G1560*'[1]VENTAS(RESUMEN GLOBAL)'!F1560</f>
        <v>0</v>
      </c>
      <c r="J1560" s="8">
        <f>'[1]VENTAS(RESUMEN GLOBAL)'!G1560*(1-'[1]VENTAS(RESUMEN GLOBAL)'!H1560)</f>
        <v>0</v>
      </c>
      <c r="K1560" s="8">
        <f t="shared" si="24"/>
        <v>0</v>
      </c>
      <c r="L1560" s="8">
        <f>+'[1]VENTAS(RESUMEN GLOBAL)'!J1560</f>
        <v>0</v>
      </c>
      <c r="M1560" s="8">
        <f>+Tabla1[[#This Row],[utilidad x dia]]*7</f>
        <v>0</v>
      </c>
    </row>
    <row r="1561" spans="1:13" x14ac:dyDescent="0.3">
      <c r="A1561" s="6">
        <f>+'[1]VENTAS(RESUMEN GLOBAL)'!L1561</f>
        <v>0</v>
      </c>
      <c r="B1561" s="6">
        <f>+'[1]VENTAS(RESUMEN GLOBAL)'!M1561</f>
        <v>0</v>
      </c>
      <c r="C1561">
        <f>+'[1]VENTAS(RESUMEN GLOBAL)'!B1561</f>
        <v>0</v>
      </c>
      <c r="D1561" t="e">
        <f>INDEX('[1]CÓDIGOS DE PRODUCTO'!$D$3:$D$1000,MATCH(C1561,'[1]CÓDIGOS DE PRODUCTO'!$A$3:$A$1000,0))</f>
        <v>#N/A</v>
      </c>
      <c r="E1561">
        <f>VLOOKUP(C1561,'[1]CÓDIGOS DE PRODUCTO'!$A$4:$B$156,2,FALSE)</f>
        <v>0</v>
      </c>
      <c r="F1561">
        <f>INDEX('[1]CÓDIGOS DE PRODUCTO'!$C$3:$C$1000,MATCH(C1561,'[1]CÓDIGOS DE PRODUCTO'!$A$3:$A$1000,0))</f>
        <v>0</v>
      </c>
      <c r="G1561">
        <f>+'[1]VENTAS(RESUMEN GLOBAL)'!D1561-'[1]VENTAS(RESUMEN GLOBAL)'!E1561</f>
        <v>0</v>
      </c>
      <c r="H1561" s="9">
        <f>+'[1]VENTAS(RESUMEN GLOBAL)'!K1561</f>
        <v>0</v>
      </c>
      <c r="I1561" s="8">
        <f>+G1561*'[1]VENTAS(RESUMEN GLOBAL)'!F1561</f>
        <v>0</v>
      </c>
      <c r="J1561" s="8">
        <f>'[1]VENTAS(RESUMEN GLOBAL)'!G1561*(1-'[1]VENTAS(RESUMEN GLOBAL)'!H1561)</f>
        <v>0</v>
      </c>
      <c r="K1561" s="8">
        <f t="shared" si="24"/>
        <v>0</v>
      </c>
      <c r="L1561" s="8">
        <f>+'[1]VENTAS(RESUMEN GLOBAL)'!J1561</f>
        <v>0</v>
      </c>
      <c r="M1561" s="8">
        <f>+Tabla1[[#This Row],[utilidad x dia]]*7</f>
        <v>0</v>
      </c>
    </row>
    <row r="1562" spans="1:13" x14ac:dyDescent="0.3">
      <c r="A1562" s="6">
        <f>+'[1]VENTAS(RESUMEN GLOBAL)'!L1562</f>
        <v>0</v>
      </c>
      <c r="B1562" s="6">
        <f>+'[1]VENTAS(RESUMEN GLOBAL)'!M1562</f>
        <v>0</v>
      </c>
      <c r="C1562">
        <f>+'[1]VENTAS(RESUMEN GLOBAL)'!B1562</f>
        <v>0</v>
      </c>
      <c r="D1562" t="e">
        <f>INDEX('[1]CÓDIGOS DE PRODUCTO'!$D$3:$D$1000,MATCH(C1562,'[1]CÓDIGOS DE PRODUCTO'!$A$3:$A$1000,0))</f>
        <v>#N/A</v>
      </c>
      <c r="E1562">
        <f>VLOOKUP(C1562,'[1]CÓDIGOS DE PRODUCTO'!$A$4:$B$156,2,FALSE)</f>
        <v>0</v>
      </c>
      <c r="F1562">
        <f>INDEX('[1]CÓDIGOS DE PRODUCTO'!$C$3:$C$1000,MATCH(C1562,'[1]CÓDIGOS DE PRODUCTO'!$A$3:$A$1000,0))</f>
        <v>0</v>
      </c>
      <c r="G1562">
        <f>+'[1]VENTAS(RESUMEN GLOBAL)'!D1562-'[1]VENTAS(RESUMEN GLOBAL)'!E1562</f>
        <v>0</v>
      </c>
      <c r="H1562" s="9">
        <f>+'[1]VENTAS(RESUMEN GLOBAL)'!K1562</f>
        <v>0</v>
      </c>
      <c r="I1562" s="8">
        <f>+G1562*'[1]VENTAS(RESUMEN GLOBAL)'!F1562</f>
        <v>0</v>
      </c>
      <c r="J1562" s="8">
        <f>'[1]VENTAS(RESUMEN GLOBAL)'!G1562*(1-'[1]VENTAS(RESUMEN GLOBAL)'!H1562)</f>
        <v>0</v>
      </c>
      <c r="K1562" s="8">
        <f t="shared" si="24"/>
        <v>0</v>
      </c>
      <c r="L1562" s="8">
        <f>+'[1]VENTAS(RESUMEN GLOBAL)'!J1562</f>
        <v>0</v>
      </c>
      <c r="M1562" s="8">
        <f>+Tabla1[[#This Row],[utilidad x dia]]*7</f>
        <v>0</v>
      </c>
    </row>
    <row r="1563" spans="1:13" x14ac:dyDescent="0.3">
      <c r="A1563" s="6">
        <f>+'[1]VENTAS(RESUMEN GLOBAL)'!L1563</f>
        <v>0</v>
      </c>
      <c r="B1563" s="6">
        <f>+'[1]VENTAS(RESUMEN GLOBAL)'!M1563</f>
        <v>0</v>
      </c>
      <c r="C1563">
        <f>+'[1]VENTAS(RESUMEN GLOBAL)'!B1563</f>
        <v>0</v>
      </c>
      <c r="D1563" t="e">
        <f>INDEX('[1]CÓDIGOS DE PRODUCTO'!$D$3:$D$1000,MATCH(C1563,'[1]CÓDIGOS DE PRODUCTO'!$A$3:$A$1000,0))</f>
        <v>#N/A</v>
      </c>
      <c r="E1563">
        <f>VLOOKUP(C1563,'[1]CÓDIGOS DE PRODUCTO'!$A$4:$B$156,2,FALSE)</f>
        <v>0</v>
      </c>
      <c r="F1563">
        <f>INDEX('[1]CÓDIGOS DE PRODUCTO'!$C$3:$C$1000,MATCH(C1563,'[1]CÓDIGOS DE PRODUCTO'!$A$3:$A$1000,0))</f>
        <v>0</v>
      </c>
      <c r="G1563">
        <f>+'[1]VENTAS(RESUMEN GLOBAL)'!D1563-'[1]VENTAS(RESUMEN GLOBAL)'!E1563</f>
        <v>0</v>
      </c>
      <c r="H1563" s="9">
        <f>+'[1]VENTAS(RESUMEN GLOBAL)'!K1563</f>
        <v>0</v>
      </c>
      <c r="I1563" s="8">
        <f>+G1563*'[1]VENTAS(RESUMEN GLOBAL)'!F1563</f>
        <v>0</v>
      </c>
      <c r="J1563" s="8">
        <f>'[1]VENTAS(RESUMEN GLOBAL)'!G1563*(1-'[1]VENTAS(RESUMEN GLOBAL)'!H1563)</f>
        <v>0</v>
      </c>
      <c r="K1563" s="8">
        <f t="shared" si="24"/>
        <v>0</v>
      </c>
      <c r="L1563" s="8">
        <f>+'[1]VENTAS(RESUMEN GLOBAL)'!J1563</f>
        <v>0</v>
      </c>
      <c r="M1563" s="8">
        <f>+Tabla1[[#This Row],[utilidad x dia]]*7</f>
        <v>0</v>
      </c>
    </row>
    <row r="1564" spans="1:13" x14ac:dyDescent="0.3">
      <c r="A1564" s="6">
        <f>+'[1]VENTAS(RESUMEN GLOBAL)'!L1564</f>
        <v>0</v>
      </c>
      <c r="B1564" s="6">
        <f>+'[1]VENTAS(RESUMEN GLOBAL)'!M1564</f>
        <v>0</v>
      </c>
      <c r="C1564">
        <f>+'[1]VENTAS(RESUMEN GLOBAL)'!B1564</f>
        <v>0</v>
      </c>
      <c r="D1564" t="e">
        <f>INDEX('[1]CÓDIGOS DE PRODUCTO'!$D$3:$D$1000,MATCH(C1564,'[1]CÓDIGOS DE PRODUCTO'!$A$3:$A$1000,0))</f>
        <v>#N/A</v>
      </c>
      <c r="E1564">
        <f>VLOOKUP(C1564,'[1]CÓDIGOS DE PRODUCTO'!$A$4:$B$156,2,FALSE)</f>
        <v>0</v>
      </c>
      <c r="F1564">
        <f>INDEX('[1]CÓDIGOS DE PRODUCTO'!$C$3:$C$1000,MATCH(C1564,'[1]CÓDIGOS DE PRODUCTO'!$A$3:$A$1000,0))</f>
        <v>0</v>
      </c>
      <c r="G1564">
        <f>+'[1]VENTAS(RESUMEN GLOBAL)'!D1564-'[1]VENTAS(RESUMEN GLOBAL)'!E1564</f>
        <v>0</v>
      </c>
      <c r="H1564" s="9">
        <f>+'[1]VENTAS(RESUMEN GLOBAL)'!K1564</f>
        <v>0</v>
      </c>
      <c r="I1564" s="8">
        <f>+G1564*'[1]VENTAS(RESUMEN GLOBAL)'!F1564</f>
        <v>0</v>
      </c>
      <c r="J1564" s="8">
        <f>'[1]VENTAS(RESUMEN GLOBAL)'!G1564*(1-'[1]VENTAS(RESUMEN GLOBAL)'!H1564)</f>
        <v>0</v>
      </c>
      <c r="K1564" s="8">
        <f t="shared" si="24"/>
        <v>0</v>
      </c>
      <c r="L1564" s="8">
        <f>+'[1]VENTAS(RESUMEN GLOBAL)'!J1564</f>
        <v>0</v>
      </c>
      <c r="M1564" s="8">
        <f>+Tabla1[[#This Row],[utilidad x dia]]*7</f>
        <v>0</v>
      </c>
    </row>
    <row r="1565" spans="1:13" x14ac:dyDescent="0.3">
      <c r="A1565" s="6">
        <f>+'[1]VENTAS(RESUMEN GLOBAL)'!L1565</f>
        <v>0</v>
      </c>
      <c r="B1565" s="6">
        <f>+'[1]VENTAS(RESUMEN GLOBAL)'!M1565</f>
        <v>0</v>
      </c>
      <c r="C1565">
        <f>+'[1]VENTAS(RESUMEN GLOBAL)'!B1565</f>
        <v>0</v>
      </c>
      <c r="D1565" t="e">
        <f>INDEX('[1]CÓDIGOS DE PRODUCTO'!$D$3:$D$1000,MATCH(C1565,'[1]CÓDIGOS DE PRODUCTO'!$A$3:$A$1000,0))</f>
        <v>#N/A</v>
      </c>
      <c r="E1565">
        <f>VLOOKUP(C1565,'[1]CÓDIGOS DE PRODUCTO'!$A$4:$B$156,2,FALSE)</f>
        <v>0</v>
      </c>
      <c r="F1565">
        <f>INDEX('[1]CÓDIGOS DE PRODUCTO'!$C$3:$C$1000,MATCH(C1565,'[1]CÓDIGOS DE PRODUCTO'!$A$3:$A$1000,0))</f>
        <v>0</v>
      </c>
      <c r="G1565">
        <f>+'[1]VENTAS(RESUMEN GLOBAL)'!D1565-'[1]VENTAS(RESUMEN GLOBAL)'!E1565</f>
        <v>0</v>
      </c>
      <c r="H1565" s="9">
        <f>+'[1]VENTAS(RESUMEN GLOBAL)'!K1565</f>
        <v>0</v>
      </c>
      <c r="I1565" s="8">
        <f>+G1565*'[1]VENTAS(RESUMEN GLOBAL)'!F1565</f>
        <v>0</v>
      </c>
      <c r="J1565" s="8">
        <f>'[1]VENTAS(RESUMEN GLOBAL)'!G1565*(1-'[1]VENTAS(RESUMEN GLOBAL)'!H1565)</f>
        <v>0</v>
      </c>
      <c r="K1565" s="8">
        <f t="shared" si="24"/>
        <v>0</v>
      </c>
      <c r="L1565" s="8">
        <f>+'[1]VENTAS(RESUMEN GLOBAL)'!J1565</f>
        <v>0</v>
      </c>
      <c r="M1565" s="8">
        <f>+Tabla1[[#This Row],[utilidad x dia]]*7</f>
        <v>0</v>
      </c>
    </row>
    <row r="1566" spans="1:13" x14ac:dyDescent="0.3">
      <c r="A1566" s="6">
        <f>+'[1]VENTAS(RESUMEN GLOBAL)'!L1566</f>
        <v>0</v>
      </c>
      <c r="B1566" s="6">
        <f>+'[1]VENTAS(RESUMEN GLOBAL)'!M1566</f>
        <v>0</v>
      </c>
      <c r="C1566">
        <f>+'[1]VENTAS(RESUMEN GLOBAL)'!B1566</f>
        <v>0</v>
      </c>
      <c r="D1566" t="e">
        <f>INDEX('[1]CÓDIGOS DE PRODUCTO'!$D$3:$D$1000,MATCH(C1566,'[1]CÓDIGOS DE PRODUCTO'!$A$3:$A$1000,0))</f>
        <v>#N/A</v>
      </c>
      <c r="E1566">
        <f>VLOOKUP(C1566,'[1]CÓDIGOS DE PRODUCTO'!$A$4:$B$156,2,FALSE)</f>
        <v>0</v>
      </c>
      <c r="F1566">
        <f>INDEX('[1]CÓDIGOS DE PRODUCTO'!$C$3:$C$1000,MATCH(C1566,'[1]CÓDIGOS DE PRODUCTO'!$A$3:$A$1000,0))</f>
        <v>0</v>
      </c>
      <c r="G1566">
        <f>+'[1]VENTAS(RESUMEN GLOBAL)'!D1566-'[1]VENTAS(RESUMEN GLOBAL)'!E1566</f>
        <v>0</v>
      </c>
      <c r="H1566" s="9">
        <f>+'[1]VENTAS(RESUMEN GLOBAL)'!K1566</f>
        <v>0</v>
      </c>
      <c r="I1566" s="8">
        <f>+G1566*'[1]VENTAS(RESUMEN GLOBAL)'!F1566</f>
        <v>0</v>
      </c>
      <c r="J1566" s="8">
        <f>'[1]VENTAS(RESUMEN GLOBAL)'!G1566*(1-'[1]VENTAS(RESUMEN GLOBAL)'!H1566)</f>
        <v>0</v>
      </c>
      <c r="K1566" s="8">
        <f t="shared" si="24"/>
        <v>0</v>
      </c>
      <c r="L1566" s="8">
        <f>+'[1]VENTAS(RESUMEN GLOBAL)'!J1566</f>
        <v>0</v>
      </c>
      <c r="M1566" s="8">
        <f>+Tabla1[[#This Row],[utilidad x dia]]*7</f>
        <v>0</v>
      </c>
    </row>
    <row r="1567" spans="1:13" x14ac:dyDescent="0.3">
      <c r="A1567" s="6">
        <f>+'[1]VENTAS(RESUMEN GLOBAL)'!L1567</f>
        <v>0</v>
      </c>
      <c r="B1567" s="6">
        <f>+'[1]VENTAS(RESUMEN GLOBAL)'!M1567</f>
        <v>0</v>
      </c>
      <c r="C1567">
        <f>+'[1]VENTAS(RESUMEN GLOBAL)'!B1567</f>
        <v>0</v>
      </c>
      <c r="D1567" t="e">
        <f>INDEX('[1]CÓDIGOS DE PRODUCTO'!$D$3:$D$1000,MATCH(C1567,'[1]CÓDIGOS DE PRODUCTO'!$A$3:$A$1000,0))</f>
        <v>#N/A</v>
      </c>
      <c r="E1567">
        <f>VLOOKUP(C1567,'[1]CÓDIGOS DE PRODUCTO'!$A$4:$B$156,2,FALSE)</f>
        <v>0</v>
      </c>
      <c r="F1567">
        <f>INDEX('[1]CÓDIGOS DE PRODUCTO'!$C$3:$C$1000,MATCH(C1567,'[1]CÓDIGOS DE PRODUCTO'!$A$3:$A$1000,0))</f>
        <v>0</v>
      </c>
      <c r="G1567">
        <f>+'[1]VENTAS(RESUMEN GLOBAL)'!D1567-'[1]VENTAS(RESUMEN GLOBAL)'!E1567</f>
        <v>0</v>
      </c>
      <c r="H1567" s="9">
        <f>+'[1]VENTAS(RESUMEN GLOBAL)'!K1567</f>
        <v>0</v>
      </c>
      <c r="I1567" s="8">
        <f>+G1567*'[1]VENTAS(RESUMEN GLOBAL)'!F1567</f>
        <v>0</v>
      </c>
      <c r="J1567" s="8">
        <f>'[1]VENTAS(RESUMEN GLOBAL)'!G1567*(1-'[1]VENTAS(RESUMEN GLOBAL)'!H1567)</f>
        <v>0</v>
      </c>
      <c r="K1567" s="8">
        <f t="shared" si="24"/>
        <v>0</v>
      </c>
      <c r="L1567" s="8">
        <f>+'[1]VENTAS(RESUMEN GLOBAL)'!J1567</f>
        <v>0</v>
      </c>
      <c r="M1567" s="8">
        <f>+Tabla1[[#This Row],[utilidad x dia]]*7</f>
        <v>0</v>
      </c>
    </row>
    <row r="1568" spans="1:13" x14ac:dyDescent="0.3">
      <c r="A1568" s="6">
        <f>+'[1]VENTAS(RESUMEN GLOBAL)'!L1568</f>
        <v>0</v>
      </c>
      <c r="B1568" s="6">
        <f>+'[1]VENTAS(RESUMEN GLOBAL)'!M1568</f>
        <v>0</v>
      </c>
      <c r="C1568">
        <f>+'[1]VENTAS(RESUMEN GLOBAL)'!B1568</f>
        <v>0</v>
      </c>
      <c r="D1568" t="e">
        <f>INDEX('[1]CÓDIGOS DE PRODUCTO'!$D$3:$D$1000,MATCH(C1568,'[1]CÓDIGOS DE PRODUCTO'!$A$3:$A$1000,0))</f>
        <v>#N/A</v>
      </c>
      <c r="E1568">
        <f>VLOOKUP(C1568,'[1]CÓDIGOS DE PRODUCTO'!$A$4:$B$156,2,FALSE)</f>
        <v>0</v>
      </c>
      <c r="F1568">
        <f>INDEX('[1]CÓDIGOS DE PRODUCTO'!$C$3:$C$1000,MATCH(C1568,'[1]CÓDIGOS DE PRODUCTO'!$A$3:$A$1000,0))</f>
        <v>0</v>
      </c>
      <c r="G1568">
        <f>+'[1]VENTAS(RESUMEN GLOBAL)'!D1568-'[1]VENTAS(RESUMEN GLOBAL)'!E1568</f>
        <v>0</v>
      </c>
      <c r="H1568" s="9">
        <f>+'[1]VENTAS(RESUMEN GLOBAL)'!K1568</f>
        <v>0</v>
      </c>
      <c r="I1568" s="8">
        <f>+G1568*'[1]VENTAS(RESUMEN GLOBAL)'!F1568</f>
        <v>0</v>
      </c>
      <c r="J1568" s="8">
        <f>'[1]VENTAS(RESUMEN GLOBAL)'!G1568*(1-'[1]VENTAS(RESUMEN GLOBAL)'!H1568)</f>
        <v>0</v>
      </c>
      <c r="K1568" s="8">
        <f t="shared" si="24"/>
        <v>0</v>
      </c>
      <c r="L1568" s="8">
        <f>+'[1]VENTAS(RESUMEN GLOBAL)'!J1568</f>
        <v>0</v>
      </c>
      <c r="M1568" s="8">
        <f>+Tabla1[[#This Row],[utilidad x dia]]*7</f>
        <v>0</v>
      </c>
    </row>
    <row r="1569" spans="1:13" x14ac:dyDescent="0.3">
      <c r="A1569" s="6">
        <f>+'[1]VENTAS(RESUMEN GLOBAL)'!L1569</f>
        <v>0</v>
      </c>
      <c r="B1569" s="6">
        <f>+'[1]VENTAS(RESUMEN GLOBAL)'!M1569</f>
        <v>0</v>
      </c>
      <c r="C1569">
        <f>+'[1]VENTAS(RESUMEN GLOBAL)'!B1569</f>
        <v>0</v>
      </c>
      <c r="D1569" t="e">
        <f>INDEX('[1]CÓDIGOS DE PRODUCTO'!$D$3:$D$1000,MATCH(C1569,'[1]CÓDIGOS DE PRODUCTO'!$A$3:$A$1000,0))</f>
        <v>#N/A</v>
      </c>
      <c r="E1569">
        <f>VLOOKUP(C1569,'[1]CÓDIGOS DE PRODUCTO'!$A$4:$B$156,2,FALSE)</f>
        <v>0</v>
      </c>
      <c r="F1569">
        <f>INDEX('[1]CÓDIGOS DE PRODUCTO'!$C$3:$C$1000,MATCH(C1569,'[1]CÓDIGOS DE PRODUCTO'!$A$3:$A$1000,0))</f>
        <v>0</v>
      </c>
      <c r="G1569">
        <f>+'[1]VENTAS(RESUMEN GLOBAL)'!D1569-'[1]VENTAS(RESUMEN GLOBAL)'!E1569</f>
        <v>0</v>
      </c>
      <c r="H1569" s="9">
        <f>+'[1]VENTAS(RESUMEN GLOBAL)'!K1569</f>
        <v>0</v>
      </c>
      <c r="I1569" s="8">
        <f>+G1569*'[1]VENTAS(RESUMEN GLOBAL)'!F1569</f>
        <v>0</v>
      </c>
      <c r="J1569" s="8">
        <f>'[1]VENTAS(RESUMEN GLOBAL)'!G1569*(1-'[1]VENTAS(RESUMEN GLOBAL)'!H1569)</f>
        <v>0</v>
      </c>
      <c r="K1569" s="8">
        <f t="shared" si="24"/>
        <v>0</v>
      </c>
      <c r="L1569" s="8">
        <f>+'[1]VENTAS(RESUMEN GLOBAL)'!J1569</f>
        <v>0</v>
      </c>
      <c r="M1569" s="8">
        <f>+Tabla1[[#This Row],[utilidad x dia]]*7</f>
        <v>0</v>
      </c>
    </row>
    <row r="1570" spans="1:13" x14ac:dyDescent="0.3">
      <c r="A1570" s="6">
        <f>+'[1]VENTAS(RESUMEN GLOBAL)'!L1570</f>
        <v>0</v>
      </c>
      <c r="B1570" s="6">
        <f>+'[1]VENTAS(RESUMEN GLOBAL)'!M1570</f>
        <v>0</v>
      </c>
      <c r="C1570">
        <f>+'[1]VENTAS(RESUMEN GLOBAL)'!B1570</f>
        <v>0</v>
      </c>
      <c r="D1570" t="e">
        <f>INDEX('[1]CÓDIGOS DE PRODUCTO'!$D$3:$D$1000,MATCH(C1570,'[1]CÓDIGOS DE PRODUCTO'!$A$3:$A$1000,0))</f>
        <v>#N/A</v>
      </c>
      <c r="E1570">
        <f>VLOOKUP(C1570,'[1]CÓDIGOS DE PRODUCTO'!$A$4:$B$156,2,FALSE)</f>
        <v>0</v>
      </c>
      <c r="F1570">
        <f>INDEX('[1]CÓDIGOS DE PRODUCTO'!$C$3:$C$1000,MATCH(C1570,'[1]CÓDIGOS DE PRODUCTO'!$A$3:$A$1000,0))</f>
        <v>0</v>
      </c>
      <c r="G1570">
        <f>+'[1]VENTAS(RESUMEN GLOBAL)'!D1570-'[1]VENTAS(RESUMEN GLOBAL)'!E1570</f>
        <v>0</v>
      </c>
      <c r="H1570" s="9">
        <f>+'[1]VENTAS(RESUMEN GLOBAL)'!K1570</f>
        <v>0</v>
      </c>
      <c r="I1570" s="8">
        <f>+G1570*'[1]VENTAS(RESUMEN GLOBAL)'!F1570</f>
        <v>0</v>
      </c>
      <c r="J1570" s="8">
        <f>'[1]VENTAS(RESUMEN GLOBAL)'!G1570*(1-'[1]VENTAS(RESUMEN GLOBAL)'!H1570)</f>
        <v>0</v>
      </c>
      <c r="K1570" s="8">
        <f t="shared" si="24"/>
        <v>0</v>
      </c>
      <c r="L1570" s="8">
        <f>+'[1]VENTAS(RESUMEN GLOBAL)'!J1570</f>
        <v>0</v>
      </c>
      <c r="M1570" s="8">
        <f>+Tabla1[[#This Row],[utilidad x dia]]*7</f>
        <v>0</v>
      </c>
    </row>
    <row r="1571" spans="1:13" x14ac:dyDescent="0.3">
      <c r="A1571" s="6">
        <f>+'[1]VENTAS(RESUMEN GLOBAL)'!L1571</f>
        <v>0</v>
      </c>
      <c r="B1571" s="6">
        <f>+'[1]VENTAS(RESUMEN GLOBAL)'!M1571</f>
        <v>0</v>
      </c>
      <c r="C1571">
        <f>+'[1]VENTAS(RESUMEN GLOBAL)'!B1571</f>
        <v>0</v>
      </c>
      <c r="D1571" t="e">
        <f>INDEX('[1]CÓDIGOS DE PRODUCTO'!$D$3:$D$1000,MATCH(C1571,'[1]CÓDIGOS DE PRODUCTO'!$A$3:$A$1000,0))</f>
        <v>#N/A</v>
      </c>
      <c r="E1571">
        <f>VLOOKUP(C1571,'[1]CÓDIGOS DE PRODUCTO'!$A$4:$B$156,2,FALSE)</f>
        <v>0</v>
      </c>
      <c r="F1571">
        <f>INDEX('[1]CÓDIGOS DE PRODUCTO'!$C$3:$C$1000,MATCH(C1571,'[1]CÓDIGOS DE PRODUCTO'!$A$3:$A$1000,0))</f>
        <v>0</v>
      </c>
      <c r="G1571">
        <f>+'[1]VENTAS(RESUMEN GLOBAL)'!D1571-'[1]VENTAS(RESUMEN GLOBAL)'!E1571</f>
        <v>0</v>
      </c>
      <c r="H1571" s="9">
        <f>+'[1]VENTAS(RESUMEN GLOBAL)'!K1571</f>
        <v>0</v>
      </c>
      <c r="I1571" s="8">
        <f>+G1571*'[1]VENTAS(RESUMEN GLOBAL)'!F1571</f>
        <v>0</v>
      </c>
      <c r="J1571" s="8">
        <f>'[1]VENTAS(RESUMEN GLOBAL)'!G1571*(1-'[1]VENTAS(RESUMEN GLOBAL)'!H1571)</f>
        <v>0</v>
      </c>
      <c r="K1571" s="8">
        <f t="shared" si="24"/>
        <v>0</v>
      </c>
      <c r="L1571" s="8">
        <f>+'[1]VENTAS(RESUMEN GLOBAL)'!J1571</f>
        <v>0</v>
      </c>
      <c r="M1571" s="8">
        <f>+Tabla1[[#This Row],[utilidad x dia]]*7</f>
        <v>0</v>
      </c>
    </row>
    <row r="1572" spans="1:13" x14ac:dyDescent="0.3">
      <c r="A1572" s="6">
        <f>+'[1]VENTAS(RESUMEN GLOBAL)'!L1572</f>
        <v>0</v>
      </c>
      <c r="B1572" s="6">
        <f>+'[1]VENTAS(RESUMEN GLOBAL)'!M1572</f>
        <v>0</v>
      </c>
      <c r="C1572">
        <f>+'[1]VENTAS(RESUMEN GLOBAL)'!B1572</f>
        <v>0</v>
      </c>
      <c r="D1572" t="e">
        <f>INDEX('[1]CÓDIGOS DE PRODUCTO'!$D$3:$D$1000,MATCH(C1572,'[1]CÓDIGOS DE PRODUCTO'!$A$3:$A$1000,0))</f>
        <v>#N/A</v>
      </c>
      <c r="E1572">
        <f>VLOOKUP(C1572,'[1]CÓDIGOS DE PRODUCTO'!$A$4:$B$156,2,FALSE)</f>
        <v>0</v>
      </c>
      <c r="F1572">
        <f>INDEX('[1]CÓDIGOS DE PRODUCTO'!$C$3:$C$1000,MATCH(C1572,'[1]CÓDIGOS DE PRODUCTO'!$A$3:$A$1000,0))</f>
        <v>0</v>
      </c>
      <c r="G1572">
        <f>+'[1]VENTAS(RESUMEN GLOBAL)'!D1572-'[1]VENTAS(RESUMEN GLOBAL)'!E1572</f>
        <v>0</v>
      </c>
      <c r="H1572" s="9">
        <f>+'[1]VENTAS(RESUMEN GLOBAL)'!K1572</f>
        <v>0</v>
      </c>
      <c r="I1572" s="8">
        <f>+G1572*'[1]VENTAS(RESUMEN GLOBAL)'!F1572</f>
        <v>0</v>
      </c>
      <c r="J1572" s="8">
        <f>'[1]VENTAS(RESUMEN GLOBAL)'!G1572*(1-'[1]VENTAS(RESUMEN GLOBAL)'!H1572)</f>
        <v>0</v>
      </c>
      <c r="K1572" s="8">
        <f t="shared" si="24"/>
        <v>0</v>
      </c>
      <c r="L1572" s="8">
        <f>+'[1]VENTAS(RESUMEN GLOBAL)'!J1572</f>
        <v>0</v>
      </c>
      <c r="M1572" s="8">
        <f>+Tabla1[[#This Row],[utilidad x dia]]*7</f>
        <v>0</v>
      </c>
    </row>
    <row r="1573" spans="1:13" x14ac:dyDescent="0.3">
      <c r="A1573" s="6">
        <f>+'[1]VENTAS(RESUMEN GLOBAL)'!L1573</f>
        <v>0</v>
      </c>
      <c r="B1573" s="6">
        <f>+'[1]VENTAS(RESUMEN GLOBAL)'!M1573</f>
        <v>0</v>
      </c>
      <c r="C1573">
        <f>+'[1]VENTAS(RESUMEN GLOBAL)'!B1573</f>
        <v>0</v>
      </c>
      <c r="D1573" t="e">
        <f>INDEX('[1]CÓDIGOS DE PRODUCTO'!$D$3:$D$1000,MATCH(C1573,'[1]CÓDIGOS DE PRODUCTO'!$A$3:$A$1000,0))</f>
        <v>#N/A</v>
      </c>
      <c r="E1573">
        <f>VLOOKUP(C1573,'[1]CÓDIGOS DE PRODUCTO'!$A$4:$B$156,2,FALSE)</f>
        <v>0</v>
      </c>
      <c r="F1573">
        <f>INDEX('[1]CÓDIGOS DE PRODUCTO'!$C$3:$C$1000,MATCH(C1573,'[1]CÓDIGOS DE PRODUCTO'!$A$3:$A$1000,0))</f>
        <v>0</v>
      </c>
      <c r="G1573">
        <f>+'[1]VENTAS(RESUMEN GLOBAL)'!D1573-'[1]VENTAS(RESUMEN GLOBAL)'!E1573</f>
        <v>0</v>
      </c>
      <c r="H1573" s="9">
        <f>+'[1]VENTAS(RESUMEN GLOBAL)'!K1573</f>
        <v>0</v>
      </c>
      <c r="I1573" s="8">
        <f>+G1573*'[1]VENTAS(RESUMEN GLOBAL)'!F1573</f>
        <v>0</v>
      </c>
      <c r="J1573" s="8">
        <f>'[1]VENTAS(RESUMEN GLOBAL)'!G1573*(1-'[1]VENTAS(RESUMEN GLOBAL)'!H1573)</f>
        <v>0</v>
      </c>
      <c r="K1573" s="8">
        <f t="shared" si="24"/>
        <v>0</v>
      </c>
      <c r="L1573" s="8">
        <f>+'[1]VENTAS(RESUMEN GLOBAL)'!J1573</f>
        <v>0</v>
      </c>
      <c r="M1573" s="8">
        <f>+Tabla1[[#This Row],[utilidad x dia]]*7</f>
        <v>0</v>
      </c>
    </row>
    <row r="1574" spans="1:13" x14ac:dyDescent="0.3">
      <c r="A1574" s="6">
        <f>+'[1]VENTAS(RESUMEN GLOBAL)'!L1574</f>
        <v>0</v>
      </c>
      <c r="B1574" s="6">
        <f>+'[1]VENTAS(RESUMEN GLOBAL)'!M1574</f>
        <v>0</v>
      </c>
      <c r="C1574">
        <f>+'[1]VENTAS(RESUMEN GLOBAL)'!B1574</f>
        <v>0</v>
      </c>
      <c r="D1574" t="e">
        <f>INDEX('[1]CÓDIGOS DE PRODUCTO'!$D$3:$D$1000,MATCH(C1574,'[1]CÓDIGOS DE PRODUCTO'!$A$3:$A$1000,0))</f>
        <v>#N/A</v>
      </c>
      <c r="E1574">
        <f>VLOOKUP(C1574,'[1]CÓDIGOS DE PRODUCTO'!$A$4:$B$156,2,FALSE)</f>
        <v>0</v>
      </c>
      <c r="F1574">
        <f>INDEX('[1]CÓDIGOS DE PRODUCTO'!$C$3:$C$1000,MATCH(C1574,'[1]CÓDIGOS DE PRODUCTO'!$A$3:$A$1000,0))</f>
        <v>0</v>
      </c>
      <c r="G1574">
        <f>+'[1]VENTAS(RESUMEN GLOBAL)'!D1574-'[1]VENTAS(RESUMEN GLOBAL)'!E1574</f>
        <v>0</v>
      </c>
      <c r="H1574" s="9">
        <f>+'[1]VENTAS(RESUMEN GLOBAL)'!K1574</f>
        <v>0</v>
      </c>
      <c r="I1574" s="8">
        <f>+G1574*'[1]VENTAS(RESUMEN GLOBAL)'!F1574</f>
        <v>0</v>
      </c>
      <c r="J1574" s="8">
        <f>'[1]VENTAS(RESUMEN GLOBAL)'!G1574*(1-'[1]VENTAS(RESUMEN GLOBAL)'!H1574)</f>
        <v>0</v>
      </c>
      <c r="K1574" s="8">
        <f t="shared" si="24"/>
        <v>0</v>
      </c>
      <c r="L1574" s="8">
        <f>+'[1]VENTAS(RESUMEN GLOBAL)'!J1574</f>
        <v>0</v>
      </c>
      <c r="M1574" s="8">
        <f>+Tabla1[[#This Row],[utilidad x dia]]*7</f>
        <v>0</v>
      </c>
    </row>
    <row r="1575" spans="1:13" x14ac:dyDescent="0.3">
      <c r="A1575" s="6">
        <f>+'[1]VENTAS(RESUMEN GLOBAL)'!L1575</f>
        <v>0</v>
      </c>
      <c r="B1575" s="6">
        <f>+'[1]VENTAS(RESUMEN GLOBAL)'!M1575</f>
        <v>0</v>
      </c>
      <c r="C1575">
        <f>+'[1]VENTAS(RESUMEN GLOBAL)'!B1575</f>
        <v>0</v>
      </c>
      <c r="D1575" t="e">
        <f>INDEX('[1]CÓDIGOS DE PRODUCTO'!$D$3:$D$1000,MATCH(C1575,'[1]CÓDIGOS DE PRODUCTO'!$A$3:$A$1000,0))</f>
        <v>#N/A</v>
      </c>
      <c r="E1575">
        <f>VLOOKUP(C1575,'[1]CÓDIGOS DE PRODUCTO'!$A$4:$B$156,2,FALSE)</f>
        <v>0</v>
      </c>
      <c r="F1575">
        <f>INDEX('[1]CÓDIGOS DE PRODUCTO'!$C$3:$C$1000,MATCH(C1575,'[1]CÓDIGOS DE PRODUCTO'!$A$3:$A$1000,0))</f>
        <v>0</v>
      </c>
      <c r="G1575">
        <f>+'[1]VENTAS(RESUMEN GLOBAL)'!D1575-'[1]VENTAS(RESUMEN GLOBAL)'!E1575</f>
        <v>0</v>
      </c>
      <c r="H1575" s="9">
        <f>+'[1]VENTAS(RESUMEN GLOBAL)'!K1575</f>
        <v>0</v>
      </c>
      <c r="I1575" s="8">
        <f>+G1575*'[1]VENTAS(RESUMEN GLOBAL)'!F1575</f>
        <v>0</v>
      </c>
      <c r="J1575" s="8">
        <f>'[1]VENTAS(RESUMEN GLOBAL)'!G1575*(1-'[1]VENTAS(RESUMEN GLOBAL)'!H1575)</f>
        <v>0</v>
      </c>
      <c r="K1575" s="8">
        <f t="shared" si="24"/>
        <v>0</v>
      </c>
      <c r="L1575" s="8">
        <f>+'[1]VENTAS(RESUMEN GLOBAL)'!J1575</f>
        <v>0</v>
      </c>
      <c r="M1575" s="8">
        <f>+Tabla1[[#This Row],[utilidad x dia]]*7</f>
        <v>0</v>
      </c>
    </row>
    <row r="1576" spans="1:13" x14ac:dyDescent="0.3">
      <c r="A1576" s="6">
        <f>+'[1]VENTAS(RESUMEN GLOBAL)'!L1576</f>
        <v>0</v>
      </c>
      <c r="B1576" s="6">
        <f>+'[1]VENTAS(RESUMEN GLOBAL)'!M1576</f>
        <v>0</v>
      </c>
      <c r="C1576">
        <f>+'[1]VENTAS(RESUMEN GLOBAL)'!B1576</f>
        <v>0</v>
      </c>
      <c r="D1576" t="e">
        <f>INDEX('[1]CÓDIGOS DE PRODUCTO'!$D$3:$D$1000,MATCH(C1576,'[1]CÓDIGOS DE PRODUCTO'!$A$3:$A$1000,0))</f>
        <v>#N/A</v>
      </c>
      <c r="E1576">
        <f>VLOOKUP(C1576,'[1]CÓDIGOS DE PRODUCTO'!$A$4:$B$156,2,FALSE)</f>
        <v>0</v>
      </c>
      <c r="F1576">
        <f>INDEX('[1]CÓDIGOS DE PRODUCTO'!$C$3:$C$1000,MATCH(C1576,'[1]CÓDIGOS DE PRODUCTO'!$A$3:$A$1000,0))</f>
        <v>0</v>
      </c>
      <c r="G1576">
        <f>+'[1]VENTAS(RESUMEN GLOBAL)'!D1576-'[1]VENTAS(RESUMEN GLOBAL)'!E1576</f>
        <v>0</v>
      </c>
      <c r="H1576" s="9">
        <f>+'[1]VENTAS(RESUMEN GLOBAL)'!K1576</f>
        <v>0</v>
      </c>
      <c r="I1576" s="8">
        <f>+G1576*'[1]VENTAS(RESUMEN GLOBAL)'!F1576</f>
        <v>0</v>
      </c>
      <c r="J1576" s="8">
        <f>'[1]VENTAS(RESUMEN GLOBAL)'!G1576*(1-'[1]VENTAS(RESUMEN GLOBAL)'!H1576)</f>
        <v>0</v>
      </c>
      <c r="K1576" s="8">
        <f t="shared" si="24"/>
        <v>0</v>
      </c>
      <c r="L1576" s="8">
        <f>+'[1]VENTAS(RESUMEN GLOBAL)'!J1576</f>
        <v>0</v>
      </c>
      <c r="M1576" s="8">
        <f>+Tabla1[[#This Row],[utilidad x dia]]*7</f>
        <v>0</v>
      </c>
    </row>
    <row r="1577" spans="1:13" x14ac:dyDescent="0.3">
      <c r="A1577" s="6">
        <f>+'[1]VENTAS(RESUMEN GLOBAL)'!L1577</f>
        <v>0</v>
      </c>
      <c r="B1577" s="6">
        <f>+'[1]VENTAS(RESUMEN GLOBAL)'!M1577</f>
        <v>0</v>
      </c>
      <c r="C1577">
        <f>+'[1]VENTAS(RESUMEN GLOBAL)'!B1577</f>
        <v>0</v>
      </c>
      <c r="D1577" t="e">
        <f>INDEX('[1]CÓDIGOS DE PRODUCTO'!$D$3:$D$1000,MATCH(C1577,'[1]CÓDIGOS DE PRODUCTO'!$A$3:$A$1000,0))</f>
        <v>#N/A</v>
      </c>
      <c r="E1577">
        <f>VLOOKUP(C1577,'[1]CÓDIGOS DE PRODUCTO'!$A$4:$B$156,2,FALSE)</f>
        <v>0</v>
      </c>
      <c r="F1577">
        <f>INDEX('[1]CÓDIGOS DE PRODUCTO'!$C$3:$C$1000,MATCH(C1577,'[1]CÓDIGOS DE PRODUCTO'!$A$3:$A$1000,0))</f>
        <v>0</v>
      </c>
      <c r="G1577">
        <f>+'[1]VENTAS(RESUMEN GLOBAL)'!D1577-'[1]VENTAS(RESUMEN GLOBAL)'!E1577</f>
        <v>0</v>
      </c>
      <c r="H1577" s="9">
        <f>+'[1]VENTAS(RESUMEN GLOBAL)'!K1577</f>
        <v>0</v>
      </c>
      <c r="I1577" s="8">
        <f>+G1577*'[1]VENTAS(RESUMEN GLOBAL)'!F1577</f>
        <v>0</v>
      </c>
      <c r="J1577" s="8">
        <f>'[1]VENTAS(RESUMEN GLOBAL)'!G1577*(1-'[1]VENTAS(RESUMEN GLOBAL)'!H1577)</f>
        <v>0</v>
      </c>
      <c r="K1577" s="8">
        <f t="shared" si="24"/>
        <v>0</v>
      </c>
      <c r="L1577" s="8">
        <f>+'[1]VENTAS(RESUMEN GLOBAL)'!J1577</f>
        <v>0</v>
      </c>
      <c r="M1577" s="8">
        <f>+Tabla1[[#This Row],[utilidad x dia]]*7</f>
        <v>0</v>
      </c>
    </row>
    <row r="1578" spans="1:13" x14ac:dyDescent="0.3">
      <c r="A1578" s="6">
        <f>+'[1]VENTAS(RESUMEN GLOBAL)'!L1578</f>
        <v>0</v>
      </c>
      <c r="B1578" s="6">
        <f>+'[1]VENTAS(RESUMEN GLOBAL)'!M1578</f>
        <v>0</v>
      </c>
      <c r="C1578">
        <f>+'[1]VENTAS(RESUMEN GLOBAL)'!B1578</f>
        <v>0</v>
      </c>
      <c r="D1578" t="e">
        <f>INDEX('[1]CÓDIGOS DE PRODUCTO'!$D$3:$D$1000,MATCH(C1578,'[1]CÓDIGOS DE PRODUCTO'!$A$3:$A$1000,0))</f>
        <v>#N/A</v>
      </c>
      <c r="E1578">
        <f>VLOOKUP(C1578,'[1]CÓDIGOS DE PRODUCTO'!$A$4:$B$156,2,FALSE)</f>
        <v>0</v>
      </c>
      <c r="F1578">
        <f>INDEX('[1]CÓDIGOS DE PRODUCTO'!$C$3:$C$1000,MATCH(C1578,'[1]CÓDIGOS DE PRODUCTO'!$A$3:$A$1000,0))</f>
        <v>0</v>
      </c>
      <c r="G1578">
        <f>+'[1]VENTAS(RESUMEN GLOBAL)'!D1578-'[1]VENTAS(RESUMEN GLOBAL)'!E1578</f>
        <v>0</v>
      </c>
      <c r="H1578" s="9">
        <f>+'[1]VENTAS(RESUMEN GLOBAL)'!K1578</f>
        <v>0</v>
      </c>
      <c r="I1578" s="8">
        <f>+G1578*'[1]VENTAS(RESUMEN GLOBAL)'!F1578</f>
        <v>0</v>
      </c>
      <c r="J1578" s="8">
        <f>'[1]VENTAS(RESUMEN GLOBAL)'!G1578*(1-'[1]VENTAS(RESUMEN GLOBAL)'!H1578)</f>
        <v>0</v>
      </c>
      <c r="K1578" s="8">
        <f t="shared" si="24"/>
        <v>0</v>
      </c>
      <c r="L1578" s="8">
        <f>+'[1]VENTAS(RESUMEN GLOBAL)'!J1578</f>
        <v>0</v>
      </c>
      <c r="M1578" s="8">
        <f>+Tabla1[[#This Row],[utilidad x dia]]*7</f>
        <v>0</v>
      </c>
    </row>
    <row r="1579" spans="1:13" x14ac:dyDescent="0.3">
      <c r="A1579" s="6">
        <f>+'[1]VENTAS(RESUMEN GLOBAL)'!L1579</f>
        <v>0</v>
      </c>
      <c r="B1579" s="6">
        <f>+'[1]VENTAS(RESUMEN GLOBAL)'!M1579</f>
        <v>0</v>
      </c>
      <c r="C1579">
        <f>+'[1]VENTAS(RESUMEN GLOBAL)'!B1579</f>
        <v>0</v>
      </c>
      <c r="D1579" t="e">
        <f>INDEX('[1]CÓDIGOS DE PRODUCTO'!$D$3:$D$1000,MATCH(C1579,'[1]CÓDIGOS DE PRODUCTO'!$A$3:$A$1000,0))</f>
        <v>#N/A</v>
      </c>
      <c r="E1579">
        <f>VLOOKUP(C1579,'[1]CÓDIGOS DE PRODUCTO'!$A$4:$B$156,2,FALSE)</f>
        <v>0</v>
      </c>
      <c r="F1579">
        <f>INDEX('[1]CÓDIGOS DE PRODUCTO'!$C$3:$C$1000,MATCH(C1579,'[1]CÓDIGOS DE PRODUCTO'!$A$3:$A$1000,0))</f>
        <v>0</v>
      </c>
      <c r="G1579">
        <f>+'[1]VENTAS(RESUMEN GLOBAL)'!D1579-'[1]VENTAS(RESUMEN GLOBAL)'!E1579</f>
        <v>0</v>
      </c>
      <c r="H1579" s="9">
        <f>+'[1]VENTAS(RESUMEN GLOBAL)'!K1579</f>
        <v>0</v>
      </c>
      <c r="I1579" s="8">
        <f>+G1579*'[1]VENTAS(RESUMEN GLOBAL)'!F1579</f>
        <v>0</v>
      </c>
      <c r="J1579" s="8">
        <f>'[1]VENTAS(RESUMEN GLOBAL)'!G1579*(1-'[1]VENTAS(RESUMEN GLOBAL)'!H1579)</f>
        <v>0</v>
      </c>
      <c r="K1579" s="8">
        <f t="shared" si="24"/>
        <v>0</v>
      </c>
      <c r="L1579" s="8">
        <f>+'[1]VENTAS(RESUMEN GLOBAL)'!J1579</f>
        <v>0</v>
      </c>
      <c r="M1579" s="8">
        <f>+Tabla1[[#This Row],[utilidad x dia]]*7</f>
        <v>0</v>
      </c>
    </row>
    <row r="1580" spans="1:13" x14ac:dyDescent="0.3">
      <c r="A1580" s="6">
        <f>+'[1]VENTAS(RESUMEN GLOBAL)'!L1580</f>
        <v>0</v>
      </c>
      <c r="B1580" s="6">
        <f>+'[1]VENTAS(RESUMEN GLOBAL)'!M1580</f>
        <v>0</v>
      </c>
      <c r="C1580">
        <f>+'[1]VENTAS(RESUMEN GLOBAL)'!B1580</f>
        <v>0</v>
      </c>
      <c r="D1580" t="e">
        <f>INDEX('[1]CÓDIGOS DE PRODUCTO'!$D$3:$D$1000,MATCH(C1580,'[1]CÓDIGOS DE PRODUCTO'!$A$3:$A$1000,0))</f>
        <v>#N/A</v>
      </c>
      <c r="E1580">
        <f>VLOOKUP(C1580,'[1]CÓDIGOS DE PRODUCTO'!$A$4:$B$156,2,FALSE)</f>
        <v>0</v>
      </c>
      <c r="F1580">
        <f>INDEX('[1]CÓDIGOS DE PRODUCTO'!$C$3:$C$1000,MATCH(C1580,'[1]CÓDIGOS DE PRODUCTO'!$A$3:$A$1000,0))</f>
        <v>0</v>
      </c>
      <c r="G1580">
        <f>+'[1]VENTAS(RESUMEN GLOBAL)'!D1580-'[1]VENTAS(RESUMEN GLOBAL)'!E1580</f>
        <v>0</v>
      </c>
      <c r="H1580" s="9">
        <f>+'[1]VENTAS(RESUMEN GLOBAL)'!K1580</f>
        <v>0</v>
      </c>
      <c r="I1580" s="8">
        <f>+G1580*'[1]VENTAS(RESUMEN GLOBAL)'!F1580</f>
        <v>0</v>
      </c>
      <c r="J1580" s="8">
        <f>'[1]VENTAS(RESUMEN GLOBAL)'!G1580*(1-'[1]VENTAS(RESUMEN GLOBAL)'!H1580)</f>
        <v>0</v>
      </c>
      <c r="K1580" s="8">
        <f t="shared" si="24"/>
        <v>0</v>
      </c>
      <c r="L1580" s="8">
        <f>+'[1]VENTAS(RESUMEN GLOBAL)'!J1580</f>
        <v>0</v>
      </c>
      <c r="M1580" s="8">
        <f>+Tabla1[[#This Row],[utilidad x dia]]*7</f>
        <v>0</v>
      </c>
    </row>
    <row r="1581" spans="1:13" x14ac:dyDescent="0.3">
      <c r="A1581" s="6">
        <f>+'[1]VENTAS(RESUMEN GLOBAL)'!L1581</f>
        <v>0</v>
      </c>
      <c r="B1581" s="6">
        <f>+'[1]VENTAS(RESUMEN GLOBAL)'!M1581</f>
        <v>0</v>
      </c>
      <c r="C1581">
        <f>+'[1]VENTAS(RESUMEN GLOBAL)'!B1581</f>
        <v>0</v>
      </c>
      <c r="D1581" t="e">
        <f>INDEX('[1]CÓDIGOS DE PRODUCTO'!$D$3:$D$1000,MATCH(C1581,'[1]CÓDIGOS DE PRODUCTO'!$A$3:$A$1000,0))</f>
        <v>#N/A</v>
      </c>
      <c r="E1581">
        <f>VLOOKUP(C1581,'[1]CÓDIGOS DE PRODUCTO'!$A$4:$B$156,2,FALSE)</f>
        <v>0</v>
      </c>
      <c r="F1581">
        <f>INDEX('[1]CÓDIGOS DE PRODUCTO'!$C$3:$C$1000,MATCH(C1581,'[1]CÓDIGOS DE PRODUCTO'!$A$3:$A$1000,0))</f>
        <v>0</v>
      </c>
      <c r="G1581">
        <f>+'[1]VENTAS(RESUMEN GLOBAL)'!D1581-'[1]VENTAS(RESUMEN GLOBAL)'!E1581</f>
        <v>0</v>
      </c>
      <c r="H1581" s="9">
        <f>+'[1]VENTAS(RESUMEN GLOBAL)'!K1581</f>
        <v>0</v>
      </c>
      <c r="I1581" s="8">
        <f>+G1581*'[1]VENTAS(RESUMEN GLOBAL)'!F1581</f>
        <v>0</v>
      </c>
      <c r="J1581" s="8">
        <f>'[1]VENTAS(RESUMEN GLOBAL)'!G1581*(1-'[1]VENTAS(RESUMEN GLOBAL)'!H1581)</f>
        <v>0</v>
      </c>
      <c r="K1581" s="8">
        <f t="shared" si="24"/>
        <v>0</v>
      </c>
      <c r="L1581" s="8">
        <f>+'[1]VENTAS(RESUMEN GLOBAL)'!J1581</f>
        <v>0</v>
      </c>
      <c r="M1581" s="8">
        <f>+Tabla1[[#This Row],[utilidad x dia]]*7</f>
        <v>0</v>
      </c>
    </row>
    <row r="1582" spans="1:13" x14ac:dyDescent="0.3">
      <c r="A1582" s="6">
        <f>+'[1]VENTAS(RESUMEN GLOBAL)'!L1582</f>
        <v>0</v>
      </c>
      <c r="B1582" s="6">
        <f>+'[1]VENTAS(RESUMEN GLOBAL)'!M1582</f>
        <v>0</v>
      </c>
      <c r="C1582">
        <f>+'[1]VENTAS(RESUMEN GLOBAL)'!B1582</f>
        <v>0</v>
      </c>
      <c r="D1582" t="e">
        <f>INDEX('[1]CÓDIGOS DE PRODUCTO'!$D$3:$D$1000,MATCH(C1582,'[1]CÓDIGOS DE PRODUCTO'!$A$3:$A$1000,0))</f>
        <v>#N/A</v>
      </c>
      <c r="E1582">
        <f>VLOOKUP(C1582,'[1]CÓDIGOS DE PRODUCTO'!$A$4:$B$156,2,FALSE)</f>
        <v>0</v>
      </c>
      <c r="F1582">
        <f>INDEX('[1]CÓDIGOS DE PRODUCTO'!$C$3:$C$1000,MATCH(C1582,'[1]CÓDIGOS DE PRODUCTO'!$A$3:$A$1000,0))</f>
        <v>0</v>
      </c>
      <c r="G1582">
        <f>+'[1]VENTAS(RESUMEN GLOBAL)'!D1582-'[1]VENTAS(RESUMEN GLOBAL)'!E1582</f>
        <v>0</v>
      </c>
      <c r="H1582" s="9">
        <f>+'[1]VENTAS(RESUMEN GLOBAL)'!K1582</f>
        <v>0</v>
      </c>
      <c r="I1582" s="8">
        <f>+G1582*'[1]VENTAS(RESUMEN GLOBAL)'!F1582</f>
        <v>0</v>
      </c>
      <c r="J1582" s="8">
        <f>'[1]VENTAS(RESUMEN GLOBAL)'!G1582*(1-'[1]VENTAS(RESUMEN GLOBAL)'!H1582)</f>
        <v>0</v>
      </c>
      <c r="K1582" s="8">
        <f t="shared" si="24"/>
        <v>0</v>
      </c>
      <c r="L1582" s="8">
        <f>+'[1]VENTAS(RESUMEN GLOBAL)'!J1582</f>
        <v>0</v>
      </c>
      <c r="M1582" s="8">
        <f>+Tabla1[[#This Row],[utilidad x dia]]*7</f>
        <v>0</v>
      </c>
    </row>
    <row r="1583" spans="1:13" x14ac:dyDescent="0.3">
      <c r="A1583" s="6">
        <f>+'[1]VENTAS(RESUMEN GLOBAL)'!L1583</f>
        <v>0</v>
      </c>
      <c r="B1583" s="6">
        <f>+'[1]VENTAS(RESUMEN GLOBAL)'!M1583</f>
        <v>0</v>
      </c>
      <c r="C1583">
        <f>+'[1]VENTAS(RESUMEN GLOBAL)'!B1583</f>
        <v>0</v>
      </c>
      <c r="D1583" t="e">
        <f>INDEX('[1]CÓDIGOS DE PRODUCTO'!$D$3:$D$1000,MATCH(C1583,'[1]CÓDIGOS DE PRODUCTO'!$A$3:$A$1000,0))</f>
        <v>#N/A</v>
      </c>
      <c r="E1583">
        <f>VLOOKUP(C1583,'[1]CÓDIGOS DE PRODUCTO'!$A$4:$B$156,2,FALSE)</f>
        <v>0</v>
      </c>
      <c r="F1583">
        <f>INDEX('[1]CÓDIGOS DE PRODUCTO'!$C$3:$C$1000,MATCH(C1583,'[1]CÓDIGOS DE PRODUCTO'!$A$3:$A$1000,0))</f>
        <v>0</v>
      </c>
      <c r="G1583">
        <f>+'[1]VENTAS(RESUMEN GLOBAL)'!D1583-'[1]VENTAS(RESUMEN GLOBAL)'!E1583</f>
        <v>0</v>
      </c>
      <c r="H1583" s="9">
        <f>+'[1]VENTAS(RESUMEN GLOBAL)'!K1583</f>
        <v>0</v>
      </c>
      <c r="I1583" s="8">
        <f>+G1583*'[1]VENTAS(RESUMEN GLOBAL)'!F1583</f>
        <v>0</v>
      </c>
      <c r="J1583" s="8">
        <f>'[1]VENTAS(RESUMEN GLOBAL)'!G1583*(1-'[1]VENTAS(RESUMEN GLOBAL)'!H1583)</f>
        <v>0</v>
      </c>
      <c r="K1583" s="8">
        <f t="shared" si="24"/>
        <v>0</v>
      </c>
      <c r="L1583" s="8">
        <f>+'[1]VENTAS(RESUMEN GLOBAL)'!J1583</f>
        <v>0</v>
      </c>
      <c r="M1583" s="8">
        <f>+Tabla1[[#This Row],[utilidad x dia]]*7</f>
        <v>0</v>
      </c>
    </row>
    <row r="1584" spans="1:13" x14ac:dyDescent="0.3">
      <c r="A1584" s="6">
        <f>+'[1]VENTAS(RESUMEN GLOBAL)'!L1584</f>
        <v>0</v>
      </c>
      <c r="B1584" s="6">
        <f>+'[1]VENTAS(RESUMEN GLOBAL)'!M1584</f>
        <v>0</v>
      </c>
      <c r="C1584">
        <f>+'[1]VENTAS(RESUMEN GLOBAL)'!B1584</f>
        <v>0</v>
      </c>
      <c r="D1584" t="e">
        <f>INDEX('[1]CÓDIGOS DE PRODUCTO'!$D$3:$D$1000,MATCH(C1584,'[1]CÓDIGOS DE PRODUCTO'!$A$3:$A$1000,0))</f>
        <v>#N/A</v>
      </c>
      <c r="E1584">
        <f>VLOOKUP(C1584,'[1]CÓDIGOS DE PRODUCTO'!$A$4:$B$156,2,FALSE)</f>
        <v>0</v>
      </c>
      <c r="F1584">
        <f>INDEX('[1]CÓDIGOS DE PRODUCTO'!$C$3:$C$1000,MATCH(C1584,'[1]CÓDIGOS DE PRODUCTO'!$A$3:$A$1000,0))</f>
        <v>0</v>
      </c>
      <c r="G1584">
        <f>+'[1]VENTAS(RESUMEN GLOBAL)'!D1584-'[1]VENTAS(RESUMEN GLOBAL)'!E1584</f>
        <v>0</v>
      </c>
      <c r="H1584" s="9">
        <f>+'[1]VENTAS(RESUMEN GLOBAL)'!K1584</f>
        <v>0</v>
      </c>
      <c r="I1584" s="8">
        <f>+G1584*'[1]VENTAS(RESUMEN GLOBAL)'!F1584</f>
        <v>0</v>
      </c>
      <c r="J1584" s="8">
        <f>'[1]VENTAS(RESUMEN GLOBAL)'!G1584*(1-'[1]VENTAS(RESUMEN GLOBAL)'!H1584)</f>
        <v>0</v>
      </c>
      <c r="K1584" s="8">
        <f t="shared" si="24"/>
        <v>0</v>
      </c>
      <c r="L1584" s="8">
        <f>+'[1]VENTAS(RESUMEN GLOBAL)'!J1584</f>
        <v>0</v>
      </c>
      <c r="M1584" s="8">
        <f>+Tabla1[[#This Row],[utilidad x dia]]*7</f>
        <v>0</v>
      </c>
    </row>
    <row r="1585" spans="1:13" x14ac:dyDescent="0.3">
      <c r="A1585" s="6">
        <f>+'[1]VENTAS(RESUMEN GLOBAL)'!L1585</f>
        <v>0</v>
      </c>
      <c r="B1585" s="6">
        <f>+'[1]VENTAS(RESUMEN GLOBAL)'!M1585</f>
        <v>0</v>
      </c>
      <c r="C1585">
        <f>+'[1]VENTAS(RESUMEN GLOBAL)'!B1585</f>
        <v>0</v>
      </c>
      <c r="D1585" t="e">
        <f>INDEX('[1]CÓDIGOS DE PRODUCTO'!$D$3:$D$1000,MATCH(C1585,'[1]CÓDIGOS DE PRODUCTO'!$A$3:$A$1000,0))</f>
        <v>#N/A</v>
      </c>
      <c r="E1585">
        <f>VLOOKUP(C1585,'[1]CÓDIGOS DE PRODUCTO'!$A$4:$B$156,2,FALSE)</f>
        <v>0</v>
      </c>
      <c r="F1585">
        <f>INDEX('[1]CÓDIGOS DE PRODUCTO'!$C$3:$C$1000,MATCH(C1585,'[1]CÓDIGOS DE PRODUCTO'!$A$3:$A$1000,0))</f>
        <v>0</v>
      </c>
      <c r="G1585">
        <f>+'[1]VENTAS(RESUMEN GLOBAL)'!D1585-'[1]VENTAS(RESUMEN GLOBAL)'!E1585</f>
        <v>0</v>
      </c>
      <c r="H1585" s="9">
        <f>+'[1]VENTAS(RESUMEN GLOBAL)'!K1585</f>
        <v>0</v>
      </c>
      <c r="I1585" s="8">
        <f>+G1585*'[1]VENTAS(RESUMEN GLOBAL)'!F1585</f>
        <v>0</v>
      </c>
      <c r="J1585" s="8">
        <f>'[1]VENTAS(RESUMEN GLOBAL)'!G1585*(1-'[1]VENTAS(RESUMEN GLOBAL)'!H1585)</f>
        <v>0</v>
      </c>
      <c r="K1585" s="8">
        <f t="shared" si="24"/>
        <v>0</v>
      </c>
      <c r="L1585" s="8">
        <f>+'[1]VENTAS(RESUMEN GLOBAL)'!J1585</f>
        <v>0</v>
      </c>
      <c r="M1585" s="8">
        <f>+Tabla1[[#This Row],[utilidad x dia]]*7</f>
        <v>0</v>
      </c>
    </row>
    <row r="1586" spans="1:13" x14ac:dyDescent="0.3">
      <c r="A1586" s="6">
        <f>+'[1]VENTAS(RESUMEN GLOBAL)'!L1586</f>
        <v>0</v>
      </c>
      <c r="B1586" s="6">
        <f>+'[1]VENTAS(RESUMEN GLOBAL)'!M1586</f>
        <v>0</v>
      </c>
      <c r="C1586">
        <f>+'[1]VENTAS(RESUMEN GLOBAL)'!B1586</f>
        <v>0</v>
      </c>
      <c r="D1586" t="e">
        <f>INDEX('[1]CÓDIGOS DE PRODUCTO'!$D$3:$D$1000,MATCH(C1586,'[1]CÓDIGOS DE PRODUCTO'!$A$3:$A$1000,0))</f>
        <v>#N/A</v>
      </c>
      <c r="E1586">
        <f>VLOOKUP(C1586,'[1]CÓDIGOS DE PRODUCTO'!$A$4:$B$156,2,FALSE)</f>
        <v>0</v>
      </c>
      <c r="F1586">
        <f>INDEX('[1]CÓDIGOS DE PRODUCTO'!$C$3:$C$1000,MATCH(C1586,'[1]CÓDIGOS DE PRODUCTO'!$A$3:$A$1000,0))</f>
        <v>0</v>
      </c>
      <c r="G1586">
        <f>+'[1]VENTAS(RESUMEN GLOBAL)'!D1586-'[1]VENTAS(RESUMEN GLOBAL)'!E1586</f>
        <v>0</v>
      </c>
      <c r="H1586" s="9">
        <f>+'[1]VENTAS(RESUMEN GLOBAL)'!K1586</f>
        <v>0</v>
      </c>
      <c r="I1586" s="8">
        <f>+G1586*'[1]VENTAS(RESUMEN GLOBAL)'!F1586</f>
        <v>0</v>
      </c>
      <c r="J1586" s="8">
        <f>'[1]VENTAS(RESUMEN GLOBAL)'!G1586*(1-'[1]VENTAS(RESUMEN GLOBAL)'!H1586)</f>
        <v>0</v>
      </c>
      <c r="K1586" s="8">
        <f t="shared" si="24"/>
        <v>0</v>
      </c>
      <c r="L1586" s="8">
        <f>+'[1]VENTAS(RESUMEN GLOBAL)'!J1586</f>
        <v>0</v>
      </c>
      <c r="M1586" s="8">
        <f>+Tabla1[[#This Row],[utilidad x dia]]*7</f>
        <v>0</v>
      </c>
    </row>
    <row r="1587" spans="1:13" x14ac:dyDescent="0.3">
      <c r="A1587" s="6">
        <f>+'[1]VENTAS(RESUMEN GLOBAL)'!L1587</f>
        <v>0</v>
      </c>
      <c r="B1587" s="6">
        <f>+'[1]VENTAS(RESUMEN GLOBAL)'!M1587</f>
        <v>0</v>
      </c>
      <c r="C1587">
        <f>+'[1]VENTAS(RESUMEN GLOBAL)'!B1587</f>
        <v>0</v>
      </c>
      <c r="D1587" t="e">
        <f>INDEX('[1]CÓDIGOS DE PRODUCTO'!$D$3:$D$1000,MATCH(C1587,'[1]CÓDIGOS DE PRODUCTO'!$A$3:$A$1000,0))</f>
        <v>#N/A</v>
      </c>
      <c r="E1587">
        <f>VLOOKUP(C1587,'[1]CÓDIGOS DE PRODUCTO'!$A$4:$B$156,2,FALSE)</f>
        <v>0</v>
      </c>
      <c r="F1587">
        <f>INDEX('[1]CÓDIGOS DE PRODUCTO'!$C$3:$C$1000,MATCH(C1587,'[1]CÓDIGOS DE PRODUCTO'!$A$3:$A$1000,0))</f>
        <v>0</v>
      </c>
      <c r="G1587">
        <f>+'[1]VENTAS(RESUMEN GLOBAL)'!D1587-'[1]VENTAS(RESUMEN GLOBAL)'!E1587</f>
        <v>0</v>
      </c>
      <c r="H1587" s="9">
        <f>+'[1]VENTAS(RESUMEN GLOBAL)'!K1587</f>
        <v>0</v>
      </c>
      <c r="I1587" s="8">
        <f>+G1587*'[1]VENTAS(RESUMEN GLOBAL)'!F1587</f>
        <v>0</v>
      </c>
      <c r="J1587" s="8">
        <f>'[1]VENTAS(RESUMEN GLOBAL)'!G1587*(1-'[1]VENTAS(RESUMEN GLOBAL)'!H1587)</f>
        <v>0</v>
      </c>
      <c r="K1587" s="8">
        <f t="shared" si="24"/>
        <v>0</v>
      </c>
      <c r="L1587" s="8">
        <f>+'[1]VENTAS(RESUMEN GLOBAL)'!J1587</f>
        <v>0</v>
      </c>
      <c r="M1587" s="8">
        <f>+Tabla1[[#This Row],[utilidad x dia]]*7</f>
        <v>0</v>
      </c>
    </row>
    <row r="1588" spans="1:13" x14ac:dyDescent="0.3">
      <c r="A1588" s="6">
        <f>+'[1]VENTAS(RESUMEN GLOBAL)'!L1588</f>
        <v>0</v>
      </c>
      <c r="B1588" s="6">
        <f>+'[1]VENTAS(RESUMEN GLOBAL)'!M1588</f>
        <v>0</v>
      </c>
      <c r="C1588">
        <f>+'[1]VENTAS(RESUMEN GLOBAL)'!B1588</f>
        <v>0</v>
      </c>
      <c r="D1588" t="e">
        <f>INDEX('[1]CÓDIGOS DE PRODUCTO'!$D$3:$D$1000,MATCH(C1588,'[1]CÓDIGOS DE PRODUCTO'!$A$3:$A$1000,0))</f>
        <v>#N/A</v>
      </c>
      <c r="E1588">
        <f>VLOOKUP(C1588,'[1]CÓDIGOS DE PRODUCTO'!$A$4:$B$156,2,FALSE)</f>
        <v>0</v>
      </c>
      <c r="F1588">
        <f>INDEX('[1]CÓDIGOS DE PRODUCTO'!$C$3:$C$1000,MATCH(C1588,'[1]CÓDIGOS DE PRODUCTO'!$A$3:$A$1000,0))</f>
        <v>0</v>
      </c>
      <c r="G1588">
        <f>+'[1]VENTAS(RESUMEN GLOBAL)'!D1588-'[1]VENTAS(RESUMEN GLOBAL)'!E1588</f>
        <v>0</v>
      </c>
      <c r="H1588" s="9">
        <f>+'[1]VENTAS(RESUMEN GLOBAL)'!K1588</f>
        <v>0</v>
      </c>
      <c r="I1588" s="8">
        <f>+G1588*'[1]VENTAS(RESUMEN GLOBAL)'!F1588</f>
        <v>0</v>
      </c>
      <c r="J1588" s="8">
        <f>'[1]VENTAS(RESUMEN GLOBAL)'!G1588*(1-'[1]VENTAS(RESUMEN GLOBAL)'!H1588)</f>
        <v>0</v>
      </c>
      <c r="K1588" s="8">
        <f t="shared" si="24"/>
        <v>0</v>
      </c>
      <c r="L1588" s="8">
        <f>+'[1]VENTAS(RESUMEN GLOBAL)'!J1588</f>
        <v>0</v>
      </c>
      <c r="M1588" s="8">
        <f>+Tabla1[[#This Row],[utilidad x dia]]*7</f>
        <v>0</v>
      </c>
    </row>
    <row r="1589" spans="1:13" x14ac:dyDescent="0.3">
      <c r="A1589" s="6">
        <f>+'[1]VENTAS(RESUMEN GLOBAL)'!L1589</f>
        <v>0</v>
      </c>
      <c r="B1589" s="6">
        <f>+'[1]VENTAS(RESUMEN GLOBAL)'!M1589</f>
        <v>0</v>
      </c>
      <c r="C1589">
        <f>+'[1]VENTAS(RESUMEN GLOBAL)'!B1589</f>
        <v>0</v>
      </c>
      <c r="D1589" t="e">
        <f>INDEX('[1]CÓDIGOS DE PRODUCTO'!$D$3:$D$1000,MATCH(C1589,'[1]CÓDIGOS DE PRODUCTO'!$A$3:$A$1000,0))</f>
        <v>#N/A</v>
      </c>
      <c r="E1589">
        <f>VLOOKUP(C1589,'[1]CÓDIGOS DE PRODUCTO'!$A$4:$B$156,2,FALSE)</f>
        <v>0</v>
      </c>
      <c r="F1589">
        <f>INDEX('[1]CÓDIGOS DE PRODUCTO'!$C$3:$C$1000,MATCH(C1589,'[1]CÓDIGOS DE PRODUCTO'!$A$3:$A$1000,0))</f>
        <v>0</v>
      </c>
      <c r="G1589">
        <f>+'[1]VENTAS(RESUMEN GLOBAL)'!D1589-'[1]VENTAS(RESUMEN GLOBAL)'!E1589</f>
        <v>0</v>
      </c>
      <c r="H1589" s="9">
        <f>+'[1]VENTAS(RESUMEN GLOBAL)'!K1589</f>
        <v>0</v>
      </c>
      <c r="I1589" s="8">
        <f>+G1589*'[1]VENTAS(RESUMEN GLOBAL)'!F1589</f>
        <v>0</v>
      </c>
      <c r="J1589" s="8">
        <f>'[1]VENTAS(RESUMEN GLOBAL)'!G1589*(1-'[1]VENTAS(RESUMEN GLOBAL)'!H1589)</f>
        <v>0</v>
      </c>
      <c r="K1589" s="8">
        <f t="shared" si="24"/>
        <v>0</v>
      </c>
      <c r="L1589" s="8">
        <f>+'[1]VENTAS(RESUMEN GLOBAL)'!J1589</f>
        <v>0</v>
      </c>
      <c r="M1589" s="8">
        <f>+Tabla1[[#This Row],[utilidad x dia]]*7</f>
        <v>0</v>
      </c>
    </row>
    <row r="1590" spans="1:13" x14ac:dyDescent="0.3">
      <c r="A1590" s="6">
        <f>+'[1]VENTAS(RESUMEN GLOBAL)'!L1590</f>
        <v>0</v>
      </c>
      <c r="B1590" s="6">
        <f>+'[1]VENTAS(RESUMEN GLOBAL)'!M1590</f>
        <v>0</v>
      </c>
      <c r="C1590">
        <f>+'[1]VENTAS(RESUMEN GLOBAL)'!B1590</f>
        <v>0</v>
      </c>
      <c r="D1590" t="e">
        <f>INDEX('[1]CÓDIGOS DE PRODUCTO'!$D$3:$D$1000,MATCH(C1590,'[1]CÓDIGOS DE PRODUCTO'!$A$3:$A$1000,0))</f>
        <v>#N/A</v>
      </c>
      <c r="E1590">
        <f>VLOOKUP(C1590,'[1]CÓDIGOS DE PRODUCTO'!$A$4:$B$156,2,FALSE)</f>
        <v>0</v>
      </c>
      <c r="F1590">
        <f>INDEX('[1]CÓDIGOS DE PRODUCTO'!$C$3:$C$1000,MATCH(C1590,'[1]CÓDIGOS DE PRODUCTO'!$A$3:$A$1000,0))</f>
        <v>0</v>
      </c>
      <c r="G1590">
        <f>+'[1]VENTAS(RESUMEN GLOBAL)'!D1590-'[1]VENTAS(RESUMEN GLOBAL)'!E1590</f>
        <v>0</v>
      </c>
      <c r="H1590" s="9">
        <f>+'[1]VENTAS(RESUMEN GLOBAL)'!K1590</f>
        <v>0</v>
      </c>
      <c r="I1590" s="8">
        <f>+G1590*'[1]VENTAS(RESUMEN GLOBAL)'!F1590</f>
        <v>0</v>
      </c>
      <c r="J1590" s="8">
        <f>'[1]VENTAS(RESUMEN GLOBAL)'!G1590*(1-'[1]VENTAS(RESUMEN GLOBAL)'!H1590)</f>
        <v>0</v>
      </c>
      <c r="K1590" s="8">
        <f t="shared" si="24"/>
        <v>0</v>
      </c>
      <c r="L1590" s="8">
        <f>+'[1]VENTAS(RESUMEN GLOBAL)'!J1590</f>
        <v>0</v>
      </c>
      <c r="M1590" s="8">
        <f>+Tabla1[[#This Row],[utilidad x dia]]*7</f>
        <v>0</v>
      </c>
    </row>
    <row r="1591" spans="1:13" x14ac:dyDescent="0.3">
      <c r="A1591" s="6">
        <f>+'[1]VENTAS(RESUMEN GLOBAL)'!L1591</f>
        <v>0</v>
      </c>
      <c r="B1591" s="6">
        <f>+'[1]VENTAS(RESUMEN GLOBAL)'!M1591</f>
        <v>0</v>
      </c>
      <c r="C1591">
        <f>+'[1]VENTAS(RESUMEN GLOBAL)'!B1591</f>
        <v>0</v>
      </c>
      <c r="D1591" t="e">
        <f>INDEX('[1]CÓDIGOS DE PRODUCTO'!$D$3:$D$1000,MATCH(C1591,'[1]CÓDIGOS DE PRODUCTO'!$A$3:$A$1000,0))</f>
        <v>#N/A</v>
      </c>
      <c r="E1591">
        <f>VLOOKUP(C1591,'[1]CÓDIGOS DE PRODUCTO'!$A$4:$B$156,2,FALSE)</f>
        <v>0</v>
      </c>
      <c r="F1591">
        <f>INDEX('[1]CÓDIGOS DE PRODUCTO'!$C$3:$C$1000,MATCH(C1591,'[1]CÓDIGOS DE PRODUCTO'!$A$3:$A$1000,0))</f>
        <v>0</v>
      </c>
      <c r="G1591">
        <f>+'[1]VENTAS(RESUMEN GLOBAL)'!D1591-'[1]VENTAS(RESUMEN GLOBAL)'!E1591</f>
        <v>0</v>
      </c>
      <c r="H1591" s="9">
        <f>+'[1]VENTAS(RESUMEN GLOBAL)'!K1591</f>
        <v>0</v>
      </c>
      <c r="I1591" s="8">
        <f>+G1591*'[1]VENTAS(RESUMEN GLOBAL)'!F1591</f>
        <v>0</v>
      </c>
      <c r="J1591" s="8">
        <f>'[1]VENTAS(RESUMEN GLOBAL)'!G1591*(1-'[1]VENTAS(RESUMEN GLOBAL)'!H1591)</f>
        <v>0</v>
      </c>
      <c r="K1591" s="8">
        <f t="shared" si="24"/>
        <v>0</v>
      </c>
      <c r="L1591" s="8">
        <f>+'[1]VENTAS(RESUMEN GLOBAL)'!J1591</f>
        <v>0</v>
      </c>
      <c r="M1591" s="8">
        <f>+Tabla1[[#This Row],[utilidad x dia]]*7</f>
        <v>0</v>
      </c>
    </row>
    <row r="1592" spans="1:13" x14ac:dyDescent="0.3">
      <c r="A1592" s="6">
        <f>+'[1]VENTAS(RESUMEN GLOBAL)'!L1592</f>
        <v>0</v>
      </c>
      <c r="B1592" s="6">
        <f>+'[1]VENTAS(RESUMEN GLOBAL)'!M1592</f>
        <v>0</v>
      </c>
      <c r="C1592">
        <f>+'[1]VENTAS(RESUMEN GLOBAL)'!B1592</f>
        <v>0</v>
      </c>
      <c r="D1592" t="e">
        <f>INDEX('[1]CÓDIGOS DE PRODUCTO'!$D$3:$D$1000,MATCH(C1592,'[1]CÓDIGOS DE PRODUCTO'!$A$3:$A$1000,0))</f>
        <v>#N/A</v>
      </c>
      <c r="E1592">
        <f>VLOOKUP(C1592,'[1]CÓDIGOS DE PRODUCTO'!$A$4:$B$156,2,FALSE)</f>
        <v>0</v>
      </c>
      <c r="F1592">
        <f>INDEX('[1]CÓDIGOS DE PRODUCTO'!$C$3:$C$1000,MATCH(C1592,'[1]CÓDIGOS DE PRODUCTO'!$A$3:$A$1000,0))</f>
        <v>0</v>
      </c>
      <c r="G1592">
        <f>+'[1]VENTAS(RESUMEN GLOBAL)'!D1592-'[1]VENTAS(RESUMEN GLOBAL)'!E1592</f>
        <v>0</v>
      </c>
      <c r="H1592" s="9">
        <f>+'[1]VENTAS(RESUMEN GLOBAL)'!K1592</f>
        <v>0</v>
      </c>
      <c r="I1592" s="8">
        <f>+G1592*'[1]VENTAS(RESUMEN GLOBAL)'!F1592</f>
        <v>0</v>
      </c>
      <c r="J1592" s="8">
        <f>'[1]VENTAS(RESUMEN GLOBAL)'!G1592*(1-'[1]VENTAS(RESUMEN GLOBAL)'!H1592)</f>
        <v>0</v>
      </c>
      <c r="K1592" s="8">
        <f t="shared" si="24"/>
        <v>0</v>
      </c>
      <c r="L1592" s="8">
        <f>+'[1]VENTAS(RESUMEN GLOBAL)'!J1592</f>
        <v>0</v>
      </c>
      <c r="M1592" s="8">
        <f>+Tabla1[[#This Row],[utilidad x dia]]*7</f>
        <v>0</v>
      </c>
    </row>
    <row r="1593" spans="1:13" x14ac:dyDescent="0.3">
      <c r="A1593" s="6">
        <f>+'[1]VENTAS(RESUMEN GLOBAL)'!L1593</f>
        <v>0</v>
      </c>
      <c r="B1593" s="6">
        <f>+'[1]VENTAS(RESUMEN GLOBAL)'!M1593</f>
        <v>0</v>
      </c>
      <c r="C1593">
        <f>+'[1]VENTAS(RESUMEN GLOBAL)'!B1593</f>
        <v>0</v>
      </c>
      <c r="D1593" t="e">
        <f>INDEX('[1]CÓDIGOS DE PRODUCTO'!$D$3:$D$1000,MATCH(C1593,'[1]CÓDIGOS DE PRODUCTO'!$A$3:$A$1000,0))</f>
        <v>#N/A</v>
      </c>
      <c r="E1593">
        <f>VLOOKUP(C1593,'[1]CÓDIGOS DE PRODUCTO'!$A$4:$B$156,2,FALSE)</f>
        <v>0</v>
      </c>
      <c r="F1593">
        <f>INDEX('[1]CÓDIGOS DE PRODUCTO'!$C$3:$C$1000,MATCH(C1593,'[1]CÓDIGOS DE PRODUCTO'!$A$3:$A$1000,0))</f>
        <v>0</v>
      </c>
      <c r="G1593">
        <f>+'[1]VENTAS(RESUMEN GLOBAL)'!D1593-'[1]VENTAS(RESUMEN GLOBAL)'!E1593</f>
        <v>0</v>
      </c>
      <c r="H1593" s="9">
        <f>+'[1]VENTAS(RESUMEN GLOBAL)'!K1593</f>
        <v>0</v>
      </c>
      <c r="I1593" s="8">
        <f>+G1593*'[1]VENTAS(RESUMEN GLOBAL)'!F1593</f>
        <v>0</v>
      </c>
      <c r="J1593" s="8">
        <f>'[1]VENTAS(RESUMEN GLOBAL)'!G1593*(1-'[1]VENTAS(RESUMEN GLOBAL)'!H1593)</f>
        <v>0</v>
      </c>
      <c r="K1593" s="8">
        <f t="shared" si="24"/>
        <v>0</v>
      </c>
      <c r="L1593" s="8">
        <f>+'[1]VENTAS(RESUMEN GLOBAL)'!J1593</f>
        <v>0</v>
      </c>
      <c r="M1593" s="8">
        <f>+Tabla1[[#This Row],[utilidad x dia]]*7</f>
        <v>0</v>
      </c>
    </row>
    <row r="1594" spans="1:13" x14ac:dyDescent="0.3">
      <c r="A1594" s="6">
        <f>+'[1]VENTAS(RESUMEN GLOBAL)'!L1594</f>
        <v>0</v>
      </c>
      <c r="B1594" s="6">
        <f>+'[1]VENTAS(RESUMEN GLOBAL)'!M1594</f>
        <v>0</v>
      </c>
      <c r="C1594">
        <f>+'[1]VENTAS(RESUMEN GLOBAL)'!B1594</f>
        <v>0</v>
      </c>
      <c r="D1594" t="e">
        <f>INDEX('[1]CÓDIGOS DE PRODUCTO'!$D$3:$D$1000,MATCH(C1594,'[1]CÓDIGOS DE PRODUCTO'!$A$3:$A$1000,0))</f>
        <v>#N/A</v>
      </c>
      <c r="E1594">
        <f>VLOOKUP(C1594,'[1]CÓDIGOS DE PRODUCTO'!$A$4:$B$156,2,FALSE)</f>
        <v>0</v>
      </c>
      <c r="F1594">
        <f>INDEX('[1]CÓDIGOS DE PRODUCTO'!$C$3:$C$1000,MATCH(C1594,'[1]CÓDIGOS DE PRODUCTO'!$A$3:$A$1000,0))</f>
        <v>0</v>
      </c>
      <c r="G1594">
        <f>+'[1]VENTAS(RESUMEN GLOBAL)'!D1594-'[1]VENTAS(RESUMEN GLOBAL)'!E1594</f>
        <v>0</v>
      </c>
      <c r="H1594" s="9">
        <f>+'[1]VENTAS(RESUMEN GLOBAL)'!K1594</f>
        <v>0</v>
      </c>
      <c r="I1594" s="8">
        <f>+G1594*'[1]VENTAS(RESUMEN GLOBAL)'!F1594</f>
        <v>0</v>
      </c>
      <c r="J1594" s="8">
        <f>'[1]VENTAS(RESUMEN GLOBAL)'!G1594*(1-'[1]VENTAS(RESUMEN GLOBAL)'!H1594)</f>
        <v>0</v>
      </c>
      <c r="K1594" s="8">
        <f t="shared" si="24"/>
        <v>0</v>
      </c>
      <c r="L1594" s="8">
        <f>+'[1]VENTAS(RESUMEN GLOBAL)'!J1594</f>
        <v>0</v>
      </c>
      <c r="M1594" s="8">
        <f>+Tabla1[[#This Row],[utilidad x dia]]*7</f>
        <v>0</v>
      </c>
    </row>
    <row r="1595" spans="1:13" x14ac:dyDescent="0.3">
      <c r="A1595" s="6">
        <f>+'[1]VENTAS(RESUMEN GLOBAL)'!L1595</f>
        <v>0</v>
      </c>
      <c r="B1595" s="6">
        <f>+'[1]VENTAS(RESUMEN GLOBAL)'!M1595</f>
        <v>0</v>
      </c>
      <c r="C1595">
        <f>+'[1]VENTAS(RESUMEN GLOBAL)'!B1595</f>
        <v>0</v>
      </c>
      <c r="D1595" t="e">
        <f>INDEX('[1]CÓDIGOS DE PRODUCTO'!$D$3:$D$1000,MATCH(C1595,'[1]CÓDIGOS DE PRODUCTO'!$A$3:$A$1000,0))</f>
        <v>#N/A</v>
      </c>
      <c r="E1595">
        <f>VLOOKUP(C1595,'[1]CÓDIGOS DE PRODUCTO'!$A$4:$B$156,2,FALSE)</f>
        <v>0</v>
      </c>
      <c r="F1595">
        <f>INDEX('[1]CÓDIGOS DE PRODUCTO'!$C$3:$C$1000,MATCH(C1595,'[1]CÓDIGOS DE PRODUCTO'!$A$3:$A$1000,0))</f>
        <v>0</v>
      </c>
      <c r="G1595">
        <f>+'[1]VENTAS(RESUMEN GLOBAL)'!D1595-'[1]VENTAS(RESUMEN GLOBAL)'!E1595</f>
        <v>0</v>
      </c>
      <c r="H1595" s="9">
        <f>+'[1]VENTAS(RESUMEN GLOBAL)'!K1595</f>
        <v>0</v>
      </c>
      <c r="I1595" s="8">
        <f>+G1595*'[1]VENTAS(RESUMEN GLOBAL)'!F1595</f>
        <v>0</v>
      </c>
      <c r="J1595" s="8">
        <f>'[1]VENTAS(RESUMEN GLOBAL)'!G1595*(1-'[1]VENTAS(RESUMEN GLOBAL)'!H1595)</f>
        <v>0</v>
      </c>
      <c r="K1595" s="8">
        <f t="shared" si="24"/>
        <v>0</v>
      </c>
      <c r="L1595" s="8">
        <f>+'[1]VENTAS(RESUMEN GLOBAL)'!J1595</f>
        <v>0</v>
      </c>
      <c r="M1595" s="8">
        <f>+Tabla1[[#This Row],[utilidad x dia]]*7</f>
        <v>0</v>
      </c>
    </row>
    <row r="1596" spans="1:13" x14ac:dyDescent="0.3">
      <c r="A1596" s="6">
        <f>+'[1]VENTAS(RESUMEN GLOBAL)'!L1596</f>
        <v>0</v>
      </c>
      <c r="B1596" s="6">
        <f>+'[1]VENTAS(RESUMEN GLOBAL)'!M1596</f>
        <v>0</v>
      </c>
      <c r="C1596">
        <f>+'[1]VENTAS(RESUMEN GLOBAL)'!B1596</f>
        <v>0</v>
      </c>
      <c r="D1596" t="e">
        <f>INDEX('[1]CÓDIGOS DE PRODUCTO'!$D$3:$D$1000,MATCH(C1596,'[1]CÓDIGOS DE PRODUCTO'!$A$3:$A$1000,0))</f>
        <v>#N/A</v>
      </c>
      <c r="E1596">
        <f>VLOOKUP(C1596,'[1]CÓDIGOS DE PRODUCTO'!$A$4:$B$156,2,FALSE)</f>
        <v>0</v>
      </c>
      <c r="F1596">
        <f>INDEX('[1]CÓDIGOS DE PRODUCTO'!$C$3:$C$1000,MATCH(C1596,'[1]CÓDIGOS DE PRODUCTO'!$A$3:$A$1000,0))</f>
        <v>0</v>
      </c>
      <c r="G1596">
        <f>+'[1]VENTAS(RESUMEN GLOBAL)'!D1596-'[1]VENTAS(RESUMEN GLOBAL)'!E1596</f>
        <v>0</v>
      </c>
      <c r="H1596" s="9">
        <f>+'[1]VENTAS(RESUMEN GLOBAL)'!K1596</f>
        <v>0</v>
      </c>
      <c r="I1596" s="8">
        <f>+G1596*'[1]VENTAS(RESUMEN GLOBAL)'!F1596</f>
        <v>0</v>
      </c>
      <c r="J1596" s="8">
        <f>'[1]VENTAS(RESUMEN GLOBAL)'!G1596*(1-'[1]VENTAS(RESUMEN GLOBAL)'!H1596)</f>
        <v>0</v>
      </c>
      <c r="K1596" s="8">
        <f t="shared" si="24"/>
        <v>0</v>
      </c>
      <c r="L1596" s="8">
        <f>+'[1]VENTAS(RESUMEN GLOBAL)'!J1596</f>
        <v>0</v>
      </c>
      <c r="M1596" s="8">
        <f>+Tabla1[[#This Row],[utilidad x dia]]*7</f>
        <v>0</v>
      </c>
    </row>
    <row r="1597" spans="1:13" x14ac:dyDescent="0.3">
      <c r="A1597" s="6">
        <f>+'[1]VENTAS(RESUMEN GLOBAL)'!L1597</f>
        <v>0</v>
      </c>
      <c r="B1597" s="6">
        <f>+'[1]VENTAS(RESUMEN GLOBAL)'!M1597</f>
        <v>0</v>
      </c>
      <c r="C1597">
        <f>+'[1]VENTAS(RESUMEN GLOBAL)'!B1597</f>
        <v>0</v>
      </c>
      <c r="D1597" t="e">
        <f>INDEX('[1]CÓDIGOS DE PRODUCTO'!$D$3:$D$1000,MATCH(C1597,'[1]CÓDIGOS DE PRODUCTO'!$A$3:$A$1000,0))</f>
        <v>#N/A</v>
      </c>
      <c r="E1597">
        <f>VLOOKUP(C1597,'[1]CÓDIGOS DE PRODUCTO'!$A$4:$B$156,2,FALSE)</f>
        <v>0</v>
      </c>
      <c r="F1597">
        <f>INDEX('[1]CÓDIGOS DE PRODUCTO'!$C$3:$C$1000,MATCH(C1597,'[1]CÓDIGOS DE PRODUCTO'!$A$3:$A$1000,0))</f>
        <v>0</v>
      </c>
      <c r="G1597">
        <f>+'[1]VENTAS(RESUMEN GLOBAL)'!D1597-'[1]VENTAS(RESUMEN GLOBAL)'!E1597</f>
        <v>0</v>
      </c>
      <c r="H1597" s="9">
        <f>+'[1]VENTAS(RESUMEN GLOBAL)'!K1597</f>
        <v>0</v>
      </c>
      <c r="I1597" s="8">
        <f>+G1597*'[1]VENTAS(RESUMEN GLOBAL)'!F1597</f>
        <v>0</v>
      </c>
      <c r="J1597" s="8">
        <f>'[1]VENTAS(RESUMEN GLOBAL)'!G1597*(1-'[1]VENTAS(RESUMEN GLOBAL)'!H1597)</f>
        <v>0</v>
      </c>
      <c r="K1597" s="8">
        <f t="shared" si="24"/>
        <v>0</v>
      </c>
      <c r="L1597" s="8">
        <f>+'[1]VENTAS(RESUMEN GLOBAL)'!J1597</f>
        <v>0</v>
      </c>
      <c r="M1597" s="8">
        <f>+Tabla1[[#This Row],[utilidad x dia]]*7</f>
        <v>0</v>
      </c>
    </row>
    <row r="1598" spans="1:13" x14ac:dyDescent="0.3">
      <c r="A1598" s="6">
        <f>+'[1]VENTAS(RESUMEN GLOBAL)'!L1598</f>
        <v>0</v>
      </c>
      <c r="B1598" s="6">
        <f>+'[1]VENTAS(RESUMEN GLOBAL)'!M1598</f>
        <v>0</v>
      </c>
      <c r="C1598">
        <f>+'[1]VENTAS(RESUMEN GLOBAL)'!B1598</f>
        <v>0</v>
      </c>
      <c r="D1598" t="e">
        <f>INDEX('[1]CÓDIGOS DE PRODUCTO'!$D$3:$D$1000,MATCH(C1598,'[1]CÓDIGOS DE PRODUCTO'!$A$3:$A$1000,0))</f>
        <v>#N/A</v>
      </c>
      <c r="E1598">
        <f>VLOOKUP(C1598,'[1]CÓDIGOS DE PRODUCTO'!$A$4:$B$156,2,FALSE)</f>
        <v>0</v>
      </c>
      <c r="F1598">
        <f>INDEX('[1]CÓDIGOS DE PRODUCTO'!$C$3:$C$1000,MATCH(C1598,'[1]CÓDIGOS DE PRODUCTO'!$A$3:$A$1000,0))</f>
        <v>0</v>
      </c>
      <c r="G1598">
        <f>+'[1]VENTAS(RESUMEN GLOBAL)'!D1598-'[1]VENTAS(RESUMEN GLOBAL)'!E1598</f>
        <v>0</v>
      </c>
      <c r="H1598" s="9">
        <f>+'[1]VENTAS(RESUMEN GLOBAL)'!K1598</f>
        <v>0</v>
      </c>
      <c r="I1598" s="8">
        <f>+G1598*'[1]VENTAS(RESUMEN GLOBAL)'!F1598</f>
        <v>0</v>
      </c>
      <c r="J1598" s="8">
        <f>'[1]VENTAS(RESUMEN GLOBAL)'!G1598*(1-'[1]VENTAS(RESUMEN GLOBAL)'!H1598)</f>
        <v>0</v>
      </c>
      <c r="K1598" s="8">
        <f t="shared" si="24"/>
        <v>0</v>
      </c>
      <c r="L1598" s="8">
        <f>+'[1]VENTAS(RESUMEN GLOBAL)'!J1598</f>
        <v>0</v>
      </c>
      <c r="M1598" s="8">
        <f>+Tabla1[[#This Row],[utilidad x dia]]*7</f>
        <v>0</v>
      </c>
    </row>
    <row r="1599" spans="1:13" x14ac:dyDescent="0.3">
      <c r="A1599" s="6">
        <f>+'[1]VENTAS(RESUMEN GLOBAL)'!L1599</f>
        <v>0</v>
      </c>
      <c r="B1599" s="6">
        <f>+'[1]VENTAS(RESUMEN GLOBAL)'!M1599</f>
        <v>0</v>
      </c>
      <c r="C1599">
        <f>+'[1]VENTAS(RESUMEN GLOBAL)'!B1599</f>
        <v>0</v>
      </c>
      <c r="D1599" t="e">
        <f>INDEX('[1]CÓDIGOS DE PRODUCTO'!$D$3:$D$1000,MATCH(C1599,'[1]CÓDIGOS DE PRODUCTO'!$A$3:$A$1000,0))</f>
        <v>#N/A</v>
      </c>
      <c r="E1599">
        <f>VLOOKUP(C1599,'[1]CÓDIGOS DE PRODUCTO'!$A$4:$B$156,2,FALSE)</f>
        <v>0</v>
      </c>
      <c r="F1599">
        <f>INDEX('[1]CÓDIGOS DE PRODUCTO'!$C$3:$C$1000,MATCH(C1599,'[1]CÓDIGOS DE PRODUCTO'!$A$3:$A$1000,0))</f>
        <v>0</v>
      </c>
      <c r="G1599">
        <f>+'[1]VENTAS(RESUMEN GLOBAL)'!D1599-'[1]VENTAS(RESUMEN GLOBAL)'!E1599</f>
        <v>0</v>
      </c>
      <c r="H1599" s="9">
        <f>+'[1]VENTAS(RESUMEN GLOBAL)'!K1599</f>
        <v>0</v>
      </c>
      <c r="I1599" s="8">
        <f>+G1599*'[1]VENTAS(RESUMEN GLOBAL)'!F1599</f>
        <v>0</v>
      </c>
      <c r="J1599" s="8">
        <f>'[1]VENTAS(RESUMEN GLOBAL)'!G1599*(1-'[1]VENTAS(RESUMEN GLOBAL)'!H1599)</f>
        <v>0</v>
      </c>
      <c r="K1599" s="8">
        <f t="shared" si="24"/>
        <v>0</v>
      </c>
      <c r="L1599" s="8">
        <f>+'[1]VENTAS(RESUMEN GLOBAL)'!J1599</f>
        <v>0</v>
      </c>
      <c r="M1599" s="8">
        <f>+Tabla1[[#This Row],[utilidad x dia]]*7</f>
        <v>0</v>
      </c>
    </row>
    <row r="1600" spans="1:13" x14ac:dyDescent="0.3">
      <c r="A1600" s="6">
        <f>+'[1]VENTAS(RESUMEN GLOBAL)'!L1600</f>
        <v>0</v>
      </c>
      <c r="B1600" s="6">
        <f>+'[1]VENTAS(RESUMEN GLOBAL)'!M1600</f>
        <v>0</v>
      </c>
      <c r="C1600">
        <f>+'[1]VENTAS(RESUMEN GLOBAL)'!B1600</f>
        <v>0</v>
      </c>
      <c r="D1600" t="e">
        <f>INDEX('[1]CÓDIGOS DE PRODUCTO'!$D$3:$D$1000,MATCH(C1600,'[1]CÓDIGOS DE PRODUCTO'!$A$3:$A$1000,0))</f>
        <v>#N/A</v>
      </c>
      <c r="E1600">
        <f>VLOOKUP(C1600,'[1]CÓDIGOS DE PRODUCTO'!$A$4:$B$156,2,FALSE)</f>
        <v>0</v>
      </c>
      <c r="F1600">
        <f>INDEX('[1]CÓDIGOS DE PRODUCTO'!$C$3:$C$1000,MATCH(C1600,'[1]CÓDIGOS DE PRODUCTO'!$A$3:$A$1000,0))</f>
        <v>0</v>
      </c>
      <c r="G1600">
        <f>+'[1]VENTAS(RESUMEN GLOBAL)'!D1600-'[1]VENTAS(RESUMEN GLOBAL)'!E1600</f>
        <v>0</v>
      </c>
      <c r="H1600" s="9">
        <f>+'[1]VENTAS(RESUMEN GLOBAL)'!K1600</f>
        <v>0</v>
      </c>
      <c r="I1600" s="8">
        <f>+G1600*'[1]VENTAS(RESUMEN GLOBAL)'!F1600</f>
        <v>0</v>
      </c>
      <c r="J1600" s="8">
        <f>'[1]VENTAS(RESUMEN GLOBAL)'!G1600*(1-'[1]VENTAS(RESUMEN GLOBAL)'!H1600)</f>
        <v>0</v>
      </c>
      <c r="K1600" s="8">
        <f t="shared" si="24"/>
        <v>0</v>
      </c>
      <c r="L1600" s="8">
        <f>+'[1]VENTAS(RESUMEN GLOBAL)'!J1600</f>
        <v>0</v>
      </c>
      <c r="M1600" s="8">
        <f>+Tabla1[[#This Row],[utilidad x dia]]*7</f>
        <v>0</v>
      </c>
    </row>
    <row r="1601" spans="1:13" x14ac:dyDescent="0.3">
      <c r="A1601" s="6">
        <f>+'[1]VENTAS(RESUMEN GLOBAL)'!L1601</f>
        <v>0</v>
      </c>
      <c r="B1601" s="6">
        <f>+'[1]VENTAS(RESUMEN GLOBAL)'!M1601</f>
        <v>0</v>
      </c>
      <c r="C1601">
        <f>+'[1]VENTAS(RESUMEN GLOBAL)'!B1601</f>
        <v>0</v>
      </c>
      <c r="D1601" t="e">
        <f>INDEX('[1]CÓDIGOS DE PRODUCTO'!$D$3:$D$1000,MATCH(C1601,'[1]CÓDIGOS DE PRODUCTO'!$A$3:$A$1000,0))</f>
        <v>#N/A</v>
      </c>
      <c r="E1601">
        <f>VLOOKUP(C1601,'[1]CÓDIGOS DE PRODUCTO'!$A$4:$B$156,2,FALSE)</f>
        <v>0</v>
      </c>
      <c r="F1601">
        <f>INDEX('[1]CÓDIGOS DE PRODUCTO'!$C$3:$C$1000,MATCH(C1601,'[1]CÓDIGOS DE PRODUCTO'!$A$3:$A$1000,0))</f>
        <v>0</v>
      </c>
      <c r="G1601">
        <f>+'[1]VENTAS(RESUMEN GLOBAL)'!D1601-'[1]VENTAS(RESUMEN GLOBAL)'!E1601</f>
        <v>0</v>
      </c>
      <c r="H1601" s="9">
        <f>+'[1]VENTAS(RESUMEN GLOBAL)'!K1601</f>
        <v>0</v>
      </c>
      <c r="I1601" s="8">
        <f>+G1601*'[1]VENTAS(RESUMEN GLOBAL)'!F1601</f>
        <v>0</v>
      </c>
      <c r="J1601" s="8">
        <f>'[1]VENTAS(RESUMEN GLOBAL)'!G1601*(1-'[1]VENTAS(RESUMEN GLOBAL)'!H1601)</f>
        <v>0</v>
      </c>
      <c r="K1601" s="8">
        <f t="shared" si="24"/>
        <v>0</v>
      </c>
      <c r="L1601" s="8">
        <f>+'[1]VENTAS(RESUMEN GLOBAL)'!J1601</f>
        <v>0</v>
      </c>
      <c r="M1601" s="8">
        <f>+Tabla1[[#This Row],[utilidad x dia]]*7</f>
        <v>0</v>
      </c>
    </row>
    <row r="1602" spans="1:13" x14ac:dyDescent="0.3">
      <c r="A1602" s="6">
        <f>+'[1]VENTAS(RESUMEN GLOBAL)'!L1602</f>
        <v>0</v>
      </c>
      <c r="B1602" s="6">
        <f>+'[1]VENTAS(RESUMEN GLOBAL)'!M1602</f>
        <v>0</v>
      </c>
      <c r="C1602">
        <f>+'[1]VENTAS(RESUMEN GLOBAL)'!B1602</f>
        <v>0</v>
      </c>
      <c r="D1602" t="e">
        <f>INDEX('[1]CÓDIGOS DE PRODUCTO'!$D$3:$D$1000,MATCH(C1602,'[1]CÓDIGOS DE PRODUCTO'!$A$3:$A$1000,0))</f>
        <v>#N/A</v>
      </c>
      <c r="E1602">
        <f>VLOOKUP(C1602,'[1]CÓDIGOS DE PRODUCTO'!$A$4:$B$156,2,FALSE)</f>
        <v>0</v>
      </c>
      <c r="F1602">
        <f>INDEX('[1]CÓDIGOS DE PRODUCTO'!$C$3:$C$1000,MATCH(C1602,'[1]CÓDIGOS DE PRODUCTO'!$A$3:$A$1000,0))</f>
        <v>0</v>
      </c>
      <c r="G1602">
        <f>+'[1]VENTAS(RESUMEN GLOBAL)'!D1602-'[1]VENTAS(RESUMEN GLOBAL)'!E1602</f>
        <v>0</v>
      </c>
      <c r="H1602" s="9">
        <f>+'[1]VENTAS(RESUMEN GLOBAL)'!K1602</f>
        <v>0</v>
      </c>
      <c r="I1602" s="8">
        <f>+G1602*'[1]VENTAS(RESUMEN GLOBAL)'!F1602</f>
        <v>0</v>
      </c>
      <c r="J1602" s="8">
        <f>'[1]VENTAS(RESUMEN GLOBAL)'!G1602*(1-'[1]VENTAS(RESUMEN GLOBAL)'!H1602)</f>
        <v>0</v>
      </c>
      <c r="K1602" s="8">
        <f t="shared" si="24"/>
        <v>0</v>
      </c>
      <c r="L1602" s="8">
        <f>+'[1]VENTAS(RESUMEN GLOBAL)'!J1602</f>
        <v>0</v>
      </c>
      <c r="M1602" s="8">
        <f>+Tabla1[[#This Row],[utilidad x dia]]*7</f>
        <v>0</v>
      </c>
    </row>
    <row r="1603" spans="1:13" x14ac:dyDescent="0.3">
      <c r="A1603" s="6">
        <f>+'[1]VENTAS(RESUMEN GLOBAL)'!L1603</f>
        <v>0</v>
      </c>
      <c r="B1603" s="6">
        <f>+'[1]VENTAS(RESUMEN GLOBAL)'!M1603</f>
        <v>0</v>
      </c>
      <c r="C1603">
        <f>+'[1]VENTAS(RESUMEN GLOBAL)'!B1603</f>
        <v>0</v>
      </c>
      <c r="D1603" t="e">
        <f>INDEX('[1]CÓDIGOS DE PRODUCTO'!$D$3:$D$1000,MATCH(C1603,'[1]CÓDIGOS DE PRODUCTO'!$A$3:$A$1000,0))</f>
        <v>#N/A</v>
      </c>
      <c r="E1603">
        <f>VLOOKUP(C1603,'[1]CÓDIGOS DE PRODUCTO'!$A$4:$B$156,2,FALSE)</f>
        <v>0</v>
      </c>
      <c r="F1603">
        <f>INDEX('[1]CÓDIGOS DE PRODUCTO'!$C$3:$C$1000,MATCH(C1603,'[1]CÓDIGOS DE PRODUCTO'!$A$3:$A$1000,0))</f>
        <v>0</v>
      </c>
      <c r="G1603">
        <f>+'[1]VENTAS(RESUMEN GLOBAL)'!D1603-'[1]VENTAS(RESUMEN GLOBAL)'!E1603</f>
        <v>0</v>
      </c>
      <c r="H1603" s="9">
        <f>+'[1]VENTAS(RESUMEN GLOBAL)'!K1603</f>
        <v>0</v>
      </c>
      <c r="I1603" s="8">
        <f>+G1603*'[1]VENTAS(RESUMEN GLOBAL)'!F1603</f>
        <v>0</v>
      </c>
      <c r="J1603" s="8">
        <f>'[1]VENTAS(RESUMEN GLOBAL)'!G1603*(1-'[1]VENTAS(RESUMEN GLOBAL)'!H1603)</f>
        <v>0</v>
      </c>
      <c r="K1603" s="8">
        <f t="shared" ref="K1603:K1666" si="25">+I1603-J1603</f>
        <v>0</v>
      </c>
      <c r="L1603" s="8">
        <f>+'[1]VENTAS(RESUMEN GLOBAL)'!J1603</f>
        <v>0</v>
      </c>
      <c r="M1603" s="8">
        <f>+Tabla1[[#This Row],[utilidad x dia]]*7</f>
        <v>0</v>
      </c>
    </row>
    <row r="1604" spans="1:13" x14ac:dyDescent="0.3">
      <c r="A1604" s="6">
        <f>+'[1]VENTAS(RESUMEN GLOBAL)'!L1604</f>
        <v>0</v>
      </c>
      <c r="B1604" s="6">
        <f>+'[1]VENTAS(RESUMEN GLOBAL)'!M1604</f>
        <v>0</v>
      </c>
      <c r="C1604">
        <f>+'[1]VENTAS(RESUMEN GLOBAL)'!B1604</f>
        <v>0</v>
      </c>
      <c r="D1604" t="e">
        <f>INDEX('[1]CÓDIGOS DE PRODUCTO'!$D$3:$D$1000,MATCH(C1604,'[1]CÓDIGOS DE PRODUCTO'!$A$3:$A$1000,0))</f>
        <v>#N/A</v>
      </c>
      <c r="E1604">
        <f>VLOOKUP(C1604,'[1]CÓDIGOS DE PRODUCTO'!$A$4:$B$156,2,FALSE)</f>
        <v>0</v>
      </c>
      <c r="F1604">
        <f>INDEX('[1]CÓDIGOS DE PRODUCTO'!$C$3:$C$1000,MATCH(C1604,'[1]CÓDIGOS DE PRODUCTO'!$A$3:$A$1000,0))</f>
        <v>0</v>
      </c>
      <c r="G1604">
        <f>+'[1]VENTAS(RESUMEN GLOBAL)'!D1604-'[1]VENTAS(RESUMEN GLOBAL)'!E1604</f>
        <v>0</v>
      </c>
      <c r="H1604" s="9">
        <f>+'[1]VENTAS(RESUMEN GLOBAL)'!K1604</f>
        <v>0</v>
      </c>
      <c r="I1604" s="8">
        <f>+G1604*'[1]VENTAS(RESUMEN GLOBAL)'!F1604</f>
        <v>0</v>
      </c>
      <c r="J1604" s="8">
        <f>'[1]VENTAS(RESUMEN GLOBAL)'!G1604*(1-'[1]VENTAS(RESUMEN GLOBAL)'!H1604)</f>
        <v>0</v>
      </c>
      <c r="K1604" s="8">
        <f t="shared" si="25"/>
        <v>0</v>
      </c>
      <c r="L1604" s="8">
        <f>+'[1]VENTAS(RESUMEN GLOBAL)'!J1604</f>
        <v>0</v>
      </c>
      <c r="M1604" s="8">
        <f>+Tabla1[[#This Row],[utilidad x dia]]*7</f>
        <v>0</v>
      </c>
    </row>
    <row r="1605" spans="1:13" x14ac:dyDescent="0.3">
      <c r="A1605" s="6">
        <f>+'[1]VENTAS(RESUMEN GLOBAL)'!L1605</f>
        <v>0</v>
      </c>
      <c r="B1605" s="6">
        <f>+'[1]VENTAS(RESUMEN GLOBAL)'!M1605</f>
        <v>0</v>
      </c>
      <c r="C1605">
        <f>+'[1]VENTAS(RESUMEN GLOBAL)'!B1605</f>
        <v>0</v>
      </c>
      <c r="D1605" t="e">
        <f>INDEX('[1]CÓDIGOS DE PRODUCTO'!$D$3:$D$1000,MATCH(C1605,'[1]CÓDIGOS DE PRODUCTO'!$A$3:$A$1000,0))</f>
        <v>#N/A</v>
      </c>
      <c r="E1605">
        <f>VLOOKUP(C1605,'[1]CÓDIGOS DE PRODUCTO'!$A$4:$B$156,2,FALSE)</f>
        <v>0</v>
      </c>
      <c r="F1605">
        <f>INDEX('[1]CÓDIGOS DE PRODUCTO'!$C$3:$C$1000,MATCH(C1605,'[1]CÓDIGOS DE PRODUCTO'!$A$3:$A$1000,0))</f>
        <v>0</v>
      </c>
      <c r="G1605">
        <f>+'[1]VENTAS(RESUMEN GLOBAL)'!D1605-'[1]VENTAS(RESUMEN GLOBAL)'!E1605</f>
        <v>0</v>
      </c>
      <c r="H1605" s="9">
        <f>+'[1]VENTAS(RESUMEN GLOBAL)'!K1605</f>
        <v>0</v>
      </c>
      <c r="I1605" s="8">
        <f>+G1605*'[1]VENTAS(RESUMEN GLOBAL)'!F1605</f>
        <v>0</v>
      </c>
      <c r="J1605" s="8">
        <f>'[1]VENTAS(RESUMEN GLOBAL)'!G1605*(1-'[1]VENTAS(RESUMEN GLOBAL)'!H1605)</f>
        <v>0</v>
      </c>
      <c r="K1605" s="8">
        <f t="shared" si="25"/>
        <v>0</v>
      </c>
      <c r="L1605" s="8">
        <f>+'[1]VENTAS(RESUMEN GLOBAL)'!J1605</f>
        <v>0</v>
      </c>
      <c r="M1605" s="8">
        <f>+Tabla1[[#This Row],[utilidad x dia]]*7</f>
        <v>0</v>
      </c>
    </row>
    <row r="1606" spans="1:13" x14ac:dyDescent="0.3">
      <c r="A1606" s="6">
        <f>+'[1]VENTAS(RESUMEN GLOBAL)'!L1606</f>
        <v>0</v>
      </c>
      <c r="B1606" s="6">
        <f>+'[1]VENTAS(RESUMEN GLOBAL)'!M1606</f>
        <v>0</v>
      </c>
      <c r="C1606">
        <f>+'[1]VENTAS(RESUMEN GLOBAL)'!B1606</f>
        <v>0</v>
      </c>
      <c r="D1606" t="e">
        <f>INDEX('[1]CÓDIGOS DE PRODUCTO'!$D$3:$D$1000,MATCH(C1606,'[1]CÓDIGOS DE PRODUCTO'!$A$3:$A$1000,0))</f>
        <v>#N/A</v>
      </c>
      <c r="E1606">
        <f>VLOOKUP(C1606,'[1]CÓDIGOS DE PRODUCTO'!$A$4:$B$156,2,FALSE)</f>
        <v>0</v>
      </c>
      <c r="F1606">
        <f>INDEX('[1]CÓDIGOS DE PRODUCTO'!$C$3:$C$1000,MATCH(C1606,'[1]CÓDIGOS DE PRODUCTO'!$A$3:$A$1000,0))</f>
        <v>0</v>
      </c>
      <c r="G1606">
        <f>+'[1]VENTAS(RESUMEN GLOBAL)'!D1606-'[1]VENTAS(RESUMEN GLOBAL)'!E1606</f>
        <v>0</v>
      </c>
      <c r="H1606" s="9">
        <f>+'[1]VENTAS(RESUMEN GLOBAL)'!K1606</f>
        <v>0</v>
      </c>
      <c r="I1606" s="8">
        <f>+G1606*'[1]VENTAS(RESUMEN GLOBAL)'!F1606</f>
        <v>0</v>
      </c>
      <c r="J1606" s="8">
        <f>'[1]VENTAS(RESUMEN GLOBAL)'!G1606*(1-'[1]VENTAS(RESUMEN GLOBAL)'!H1606)</f>
        <v>0</v>
      </c>
      <c r="K1606" s="8">
        <f t="shared" si="25"/>
        <v>0</v>
      </c>
      <c r="L1606" s="8">
        <f>+'[1]VENTAS(RESUMEN GLOBAL)'!J1606</f>
        <v>0</v>
      </c>
      <c r="M1606" s="8">
        <f>+Tabla1[[#This Row],[utilidad x dia]]*7</f>
        <v>0</v>
      </c>
    </row>
    <row r="1607" spans="1:13" x14ac:dyDescent="0.3">
      <c r="A1607" s="6">
        <f>+'[1]VENTAS(RESUMEN GLOBAL)'!L1607</f>
        <v>0</v>
      </c>
      <c r="B1607" s="6">
        <f>+'[1]VENTAS(RESUMEN GLOBAL)'!M1607</f>
        <v>0</v>
      </c>
      <c r="C1607">
        <f>+'[1]VENTAS(RESUMEN GLOBAL)'!B1607</f>
        <v>0</v>
      </c>
      <c r="D1607" t="e">
        <f>INDEX('[1]CÓDIGOS DE PRODUCTO'!$D$3:$D$1000,MATCH(C1607,'[1]CÓDIGOS DE PRODUCTO'!$A$3:$A$1000,0))</f>
        <v>#N/A</v>
      </c>
      <c r="E1607">
        <f>VLOOKUP(C1607,'[1]CÓDIGOS DE PRODUCTO'!$A$4:$B$156,2,FALSE)</f>
        <v>0</v>
      </c>
      <c r="F1607">
        <f>INDEX('[1]CÓDIGOS DE PRODUCTO'!$C$3:$C$1000,MATCH(C1607,'[1]CÓDIGOS DE PRODUCTO'!$A$3:$A$1000,0))</f>
        <v>0</v>
      </c>
      <c r="G1607">
        <f>+'[1]VENTAS(RESUMEN GLOBAL)'!D1607-'[1]VENTAS(RESUMEN GLOBAL)'!E1607</f>
        <v>0</v>
      </c>
      <c r="H1607" s="9">
        <f>+'[1]VENTAS(RESUMEN GLOBAL)'!K1607</f>
        <v>0</v>
      </c>
      <c r="I1607" s="8">
        <f>+G1607*'[1]VENTAS(RESUMEN GLOBAL)'!F1607</f>
        <v>0</v>
      </c>
      <c r="J1607" s="8">
        <f>'[1]VENTAS(RESUMEN GLOBAL)'!G1607*(1-'[1]VENTAS(RESUMEN GLOBAL)'!H1607)</f>
        <v>0</v>
      </c>
      <c r="K1607" s="8">
        <f t="shared" si="25"/>
        <v>0</v>
      </c>
      <c r="L1607" s="8">
        <f>+'[1]VENTAS(RESUMEN GLOBAL)'!J1607</f>
        <v>0</v>
      </c>
      <c r="M1607" s="8">
        <f>+Tabla1[[#This Row],[utilidad x dia]]*7</f>
        <v>0</v>
      </c>
    </row>
    <row r="1608" spans="1:13" x14ac:dyDescent="0.3">
      <c r="A1608" s="6">
        <f>+'[1]VENTAS(RESUMEN GLOBAL)'!L1608</f>
        <v>0</v>
      </c>
      <c r="B1608" s="6">
        <f>+'[1]VENTAS(RESUMEN GLOBAL)'!M1608</f>
        <v>0</v>
      </c>
      <c r="C1608">
        <f>+'[1]VENTAS(RESUMEN GLOBAL)'!B1608</f>
        <v>0</v>
      </c>
      <c r="D1608" t="e">
        <f>INDEX('[1]CÓDIGOS DE PRODUCTO'!$D$3:$D$1000,MATCH(C1608,'[1]CÓDIGOS DE PRODUCTO'!$A$3:$A$1000,0))</f>
        <v>#N/A</v>
      </c>
      <c r="E1608">
        <f>VLOOKUP(C1608,'[1]CÓDIGOS DE PRODUCTO'!$A$4:$B$156,2,FALSE)</f>
        <v>0</v>
      </c>
      <c r="F1608">
        <f>INDEX('[1]CÓDIGOS DE PRODUCTO'!$C$3:$C$1000,MATCH(C1608,'[1]CÓDIGOS DE PRODUCTO'!$A$3:$A$1000,0))</f>
        <v>0</v>
      </c>
      <c r="G1608">
        <f>+'[1]VENTAS(RESUMEN GLOBAL)'!D1608-'[1]VENTAS(RESUMEN GLOBAL)'!E1608</f>
        <v>0</v>
      </c>
      <c r="H1608" s="9">
        <f>+'[1]VENTAS(RESUMEN GLOBAL)'!K1608</f>
        <v>0</v>
      </c>
      <c r="I1608" s="8">
        <f>+G1608*'[1]VENTAS(RESUMEN GLOBAL)'!F1608</f>
        <v>0</v>
      </c>
      <c r="J1608" s="8">
        <f>'[1]VENTAS(RESUMEN GLOBAL)'!G1608*(1-'[1]VENTAS(RESUMEN GLOBAL)'!H1608)</f>
        <v>0</v>
      </c>
      <c r="K1608" s="8">
        <f t="shared" si="25"/>
        <v>0</v>
      </c>
      <c r="L1608" s="8">
        <f>+'[1]VENTAS(RESUMEN GLOBAL)'!J1608</f>
        <v>0</v>
      </c>
      <c r="M1608" s="8">
        <f>+Tabla1[[#This Row],[utilidad x dia]]*7</f>
        <v>0</v>
      </c>
    </row>
    <row r="1609" spans="1:13" x14ac:dyDescent="0.3">
      <c r="A1609" s="6">
        <f>+'[1]VENTAS(RESUMEN GLOBAL)'!L1609</f>
        <v>0</v>
      </c>
      <c r="B1609" s="6">
        <f>+'[1]VENTAS(RESUMEN GLOBAL)'!M1609</f>
        <v>0</v>
      </c>
      <c r="C1609">
        <f>+'[1]VENTAS(RESUMEN GLOBAL)'!B1609</f>
        <v>0</v>
      </c>
      <c r="D1609" t="e">
        <f>INDEX('[1]CÓDIGOS DE PRODUCTO'!$D$3:$D$1000,MATCH(C1609,'[1]CÓDIGOS DE PRODUCTO'!$A$3:$A$1000,0))</f>
        <v>#N/A</v>
      </c>
      <c r="E1609">
        <f>VLOOKUP(C1609,'[1]CÓDIGOS DE PRODUCTO'!$A$4:$B$156,2,FALSE)</f>
        <v>0</v>
      </c>
      <c r="F1609">
        <f>INDEX('[1]CÓDIGOS DE PRODUCTO'!$C$3:$C$1000,MATCH(C1609,'[1]CÓDIGOS DE PRODUCTO'!$A$3:$A$1000,0))</f>
        <v>0</v>
      </c>
      <c r="G1609">
        <f>+'[1]VENTAS(RESUMEN GLOBAL)'!D1609-'[1]VENTAS(RESUMEN GLOBAL)'!E1609</f>
        <v>0</v>
      </c>
      <c r="H1609" s="9">
        <f>+'[1]VENTAS(RESUMEN GLOBAL)'!K1609</f>
        <v>0</v>
      </c>
      <c r="I1609" s="8">
        <f>+G1609*'[1]VENTAS(RESUMEN GLOBAL)'!F1609</f>
        <v>0</v>
      </c>
      <c r="J1609" s="8">
        <f>'[1]VENTAS(RESUMEN GLOBAL)'!G1609*(1-'[1]VENTAS(RESUMEN GLOBAL)'!H1609)</f>
        <v>0</v>
      </c>
      <c r="K1609" s="8">
        <f t="shared" si="25"/>
        <v>0</v>
      </c>
      <c r="L1609" s="8">
        <f>+'[1]VENTAS(RESUMEN GLOBAL)'!J1609</f>
        <v>0</v>
      </c>
      <c r="M1609" s="8">
        <f>+Tabla1[[#This Row],[utilidad x dia]]*7</f>
        <v>0</v>
      </c>
    </row>
    <row r="1610" spans="1:13" x14ac:dyDescent="0.3">
      <c r="A1610" s="6">
        <f>+'[1]VENTAS(RESUMEN GLOBAL)'!L1610</f>
        <v>0</v>
      </c>
      <c r="B1610" s="6">
        <f>+'[1]VENTAS(RESUMEN GLOBAL)'!M1610</f>
        <v>0</v>
      </c>
      <c r="C1610">
        <f>+'[1]VENTAS(RESUMEN GLOBAL)'!B1610</f>
        <v>0</v>
      </c>
      <c r="D1610" t="e">
        <f>INDEX('[1]CÓDIGOS DE PRODUCTO'!$D$3:$D$1000,MATCH(C1610,'[1]CÓDIGOS DE PRODUCTO'!$A$3:$A$1000,0))</f>
        <v>#N/A</v>
      </c>
      <c r="E1610">
        <f>VLOOKUP(C1610,'[1]CÓDIGOS DE PRODUCTO'!$A$4:$B$156,2,FALSE)</f>
        <v>0</v>
      </c>
      <c r="F1610">
        <f>INDEX('[1]CÓDIGOS DE PRODUCTO'!$C$3:$C$1000,MATCH(C1610,'[1]CÓDIGOS DE PRODUCTO'!$A$3:$A$1000,0))</f>
        <v>0</v>
      </c>
      <c r="G1610">
        <f>+'[1]VENTAS(RESUMEN GLOBAL)'!D1610-'[1]VENTAS(RESUMEN GLOBAL)'!E1610</f>
        <v>0</v>
      </c>
      <c r="H1610" s="9">
        <f>+'[1]VENTAS(RESUMEN GLOBAL)'!K1610</f>
        <v>0</v>
      </c>
      <c r="I1610" s="8">
        <f>+G1610*'[1]VENTAS(RESUMEN GLOBAL)'!F1610</f>
        <v>0</v>
      </c>
      <c r="J1610" s="8">
        <f>'[1]VENTAS(RESUMEN GLOBAL)'!G1610*(1-'[1]VENTAS(RESUMEN GLOBAL)'!H1610)</f>
        <v>0</v>
      </c>
      <c r="K1610" s="8">
        <f t="shared" si="25"/>
        <v>0</v>
      </c>
      <c r="L1610" s="8">
        <f>+'[1]VENTAS(RESUMEN GLOBAL)'!J1610</f>
        <v>0</v>
      </c>
      <c r="M1610" s="8">
        <f>+Tabla1[[#This Row],[utilidad x dia]]*7</f>
        <v>0</v>
      </c>
    </row>
    <row r="1611" spans="1:13" x14ac:dyDescent="0.3">
      <c r="A1611" s="6">
        <f>+'[1]VENTAS(RESUMEN GLOBAL)'!L1611</f>
        <v>0</v>
      </c>
      <c r="B1611" s="6">
        <f>+'[1]VENTAS(RESUMEN GLOBAL)'!M1611</f>
        <v>0</v>
      </c>
      <c r="C1611">
        <f>+'[1]VENTAS(RESUMEN GLOBAL)'!B1611</f>
        <v>0</v>
      </c>
      <c r="D1611" t="e">
        <f>INDEX('[1]CÓDIGOS DE PRODUCTO'!$D$3:$D$1000,MATCH(C1611,'[1]CÓDIGOS DE PRODUCTO'!$A$3:$A$1000,0))</f>
        <v>#N/A</v>
      </c>
      <c r="E1611">
        <f>VLOOKUP(C1611,'[1]CÓDIGOS DE PRODUCTO'!$A$4:$B$156,2,FALSE)</f>
        <v>0</v>
      </c>
      <c r="F1611">
        <f>INDEX('[1]CÓDIGOS DE PRODUCTO'!$C$3:$C$1000,MATCH(C1611,'[1]CÓDIGOS DE PRODUCTO'!$A$3:$A$1000,0))</f>
        <v>0</v>
      </c>
      <c r="G1611">
        <f>+'[1]VENTAS(RESUMEN GLOBAL)'!D1611-'[1]VENTAS(RESUMEN GLOBAL)'!E1611</f>
        <v>0</v>
      </c>
      <c r="H1611" s="9">
        <f>+'[1]VENTAS(RESUMEN GLOBAL)'!K1611</f>
        <v>0</v>
      </c>
      <c r="I1611" s="8">
        <f>+G1611*'[1]VENTAS(RESUMEN GLOBAL)'!F1611</f>
        <v>0</v>
      </c>
      <c r="J1611" s="8">
        <f>'[1]VENTAS(RESUMEN GLOBAL)'!G1611*(1-'[1]VENTAS(RESUMEN GLOBAL)'!H1611)</f>
        <v>0</v>
      </c>
      <c r="K1611" s="8">
        <f t="shared" si="25"/>
        <v>0</v>
      </c>
      <c r="L1611" s="8">
        <f>+'[1]VENTAS(RESUMEN GLOBAL)'!J1611</f>
        <v>0</v>
      </c>
      <c r="M1611" s="8">
        <f>+Tabla1[[#This Row],[utilidad x dia]]*7</f>
        <v>0</v>
      </c>
    </row>
    <row r="1612" spans="1:13" x14ac:dyDescent="0.3">
      <c r="A1612" s="6">
        <f>+'[1]VENTAS(RESUMEN GLOBAL)'!L1612</f>
        <v>0</v>
      </c>
      <c r="B1612" s="6">
        <f>+'[1]VENTAS(RESUMEN GLOBAL)'!M1612</f>
        <v>0</v>
      </c>
      <c r="C1612">
        <f>+'[1]VENTAS(RESUMEN GLOBAL)'!B1612</f>
        <v>0</v>
      </c>
      <c r="D1612" t="e">
        <f>INDEX('[1]CÓDIGOS DE PRODUCTO'!$D$3:$D$1000,MATCH(C1612,'[1]CÓDIGOS DE PRODUCTO'!$A$3:$A$1000,0))</f>
        <v>#N/A</v>
      </c>
      <c r="E1612">
        <f>VLOOKUP(C1612,'[1]CÓDIGOS DE PRODUCTO'!$A$4:$B$156,2,FALSE)</f>
        <v>0</v>
      </c>
      <c r="F1612">
        <f>INDEX('[1]CÓDIGOS DE PRODUCTO'!$C$3:$C$1000,MATCH(C1612,'[1]CÓDIGOS DE PRODUCTO'!$A$3:$A$1000,0))</f>
        <v>0</v>
      </c>
      <c r="G1612">
        <f>+'[1]VENTAS(RESUMEN GLOBAL)'!D1612-'[1]VENTAS(RESUMEN GLOBAL)'!E1612</f>
        <v>0</v>
      </c>
      <c r="H1612" s="9">
        <f>+'[1]VENTAS(RESUMEN GLOBAL)'!K1612</f>
        <v>0</v>
      </c>
      <c r="I1612" s="8">
        <f>+G1612*'[1]VENTAS(RESUMEN GLOBAL)'!F1612</f>
        <v>0</v>
      </c>
      <c r="J1612" s="8">
        <f>'[1]VENTAS(RESUMEN GLOBAL)'!G1612*(1-'[1]VENTAS(RESUMEN GLOBAL)'!H1612)</f>
        <v>0</v>
      </c>
      <c r="K1612" s="8">
        <f t="shared" si="25"/>
        <v>0</v>
      </c>
      <c r="L1612" s="8">
        <f>+'[1]VENTAS(RESUMEN GLOBAL)'!J1612</f>
        <v>0</v>
      </c>
      <c r="M1612" s="8">
        <f>+Tabla1[[#This Row],[utilidad x dia]]*7</f>
        <v>0</v>
      </c>
    </row>
    <row r="1613" spans="1:13" x14ac:dyDescent="0.3">
      <c r="A1613" s="6">
        <f>+'[1]VENTAS(RESUMEN GLOBAL)'!L1613</f>
        <v>0</v>
      </c>
      <c r="B1613" s="6">
        <f>+'[1]VENTAS(RESUMEN GLOBAL)'!M1613</f>
        <v>0</v>
      </c>
      <c r="C1613">
        <f>+'[1]VENTAS(RESUMEN GLOBAL)'!B1613</f>
        <v>0</v>
      </c>
      <c r="D1613" t="e">
        <f>INDEX('[1]CÓDIGOS DE PRODUCTO'!$D$3:$D$1000,MATCH(C1613,'[1]CÓDIGOS DE PRODUCTO'!$A$3:$A$1000,0))</f>
        <v>#N/A</v>
      </c>
      <c r="E1613">
        <f>VLOOKUP(C1613,'[1]CÓDIGOS DE PRODUCTO'!$A$4:$B$156,2,FALSE)</f>
        <v>0</v>
      </c>
      <c r="F1613">
        <f>INDEX('[1]CÓDIGOS DE PRODUCTO'!$C$3:$C$1000,MATCH(C1613,'[1]CÓDIGOS DE PRODUCTO'!$A$3:$A$1000,0))</f>
        <v>0</v>
      </c>
      <c r="G1613">
        <f>+'[1]VENTAS(RESUMEN GLOBAL)'!D1613-'[1]VENTAS(RESUMEN GLOBAL)'!E1613</f>
        <v>0</v>
      </c>
      <c r="H1613" s="9">
        <f>+'[1]VENTAS(RESUMEN GLOBAL)'!K1613</f>
        <v>0</v>
      </c>
      <c r="I1613" s="8">
        <f>+G1613*'[1]VENTAS(RESUMEN GLOBAL)'!F1613</f>
        <v>0</v>
      </c>
      <c r="J1613" s="8">
        <f>'[1]VENTAS(RESUMEN GLOBAL)'!G1613*(1-'[1]VENTAS(RESUMEN GLOBAL)'!H1613)</f>
        <v>0</v>
      </c>
      <c r="K1613" s="8">
        <f t="shared" si="25"/>
        <v>0</v>
      </c>
      <c r="L1613" s="8">
        <f>+'[1]VENTAS(RESUMEN GLOBAL)'!J1613</f>
        <v>0</v>
      </c>
      <c r="M1613" s="8">
        <f>+Tabla1[[#This Row],[utilidad x dia]]*7</f>
        <v>0</v>
      </c>
    </row>
    <row r="1614" spans="1:13" x14ac:dyDescent="0.3">
      <c r="A1614" s="6">
        <f>+'[1]VENTAS(RESUMEN GLOBAL)'!L1614</f>
        <v>0</v>
      </c>
      <c r="B1614" s="6">
        <f>+'[1]VENTAS(RESUMEN GLOBAL)'!M1614</f>
        <v>0</v>
      </c>
      <c r="C1614">
        <f>+'[1]VENTAS(RESUMEN GLOBAL)'!B1614</f>
        <v>0</v>
      </c>
      <c r="D1614" t="e">
        <f>INDEX('[1]CÓDIGOS DE PRODUCTO'!$D$3:$D$1000,MATCH(C1614,'[1]CÓDIGOS DE PRODUCTO'!$A$3:$A$1000,0))</f>
        <v>#N/A</v>
      </c>
      <c r="E1614">
        <f>VLOOKUP(C1614,'[1]CÓDIGOS DE PRODUCTO'!$A$4:$B$156,2,FALSE)</f>
        <v>0</v>
      </c>
      <c r="F1614">
        <f>INDEX('[1]CÓDIGOS DE PRODUCTO'!$C$3:$C$1000,MATCH(C1614,'[1]CÓDIGOS DE PRODUCTO'!$A$3:$A$1000,0))</f>
        <v>0</v>
      </c>
      <c r="G1614">
        <f>+'[1]VENTAS(RESUMEN GLOBAL)'!D1614-'[1]VENTAS(RESUMEN GLOBAL)'!E1614</f>
        <v>0</v>
      </c>
      <c r="H1614" s="9">
        <f>+'[1]VENTAS(RESUMEN GLOBAL)'!K1614</f>
        <v>0</v>
      </c>
      <c r="I1614" s="8">
        <f>+G1614*'[1]VENTAS(RESUMEN GLOBAL)'!F1614</f>
        <v>0</v>
      </c>
      <c r="J1614" s="8">
        <f>'[1]VENTAS(RESUMEN GLOBAL)'!G1614*(1-'[1]VENTAS(RESUMEN GLOBAL)'!H1614)</f>
        <v>0</v>
      </c>
      <c r="K1614" s="8">
        <f t="shared" si="25"/>
        <v>0</v>
      </c>
      <c r="L1614" s="8">
        <f>+'[1]VENTAS(RESUMEN GLOBAL)'!J1614</f>
        <v>0</v>
      </c>
      <c r="M1614" s="8">
        <f>+Tabla1[[#This Row],[utilidad x dia]]*7</f>
        <v>0</v>
      </c>
    </row>
    <row r="1615" spans="1:13" x14ac:dyDescent="0.3">
      <c r="A1615" s="6">
        <f>+'[1]VENTAS(RESUMEN GLOBAL)'!L1615</f>
        <v>0</v>
      </c>
      <c r="B1615" s="6">
        <f>+'[1]VENTAS(RESUMEN GLOBAL)'!M1615</f>
        <v>0</v>
      </c>
      <c r="C1615">
        <f>+'[1]VENTAS(RESUMEN GLOBAL)'!B1615</f>
        <v>0</v>
      </c>
      <c r="D1615" t="e">
        <f>INDEX('[1]CÓDIGOS DE PRODUCTO'!$D$3:$D$1000,MATCH(C1615,'[1]CÓDIGOS DE PRODUCTO'!$A$3:$A$1000,0))</f>
        <v>#N/A</v>
      </c>
      <c r="E1615">
        <f>VLOOKUP(C1615,'[1]CÓDIGOS DE PRODUCTO'!$A$4:$B$156,2,FALSE)</f>
        <v>0</v>
      </c>
      <c r="F1615">
        <f>INDEX('[1]CÓDIGOS DE PRODUCTO'!$C$3:$C$1000,MATCH(C1615,'[1]CÓDIGOS DE PRODUCTO'!$A$3:$A$1000,0))</f>
        <v>0</v>
      </c>
      <c r="G1615">
        <f>+'[1]VENTAS(RESUMEN GLOBAL)'!D1615-'[1]VENTAS(RESUMEN GLOBAL)'!E1615</f>
        <v>0</v>
      </c>
      <c r="H1615" s="9">
        <f>+'[1]VENTAS(RESUMEN GLOBAL)'!K1615</f>
        <v>0</v>
      </c>
      <c r="I1615" s="8">
        <f>+G1615*'[1]VENTAS(RESUMEN GLOBAL)'!F1615</f>
        <v>0</v>
      </c>
      <c r="J1615" s="8">
        <f>'[1]VENTAS(RESUMEN GLOBAL)'!G1615*(1-'[1]VENTAS(RESUMEN GLOBAL)'!H1615)</f>
        <v>0</v>
      </c>
      <c r="K1615" s="8">
        <f t="shared" si="25"/>
        <v>0</v>
      </c>
      <c r="L1615" s="8">
        <f>+'[1]VENTAS(RESUMEN GLOBAL)'!J1615</f>
        <v>0</v>
      </c>
      <c r="M1615" s="8">
        <f>+Tabla1[[#This Row],[utilidad x dia]]*7</f>
        <v>0</v>
      </c>
    </row>
    <row r="1616" spans="1:13" x14ac:dyDescent="0.3">
      <c r="A1616" s="6">
        <f>+'[1]VENTAS(RESUMEN GLOBAL)'!L1616</f>
        <v>0</v>
      </c>
      <c r="B1616" s="6">
        <f>+'[1]VENTAS(RESUMEN GLOBAL)'!M1616</f>
        <v>0</v>
      </c>
      <c r="C1616">
        <f>+'[1]VENTAS(RESUMEN GLOBAL)'!B1616</f>
        <v>0</v>
      </c>
      <c r="D1616" t="e">
        <f>INDEX('[1]CÓDIGOS DE PRODUCTO'!$D$3:$D$1000,MATCH(C1616,'[1]CÓDIGOS DE PRODUCTO'!$A$3:$A$1000,0))</f>
        <v>#N/A</v>
      </c>
      <c r="E1616">
        <f>VLOOKUP(C1616,'[1]CÓDIGOS DE PRODUCTO'!$A$4:$B$156,2,FALSE)</f>
        <v>0</v>
      </c>
      <c r="F1616">
        <f>INDEX('[1]CÓDIGOS DE PRODUCTO'!$C$3:$C$1000,MATCH(C1616,'[1]CÓDIGOS DE PRODUCTO'!$A$3:$A$1000,0))</f>
        <v>0</v>
      </c>
      <c r="G1616">
        <f>+'[1]VENTAS(RESUMEN GLOBAL)'!D1616-'[1]VENTAS(RESUMEN GLOBAL)'!E1616</f>
        <v>0</v>
      </c>
      <c r="H1616" s="9">
        <f>+'[1]VENTAS(RESUMEN GLOBAL)'!K1616</f>
        <v>0</v>
      </c>
      <c r="I1616" s="8">
        <f>+G1616*'[1]VENTAS(RESUMEN GLOBAL)'!F1616</f>
        <v>0</v>
      </c>
      <c r="J1616" s="8">
        <f>'[1]VENTAS(RESUMEN GLOBAL)'!G1616*(1-'[1]VENTAS(RESUMEN GLOBAL)'!H1616)</f>
        <v>0</v>
      </c>
      <c r="K1616" s="8">
        <f t="shared" si="25"/>
        <v>0</v>
      </c>
      <c r="L1616" s="8">
        <f>+'[1]VENTAS(RESUMEN GLOBAL)'!J1616</f>
        <v>0</v>
      </c>
      <c r="M1616" s="8">
        <f>+Tabla1[[#This Row],[utilidad x dia]]*7</f>
        <v>0</v>
      </c>
    </row>
    <row r="1617" spans="1:13" x14ac:dyDescent="0.3">
      <c r="A1617" s="6">
        <f>+'[1]VENTAS(RESUMEN GLOBAL)'!L1617</f>
        <v>0</v>
      </c>
      <c r="B1617" s="6">
        <f>+'[1]VENTAS(RESUMEN GLOBAL)'!M1617</f>
        <v>0</v>
      </c>
      <c r="C1617">
        <f>+'[1]VENTAS(RESUMEN GLOBAL)'!B1617</f>
        <v>0</v>
      </c>
      <c r="D1617" t="e">
        <f>INDEX('[1]CÓDIGOS DE PRODUCTO'!$D$3:$D$1000,MATCH(C1617,'[1]CÓDIGOS DE PRODUCTO'!$A$3:$A$1000,0))</f>
        <v>#N/A</v>
      </c>
      <c r="E1617">
        <f>VLOOKUP(C1617,'[1]CÓDIGOS DE PRODUCTO'!$A$4:$B$156,2,FALSE)</f>
        <v>0</v>
      </c>
      <c r="F1617">
        <f>INDEX('[1]CÓDIGOS DE PRODUCTO'!$C$3:$C$1000,MATCH(C1617,'[1]CÓDIGOS DE PRODUCTO'!$A$3:$A$1000,0))</f>
        <v>0</v>
      </c>
      <c r="G1617">
        <f>+'[1]VENTAS(RESUMEN GLOBAL)'!D1617-'[1]VENTAS(RESUMEN GLOBAL)'!E1617</f>
        <v>0</v>
      </c>
      <c r="H1617" s="9">
        <f>+'[1]VENTAS(RESUMEN GLOBAL)'!K1617</f>
        <v>0</v>
      </c>
      <c r="I1617" s="8">
        <f>+G1617*'[1]VENTAS(RESUMEN GLOBAL)'!F1617</f>
        <v>0</v>
      </c>
      <c r="J1617" s="8">
        <f>'[1]VENTAS(RESUMEN GLOBAL)'!G1617*(1-'[1]VENTAS(RESUMEN GLOBAL)'!H1617)</f>
        <v>0</v>
      </c>
      <c r="K1617" s="8">
        <f t="shared" si="25"/>
        <v>0</v>
      </c>
      <c r="L1617" s="8">
        <f>+'[1]VENTAS(RESUMEN GLOBAL)'!J1617</f>
        <v>0</v>
      </c>
      <c r="M1617" s="8">
        <f>+Tabla1[[#This Row],[utilidad x dia]]*7</f>
        <v>0</v>
      </c>
    </row>
    <row r="1618" spans="1:13" x14ac:dyDescent="0.3">
      <c r="A1618" s="6">
        <f>+'[1]VENTAS(RESUMEN GLOBAL)'!L1618</f>
        <v>0</v>
      </c>
      <c r="B1618" s="6">
        <f>+'[1]VENTAS(RESUMEN GLOBAL)'!M1618</f>
        <v>0</v>
      </c>
      <c r="C1618">
        <f>+'[1]VENTAS(RESUMEN GLOBAL)'!B1618</f>
        <v>0</v>
      </c>
      <c r="D1618" t="e">
        <f>INDEX('[1]CÓDIGOS DE PRODUCTO'!$D$3:$D$1000,MATCH(C1618,'[1]CÓDIGOS DE PRODUCTO'!$A$3:$A$1000,0))</f>
        <v>#N/A</v>
      </c>
      <c r="E1618">
        <f>VLOOKUP(C1618,'[1]CÓDIGOS DE PRODUCTO'!$A$4:$B$156,2,FALSE)</f>
        <v>0</v>
      </c>
      <c r="F1618">
        <f>INDEX('[1]CÓDIGOS DE PRODUCTO'!$C$3:$C$1000,MATCH(C1618,'[1]CÓDIGOS DE PRODUCTO'!$A$3:$A$1000,0))</f>
        <v>0</v>
      </c>
      <c r="G1618">
        <f>+'[1]VENTAS(RESUMEN GLOBAL)'!D1618-'[1]VENTAS(RESUMEN GLOBAL)'!E1618</f>
        <v>0</v>
      </c>
      <c r="H1618" s="9">
        <f>+'[1]VENTAS(RESUMEN GLOBAL)'!K1618</f>
        <v>0</v>
      </c>
      <c r="I1618" s="8">
        <f>+G1618*'[1]VENTAS(RESUMEN GLOBAL)'!F1618</f>
        <v>0</v>
      </c>
      <c r="J1618" s="8">
        <f>'[1]VENTAS(RESUMEN GLOBAL)'!G1618*(1-'[1]VENTAS(RESUMEN GLOBAL)'!H1618)</f>
        <v>0</v>
      </c>
      <c r="K1618" s="8">
        <f t="shared" si="25"/>
        <v>0</v>
      </c>
      <c r="L1618" s="8">
        <f>+'[1]VENTAS(RESUMEN GLOBAL)'!J1618</f>
        <v>0</v>
      </c>
      <c r="M1618" s="8">
        <f>+Tabla1[[#This Row],[utilidad x dia]]*7</f>
        <v>0</v>
      </c>
    </row>
    <row r="1619" spans="1:13" x14ac:dyDescent="0.3">
      <c r="A1619" s="6">
        <f>+'[1]VENTAS(RESUMEN GLOBAL)'!L1619</f>
        <v>0</v>
      </c>
      <c r="B1619" s="6">
        <f>+'[1]VENTAS(RESUMEN GLOBAL)'!M1619</f>
        <v>0</v>
      </c>
      <c r="C1619">
        <f>+'[1]VENTAS(RESUMEN GLOBAL)'!B1619</f>
        <v>0</v>
      </c>
      <c r="D1619" t="e">
        <f>INDEX('[1]CÓDIGOS DE PRODUCTO'!$D$3:$D$1000,MATCH(C1619,'[1]CÓDIGOS DE PRODUCTO'!$A$3:$A$1000,0))</f>
        <v>#N/A</v>
      </c>
      <c r="E1619">
        <f>VLOOKUP(C1619,'[1]CÓDIGOS DE PRODUCTO'!$A$4:$B$156,2,FALSE)</f>
        <v>0</v>
      </c>
      <c r="F1619">
        <f>INDEX('[1]CÓDIGOS DE PRODUCTO'!$C$3:$C$1000,MATCH(C1619,'[1]CÓDIGOS DE PRODUCTO'!$A$3:$A$1000,0))</f>
        <v>0</v>
      </c>
      <c r="G1619">
        <f>+'[1]VENTAS(RESUMEN GLOBAL)'!D1619-'[1]VENTAS(RESUMEN GLOBAL)'!E1619</f>
        <v>0</v>
      </c>
      <c r="H1619" s="9">
        <f>+'[1]VENTAS(RESUMEN GLOBAL)'!K1619</f>
        <v>0</v>
      </c>
      <c r="I1619" s="8">
        <f>+G1619*'[1]VENTAS(RESUMEN GLOBAL)'!F1619</f>
        <v>0</v>
      </c>
      <c r="J1619" s="8">
        <f>'[1]VENTAS(RESUMEN GLOBAL)'!G1619*(1-'[1]VENTAS(RESUMEN GLOBAL)'!H1619)</f>
        <v>0</v>
      </c>
      <c r="K1619" s="8">
        <f t="shared" si="25"/>
        <v>0</v>
      </c>
      <c r="L1619" s="8">
        <f>+'[1]VENTAS(RESUMEN GLOBAL)'!J1619</f>
        <v>0</v>
      </c>
      <c r="M1619" s="8">
        <f>+Tabla1[[#This Row],[utilidad x dia]]*7</f>
        <v>0</v>
      </c>
    </row>
    <row r="1620" spans="1:13" x14ac:dyDescent="0.3">
      <c r="A1620" s="6">
        <f>+'[1]VENTAS(RESUMEN GLOBAL)'!L1620</f>
        <v>0</v>
      </c>
      <c r="B1620" s="6">
        <f>+'[1]VENTAS(RESUMEN GLOBAL)'!M1620</f>
        <v>0</v>
      </c>
      <c r="C1620">
        <f>+'[1]VENTAS(RESUMEN GLOBAL)'!B1620</f>
        <v>0</v>
      </c>
      <c r="D1620" t="e">
        <f>INDEX('[1]CÓDIGOS DE PRODUCTO'!$D$3:$D$1000,MATCH(C1620,'[1]CÓDIGOS DE PRODUCTO'!$A$3:$A$1000,0))</f>
        <v>#N/A</v>
      </c>
      <c r="E1620">
        <f>VLOOKUP(C1620,'[1]CÓDIGOS DE PRODUCTO'!$A$4:$B$156,2,FALSE)</f>
        <v>0</v>
      </c>
      <c r="F1620">
        <f>INDEX('[1]CÓDIGOS DE PRODUCTO'!$C$3:$C$1000,MATCH(C1620,'[1]CÓDIGOS DE PRODUCTO'!$A$3:$A$1000,0))</f>
        <v>0</v>
      </c>
      <c r="G1620">
        <f>+'[1]VENTAS(RESUMEN GLOBAL)'!D1620-'[1]VENTAS(RESUMEN GLOBAL)'!E1620</f>
        <v>0</v>
      </c>
      <c r="H1620" s="9">
        <f>+'[1]VENTAS(RESUMEN GLOBAL)'!K1620</f>
        <v>0</v>
      </c>
      <c r="I1620" s="8">
        <f>+G1620*'[1]VENTAS(RESUMEN GLOBAL)'!F1620</f>
        <v>0</v>
      </c>
      <c r="J1620" s="8">
        <f>'[1]VENTAS(RESUMEN GLOBAL)'!G1620*(1-'[1]VENTAS(RESUMEN GLOBAL)'!H1620)</f>
        <v>0</v>
      </c>
      <c r="K1620" s="8">
        <f t="shared" si="25"/>
        <v>0</v>
      </c>
      <c r="L1620" s="8">
        <f>+'[1]VENTAS(RESUMEN GLOBAL)'!J1620</f>
        <v>0</v>
      </c>
      <c r="M1620" s="8">
        <f>+Tabla1[[#This Row],[utilidad x dia]]*7</f>
        <v>0</v>
      </c>
    </row>
    <row r="1621" spans="1:13" x14ac:dyDescent="0.3">
      <c r="A1621" s="6">
        <f>+'[1]VENTAS(RESUMEN GLOBAL)'!L1621</f>
        <v>0</v>
      </c>
      <c r="B1621" s="6">
        <f>+'[1]VENTAS(RESUMEN GLOBAL)'!M1621</f>
        <v>0</v>
      </c>
      <c r="C1621">
        <f>+'[1]VENTAS(RESUMEN GLOBAL)'!B1621</f>
        <v>0</v>
      </c>
      <c r="D1621" t="e">
        <f>INDEX('[1]CÓDIGOS DE PRODUCTO'!$D$3:$D$1000,MATCH(C1621,'[1]CÓDIGOS DE PRODUCTO'!$A$3:$A$1000,0))</f>
        <v>#N/A</v>
      </c>
      <c r="E1621">
        <f>VLOOKUP(C1621,'[1]CÓDIGOS DE PRODUCTO'!$A$4:$B$156,2,FALSE)</f>
        <v>0</v>
      </c>
      <c r="F1621">
        <f>INDEX('[1]CÓDIGOS DE PRODUCTO'!$C$3:$C$1000,MATCH(C1621,'[1]CÓDIGOS DE PRODUCTO'!$A$3:$A$1000,0))</f>
        <v>0</v>
      </c>
      <c r="G1621">
        <f>+'[1]VENTAS(RESUMEN GLOBAL)'!D1621-'[1]VENTAS(RESUMEN GLOBAL)'!E1621</f>
        <v>0</v>
      </c>
      <c r="H1621" s="9">
        <f>+'[1]VENTAS(RESUMEN GLOBAL)'!K1621</f>
        <v>0</v>
      </c>
      <c r="I1621" s="8">
        <f>+G1621*'[1]VENTAS(RESUMEN GLOBAL)'!F1621</f>
        <v>0</v>
      </c>
      <c r="J1621" s="8">
        <f>'[1]VENTAS(RESUMEN GLOBAL)'!G1621*(1-'[1]VENTAS(RESUMEN GLOBAL)'!H1621)</f>
        <v>0</v>
      </c>
      <c r="K1621" s="8">
        <f t="shared" si="25"/>
        <v>0</v>
      </c>
      <c r="L1621" s="8">
        <f>+'[1]VENTAS(RESUMEN GLOBAL)'!J1621</f>
        <v>0</v>
      </c>
      <c r="M1621" s="8">
        <f>+Tabla1[[#This Row],[utilidad x dia]]*7</f>
        <v>0</v>
      </c>
    </row>
    <row r="1622" spans="1:13" x14ac:dyDescent="0.3">
      <c r="A1622" s="6">
        <f>+'[1]VENTAS(RESUMEN GLOBAL)'!L1622</f>
        <v>0</v>
      </c>
      <c r="B1622" s="6">
        <f>+'[1]VENTAS(RESUMEN GLOBAL)'!M1622</f>
        <v>0</v>
      </c>
      <c r="C1622">
        <f>+'[1]VENTAS(RESUMEN GLOBAL)'!B1622</f>
        <v>0</v>
      </c>
      <c r="D1622" t="e">
        <f>INDEX('[1]CÓDIGOS DE PRODUCTO'!$D$3:$D$1000,MATCH(C1622,'[1]CÓDIGOS DE PRODUCTO'!$A$3:$A$1000,0))</f>
        <v>#N/A</v>
      </c>
      <c r="E1622">
        <f>VLOOKUP(C1622,'[1]CÓDIGOS DE PRODUCTO'!$A$4:$B$156,2,FALSE)</f>
        <v>0</v>
      </c>
      <c r="F1622">
        <f>INDEX('[1]CÓDIGOS DE PRODUCTO'!$C$3:$C$1000,MATCH(C1622,'[1]CÓDIGOS DE PRODUCTO'!$A$3:$A$1000,0))</f>
        <v>0</v>
      </c>
      <c r="G1622">
        <f>+'[1]VENTAS(RESUMEN GLOBAL)'!D1622-'[1]VENTAS(RESUMEN GLOBAL)'!E1622</f>
        <v>0</v>
      </c>
      <c r="H1622" s="9">
        <f>+'[1]VENTAS(RESUMEN GLOBAL)'!K1622</f>
        <v>0</v>
      </c>
      <c r="I1622" s="8">
        <f>+G1622*'[1]VENTAS(RESUMEN GLOBAL)'!F1622</f>
        <v>0</v>
      </c>
      <c r="J1622" s="8">
        <f>'[1]VENTAS(RESUMEN GLOBAL)'!G1622*(1-'[1]VENTAS(RESUMEN GLOBAL)'!H1622)</f>
        <v>0</v>
      </c>
      <c r="K1622" s="8">
        <f t="shared" si="25"/>
        <v>0</v>
      </c>
      <c r="L1622" s="8">
        <f>+'[1]VENTAS(RESUMEN GLOBAL)'!J1622</f>
        <v>0</v>
      </c>
      <c r="M1622" s="8">
        <f>+Tabla1[[#This Row],[utilidad x dia]]*7</f>
        <v>0</v>
      </c>
    </row>
    <row r="1623" spans="1:13" x14ac:dyDescent="0.3">
      <c r="A1623" s="6">
        <f>+'[1]VENTAS(RESUMEN GLOBAL)'!L1623</f>
        <v>0</v>
      </c>
      <c r="B1623" s="6">
        <f>+'[1]VENTAS(RESUMEN GLOBAL)'!M1623</f>
        <v>0</v>
      </c>
      <c r="C1623">
        <f>+'[1]VENTAS(RESUMEN GLOBAL)'!B1623</f>
        <v>0</v>
      </c>
      <c r="D1623" t="e">
        <f>INDEX('[1]CÓDIGOS DE PRODUCTO'!$D$3:$D$1000,MATCH(C1623,'[1]CÓDIGOS DE PRODUCTO'!$A$3:$A$1000,0))</f>
        <v>#N/A</v>
      </c>
      <c r="E1623">
        <f>VLOOKUP(C1623,'[1]CÓDIGOS DE PRODUCTO'!$A$4:$B$156,2,FALSE)</f>
        <v>0</v>
      </c>
      <c r="F1623">
        <f>INDEX('[1]CÓDIGOS DE PRODUCTO'!$C$3:$C$1000,MATCH(C1623,'[1]CÓDIGOS DE PRODUCTO'!$A$3:$A$1000,0))</f>
        <v>0</v>
      </c>
      <c r="G1623">
        <f>+'[1]VENTAS(RESUMEN GLOBAL)'!D1623-'[1]VENTAS(RESUMEN GLOBAL)'!E1623</f>
        <v>0</v>
      </c>
      <c r="H1623" s="9">
        <f>+'[1]VENTAS(RESUMEN GLOBAL)'!K1623</f>
        <v>0</v>
      </c>
      <c r="I1623" s="8">
        <f>+G1623*'[1]VENTAS(RESUMEN GLOBAL)'!F1623</f>
        <v>0</v>
      </c>
      <c r="J1623" s="8">
        <f>'[1]VENTAS(RESUMEN GLOBAL)'!G1623*(1-'[1]VENTAS(RESUMEN GLOBAL)'!H1623)</f>
        <v>0</v>
      </c>
      <c r="K1623" s="8">
        <f t="shared" si="25"/>
        <v>0</v>
      </c>
      <c r="L1623" s="8">
        <f>+'[1]VENTAS(RESUMEN GLOBAL)'!J1623</f>
        <v>0</v>
      </c>
      <c r="M1623" s="8">
        <f>+Tabla1[[#This Row],[utilidad x dia]]*7</f>
        <v>0</v>
      </c>
    </row>
    <row r="1624" spans="1:13" x14ac:dyDescent="0.3">
      <c r="A1624" s="6">
        <f>+'[1]VENTAS(RESUMEN GLOBAL)'!L1624</f>
        <v>0</v>
      </c>
      <c r="B1624" s="6">
        <f>+'[1]VENTAS(RESUMEN GLOBAL)'!M1624</f>
        <v>0</v>
      </c>
      <c r="C1624">
        <f>+'[1]VENTAS(RESUMEN GLOBAL)'!B1624</f>
        <v>0</v>
      </c>
      <c r="D1624" t="e">
        <f>INDEX('[1]CÓDIGOS DE PRODUCTO'!$D$3:$D$1000,MATCH(C1624,'[1]CÓDIGOS DE PRODUCTO'!$A$3:$A$1000,0))</f>
        <v>#N/A</v>
      </c>
      <c r="E1624">
        <f>VLOOKUP(C1624,'[1]CÓDIGOS DE PRODUCTO'!$A$4:$B$156,2,FALSE)</f>
        <v>0</v>
      </c>
      <c r="F1624">
        <f>INDEX('[1]CÓDIGOS DE PRODUCTO'!$C$3:$C$1000,MATCH(C1624,'[1]CÓDIGOS DE PRODUCTO'!$A$3:$A$1000,0))</f>
        <v>0</v>
      </c>
      <c r="G1624">
        <f>+'[1]VENTAS(RESUMEN GLOBAL)'!D1624-'[1]VENTAS(RESUMEN GLOBAL)'!E1624</f>
        <v>0</v>
      </c>
      <c r="H1624" s="9">
        <f>+'[1]VENTAS(RESUMEN GLOBAL)'!K1624</f>
        <v>0</v>
      </c>
      <c r="I1624" s="8">
        <f>+G1624*'[1]VENTAS(RESUMEN GLOBAL)'!F1624</f>
        <v>0</v>
      </c>
      <c r="J1624" s="8">
        <f>'[1]VENTAS(RESUMEN GLOBAL)'!G1624*(1-'[1]VENTAS(RESUMEN GLOBAL)'!H1624)</f>
        <v>0</v>
      </c>
      <c r="K1624" s="8">
        <f t="shared" si="25"/>
        <v>0</v>
      </c>
      <c r="L1624" s="8">
        <f>+'[1]VENTAS(RESUMEN GLOBAL)'!J1624</f>
        <v>0</v>
      </c>
      <c r="M1624" s="8">
        <f>+Tabla1[[#This Row],[utilidad x dia]]*7</f>
        <v>0</v>
      </c>
    </row>
    <row r="1625" spans="1:13" x14ac:dyDescent="0.3">
      <c r="A1625" s="6">
        <f>+'[1]VENTAS(RESUMEN GLOBAL)'!L1625</f>
        <v>0</v>
      </c>
      <c r="B1625" s="6">
        <f>+'[1]VENTAS(RESUMEN GLOBAL)'!M1625</f>
        <v>0</v>
      </c>
      <c r="C1625">
        <f>+'[1]VENTAS(RESUMEN GLOBAL)'!B1625</f>
        <v>0</v>
      </c>
      <c r="D1625" t="e">
        <f>INDEX('[1]CÓDIGOS DE PRODUCTO'!$D$3:$D$1000,MATCH(C1625,'[1]CÓDIGOS DE PRODUCTO'!$A$3:$A$1000,0))</f>
        <v>#N/A</v>
      </c>
      <c r="E1625">
        <f>VLOOKUP(C1625,'[1]CÓDIGOS DE PRODUCTO'!$A$4:$B$156,2,FALSE)</f>
        <v>0</v>
      </c>
      <c r="F1625">
        <f>INDEX('[1]CÓDIGOS DE PRODUCTO'!$C$3:$C$1000,MATCH(C1625,'[1]CÓDIGOS DE PRODUCTO'!$A$3:$A$1000,0))</f>
        <v>0</v>
      </c>
      <c r="G1625">
        <f>+'[1]VENTAS(RESUMEN GLOBAL)'!D1625-'[1]VENTAS(RESUMEN GLOBAL)'!E1625</f>
        <v>0</v>
      </c>
      <c r="H1625" s="9">
        <f>+'[1]VENTAS(RESUMEN GLOBAL)'!K1625</f>
        <v>0</v>
      </c>
      <c r="I1625" s="8">
        <f>+G1625*'[1]VENTAS(RESUMEN GLOBAL)'!F1625</f>
        <v>0</v>
      </c>
      <c r="J1625" s="8">
        <f>'[1]VENTAS(RESUMEN GLOBAL)'!G1625*(1-'[1]VENTAS(RESUMEN GLOBAL)'!H1625)</f>
        <v>0</v>
      </c>
      <c r="K1625" s="8">
        <f t="shared" si="25"/>
        <v>0</v>
      </c>
      <c r="L1625" s="8">
        <f>+'[1]VENTAS(RESUMEN GLOBAL)'!J1625</f>
        <v>0</v>
      </c>
      <c r="M1625" s="8">
        <f>+Tabla1[[#This Row],[utilidad x dia]]*7</f>
        <v>0</v>
      </c>
    </row>
    <row r="1626" spans="1:13" x14ac:dyDescent="0.3">
      <c r="A1626" s="6">
        <f>+'[1]VENTAS(RESUMEN GLOBAL)'!L1626</f>
        <v>0</v>
      </c>
      <c r="B1626" s="6">
        <f>+'[1]VENTAS(RESUMEN GLOBAL)'!M1626</f>
        <v>0</v>
      </c>
      <c r="C1626">
        <f>+'[1]VENTAS(RESUMEN GLOBAL)'!B1626</f>
        <v>0</v>
      </c>
      <c r="D1626" t="e">
        <f>INDEX('[1]CÓDIGOS DE PRODUCTO'!$D$3:$D$1000,MATCH(C1626,'[1]CÓDIGOS DE PRODUCTO'!$A$3:$A$1000,0))</f>
        <v>#N/A</v>
      </c>
      <c r="E1626">
        <f>VLOOKUP(C1626,'[1]CÓDIGOS DE PRODUCTO'!$A$4:$B$156,2,FALSE)</f>
        <v>0</v>
      </c>
      <c r="F1626">
        <f>INDEX('[1]CÓDIGOS DE PRODUCTO'!$C$3:$C$1000,MATCH(C1626,'[1]CÓDIGOS DE PRODUCTO'!$A$3:$A$1000,0))</f>
        <v>0</v>
      </c>
      <c r="G1626">
        <f>+'[1]VENTAS(RESUMEN GLOBAL)'!D1626-'[1]VENTAS(RESUMEN GLOBAL)'!E1626</f>
        <v>0</v>
      </c>
      <c r="H1626" s="9">
        <f>+'[1]VENTAS(RESUMEN GLOBAL)'!K1626</f>
        <v>0</v>
      </c>
      <c r="I1626" s="8">
        <f>+G1626*'[1]VENTAS(RESUMEN GLOBAL)'!F1626</f>
        <v>0</v>
      </c>
      <c r="J1626" s="8">
        <f>'[1]VENTAS(RESUMEN GLOBAL)'!G1626*(1-'[1]VENTAS(RESUMEN GLOBAL)'!H1626)</f>
        <v>0</v>
      </c>
      <c r="K1626" s="8">
        <f t="shared" si="25"/>
        <v>0</v>
      </c>
      <c r="L1626" s="8">
        <f>+'[1]VENTAS(RESUMEN GLOBAL)'!J1626</f>
        <v>0</v>
      </c>
      <c r="M1626" s="8">
        <f>+Tabla1[[#This Row],[utilidad x dia]]*7</f>
        <v>0</v>
      </c>
    </row>
    <row r="1627" spans="1:13" x14ac:dyDescent="0.3">
      <c r="A1627" s="6">
        <f>+'[1]VENTAS(RESUMEN GLOBAL)'!L1627</f>
        <v>0</v>
      </c>
      <c r="B1627" s="6">
        <f>+'[1]VENTAS(RESUMEN GLOBAL)'!M1627</f>
        <v>0</v>
      </c>
      <c r="C1627">
        <f>+'[1]VENTAS(RESUMEN GLOBAL)'!B1627</f>
        <v>0</v>
      </c>
      <c r="D1627" t="e">
        <f>INDEX('[1]CÓDIGOS DE PRODUCTO'!$D$3:$D$1000,MATCH(C1627,'[1]CÓDIGOS DE PRODUCTO'!$A$3:$A$1000,0))</f>
        <v>#N/A</v>
      </c>
      <c r="E1627">
        <f>VLOOKUP(C1627,'[1]CÓDIGOS DE PRODUCTO'!$A$4:$B$156,2,FALSE)</f>
        <v>0</v>
      </c>
      <c r="F1627">
        <f>INDEX('[1]CÓDIGOS DE PRODUCTO'!$C$3:$C$1000,MATCH(C1627,'[1]CÓDIGOS DE PRODUCTO'!$A$3:$A$1000,0))</f>
        <v>0</v>
      </c>
      <c r="G1627">
        <f>+'[1]VENTAS(RESUMEN GLOBAL)'!D1627-'[1]VENTAS(RESUMEN GLOBAL)'!E1627</f>
        <v>0</v>
      </c>
      <c r="H1627" s="9">
        <f>+'[1]VENTAS(RESUMEN GLOBAL)'!K1627</f>
        <v>0</v>
      </c>
      <c r="I1627" s="8">
        <f>+G1627*'[1]VENTAS(RESUMEN GLOBAL)'!F1627</f>
        <v>0</v>
      </c>
      <c r="J1627" s="8">
        <f>'[1]VENTAS(RESUMEN GLOBAL)'!G1627*(1-'[1]VENTAS(RESUMEN GLOBAL)'!H1627)</f>
        <v>0</v>
      </c>
      <c r="K1627" s="8">
        <f t="shared" si="25"/>
        <v>0</v>
      </c>
      <c r="L1627" s="8">
        <f>+'[1]VENTAS(RESUMEN GLOBAL)'!J1627</f>
        <v>0</v>
      </c>
      <c r="M1627" s="8">
        <f>+Tabla1[[#This Row],[utilidad x dia]]*7</f>
        <v>0</v>
      </c>
    </row>
    <row r="1628" spans="1:13" x14ac:dyDescent="0.3">
      <c r="A1628" s="6">
        <f>+'[1]VENTAS(RESUMEN GLOBAL)'!L1628</f>
        <v>0</v>
      </c>
      <c r="B1628" s="6">
        <f>+'[1]VENTAS(RESUMEN GLOBAL)'!M1628</f>
        <v>0</v>
      </c>
      <c r="C1628">
        <f>+'[1]VENTAS(RESUMEN GLOBAL)'!B1628</f>
        <v>0</v>
      </c>
      <c r="D1628" t="e">
        <f>INDEX('[1]CÓDIGOS DE PRODUCTO'!$D$3:$D$1000,MATCH(C1628,'[1]CÓDIGOS DE PRODUCTO'!$A$3:$A$1000,0))</f>
        <v>#N/A</v>
      </c>
      <c r="E1628">
        <f>VLOOKUP(C1628,'[1]CÓDIGOS DE PRODUCTO'!$A$4:$B$156,2,FALSE)</f>
        <v>0</v>
      </c>
      <c r="F1628">
        <f>INDEX('[1]CÓDIGOS DE PRODUCTO'!$C$3:$C$1000,MATCH(C1628,'[1]CÓDIGOS DE PRODUCTO'!$A$3:$A$1000,0))</f>
        <v>0</v>
      </c>
      <c r="G1628">
        <f>+'[1]VENTAS(RESUMEN GLOBAL)'!D1628-'[1]VENTAS(RESUMEN GLOBAL)'!E1628</f>
        <v>0</v>
      </c>
      <c r="H1628" s="9">
        <f>+'[1]VENTAS(RESUMEN GLOBAL)'!K1628</f>
        <v>0</v>
      </c>
      <c r="I1628" s="8">
        <f>+G1628*'[1]VENTAS(RESUMEN GLOBAL)'!F1628</f>
        <v>0</v>
      </c>
      <c r="J1628" s="8">
        <f>'[1]VENTAS(RESUMEN GLOBAL)'!G1628*(1-'[1]VENTAS(RESUMEN GLOBAL)'!H1628)</f>
        <v>0</v>
      </c>
      <c r="K1628" s="8">
        <f t="shared" si="25"/>
        <v>0</v>
      </c>
      <c r="L1628" s="8">
        <f>+'[1]VENTAS(RESUMEN GLOBAL)'!J1628</f>
        <v>0</v>
      </c>
      <c r="M1628" s="8">
        <f>+Tabla1[[#This Row],[utilidad x dia]]*7</f>
        <v>0</v>
      </c>
    </row>
    <row r="1629" spans="1:13" x14ac:dyDescent="0.3">
      <c r="A1629" s="6">
        <f>+'[1]VENTAS(RESUMEN GLOBAL)'!L1629</f>
        <v>0</v>
      </c>
      <c r="B1629" s="6">
        <f>+'[1]VENTAS(RESUMEN GLOBAL)'!M1629</f>
        <v>0</v>
      </c>
      <c r="C1629">
        <f>+'[1]VENTAS(RESUMEN GLOBAL)'!B1629</f>
        <v>0</v>
      </c>
      <c r="D1629" t="e">
        <f>INDEX('[1]CÓDIGOS DE PRODUCTO'!$D$3:$D$1000,MATCH(C1629,'[1]CÓDIGOS DE PRODUCTO'!$A$3:$A$1000,0))</f>
        <v>#N/A</v>
      </c>
      <c r="E1629">
        <f>VLOOKUP(C1629,'[1]CÓDIGOS DE PRODUCTO'!$A$4:$B$156,2,FALSE)</f>
        <v>0</v>
      </c>
      <c r="F1629">
        <f>INDEX('[1]CÓDIGOS DE PRODUCTO'!$C$3:$C$1000,MATCH(C1629,'[1]CÓDIGOS DE PRODUCTO'!$A$3:$A$1000,0))</f>
        <v>0</v>
      </c>
      <c r="G1629">
        <f>+'[1]VENTAS(RESUMEN GLOBAL)'!D1629-'[1]VENTAS(RESUMEN GLOBAL)'!E1629</f>
        <v>0</v>
      </c>
      <c r="H1629" s="9">
        <f>+'[1]VENTAS(RESUMEN GLOBAL)'!K1629</f>
        <v>0</v>
      </c>
      <c r="I1629" s="8">
        <f>+G1629*'[1]VENTAS(RESUMEN GLOBAL)'!F1629</f>
        <v>0</v>
      </c>
      <c r="J1629" s="8">
        <f>'[1]VENTAS(RESUMEN GLOBAL)'!G1629*(1-'[1]VENTAS(RESUMEN GLOBAL)'!H1629)</f>
        <v>0</v>
      </c>
      <c r="K1629" s="8">
        <f t="shared" si="25"/>
        <v>0</v>
      </c>
      <c r="L1629" s="8">
        <f>+'[1]VENTAS(RESUMEN GLOBAL)'!J1629</f>
        <v>0</v>
      </c>
      <c r="M1629" s="8">
        <f>+Tabla1[[#This Row],[utilidad x dia]]*7</f>
        <v>0</v>
      </c>
    </row>
    <row r="1630" spans="1:13" x14ac:dyDescent="0.3">
      <c r="A1630" s="6">
        <f>+'[1]VENTAS(RESUMEN GLOBAL)'!L1630</f>
        <v>0</v>
      </c>
      <c r="B1630" s="6">
        <f>+'[1]VENTAS(RESUMEN GLOBAL)'!M1630</f>
        <v>0</v>
      </c>
      <c r="C1630">
        <f>+'[1]VENTAS(RESUMEN GLOBAL)'!B1630</f>
        <v>0</v>
      </c>
      <c r="D1630" t="e">
        <f>INDEX('[1]CÓDIGOS DE PRODUCTO'!$D$3:$D$1000,MATCH(C1630,'[1]CÓDIGOS DE PRODUCTO'!$A$3:$A$1000,0))</f>
        <v>#N/A</v>
      </c>
      <c r="E1630">
        <f>VLOOKUP(C1630,'[1]CÓDIGOS DE PRODUCTO'!$A$4:$B$156,2,FALSE)</f>
        <v>0</v>
      </c>
      <c r="F1630">
        <f>INDEX('[1]CÓDIGOS DE PRODUCTO'!$C$3:$C$1000,MATCH(C1630,'[1]CÓDIGOS DE PRODUCTO'!$A$3:$A$1000,0))</f>
        <v>0</v>
      </c>
      <c r="G1630">
        <f>+'[1]VENTAS(RESUMEN GLOBAL)'!D1630-'[1]VENTAS(RESUMEN GLOBAL)'!E1630</f>
        <v>0</v>
      </c>
      <c r="H1630" s="9">
        <f>+'[1]VENTAS(RESUMEN GLOBAL)'!K1630</f>
        <v>0</v>
      </c>
      <c r="I1630" s="8">
        <f>+G1630*'[1]VENTAS(RESUMEN GLOBAL)'!F1630</f>
        <v>0</v>
      </c>
      <c r="J1630" s="8">
        <f>'[1]VENTAS(RESUMEN GLOBAL)'!G1630*(1-'[1]VENTAS(RESUMEN GLOBAL)'!H1630)</f>
        <v>0</v>
      </c>
      <c r="K1630" s="8">
        <f t="shared" si="25"/>
        <v>0</v>
      </c>
      <c r="L1630" s="8">
        <f>+'[1]VENTAS(RESUMEN GLOBAL)'!J1630</f>
        <v>0</v>
      </c>
      <c r="M1630" s="8">
        <f>+Tabla1[[#This Row],[utilidad x dia]]*7</f>
        <v>0</v>
      </c>
    </row>
    <row r="1631" spans="1:13" x14ac:dyDescent="0.3">
      <c r="A1631" s="6">
        <f>+'[1]VENTAS(RESUMEN GLOBAL)'!L1631</f>
        <v>0</v>
      </c>
      <c r="B1631" s="6">
        <f>+'[1]VENTAS(RESUMEN GLOBAL)'!M1631</f>
        <v>0</v>
      </c>
      <c r="C1631">
        <f>+'[1]VENTAS(RESUMEN GLOBAL)'!B1631</f>
        <v>0</v>
      </c>
      <c r="D1631" t="e">
        <f>INDEX('[1]CÓDIGOS DE PRODUCTO'!$D$3:$D$1000,MATCH(C1631,'[1]CÓDIGOS DE PRODUCTO'!$A$3:$A$1000,0))</f>
        <v>#N/A</v>
      </c>
      <c r="E1631">
        <f>VLOOKUP(C1631,'[1]CÓDIGOS DE PRODUCTO'!$A$4:$B$156,2,FALSE)</f>
        <v>0</v>
      </c>
      <c r="F1631">
        <f>INDEX('[1]CÓDIGOS DE PRODUCTO'!$C$3:$C$1000,MATCH(C1631,'[1]CÓDIGOS DE PRODUCTO'!$A$3:$A$1000,0))</f>
        <v>0</v>
      </c>
      <c r="G1631">
        <f>+'[1]VENTAS(RESUMEN GLOBAL)'!D1631-'[1]VENTAS(RESUMEN GLOBAL)'!E1631</f>
        <v>0</v>
      </c>
      <c r="H1631" s="9">
        <f>+'[1]VENTAS(RESUMEN GLOBAL)'!K1631</f>
        <v>0</v>
      </c>
      <c r="I1631" s="8">
        <f>+G1631*'[1]VENTAS(RESUMEN GLOBAL)'!F1631</f>
        <v>0</v>
      </c>
      <c r="J1631" s="8">
        <f>'[1]VENTAS(RESUMEN GLOBAL)'!G1631*(1-'[1]VENTAS(RESUMEN GLOBAL)'!H1631)</f>
        <v>0</v>
      </c>
      <c r="K1631" s="8">
        <f t="shared" si="25"/>
        <v>0</v>
      </c>
      <c r="L1631" s="8">
        <f>+'[1]VENTAS(RESUMEN GLOBAL)'!J1631</f>
        <v>0</v>
      </c>
      <c r="M1631" s="8">
        <f>+Tabla1[[#This Row],[utilidad x dia]]*7</f>
        <v>0</v>
      </c>
    </row>
    <row r="1632" spans="1:13" x14ac:dyDescent="0.3">
      <c r="A1632" s="6">
        <f>+'[1]VENTAS(RESUMEN GLOBAL)'!L1632</f>
        <v>0</v>
      </c>
      <c r="B1632" s="6">
        <f>+'[1]VENTAS(RESUMEN GLOBAL)'!M1632</f>
        <v>0</v>
      </c>
      <c r="C1632">
        <f>+'[1]VENTAS(RESUMEN GLOBAL)'!B1632</f>
        <v>0</v>
      </c>
      <c r="D1632" t="e">
        <f>INDEX('[1]CÓDIGOS DE PRODUCTO'!$D$3:$D$1000,MATCH(C1632,'[1]CÓDIGOS DE PRODUCTO'!$A$3:$A$1000,0))</f>
        <v>#N/A</v>
      </c>
      <c r="E1632">
        <f>VLOOKUP(C1632,'[1]CÓDIGOS DE PRODUCTO'!$A$4:$B$156,2,FALSE)</f>
        <v>0</v>
      </c>
      <c r="F1632">
        <f>INDEX('[1]CÓDIGOS DE PRODUCTO'!$C$3:$C$1000,MATCH(C1632,'[1]CÓDIGOS DE PRODUCTO'!$A$3:$A$1000,0))</f>
        <v>0</v>
      </c>
      <c r="G1632">
        <f>+'[1]VENTAS(RESUMEN GLOBAL)'!D1632-'[1]VENTAS(RESUMEN GLOBAL)'!E1632</f>
        <v>0</v>
      </c>
      <c r="H1632" s="9">
        <f>+'[1]VENTAS(RESUMEN GLOBAL)'!K1632</f>
        <v>0</v>
      </c>
      <c r="I1632" s="8">
        <f>+G1632*'[1]VENTAS(RESUMEN GLOBAL)'!F1632</f>
        <v>0</v>
      </c>
      <c r="J1632" s="8">
        <f>'[1]VENTAS(RESUMEN GLOBAL)'!G1632*(1-'[1]VENTAS(RESUMEN GLOBAL)'!H1632)</f>
        <v>0</v>
      </c>
      <c r="K1632" s="8">
        <f t="shared" si="25"/>
        <v>0</v>
      </c>
      <c r="L1632" s="8">
        <f>+'[1]VENTAS(RESUMEN GLOBAL)'!J1632</f>
        <v>0</v>
      </c>
      <c r="M1632" s="8">
        <f>+Tabla1[[#This Row],[utilidad x dia]]*7</f>
        <v>0</v>
      </c>
    </row>
    <row r="1633" spans="1:13" x14ac:dyDescent="0.3">
      <c r="A1633" s="6">
        <f>+'[1]VENTAS(RESUMEN GLOBAL)'!L1633</f>
        <v>0</v>
      </c>
      <c r="B1633" s="6">
        <f>+'[1]VENTAS(RESUMEN GLOBAL)'!M1633</f>
        <v>0</v>
      </c>
      <c r="C1633">
        <f>+'[1]VENTAS(RESUMEN GLOBAL)'!B1633</f>
        <v>0</v>
      </c>
      <c r="D1633" t="e">
        <f>INDEX('[1]CÓDIGOS DE PRODUCTO'!$D$3:$D$1000,MATCH(C1633,'[1]CÓDIGOS DE PRODUCTO'!$A$3:$A$1000,0))</f>
        <v>#N/A</v>
      </c>
      <c r="E1633">
        <f>VLOOKUP(C1633,'[1]CÓDIGOS DE PRODUCTO'!$A$4:$B$156,2,FALSE)</f>
        <v>0</v>
      </c>
      <c r="F1633">
        <f>INDEX('[1]CÓDIGOS DE PRODUCTO'!$C$3:$C$1000,MATCH(C1633,'[1]CÓDIGOS DE PRODUCTO'!$A$3:$A$1000,0))</f>
        <v>0</v>
      </c>
      <c r="G1633">
        <f>+'[1]VENTAS(RESUMEN GLOBAL)'!D1633-'[1]VENTAS(RESUMEN GLOBAL)'!E1633</f>
        <v>0</v>
      </c>
      <c r="H1633" s="9">
        <f>+'[1]VENTAS(RESUMEN GLOBAL)'!K1633</f>
        <v>0</v>
      </c>
      <c r="I1633" s="8">
        <f>+G1633*'[1]VENTAS(RESUMEN GLOBAL)'!F1633</f>
        <v>0</v>
      </c>
      <c r="J1633" s="8">
        <f>'[1]VENTAS(RESUMEN GLOBAL)'!G1633*(1-'[1]VENTAS(RESUMEN GLOBAL)'!H1633)</f>
        <v>0</v>
      </c>
      <c r="K1633" s="8">
        <f t="shared" si="25"/>
        <v>0</v>
      </c>
      <c r="L1633" s="8">
        <f>+'[1]VENTAS(RESUMEN GLOBAL)'!J1633</f>
        <v>0</v>
      </c>
      <c r="M1633" s="8">
        <f>+Tabla1[[#This Row],[utilidad x dia]]*7</f>
        <v>0</v>
      </c>
    </row>
    <row r="1634" spans="1:13" x14ac:dyDescent="0.3">
      <c r="A1634" s="6">
        <f>+'[1]VENTAS(RESUMEN GLOBAL)'!L1634</f>
        <v>0</v>
      </c>
      <c r="B1634" s="6">
        <f>+'[1]VENTAS(RESUMEN GLOBAL)'!M1634</f>
        <v>0</v>
      </c>
      <c r="C1634">
        <f>+'[1]VENTAS(RESUMEN GLOBAL)'!B1634</f>
        <v>0</v>
      </c>
      <c r="D1634" t="e">
        <f>INDEX('[1]CÓDIGOS DE PRODUCTO'!$D$3:$D$1000,MATCH(C1634,'[1]CÓDIGOS DE PRODUCTO'!$A$3:$A$1000,0))</f>
        <v>#N/A</v>
      </c>
      <c r="E1634">
        <f>VLOOKUP(C1634,'[1]CÓDIGOS DE PRODUCTO'!$A$4:$B$156,2,FALSE)</f>
        <v>0</v>
      </c>
      <c r="F1634">
        <f>INDEX('[1]CÓDIGOS DE PRODUCTO'!$C$3:$C$1000,MATCH(C1634,'[1]CÓDIGOS DE PRODUCTO'!$A$3:$A$1000,0))</f>
        <v>0</v>
      </c>
      <c r="G1634">
        <f>+'[1]VENTAS(RESUMEN GLOBAL)'!D1634-'[1]VENTAS(RESUMEN GLOBAL)'!E1634</f>
        <v>0</v>
      </c>
      <c r="H1634" s="9">
        <f>+'[1]VENTAS(RESUMEN GLOBAL)'!K1634</f>
        <v>0</v>
      </c>
      <c r="I1634" s="8">
        <f>+G1634*'[1]VENTAS(RESUMEN GLOBAL)'!F1634</f>
        <v>0</v>
      </c>
      <c r="J1634" s="8">
        <f>'[1]VENTAS(RESUMEN GLOBAL)'!G1634*(1-'[1]VENTAS(RESUMEN GLOBAL)'!H1634)</f>
        <v>0</v>
      </c>
      <c r="K1634" s="8">
        <f t="shared" si="25"/>
        <v>0</v>
      </c>
      <c r="L1634" s="8">
        <f>+'[1]VENTAS(RESUMEN GLOBAL)'!J1634</f>
        <v>0</v>
      </c>
      <c r="M1634" s="8">
        <f>+Tabla1[[#This Row],[utilidad x dia]]*7</f>
        <v>0</v>
      </c>
    </row>
    <row r="1635" spans="1:13" x14ac:dyDescent="0.3">
      <c r="A1635" s="6">
        <f>+'[1]VENTAS(RESUMEN GLOBAL)'!L1635</f>
        <v>0</v>
      </c>
      <c r="B1635" s="6">
        <f>+'[1]VENTAS(RESUMEN GLOBAL)'!M1635</f>
        <v>0</v>
      </c>
      <c r="C1635">
        <f>+'[1]VENTAS(RESUMEN GLOBAL)'!B1635</f>
        <v>0</v>
      </c>
      <c r="D1635" t="e">
        <f>INDEX('[1]CÓDIGOS DE PRODUCTO'!$D$3:$D$1000,MATCH(C1635,'[1]CÓDIGOS DE PRODUCTO'!$A$3:$A$1000,0))</f>
        <v>#N/A</v>
      </c>
      <c r="E1635">
        <f>VLOOKUP(C1635,'[1]CÓDIGOS DE PRODUCTO'!$A$4:$B$156,2,FALSE)</f>
        <v>0</v>
      </c>
      <c r="F1635">
        <f>INDEX('[1]CÓDIGOS DE PRODUCTO'!$C$3:$C$1000,MATCH(C1635,'[1]CÓDIGOS DE PRODUCTO'!$A$3:$A$1000,0))</f>
        <v>0</v>
      </c>
      <c r="G1635">
        <f>+'[1]VENTAS(RESUMEN GLOBAL)'!D1635-'[1]VENTAS(RESUMEN GLOBAL)'!E1635</f>
        <v>0</v>
      </c>
      <c r="H1635" s="9">
        <f>+'[1]VENTAS(RESUMEN GLOBAL)'!K1635</f>
        <v>0</v>
      </c>
      <c r="I1635" s="8">
        <f>+G1635*'[1]VENTAS(RESUMEN GLOBAL)'!F1635</f>
        <v>0</v>
      </c>
      <c r="J1635" s="8">
        <f>'[1]VENTAS(RESUMEN GLOBAL)'!G1635*(1-'[1]VENTAS(RESUMEN GLOBAL)'!H1635)</f>
        <v>0</v>
      </c>
      <c r="K1635" s="8">
        <f t="shared" si="25"/>
        <v>0</v>
      </c>
      <c r="L1635" s="8">
        <f>+'[1]VENTAS(RESUMEN GLOBAL)'!J1635</f>
        <v>0</v>
      </c>
      <c r="M1635" s="8">
        <f>+Tabla1[[#This Row],[utilidad x dia]]*7</f>
        <v>0</v>
      </c>
    </row>
    <row r="1636" spans="1:13" x14ac:dyDescent="0.3">
      <c r="A1636" s="6">
        <f>+'[1]VENTAS(RESUMEN GLOBAL)'!L1636</f>
        <v>0</v>
      </c>
      <c r="B1636" s="6">
        <f>+'[1]VENTAS(RESUMEN GLOBAL)'!M1636</f>
        <v>0</v>
      </c>
      <c r="C1636">
        <f>+'[1]VENTAS(RESUMEN GLOBAL)'!B1636</f>
        <v>0</v>
      </c>
      <c r="D1636" t="e">
        <f>INDEX('[1]CÓDIGOS DE PRODUCTO'!$D$3:$D$1000,MATCH(C1636,'[1]CÓDIGOS DE PRODUCTO'!$A$3:$A$1000,0))</f>
        <v>#N/A</v>
      </c>
      <c r="E1636">
        <f>VLOOKUP(C1636,'[1]CÓDIGOS DE PRODUCTO'!$A$4:$B$156,2,FALSE)</f>
        <v>0</v>
      </c>
      <c r="F1636">
        <f>INDEX('[1]CÓDIGOS DE PRODUCTO'!$C$3:$C$1000,MATCH(C1636,'[1]CÓDIGOS DE PRODUCTO'!$A$3:$A$1000,0))</f>
        <v>0</v>
      </c>
      <c r="G1636">
        <f>+'[1]VENTAS(RESUMEN GLOBAL)'!D1636-'[1]VENTAS(RESUMEN GLOBAL)'!E1636</f>
        <v>0</v>
      </c>
      <c r="H1636" s="9">
        <f>+'[1]VENTAS(RESUMEN GLOBAL)'!K1636</f>
        <v>0</v>
      </c>
      <c r="I1636" s="8">
        <f>+G1636*'[1]VENTAS(RESUMEN GLOBAL)'!F1636</f>
        <v>0</v>
      </c>
      <c r="J1636" s="8">
        <f>'[1]VENTAS(RESUMEN GLOBAL)'!G1636*(1-'[1]VENTAS(RESUMEN GLOBAL)'!H1636)</f>
        <v>0</v>
      </c>
      <c r="K1636" s="8">
        <f t="shared" si="25"/>
        <v>0</v>
      </c>
      <c r="L1636" s="8">
        <f>+'[1]VENTAS(RESUMEN GLOBAL)'!J1636</f>
        <v>0</v>
      </c>
      <c r="M1636" s="8">
        <f>+Tabla1[[#This Row],[utilidad x dia]]*7</f>
        <v>0</v>
      </c>
    </row>
    <row r="1637" spans="1:13" x14ac:dyDescent="0.3">
      <c r="A1637" s="6">
        <f>+'[1]VENTAS(RESUMEN GLOBAL)'!L1637</f>
        <v>0</v>
      </c>
      <c r="B1637" s="6">
        <f>+'[1]VENTAS(RESUMEN GLOBAL)'!M1637</f>
        <v>0</v>
      </c>
      <c r="C1637">
        <f>+'[1]VENTAS(RESUMEN GLOBAL)'!B1637</f>
        <v>0</v>
      </c>
      <c r="D1637" t="e">
        <f>INDEX('[1]CÓDIGOS DE PRODUCTO'!$D$3:$D$1000,MATCH(C1637,'[1]CÓDIGOS DE PRODUCTO'!$A$3:$A$1000,0))</f>
        <v>#N/A</v>
      </c>
      <c r="E1637">
        <f>VLOOKUP(C1637,'[1]CÓDIGOS DE PRODUCTO'!$A$4:$B$156,2,FALSE)</f>
        <v>0</v>
      </c>
      <c r="F1637">
        <f>INDEX('[1]CÓDIGOS DE PRODUCTO'!$C$3:$C$1000,MATCH(C1637,'[1]CÓDIGOS DE PRODUCTO'!$A$3:$A$1000,0))</f>
        <v>0</v>
      </c>
      <c r="G1637">
        <f>+'[1]VENTAS(RESUMEN GLOBAL)'!D1637-'[1]VENTAS(RESUMEN GLOBAL)'!E1637</f>
        <v>0</v>
      </c>
      <c r="H1637" s="9">
        <f>+'[1]VENTAS(RESUMEN GLOBAL)'!K1637</f>
        <v>0</v>
      </c>
      <c r="I1637" s="8">
        <f>+G1637*'[1]VENTAS(RESUMEN GLOBAL)'!F1637</f>
        <v>0</v>
      </c>
      <c r="J1637" s="8">
        <f>'[1]VENTAS(RESUMEN GLOBAL)'!G1637*(1-'[1]VENTAS(RESUMEN GLOBAL)'!H1637)</f>
        <v>0</v>
      </c>
      <c r="K1637" s="8">
        <f t="shared" si="25"/>
        <v>0</v>
      </c>
      <c r="L1637" s="8">
        <f>+'[1]VENTAS(RESUMEN GLOBAL)'!J1637</f>
        <v>0</v>
      </c>
      <c r="M1637" s="8">
        <f>+Tabla1[[#This Row],[utilidad x dia]]*7</f>
        <v>0</v>
      </c>
    </row>
    <row r="1638" spans="1:13" x14ac:dyDescent="0.3">
      <c r="A1638" s="6">
        <f>+'[1]VENTAS(RESUMEN GLOBAL)'!L1638</f>
        <v>0</v>
      </c>
      <c r="B1638" s="6">
        <f>+'[1]VENTAS(RESUMEN GLOBAL)'!M1638</f>
        <v>0</v>
      </c>
      <c r="C1638">
        <f>+'[1]VENTAS(RESUMEN GLOBAL)'!B1638</f>
        <v>0</v>
      </c>
      <c r="D1638" t="e">
        <f>INDEX('[1]CÓDIGOS DE PRODUCTO'!$D$3:$D$1000,MATCH(C1638,'[1]CÓDIGOS DE PRODUCTO'!$A$3:$A$1000,0))</f>
        <v>#N/A</v>
      </c>
      <c r="E1638">
        <f>VLOOKUP(C1638,'[1]CÓDIGOS DE PRODUCTO'!$A$4:$B$156,2,FALSE)</f>
        <v>0</v>
      </c>
      <c r="F1638">
        <f>INDEX('[1]CÓDIGOS DE PRODUCTO'!$C$3:$C$1000,MATCH(C1638,'[1]CÓDIGOS DE PRODUCTO'!$A$3:$A$1000,0))</f>
        <v>0</v>
      </c>
      <c r="G1638">
        <f>+'[1]VENTAS(RESUMEN GLOBAL)'!D1638-'[1]VENTAS(RESUMEN GLOBAL)'!E1638</f>
        <v>0</v>
      </c>
      <c r="H1638" s="9">
        <f>+'[1]VENTAS(RESUMEN GLOBAL)'!K1638</f>
        <v>0</v>
      </c>
      <c r="I1638" s="8">
        <f>+G1638*'[1]VENTAS(RESUMEN GLOBAL)'!F1638</f>
        <v>0</v>
      </c>
      <c r="J1638" s="8">
        <f>'[1]VENTAS(RESUMEN GLOBAL)'!G1638*(1-'[1]VENTAS(RESUMEN GLOBAL)'!H1638)</f>
        <v>0</v>
      </c>
      <c r="K1638" s="8">
        <f t="shared" si="25"/>
        <v>0</v>
      </c>
      <c r="L1638" s="8">
        <f>+'[1]VENTAS(RESUMEN GLOBAL)'!J1638</f>
        <v>0</v>
      </c>
      <c r="M1638" s="8">
        <f>+Tabla1[[#This Row],[utilidad x dia]]*7</f>
        <v>0</v>
      </c>
    </row>
    <row r="1639" spans="1:13" x14ac:dyDescent="0.3">
      <c r="A1639" s="6">
        <f>+'[1]VENTAS(RESUMEN GLOBAL)'!L1639</f>
        <v>0</v>
      </c>
      <c r="B1639" s="6">
        <f>+'[1]VENTAS(RESUMEN GLOBAL)'!M1639</f>
        <v>0</v>
      </c>
      <c r="C1639">
        <f>+'[1]VENTAS(RESUMEN GLOBAL)'!B1639</f>
        <v>0</v>
      </c>
      <c r="D1639" t="e">
        <f>INDEX('[1]CÓDIGOS DE PRODUCTO'!$D$3:$D$1000,MATCH(C1639,'[1]CÓDIGOS DE PRODUCTO'!$A$3:$A$1000,0))</f>
        <v>#N/A</v>
      </c>
      <c r="E1639">
        <f>VLOOKUP(C1639,'[1]CÓDIGOS DE PRODUCTO'!$A$4:$B$156,2,FALSE)</f>
        <v>0</v>
      </c>
      <c r="F1639">
        <f>INDEX('[1]CÓDIGOS DE PRODUCTO'!$C$3:$C$1000,MATCH(C1639,'[1]CÓDIGOS DE PRODUCTO'!$A$3:$A$1000,0))</f>
        <v>0</v>
      </c>
      <c r="G1639">
        <f>+'[1]VENTAS(RESUMEN GLOBAL)'!D1639-'[1]VENTAS(RESUMEN GLOBAL)'!E1639</f>
        <v>0</v>
      </c>
      <c r="H1639" s="9">
        <f>+'[1]VENTAS(RESUMEN GLOBAL)'!K1639</f>
        <v>0</v>
      </c>
      <c r="I1639" s="8">
        <f>+G1639*'[1]VENTAS(RESUMEN GLOBAL)'!F1639</f>
        <v>0</v>
      </c>
      <c r="J1639" s="8">
        <f>'[1]VENTAS(RESUMEN GLOBAL)'!G1639*(1-'[1]VENTAS(RESUMEN GLOBAL)'!H1639)</f>
        <v>0</v>
      </c>
      <c r="K1639" s="8">
        <f t="shared" si="25"/>
        <v>0</v>
      </c>
      <c r="L1639" s="8">
        <f>+'[1]VENTAS(RESUMEN GLOBAL)'!J1639</f>
        <v>0</v>
      </c>
      <c r="M1639" s="8">
        <f>+Tabla1[[#This Row],[utilidad x dia]]*7</f>
        <v>0</v>
      </c>
    </row>
    <row r="1640" spans="1:13" x14ac:dyDescent="0.3">
      <c r="A1640" s="6">
        <f>+'[1]VENTAS(RESUMEN GLOBAL)'!L1640</f>
        <v>0</v>
      </c>
      <c r="B1640" s="6">
        <f>+'[1]VENTAS(RESUMEN GLOBAL)'!M1640</f>
        <v>0</v>
      </c>
      <c r="C1640">
        <f>+'[1]VENTAS(RESUMEN GLOBAL)'!B1640</f>
        <v>0</v>
      </c>
      <c r="D1640" t="e">
        <f>INDEX('[1]CÓDIGOS DE PRODUCTO'!$D$3:$D$1000,MATCH(C1640,'[1]CÓDIGOS DE PRODUCTO'!$A$3:$A$1000,0))</f>
        <v>#N/A</v>
      </c>
      <c r="E1640">
        <f>VLOOKUP(C1640,'[1]CÓDIGOS DE PRODUCTO'!$A$4:$B$156,2,FALSE)</f>
        <v>0</v>
      </c>
      <c r="F1640">
        <f>INDEX('[1]CÓDIGOS DE PRODUCTO'!$C$3:$C$1000,MATCH(C1640,'[1]CÓDIGOS DE PRODUCTO'!$A$3:$A$1000,0))</f>
        <v>0</v>
      </c>
      <c r="G1640">
        <f>+'[1]VENTAS(RESUMEN GLOBAL)'!D1640-'[1]VENTAS(RESUMEN GLOBAL)'!E1640</f>
        <v>0</v>
      </c>
      <c r="H1640" s="9">
        <f>+'[1]VENTAS(RESUMEN GLOBAL)'!K1640</f>
        <v>0</v>
      </c>
      <c r="I1640" s="8">
        <f>+G1640*'[1]VENTAS(RESUMEN GLOBAL)'!F1640</f>
        <v>0</v>
      </c>
      <c r="J1640" s="8">
        <f>'[1]VENTAS(RESUMEN GLOBAL)'!G1640*(1-'[1]VENTAS(RESUMEN GLOBAL)'!H1640)</f>
        <v>0</v>
      </c>
      <c r="K1640" s="8">
        <f t="shared" si="25"/>
        <v>0</v>
      </c>
      <c r="L1640" s="8">
        <f>+'[1]VENTAS(RESUMEN GLOBAL)'!J1640</f>
        <v>0</v>
      </c>
      <c r="M1640" s="8">
        <f>+Tabla1[[#This Row],[utilidad x dia]]*7</f>
        <v>0</v>
      </c>
    </row>
    <row r="1641" spans="1:13" x14ac:dyDescent="0.3">
      <c r="A1641" s="6">
        <f>+'[1]VENTAS(RESUMEN GLOBAL)'!L1641</f>
        <v>0</v>
      </c>
      <c r="B1641" s="6">
        <f>+'[1]VENTAS(RESUMEN GLOBAL)'!M1641</f>
        <v>0</v>
      </c>
      <c r="C1641">
        <f>+'[1]VENTAS(RESUMEN GLOBAL)'!B1641</f>
        <v>0</v>
      </c>
      <c r="D1641" t="e">
        <f>INDEX('[1]CÓDIGOS DE PRODUCTO'!$D$3:$D$1000,MATCH(C1641,'[1]CÓDIGOS DE PRODUCTO'!$A$3:$A$1000,0))</f>
        <v>#N/A</v>
      </c>
      <c r="E1641">
        <f>VLOOKUP(C1641,'[1]CÓDIGOS DE PRODUCTO'!$A$4:$B$156,2,FALSE)</f>
        <v>0</v>
      </c>
      <c r="F1641">
        <f>INDEX('[1]CÓDIGOS DE PRODUCTO'!$C$3:$C$1000,MATCH(C1641,'[1]CÓDIGOS DE PRODUCTO'!$A$3:$A$1000,0))</f>
        <v>0</v>
      </c>
      <c r="G1641">
        <f>+'[1]VENTAS(RESUMEN GLOBAL)'!D1641-'[1]VENTAS(RESUMEN GLOBAL)'!E1641</f>
        <v>0</v>
      </c>
      <c r="H1641" s="9">
        <f>+'[1]VENTAS(RESUMEN GLOBAL)'!K1641</f>
        <v>0</v>
      </c>
      <c r="I1641" s="8">
        <f>+G1641*'[1]VENTAS(RESUMEN GLOBAL)'!F1641</f>
        <v>0</v>
      </c>
      <c r="J1641" s="8">
        <f>'[1]VENTAS(RESUMEN GLOBAL)'!G1641*(1-'[1]VENTAS(RESUMEN GLOBAL)'!H1641)</f>
        <v>0</v>
      </c>
      <c r="K1641" s="8">
        <f t="shared" si="25"/>
        <v>0</v>
      </c>
      <c r="L1641" s="8">
        <f>+'[1]VENTAS(RESUMEN GLOBAL)'!J1641</f>
        <v>0</v>
      </c>
      <c r="M1641" s="8">
        <f>+Tabla1[[#This Row],[utilidad x dia]]*7</f>
        <v>0</v>
      </c>
    </row>
    <row r="1642" spans="1:13" x14ac:dyDescent="0.3">
      <c r="A1642" s="6">
        <f>+'[1]VENTAS(RESUMEN GLOBAL)'!L1642</f>
        <v>0</v>
      </c>
      <c r="B1642" s="6">
        <f>+'[1]VENTAS(RESUMEN GLOBAL)'!M1642</f>
        <v>0</v>
      </c>
      <c r="C1642">
        <f>+'[1]VENTAS(RESUMEN GLOBAL)'!B1642</f>
        <v>0</v>
      </c>
      <c r="D1642" t="e">
        <f>INDEX('[1]CÓDIGOS DE PRODUCTO'!$D$3:$D$1000,MATCH(C1642,'[1]CÓDIGOS DE PRODUCTO'!$A$3:$A$1000,0))</f>
        <v>#N/A</v>
      </c>
      <c r="E1642">
        <f>VLOOKUP(C1642,'[1]CÓDIGOS DE PRODUCTO'!$A$4:$B$156,2,FALSE)</f>
        <v>0</v>
      </c>
      <c r="F1642">
        <f>INDEX('[1]CÓDIGOS DE PRODUCTO'!$C$3:$C$1000,MATCH(C1642,'[1]CÓDIGOS DE PRODUCTO'!$A$3:$A$1000,0))</f>
        <v>0</v>
      </c>
      <c r="G1642">
        <f>+'[1]VENTAS(RESUMEN GLOBAL)'!D1642-'[1]VENTAS(RESUMEN GLOBAL)'!E1642</f>
        <v>0</v>
      </c>
      <c r="H1642" s="9">
        <f>+'[1]VENTAS(RESUMEN GLOBAL)'!K1642</f>
        <v>0</v>
      </c>
      <c r="I1642" s="8">
        <f>+G1642*'[1]VENTAS(RESUMEN GLOBAL)'!F1642</f>
        <v>0</v>
      </c>
      <c r="J1642" s="8">
        <f>'[1]VENTAS(RESUMEN GLOBAL)'!G1642*(1-'[1]VENTAS(RESUMEN GLOBAL)'!H1642)</f>
        <v>0</v>
      </c>
      <c r="K1642" s="8">
        <f t="shared" si="25"/>
        <v>0</v>
      </c>
      <c r="L1642" s="8">
        <f>+'[1]VENTAS(RESUMEN GLOBAL)'!J1642</f>
        <v>0</v>
      </c>
      <c r="M1642" s="8">
        <f>+Tabla1[[#This Row],[utilidad x dia]]*7</f>
        <v>0</v>
      </c>
    </row>
    <row r="1643" spans="1:13" x14ac:dyDescent="0.3">
      <c r="A1643" s="6">
        <f>+'[1]VENTAS(RESUMEN GLOBAL)'!L1643</f>
        <v>0</v>
      </c>
      <c r="B1643" s="6">
        <f>+'[1]VENTAS(RESUMEN GLOBAL)'!M1643</f>
        <v>0</v>
      </c>
      <c r="C1643">
        <f>+'[1]VENTAS(RESUMEN GLOBAL)'!B1643</f>
        <v>0</v>
      </c>
      <c r="D1643" t="e">
        <f>INDEX('[1]CÓDIGOS DE PRODUCTO'!$D$3:$D$1000,MATCH(C1643,'[1]CÓDIGOS DE PRODUCTO'!$A$3:$A$1000,0))</f>
        <v>#N/A</v>
      </c>
      <c r="E1643">
        <f>VLOOKUP(C1643,'[1]CÓDIGOS DE PRODUCTO'!$A$4:$B$156,2,FALSE)</f>
        <v>0</v>
      </c>
      <c r="F1643">
        <f>INDEX('[1]CÓDIGOS DE PRODUCTO'!$C$3:$C$1000,MATCH(C1643,'[1]CÓDIGOS DE PRODUCTO'!$A$3:$A$1000,0))</f>
        <v>0</v>
      </c>
      <c r="G1643">
        <f>+'[1]VENTAS(RESUMEN GLOBAL)'!D1643-'[1]VENTAS(RESUMEN GLOBAL)'!E1643</f>
        <v>0</v>
      </c>
      <c r="H1643" s="9">
        <f>+'[1]VENTAS(RESUMEN GLOBAL)'!K1643</f>
        <v>0</v>
      </c>
      <c r="I1643" s="8">
        <f>+G1643*'[1]VENTAS(RESUMEN GLOBAL)'!F1643</f>
        <v>0</v>
      </c>
      <c r="J1643" s="8">
        <f>'[1]VENTAS(RESUMEN GLOBAL)'!G1643*(1-'[1]VENTAS(RESUMEN GLOBAL)'!H1643)</f>
        <v>0</v>
      </c>
      <c r="K1643" s="8">
        <f t="shared" si="25"/>
        <v>0</v>
      </c>
      <c r="L1643" s="8">
        <f>+'[1]VENTAS(RESUMEN GLOBAL)'!J1643</f>
        <v>0</v>
      </c>
      <c r="M1643" s="8">
        <f>+Tabla1[[#This Row],[utilidad x dia]]*7</f>
        <v>0</v>
      </c>
    </row>
    <row r="1644" spans="1:13" x14ac:dyDescent="0.3">
      <c r="A1644" s="6">
        <f>+'[1]VENTAS(RESUMEN GLOBAL)'!L1644</f>
        <v>0</v>
      </c>
      <c r="B1644" s="6">
        <f>+'[1]VENTAS(RESUMEN GLOBAL)'!M1644</f>
        <v>0</v>
      </c>
      <c r="C1644">
        <f>+'[1]VENTAS(RESUMEN GLOBAL)'!B1644</f>
        <v>0</v>
      </c>
      <c r="D1644" t="e">
        <f>INDEX('[1]CÓDIGOS DE PRODUCTO'!$D$3:$D$1000,MATCH(C1644,'[1]CÓDIGOS DE PRODUCTO'!$A$3:$A$1000,0))</f>
        <v>#N/A</v>
      </c>
      <c r="E1644">
        <f>VLOOKUP(C1644,'[1]CÓDIGOS DE PRODUCTO'!$A$4:$B$156,2,FALSE)</f>
        <v>0</v>
      </c>
      <c r="F1644">
        <f>INDEX('[1]CÓDIGOS DE PRODUCTO'!$C$3:$C$1000,MATCH(C1644,'[1]CÓDIGOS DE PRODUCTO'!$A$3:$A$1000,0))</f>
        <v>0</v>
      </c>
      <c r="G1644">
        <f>+'[1]VENTAS(RESUMEN GLOBAL)'!D1644-'[1]VENTAS(RESUMEN GLOBAL)'!E1644</f>
        <v>0</v>
      </c>
      <c r="H1644" s="9">
        <f>+'[1]VENTAS(RESUMEN GLOBAL)'!K1644</f>
        <v>0</v>
      </c>
      <c r="I1644" s="8">
        <f>+G1644*'[1]VENTAS(RESUMEN GLOBAL)'!F1644</f>
        <v>0</v>
      </c>
      <c r="J1644" s="8">
        <f>'[1]VENTAS(RESUMEN GLOBAL)'!G1644*(1-'[1]VENTAS(RESUMEN GLOBAL)'!H1644)</f>
        <v>0</v>
      </c>
      <c r="K1644" s="8">
        <f t="shared" si="25"/>
        <v>0</v>
      </c>
      <c r="L1644" s="8">
        <f>+'[1]VENTAS(RESUMEN GLOBAL)'!J1644</f>
        <v>0</v>
      </c>
      <c r="M1644" s="8">
        <f>+Tabla1[[#This Row],[utilidad x dia]]*7</f>
        <v>0</v>
      </c>
    </row>
    <row r="1645" spans="1:13" x14ac:dyDescent="0.3">
      <c r="A1645" s="6">
        <f>+'[1]VENTAS(RESUMEN GLOBAL)'!L1645</f>
        <v>0</v>
      </c>
      <c r="B1645" s="6">
        <f>+'[1]VENTAS(RESUMEN GLOBAL)'!M1645</f>
        <v>0</v>
      </c>
      <c r="C1645">
        <f>+'[1]VENTAS(RESUMEN GLOBAL)'!B1645</f>
        <v>0</v>
      </c>
      <c r="D1645" t="e">
        <f>INDEX('[1]CÓDIGOS DE PRODUCTO'!$D$3:$D$1000,MATCH(C1645,'[1]CÓDIGOS DE PRODUCTO'!$A$3:$A$1000,0))</f>
        <v>#N/A</v>
      </c>
      <c r="E1645">
        <f>VLOOKUP(C1645,'[1]CÓDIGOS DE PRODUCTO'!$A$4:$B$156,2,FALSE)</f>
        <v>0</v>
      </c>
      <c r="F1645">
        <f>INDEX('[1]CÓDIGOS DE PRODUCTO'!$C$3:$C$1000,MATCH(C1645,'[1]CÓDIGOS DE PRODUCTO'!$A$3:$A$1000,0))</f>
        <v>0</v>
      </c>
      <c r="G1645">
        <f>+'[1]VENTAS(RESUMEN GLOBAL)'!D1645-'[1]VENTAS(RESUMEN GLOBAL)'!E1645</f>
        <v>0</v>
      </c>
      <c r="H1645" s="9">
        <f>+'[1]VENTAS(RESUMEN GLOBAL)'!K1645</f>
        <v>0</v>
      </c>
      <c r="I1645" s="8">
        <f>+G1645*'[1]VENTAS(RESUMEN GLOBAL)'!F1645</f>
        <v>0</v>
      </c>
      <c r="J1645" s="8">
        <f>'[1]VENTAS(RESUMEN GLOBAL)'!G1645*(1-'[1]VENTAS(RESUMEN GLOBAL)'!H1645)</f>
        <v>0</v>
      </c>
      <c r="K1645" s="8">
        <f t="shared" si="25"/>
        <v>0</v>
      </c>
      <c r="L1645" s="8">
        <f>+'[1]VENTAS(RESUMEN GLOBAL)'!J1645</f>
        <v>0</v>
      </c>
      <c r="M1645" s="8">
        <f>+Tabla1[[#This Row],[utilidad x dia]]*7</f>
        <v>0</v>
      </c>
    </row>
    <row r="1646" spans="1:13" x14ac:dyDescent="0.3">
      <c r="A1646" s="6">
        <f>+'[1]VENTAS(RESUMEN GLOBAL)'!L1646</f>
        <v>0</v>
      </c>
      <c r="B1646" s="6">
        <f>+'[1]VENTAS(RESUMEN GLOBAL)'!M1646</f>
        <v>0</v>
      </c>
      <c r="C1646">
        <f>+'[1]VENTAS(RESUMEN GLOBAL)'!B1646</f>
        <v>0</v>
      </c>
      <c r="D1646" t="e">
        <f>INDEX('[1]CÓDIGOS DE PRODUCTO'!$D$3:$D$1000,MATCH(C1646,'[1]CÓDIGOS DE PRODUCTO'!$A$3:$A$1000,0))</f>
        <v>#N/A</v>
      </c>
      <c r="E1646">
        <f>VLOOKUP(C1646,'[1]CÓDIGOS DE PRODUCTO'!$A$4:$B$156,2,FALSE)</f>
        <v>0</v>
      </c>
      <c r="F1646">
        <f>INDEX('[1]CÓDIGOS DE PRODUCTO'!$C$3:$C$1000,MATCH(C1646,'[1]CÓDIGOS DE PRODUCTO'!$A$3:$A$1000,0))</f>
        <v>0</v>
      </c>
      <c r="G1646">
        <f>+'[1]VENTAS(RESUMEN GLOBAL)'!D1646-'[1]VENTAS(RESUMEN GLOBAL)'!E1646</f>
        <v>0</v>
      </c>
      <c r="H1646" s="9">
        <f>+'[1]VENTAS(RESUMEN GLOBAL)'!K1646</f>
        <v>0</v>
      </c>
      <c r="I1646" s="8">
        <f>+G1646*'[1]VENTAS(RESUMEN GLOBAL)'!F1646</f>
        <v>0</v>
      </c>
      <c r="J1646" s="8">
        <f>'[1]VENTAS(RESUMEN GLOBAL)'!G1646*(1-'[1]VENTAS(RESUMEN GLOBAL)'!H1646)</f>
        <v>0</v>
      </c>
      <c r="K1646" s="8">
        <f t="shared" si="25"/>
        <v>0</v>
      </c>
      <c r="L1646" s="8">
        <f>+'[1]VENTAS(RESUMEN GLOBAL)'!J1646</f>
        <v>0</v>
      </c>
      <c r="M1646" s="8">
        <f>+Tabla1[[#This Row],[utilidad x dia]]*7</f>
        <v>0</v>
      </c>
    </row>
    <row r="1647" spans="1:13" x14ac:dyDescent="0.3">
      <c r="A1647" s="6">
        <f>+'[1]VENTAS(RESUMEN GLOBAL)'!L1647</f>
        <v>0</v>
      </c>
      <c r="B1647" s="6">
        <f>+'[1]VENTAS(RESUMEN GLOBAL)'!M1647</f>
        <v>0</v>
      </c>
      <c r="C1647">
        <f>+'[1]VENTAS(RESUMEN GLOBAL)'!B1647</f>
        <v>0</v>
      </c>
      <c r="D1647" t="e">
        <f>INDEX('[1]CÓDIGOS DE PRODUCTO'!$D$3:$D$1000,MATCH(C1647,'[1]CÓDIGOS DE PRODUCTO'!$A$3:$A$1000,0))</f>
        <v>#N/A</v>
      </c>
      <c r="E1647">
        <f>VLOOKUP(C1647,'[1]CÓDIGOS DE PRODUCTO'!$A$4:$B$156,2,FALSE)</f>
        <v>0</v>
      </c>
      <c r="F1647">
        <f>INDEX('[1]CÓDIGOS DE PRODUCTO'!$C$3:$C$1000,MATCH(C1647,'[1]CÓDIGOS DE PRODUCTO'!$A$3:$A$1000,0))</f>
        <v>0</v>
      </c>
      <c r="G1647">
        <f>+'[1]VENTAS(RESUMEN GLOBAL)'!D1647-'[1]VENTAS(RESUMEN GLOBAL)'!E1647</f>
        <v>0</v>
      </c>
      <c r="H1647" s="9">
        <f>+'[1]VENTAS(RESUMEN GLOBAL)'!K1647</f>
        <v>0</v>
      </c>
      <c r="I1647" s="8">
        <f>+G1647*'[1]VENTAS(RESUMEN GLOBAL)'!F1647</f>
        <v>0</v>
      </c>
      <c r="J1647" s="8">
        <f>'[1]VENTAS(RESUMEN GLOBAL)'!G1647*(1-'[1]VENTAS(RESUMEN GLOBAL)'!H1647)</f>
        <v>0</v>
      </c>
      <c r="K1647" s="8">
        <f t="shared" si="25"/>
        <v>0</v>
      </c>
      <c r="L1647" s="8">
        <f>+'[1]VENTAS(RESUMEN GLOBAL)'!J1647</f>
        <v>0</v>
      </c>
      <c r="M1647" s="8">
        <f>+Tabla1[[#This Row],[utilidad x dia]]*7</f>
        <v>0</v>
      </c>
    </row>
    <row r="1648" spans="1:13" x14ac:dyDescent="0.3">
      <c r="A1648" s="6">
        <f>+'[1]VENTAS(RESUMEN GLOBAL)'!L1648</f>
        <v>0</v>
      </c>
      <c r="B1648" s="6">
        <f>+'[1]VENTAS(RESUMEN GLOBAL)'!M1648</f>
        <v>0</v>
      </c>
      <c r="C1648">
        <f>+'[1]VENTAS(RESUMEN GLOBAL)'!B1648</f>
        <v>0</v>
      </c>
      <c r="D1648" t="e">
        <f>INDEX('[1]CÓDIGOS DE PRODUCTO'!$D$3:$D$1000,MATCH(C1648,'[1]CÓDIGOS DE PRODUCTO'!$A$3:$A$1000,0))</f>
        <v>#N/A</v>
      </c>
      <c r="E1648">
        <f>VLOOKUP(C1648,'[1]CÓDIGOS DE PRODUCTO'!$A$4:$B$156,2,FALSE)</f>
        <v>0</v>
      </c>
      <c r="F1648">
        <f>INDEX('[1]CÓDIGOS DE PRODUCTO'!$C$3:$C$1000,MATCH(C1648,'[1]CÓDIGOS DE PRODUCTO'!$A$3:$A$1000,0))</f>
        <v>0</v>
      </c>
      <c r="G1648">
        <f>+'[1]VENTAS(RESUMEN GLOBAL)'!D1648-'[1]VENTAS(RESUMEN GLOBAL)'!E1648</f>
        <v>0</v>
      </c>
      <c r="H1648" s="9">
        <f>+'[1]VENTAS(RESUMEN GLOBAL)'!K1648</f>
        <v>0</v>
      </c>
      <c r="I1648" s="8">
        <f>+G1648*'[1]VENTAS(RESUMEN GLOBAL)'!F1648</f>
        <v>0</v>
      </c>
      <c r="J1648" s="8">
        <f>'[1]VENTAS(RESUMEN GLOBAL)'!G1648*(1-'[1]VENTAS(RESUMEN GLOBAL)'!H1648)</f>
        <v>0</v>
      </c>
      <c r="K1648" s="8">
        <f t="shared" si="25"/>
        <v>0</v>
      </c>
      <c r="L1648" s="8">
        <f>+'[1]VENTAS(RESUMEN GLOBAL)'!J1648</f>
        <v>0</v>
      </c>
      <c r="M1648" s="8">
        <f>+Tabla1[[#This Row],[utilidad x dia]]*7</f>
        <v>0</v>
      </c>
    </row>
    <row r="1649" spans="1:13" x14ac:dyDescent="0.3">
      <c r="A1649" s="6">
        <f>+'[1]VENTAS(RESUMEN GLOBAL)'!L1649</f>
        <v>0</v>
      </c>
      <c r="B1649" s="6">
        <f>+'[1]VENTAS(RESUMEN GLOBAL)'!M1649</f>
        <v>0</v>
      </c>
      <c r="C1649">
        <f>+'[1]VENTAS(RESUMEN GLOBAL)'!B1649</f>
        <v>0</v>
      </c>
      <c r="D1649" t="e">
        <f>INDEX('[1]CÓDIGOS DE PRODUCTO'!$D$3:$D$1000,MATCH(C1649,'[1]CÓDIGOS DE PRODUCTO'!$A$3:$A$1000,0))</f>
        <v>#N/A</v>
      </c>
      <c r="E1649">
        <f>VLOOKUP(C1649,'[1]CÓDIGOS DE PRODUCTO'!$A$4:$B$156,2,FALSE)</f>
        <v>0</v>
      </c>
      <c r="F1649">
        <f>INDEX('[1]CÓDIGOS DE PRODUCTO'!$C$3:$C$1000,MATCH(C1649,'[1]CÓDIGOS DE PRODUCTO'!$A$3:$A$1000,0))</f>
        <v>0</v>
      </c>
      <c r="G1649">
        <f>+'[1]VENTAS(RESUMEN GLOBAL)'!D1649-'[1]VENTAS(RESUMEN GLOBAL)'!E1649</f>
        <v>0</v>
      </c>
      <c r="H1649" s="9">
        <f>+'[1]VENTAS(RESUMEN GLOBAL)'!K1649</f>
        <v>0</v>
      </c>
      <c r="I1649" s="8">
        <f>+G1649*'[1]VENTAS(RESUMEN GLOBAL)'!F1649</f>
        <v>0</v>
      </c>
      <c r="J1649" s="8">
        <f>'[1]VENTAS(RESUMEN GLOBAL)'!G1649*(1-'[1]VENTAS(RESUMEN GLOBAL)'!H1649)</f>
        <v>0</v>
      </c>
      <c r="K1649" s="8">
        <f t="shared" si="25"/>
        <v>0</v>
      </c>
      <c r="L1649" s="8">
        <f>+'[1]VENTAS(RESUMEN GLOBAL)'!J1649</f>
        <v>0</v>
      </c>
      <c r="M1649" s="8">
        <f>+Tabla1[[#This Row],[utilidad x dia]]*7</f>
        <v>0</v>
      </c>
    </row>
    <row r="1650" spans="1:13" x14ac:dyDescent="0.3">
      <c r="A1650" s="6">
        <f>+'[1]VENTAS(RESUMEN GLOBAL)'!L1650</f>
        <v>0</v>
      </c>
      <c r="B1650" s="6">
        <f>+'[1]VENTAS(RESUMEN GLOBAL)'!M1650</f>
        <v>0</v>
      </c>
      <c r="C1650">
        <f>+'[1]VENTAS(RESUMEN GLOBAL)'!B1650</f>
        <v>0</v>
      </c>
      <c r="D1650" t="e">
        <f>INDEX('[1]CÓDIGOS DE PRODUCTO'!$D$3:$D$1000,MATCH(C1650,'[1]CÓDIGOS DE PRODUCTO'!$A$3:$A$1000,0))</f>
        <v>#N/A</v>
      </c>
      <c r="E1650">
        <f>VLOOKUP(C1650,'[1]CÓDIGOS DE PRODUCTO'!$A$4:$B$156,2,FALSE)</f>
        <v>0</v>
      </c>
      <c r="F1650">
        <f>INDEX('[1]CÓDIGOS DE PRODUCTO'!$C$3:$C$1000,MATCH(C1650,'[1]CÓDIGOS DE PRODUCTO'!$A$3:$A$1000,0))</f>
        <v>0</v>
      </c>
      <c r="G1650">
        <f>+'[1]VENTAS(RESUMEN GLOBAL)'!D1650-'[1]VENTAS(RESUMEN GLOBAL)'!E1650</f>
        <v>0</v>
      </c>
      <c r="H1650" s="9">
        <f>+'[1]VENTAS(RESUMEN GLOBAL)'!K1650</f>
        <v>0</v>
      </c>
      <c r="I1650" s="8">
        <f>+G1650*'[1]VENTAS(RESUMEN GLOBAL)'!F1650</f>
        <v>0</v>
      </c>
      <c r="J1650" s="8">
        <f>'[1]VENTAS(RESUMEN GLOBAL)'!G1650*(1-'[1]VENTAS(RESUMEN GLOBAL)'!H1650)</f>
        <v>0</v>
      </c>
      <c r="K1650" s="8">
        <f t="shared" si="25"/>
        <v>0</v>
      </c>
      <c r="L1650" s="8">
        <f>+'[1]VENTAS(RESUMEN GLOBAL)'!J1650</f>
        <v>0</v>
      </c>
      <c r="M1650" s="8">
        <f>+Tabla1[[#This Row],[utilidad x dia]]*7</f>
        <v>0</v>
      </c>
    </row>
    <row r="1651" spans="1:13" x14ac:dyDescent="0.3">
      <c r="A1651" s="6">
        <f>+'[1]VENTAS(RESUMEN GLOBAL)'!L1651</f>
        <v>0</v>
      </c>
      <c r="B1651" s="6">
        <f>+'[1]VENTAS(RESUMEN GLOBAL)'!M1651</f>
        <v>0</v>
      </c>
      <c r="C1651">
        <f>+'[1]VENTAS(RESUMEN GLOBAL)'!B1651</f>
        <v>0</v>
      </c>
      <c r="D1651" t="e">
        <f>INDEX('[1]CÓDIGOS DE PRODUCTO'!$D$3:$D$1000,MATCH(C1651,'[1]CÓDIGOS DE PRODUCTO'!$A$3:$A$1000,0))</f>
        <v>#N/A</v>
      </c>
      <c r="E1651">
        <f>VLOOKUP(C1651,'[1]CÓDIGOS DE PRODUCTO'!$A$4:$B$156,2,FALSE)</f>
        <v>0</v>
      </c>
      <c r="F1651">
        <f>INDEX('[1]CÓDIGOS DE PRODUCTO'!$C$3:$C$1000,MATCH(C1651,'[1]CÓDIGOS DE PRODUCTO'!$A$3:$A$1000,0))</f>
        <v>0</v>
      </c>
      <c r="G1651">
        <f>+'[1]VENTAS(RESUMEN GLOBAL)'!D1651-'[1]VENTAS(RESUMEN GLOBAL)'!E1651</f>
        <v>0</v>
      </c>
      <c r="H1651" s="9">
        <f>+'[1]VENTAS(RESUMEN GLOBAL)'!K1651</f>
        <v>0</v>
      </c>
      <c r="I1651" s="8">
        <f>+G1651*'[1]VENTAS(RESUMEN GLOBAL)'!F1651</f>
        <v>0</v>
      </c>
      <c r="J1651" s="8">
        <f>'[1]VENTAS(RESUMEN GLOBAL)'!G1651*(1-'[1]VENTAS(RESUMEN GLOBAL)'!H1651)</f>
        <v>0</v>
      </c>
      <c r="K1651" s="8">
        <f t="shared" si="25"/>
        <v>0</v>
      </c>
      <c r="L1651" s="8">
        <f>+'[1]VENTAS(RESUMEN GLOBAL)'!J1651</f>
        <v>0</v>
      </c>
      <c r="M1651" s="8">
        <f>+Tabla1[[#This Row],[utilidad x dia]]*7</f>
        <v>0</v>
      </c>
    </row>
    <row r="1652" spans="1:13" x14ac:dyDescent="0.3">
      <c r="A1652" s="6">
        <f>+'[1]VENTAS(RESUMEN GLOBAL)'!L1652</f>
        <v>0</v>
      </c>
      <c r="B1652" s="6">
        <f>+'[1]VENTAS(RESUMEN GLOBAL)'!M1652</f>
        <v>0</v>
      </c>
      <c r="C1652">
        <f>+'[1]VENTAS(RESUMEN GLOBAL)'!B1652</f>
        <v>0</v>
      </c>
      <c r="D1652" t="e">
        <f>INDEX('[1]CÓDIGOS DE PRODUCTO'!$D$3:$D$1000,MATCH(C1652,'[1]CÓDIGOS DE PRODUCTO'!$A$3:$A$1000,0))</f>
        <v>#N/A</v>
      </c>
      <c r="E1652">
        <f>VLOOKUP(C1652,'[1]CÓDIGOS DE PRODUCTO'!$A$4:$B$156,2,FALSE)</f>
        <v>0</v>
      </c>
      <c r="F1652">
        <f>INDEX('[1]CÓDIGOS DE PRODUCTO'!$C$3:$C$1000,MATCH(C1652,'[1]CÓDIGOS DE PRODUCTO'!$A$3:$A$1000,0))</f>
        <v>0</v>
      </c>
      <c r="G1652">
        <f>+'[1]VENTAS(RESUMEN GLOBAL)'!D1652-'[1]VENTAS(RESUMEN GLOBAL)'!E1652</f>
        <v>0</v>
      </c>
      <c r="H1652" s="9">
        <f>+'[1]VENTAS(RESUMEN GLOBAL)'!K1652</f>
        <v>0</v>
      </c>
      <c r="I1652" s="8">
        <f>+G1652*'[1]VENTAS(RESUMEN GLOBAL)'!F1652</f>
        <v>0</v>
      </c>
      <c r="J1652" s="8">
        <f>'[1]VENTAS(RESUMEN GLOBAL)'!G1652*(1-'[1]VENTAS(RESUMEN GLOBAL)'!H1652)</f>
        <v>0</v>
      </c>
      <c r="K1652" s="8">
        <f t="shared" si="25"/>
        <v>0</v>
      </c>
      <c r="L1652" s="8">
        <f>+'[1]VENTAS(RESUMEN GLOBAL)'!J1652</f>
        <v>0</v>
      </c>
      <c r="M1652" s="8">
        <f>+Tabla1[[#This Row],[utilidad x dia]]*7</f>
        <v>0</v>
      </c>
    </row>
    <row r="1653" spans="1:13" x14ac:dyDescent="0.3">
      <c r="A1653" s="6">
        <f>+'[1]VENTAS(RESUMEN GLOBAL)'!L1653</f>
        <v>0</v>
      </c>
      <c r="B1653" s="6">
        <f>+'[1]VENTAS(RESUMEN GLOBAL)'!M1653</f>
        <v>0</v>
      </c>
      <c r="C1653">
        <f>+'[1]VENTAS(RESUMEN GLOBAL)'!B1653</f>
        <v>0</v>
      </c>
      <c r="D1653" t="e">
        <f>INDEX('[1]CÓDIGOS DE PRODUCTO'!$D$3:$D$1000,MATCH(C1653,'[1]CÓDIGOS DE PRODUCTO'!$A$3:$A$1000,0))</f>
        <v>#N/A</v>
      </c>
      <c r="E1653">
        <f>VLOOKUP(C1653,'[1]CÓDIGOS DE PRODUCTO'!$A$4:$B$156,2,FALSE)</f>
        <v>0</v>
      </c>
      <c r="F1653">
        <f>INDEX('[1]CÓDIGOS DE PRODUCTO'!$C$3:$C$1000,MATCH(C1653,'[1]CÓDIGOS DE PRODUCTO'!$A$3:$A$1000,0))</f>
        <v>0</v>
      </c>
      <c r="G1653">
        <f>+'[1]VENTAS(RESUMEN GLOBAL)'!D1653-'[1]VENTAS(RESUMEN GLOBAL)'!E1653</f>
        <v>0</v>
      </c>
      <c r="H1653" s="9">
        <f>+'[1]VENTAS(RESUMEN GLOBAL)'!K1653</f>
        <v>0</v>
      </c>
      <c r="I1653" s="8">
        <f>+G1653*'[1]VENTAS(RESUMEN GLOBAL)'!F1653</f>
        <v>0</v>
      </c>
      <c r="J1653" s="8">
        <f>'[1]VENTAS(RESUMEN GLOBAL)'!G1653*(1-'[1]VENTAS(RESUMEN GLOBAL)'!H1653)</f>
        <v>0</v>
      </c>
      <c r="K1653" s="8">
        <f t="shared" si="25"/>
        <v>0</v>
      </c>
      <c r="L1653" s="8">
        <f>+'[1]VENTAS(RESUMEN GLOBAL)'!J1653</f>
        <v>0</v>
      </c>
      <c r="M1653" s="8">
        <f>+Tabla1[[#This Row],[utilidad x dia]]*7</f>
        <v>0</v>
      </c>
    </row>
    <row r="1654" spans="1:13" x14ac:dyDescent="0.3">
      <c r="A1654" s="6">
        <f>+'[1]VENTAS(RESUMEN GLOBAL)'!L1654</f>
        <v>0</v>
      </c>
      <c r="B1654" s="6">
        <f>+'[1]VENTAS(RESUMEN GLOBAL)'!M1654</f>
        <v>0</v>
      </c>
      <c r="C1654">
        <f>+'[1]VENTAS(RESUMEN GLOBAL)'!B1654</f>
        <v>0</v>
      </c>
      <c r="D1654" t="e">
        <f>INDEX('[1]CÓDIGOS DE PRODUCTO'!$D$3:$D$1000,MATCH(C1654,'[1]CÓDIGOS DE PRODUCTO'!$A$3:$A$1000,0))</f>
        <v>#N/A</v>
      </c>
      <c r="E1654">
        <f>VLOOKUP(C1654,'[1]CÓDIGOS DE PRODUCTO'!$A$4:$B$156,2,FALSE)</f>
        <v>0</v>
      </c>
      <c r="F1654">
        <f>INDEX('[1]CÓDIGOS DE PRODUCTO'!$C$3:$C$1000,MATCH(C1654,'[1]CÓDIGOS DE PRODUCTO'!$A$3:$A$1000,0))</f>
        <v>0</v>
      </c>
      <c r="G1654">
        <f>+'[1]VENTAS(RESUMEN GLOBAL)'!D1654-'[1]VENTAS(RESUMEN GLOBAL)'!E1654</f>
        <v>0</v>
      </c>
      <c r="H1654" s="9">
        <f>+'[1]VENTAS(RESUMEN GLOBAL)'!K1654</f>
        <v>0</v>
      </c>
      <c r="I1654" s="8">
        <f>+G1654*'[1]VENTAS(RESUMEN GLOBAL)'!F1654</f>
        <v>0</v>
      </c>
      <c r="J1654" s="8">
        <f>'[1]VENTAS(RESUMEN GLOBAL)'!G1654*(1-'[1]VENTAS(RESUMEN GLOBAL)'!H1654)</f>
        <v>0</v>
      </c>
      <c r="K1654" s="8">
        <f t="shared" si="25"/>
        <v>0</v>
      </c>
      <c r="L1654" s="8">
        <f>+'[1]VENTAS(RESUMEN GLOBAL)'!J1654</f>
        <v>0</v>
      </c>
      <c r="M1654" s="8">
        <f>+Tabla1[[#This Row],[utilidad x dia]]*7</f>
        <v>0</v>
      </c>
    </row>
    <row r="1655" spans="1:13" x14ac:dyDescent="0.3">
      <c r="A1655" s="6">
        <f>+'[1]VENTAS(RESUMEN GLOBAL)'!L1655</f>
        <v>0</v>
      </c>
      <c r="B1655" s="6">
        <f>+'[1]VENTAS(RESUMEN GLOBAL)'!M1655</f>
        <v>0</v>
      </c>
      <c r="C1655">
        <f>+'[1]VENTAS(RESUMEN GLOBAL)'!B1655</f>
        <v>0</v>
      </c>
      <c r="D1655" t="e">
        <f>INDEX('[1]CÓDIGOS DE PRODUCTO'!$D$3:$D$1000,MATCH(C1655,'[1]CÓDIGOS DE PRODUCTO'!$A$3:$A$1000,0))</f>
        <v>#N/A</v>
      </c>
      <c r="E1655">
        <f>VLOOKUP(C1655,'[1]CÓDIGOS DE PRODUCTO'!$A$4:$B$156,2,FALSE)</f>
        <v>0</v>
      </c>
      <c r="F1655">
        <f>INDEX('[1]CÓDIGOS DE PRODUCTO'!$C$3:$C$1000,MATCH(C1655,'[1]CÓDIGOS DE PRODUCTO'!$A$3:$A$1000,0))</f>
        <v>0</v>
      </c>
      <c r="G1655">
        <f>+'[1]VENTAS(RESUMEN GLOBAL)'!D1655-'[1]VENTAS(RESUMEN GLOBAL)'!E1655</f>
        <v>0</v>
      </c>
      <c r="H1655" s="9">
        <f>+'[1]VENTAS(RESUMEN GLOBAL)'!K1655</f>
        <v>0</v>
      </c>
      <c r="I1655" s="8">
        <f>+G1655*'[1]VENTAS(RESUMEN GLOBAL)'!F1655</f>
        <v>0</v>
      </c>
      <c r="J1655" s="8">
        <f>'[1]VENTAS(RESUMEN GLOBAL)'!G1655*(1-'[1]VENTAS(RESUMEN GLOBAL)'!H1655)</f>
        <v>0</v>
      </c>
      <c r="K1655" s="8">
        <f t="shared" si="25"/>
        <v>0</v>
      </c>
      <c r="L1655" s="8">
        <f>+'[1]VENTAS(RESUMEN GLOBAL)'!J1655</f>
        <v>0</v>
      </c>
      <c r="M1655" s="8">
        <f>+Tabla1[[#This Row],[utilidad x dia]]*7</f>
        <v>0</v>
      </c>
    </row>
    <row r="1656" spans="1:13" x14ac:dyDescent="0.3">
      <c r="A1656" s="6">
        <f>+'[1]VENTAS(RESUMEN GLOBAL)'!L1656</f>
        <v>0</v>
      </c>
      <c r="B1656" s="6">
        <f>+'[1]VENTAS(RESUMEN GLOBAL)'!M1656</f>
        <v>0</v>
      </c>
      <c r="C1656">
        <f>+'[1]VENTAS(RESUMEN GLOBAL)'!B1656</f>
        <v>0</v>
      </c>
      <c r="D1656" t="e">
        <f>INDEX('[1]CÓDIGOS DE PRODUCTO'!$D$3:$D$1000,MATCH(C1656,'[1]CÓDIGOS DE PRODUCTO'!$A$3:$A$1000,0))</f>
        <v>#N/A</v>
      </c>
      <c r="E1656">
        <f>VLOOKUP(C1656,'[1]CÓDIGOS DE PRODUCTO'!$A$4:$B$156,2,FALSE)</f>
        <v>0</v>
      </c>
      <c r="F1656">
        <f>INDEX('[1]CÓDIGOS DE PRODUCTO'!$C$3:$C$1000,MATCH(C1656,'[1]CÓDIGOS DE PRODUCTO'!$A$3:$A$1000,0))</f>
        <v>0</v>
      </c>
      <c r="G1656">
        <f>+'[1]VENTAS(RESUMEN GLOBAL)'!D1656-'[1]VENTAS(RESUMEN GLOBAL)'!E1656</f>
        <v>0</v>
      </c>
      <c r="H1656" s="9">
        <f>+'[1]VENTAS(RESUMEN GLOBAL)'!K1656</f>
        <v>0</v>
      </c>
      <c r="I1656" s="8">
        <f>+G1656*'[1]VENTAS(RESUMEN GLOBAL)'!F1656</f>
        <v>0</v>
      </c>
      <c r="J1656" s="8">
        <f>'[1]VENTAS(RESUMEN GLOBAL)'!G1656*(1-'[1]VENTAS(RESUMEN GLOBAL)'!H1656)</f>
        <v>0</v>
      </c>
      <c r="K1656" s="8">
        <f t="shared" si="25"/>
        <v>0</v>
      </c>
      <c r="L1656" s="8">
        <f>+'[1]VENTAS(RESUMEN GLOBAL)'!J1656</f>
        <v>0</v>
      </c>
      <c r="M1656" s="8">
        <f>+Tabla1[[#This Row],[utilidad x dia]]*7</f>
        <v>0</v>
      </c>
    </row>
    <row r="1657" spans="1:13" x14ac:dyDescent="0.3">
      <c r="A1657" s="6">
        <f>+'[1]VENTAS(RESUMEN GLOBAL)'!L1657</f>
        <v>0</v>
      </c>
      <c r="B1657" s="6">
        <f>+'[1]VENTAS(RESUMEN GLOBAL)'!M1657</f>
        <v>0</v>
      </c>
      <c r="C1657">
        <f>+'[1]VENTAS(RESUMEN GLOBAL)'!B1657</f>
        <v>0</v>
      </c>
      <c r="D1657" t="e">
        <f>INDEX('[1]CÓDIGOS DE PRODUCTO'!$D$3:$D$1000,MATCH(C1657,'[1]CÓDIGOS DE PRODUCTO'!$A$3:$A$1000,0))</f>
        <v>#N/A</v>
      </c>
      <c r="E1657">
        <f>VLOOKUP(C1657,'[1]CÓDIGOS DE PRODUCTO'!$A$4:$B$156,2,FALSE)</f>
        <v>0</v>
      </c>
      <c r="F1657">
        <f>INDEX('[1]CÓDIGOS DE PRODUCTO'!$C$3:$C$1000,MATCH(C1657,'[1]CÓDIGOS DE PRODUCTO'!$A$3:$A$1000,0))</f>
        <v>0</v>
      </c>
      <c r="G1657">
        <f>+'[1]VENTAS(RESUMEN GLOBAL)'!D1657-'[1]VENTAS(RESUMEN GLOBAL)'!E1657</f>
        <v>0</v>
      </c>
      <c r="H1657" s="9">
        <f>+'[1]VENTAS(RESUMEN GLOBAL)'!K1657</f>
        <v>0</v>
      </c>
      <c r="I1657" s="8">
        <f>+G1657*'[1]VENTAS(RESUMEN GLOBAL)'!F1657</f>
        <v>0</v>
      </c>
      <c r="J1657" s="8">
        <f>'[1]VENTAS(RESUMEN GLOBAL)'!G1657*(1-'[1]VENTAS(RESUMEN GLOBAL)'!H1657)</f>
        <v>0</v>
      </c>
      <c r="K1657" s="8">
        <f t="shared" si="25"/>
        <v>0</v>
      </c>
      <c r="L1657" s="8">
        <f>+'[1]VENTAS(RESUMEN GLOBAL)'!J1657</f>
        <v>0</v>
      </c>
      <c r="M1657" s="8">
        <f>+Tabla1[[#This Row],[utilidad x dia]]*7</f>
        <v>0</v>
      </c>
    </row>
    <row r="1658" spans="1:13" x14ac:dyDescent="0.3">
      <c r="A1658" s="6">
        <f>+'[1]VENTAS(RESUMEN GLOBAL)'!L1658</f>
        <v>0</v>
      </c>
      <c r="B1658" s="6">
        <f>+'[1]VENTAS(RESUMEN GLOBAL)'!M1658</f>
        <v>0</v>
      </c>
      <c r="C1658">
        <f>+'[1]VENTAS(RESUMEN GLOBAL)'!B1658</f>
        <v>0</v>
      </c>
      <c r="D1658" t="e">
        <f>INDEX('[1]CÓDIGOS DE PRODUCTO'!$D$3:$D$1000,MATCH(C1658,'[1]CÓDIGOS DE PRODUCTO'!$A$3:$A$1000,0))</f>
        <v>#N/A</v>
      </c>
      <c r="E1658">
        <f>VLOOKUP(C1658,'[1]CÓDIGOS DE PRODUCTO'!$A$4:$B$156,2,FALSE)</f>
        <v>0</v>
      </c>
      <c r="F1658">
        <f>INDEX('[1]CÓDIGOS DE PRODUCTO'!$C$3:$C$1000,MATCH(C1658,'[1]CÓDIGOS DE PRODUCTO'!$A$3:$A$1000,0))</f>
        <v>0</v>
      </c>
      <c r="G1658">
        <f>+'[1]VENTAS(RESUMEN GLOBAL)'!D1658-'[1]VENTAS(RESUMEN GLOBAL)'!E1658</f>
        <v>0</v>
      </c>
      <c r="H1658" s="9">
        <f>+'[1]VENTAS(RESUMEN GLOBAL)'!K1658</f>
        <v>0</v>
      </c>
      <c r="I1658" s="8">
        <f>+G1658*'[1]VENTAS(RESUMEN GLOBAL)'!F1658</f>
        <v>0</v>
      </c>
      <c r="J1658" s="8">
        <f>'[1]VENTAS(RESUMEN GLOBAL)'!G1658*(1-'[1]VENTAS(RESUMEN GLOBAL)'!H1658)</f>
        <v>0</v>
      </c>
      <c r="K1658" s="8">
        <f t="shared" si="25"/>
        <v>0</v>
      </c>
      <c r="L1658" s="8">
        <f>+'[1]VENTAS(RESUMEN GLOBAL)'!J1658</f>
        <v>0</v>
      </c>
      <c r="M1658" s="8">
        <f>+Tabla1[[#This Row],[utilidad x dia]]*7</f>
        <v>0</v>
      </c>
    </row>
    <row r="1659" spans="1:13" x14ac:dyDescent="0.3">
      <c r="A1659" s="6">
        <f>+'[1]VENTAS(RESUMEN GLOBAL)'!L1659</f>
        <v>0</v>
      </c>
      <c r="B1659" s="6">
        <f>+'[1]VENTAS(RESUMEN GLOBAL)'!M1659</f>
        <v>0</v>
      </c>
      <c r="C1659">
        <f>+'[1]VENTAS(RESUMEN GLOBAL)'!B1659</f>
        <v>0</v>
      </c>
      <c r="D1659" t="e">
        <f>INDEX('[1]CÓDIGOS DE PRODUCTO'!$D$3:$D$1000,MATCH(C1659,'[1]CÓDIGOS DE PRODUCTO'!$A$3:$A$1000,0))</f>
        <v>#N/A</v>
      </c>
      <c r="E1659">
        <f>VLOOKUP(C1659,'[1]CÓDIGOS DE PRODUCTO'!$A$4:$B$156,2,FALSE)</f>
        <v>0</v>
      </c>
      <c r="F1659">
        <f>INDEX('[1]CÓDIGOS DE PRODUCTO'!$C$3:$C$1000,MATCH(C1659,'[1]CÓDIGOS DE PRODUCTO'!$A$3:$A$1000,0))</f>
        <v>0</v>
      </c>
      <c r="G1659">
        <f>+'[1]VENTAS(RESUMEN GLOBAL)'!D1659-'[1]VENTAS(RESUMEN GLOBAL)'!E1659</f>
        <v>0</v>
      </c>
      <c r="H1659" s="9">
        <f>+'[1]VENTAS(RESUMEN GLOBAL)'!K1659</f>
        <v>0</v>
      </c>
      <c r="I1659" s="8">
        <f>+G1659*'[1]VENTAS(RESUMEN GLOBAL)'!F1659</f>
        <v>0</v>
      </c>
      <c r="J1659" s="8">
        <f>'[1]VENTAS(RESUMEN GLOBAL)'!G1659*(1-'[1]VENTAS(RESUMEN GLOBAL)'!H1659)</f>
        <v>0</v>
      </c>
      <c r="K1659" s="8">
        <f t="shared" si="25"/>
        <v>0</v>
      </c>
      <c r="L1659" s="8">
        <f>+'[1]VENTAS(RESUMEN GLOBAL)'!J1659</f>
        <v>0</v>
      </c>
      <c r="M1659" s="8">
        <f>+Tabla1[[#This Row],[utilidad x dia]]*7</f>
        <v>0</v>
      </c>
    </row>
    <row r="1660" spans="1:13" x14ac:dyDescent="0.3">
      <c r="A1660" s="6">
        <f>+'[1]VENTAS(RESUMEN GLOBAL)'!L1660</f>
        <v>0</v>
      </c>
      <c r="B1660" s="6">
        <f>+'[1]VENTAS(RESUMEN GLOBAL)'!M1660</f>
        <v>0</v>
      </c>
      <c r="C1660">
        <f>+'[1]VENTAS(RESUMEN GLOBAL)'!B1660</f>
        <v>0</v>
      </c>
      <c r="D1660" t="e">
        <f>INDEX('[1]CÓDIGOS DE PRODUCTO'!$D$3:$D$1000,MATCH(C1660,'[1]CÓDIGOS DE PRODUCTO'!$A$3:$A$1000,0))</f>
        <v>#N/A</v>
      </c>
      <c r="E1660">
        <f>VLOOKUP(C1660,'[1]CÓDIGOS DE PRODUCTO'!$A$4:$B$156,2,FALSE)</f>
        <v>0</v>
      </c>
      <c r="F1660">
        <f>INDEX('[1]CÓDIGOS DE PRODUCTO'!$C$3:$C$1000,MATCH(C1660,'[1]CÓDIGOS DE PRODUCTO'!$A$3:$A$1000,0))</f>
        <v>0</v>
      </c>
      <c r="G1660">
        <f>+'[1]VENTAS(RESUMEN GLOBAL)'!D1660-'[1]VENTAS(RESUMEN GLOBAL)'!E1660</f>
        <v>0</v>
      </c>
      <c r="H1660" s="9">
        <f>+'[1]VENTAS(RESUMEN GLOBAL)'!K1660</f>
        <v>0</v>
      </c>
      <c r="I1660" s="8">
        <f>+G1660*'[1]VENTAS(RESUMEN GLOBAL)'!F1660</f>
        <v>0</v>
      </c>
      <c r="J1660" s="8">
        <f>'[1]VENTAS(RESUMEN GLOBAL)'!G1660*(1-'[1]VENTAS(RESUMEN GLOBAL)'!H1660)</f>
        <v>0</v>
      </c>
      <c r="K1660" s="8">
        <f t="shared" si="25"/>
        <v>0</v>
      </c>
      <c r="L1660" s="8">
        <f>+'[1]VENTAS(RESUMEN GLOBAL)'!J1660</f>
        <v>0</v>
      </c>
      <c r="M1660" s="8">
        <f>+Tabla1[[#This Row],[utilidad x dia]]*7</f>
        <v>0</v>
      </c>
    </row>
    <row r="1661" spans="1:13" x14ac:dyDescent="0.3">
      <c r="A1661" s="6">
        <f>+'[1]VENTAS(RESUMEN GLOBAL)'!L1661</f>
        <v>0</v>
      </c>
      <c r="B1661" s="6">
        <f>+'[1]VENTAS(RESUMEN GLOBAL)'!M1661</f>
        <v>0</v>
      </c>
      <c r="C1661">
        <f>+'[1]VENTAS(RESUMEN GLOBAL)'!B1661</f>
        <v>0</v>
      </c>
      <c r="D1661" t="e">
        <f>INDEX('[1]CÓDIGOS DE PRODUCTO'!$D$3:$D$1000,MATCH(C1661,'[1]CÓDIGOS DE PRODUCTO'!$A$3:$A$1000,0))</f>
        <v>#N/A</v>
      </c>
      <c r="E1661">
        <f>VLOOKUP(C1661,'[1]CÓDIGOS DE PRODUCTO'!$A$4:$B$156,2,FALSE)</f>
        <v>0</v>
      </c>
      <c r="F1661">
        <f>INDEX('[1]CÓDIGOS DE PRODUCTO'!$C$3:$C$1000,MATCH(C1661,'[1]CÓDIGOS DE PRODUCTO'!$A$3:$A$1000,0))</f>
        <v>0</v>
      </c>
      <c r="G1661">
        <f>+'[1]VENTAS(RESUMEN GLOBAL)'!D1661-'[1]VENTAS(RESUMEN GLOBAL)'!E1661</f>
        <v>0</v>
      </c>
      <c r="H1661" s="9">
        <f>+'[1]VENTAS(RESUMEN GLOBAL)'!K1661</f>
        <v>0</v>
      </c>
      <c r="I1661" s="8">
        <f>+G1661*'[1]VENTAS(RESUMEN GLOBAL)'!F1661</f>
        <v>0</v>
      </c>
      <c r="J1661" s="8">
        <f>'[1]VENTAS(RESUMEN GLOBAL)'!G1661*(1-'[1]VENTAS(RESUMEN GLOBAL)'!H1661)</f>
        <v>0</v>
      </c>
      <c r="K1661" s="8">
        <f t="shared" si="25"/>
        <v>0</v>
      </c>
      <c r="L1661" s="8">
        <f>+'[1]VENTAS(RESUMEN GLOBAL)'!J1661</f>
        <v>0</v>
      </c>
      <c r="M1661" s="8">
        <f>+Tabla1[[#This Row],[utilidad x dia]]*7</f>
        <v>0</v>
      </c>
    </row>
    <row r="1662" spans="1:13" x14ac:dyDescent="0.3">
      <c r="A1662" s="6">
        <f>+'[1]VENTAS(RESUMEN GLOBAL)'!L1662</f>
        <v>0</v>
      </c>
      <c r="B1662" s="6">
        <f>+'[1]VENTAS(RESUMEN GLOBAL)'!M1662</f>
        <v>0</v>
      </c>
      <c r="C1662">
        <f>+'[1]VENTAS(RESUMEN GLOBAL)'!B1662</f>
        <v>0</v>
      </c>
      <c r="D1662" t="e">
        <f>INDEX('[1]CÓDIGOS DE PRODUCTO'!$D$3:$D$1000,MATCH(C1662,'[1]CÓDIGOS DE PRODUCTO'!$A$3:$A$1000,0))</f>
        <v>#N/A</v>
      </c>
      <c r="E1662">
        <f>VLOOKUP(C1662,'[1]CÓDIGOS DE PRODUCTO'!$A$4:$B$156,2,FALSE)</f>
        <v>0</v>
      </c>
      <c r="F1662">
        <f>INDEX('[1]CÓDIGOS DE PRODUCTO'!$C$3:$C$1000,MATCH(C1662,'[1]CÓDIGOS DE PRODUCTO'!$A$3:$A$1000,0))</f>
        <v>0</v>
      </c>
      <c r="G1662">
        <f>+'[1]VENTAS(RESUMEN GLOBAL)'!D1662-'[1]VENTAS(RESUMEN GLOBAL)'!E1662</f>
        <v>0</v>
      </c>
      <c r="H1662" s="9">
        <f>+'[1]VENTAS(RESUMEN GLOBAL)'!K1662</f>
        <v>0</v>
      </c>
      <c r="I1662" s="8">
        <f>+G1662*'[1]VENTAS(RESUMEN GLOBAL)'!F1662</f>
        <v>0</v>
      </c>
      <c r="J1662" s="8">
        <f>'[1]VENTAS(RESUMEN GLOBAL)'!G1662*(1-'[1]VENTAS(RESUMEN GLOBAL)'!H1662)</f>
        <v>0</v>
      </c>
      <c r="K1662" s="8">
        <f t="shared" si="25"/>
        <v>0</v>
      </c>
      <c r="L1662" s="8">
        <f>+'[1]VENTAS(RESUMEN GLOBAL)'!J1662</f>
        <v>0</v>
      </c>
      <c r="M1662" s="8">
        <f>+Tabla1[[#This Row],[utilidad x dia]]*7</f>
        <v>0</v>
      </c>
    </row>
    <row r="1663" spans="1:13" x14ac:dyDescent="0.3">
      <c r="A1663" s="6">
        <f>+'[1]VENTAS(RESUMEN GLOBAL)'!L1663</f>
        <v>0</v>
      </c>
      <c r="B1663" s="6">
        <f>+'[1]VENTAS(RESUMEN GLOBAL)'!M1663</f>
        <v>0</v>
      </c>
      <c r="C1663">
        <f>+'[1]VENTAS(RESUMEN GLOBAL)'!B1663</f>
        <v>0</v>
      </c>
      <c r="D1663" t="e">
        <f>INDEX('[1]CÓDIGOS DE PRODUCTO'!$D$3:$D$1000,MATCH(C1663,'[1]CÓDIGOS DE PRODUCTO'!$A$3:$A$1000,0))</f>
        <v>#N/A</v>
      </c>
      <c r="E1663">
        <f>VLOOKUP(C1663,'[1]CÓDIGOS DE PRODUCTO'!$A$4:$B$156,2,FALSE)</f>
        <v>0</v>
      </c>
      <c r="F1663">
        <f>INDEX('[1]CÓDIGOS DE PRODUCTO'!$C$3:$C$1000,MATCH(C1663,'[1]CÓDIGOS DE PRODUCTO'!$A$3:$A$1000,0))</f>
        <v>0</v>
      </c>
      <c r="G1663">
        <f>+'[1]VENTAS(RESUMEN GLOBAL)'!D1663-'[1]VENTAS(RESUMEN GLOBAL)'!E1663</f>
        <v>0</v>
      </c>
      <c r="H1663" s="9">
        <f>+'[1]VENTAS(RESUMEN GLOBAL)'!K1663</f>
        <v>0</v>
      </c>
      <c r="I1663" s="8">
        <f>+G1663*'[1]VENTAS(RESUMEN GLOBAL)'!F1663</f>
        <v>0</v>
      </c>
      <c r="J1663" s="8">
        <f>'[1]VENTAS(RESUMEN GLOBAL)'!G1663*(1-'[1]VENTAS(RESUMEN GLOBAL)'!H1663)</f>
        <v>0</v>
      </c>
      <c r="K1663" s="8">
        <f t="shared" si="25"/>
        <v>0</v>
      </c>
      <c r="L1663" s="8">
        <f>+'[1]VENTAS(RESUMEN GLOBAL)'!J1663</f>
        <v>0</v>
      </c>
      <c r="M1663" s="8">
        <f>+Tabla1[[#This Row],[utilidad x dia]]*7</f>
        <v>0</v>
      </c>
    </row>
    <row r="1664" spans="1:13" x14ac:dyDescent="0.3">
      <c r="A1664" s="6">
        <f>+'[1]VENTAS(RESUMEN GLOBAL)'!L1664</f>
        <v>0</v>
      </c>
      <c r="B1664" s="6">
        <f>+'[1]VENTAS(RESUMEN GLOBAL)'!M1664</f>
        <v>0</v>
      </c>
      <c r="C1664">
        <f>+'[1]VENTAS(RESUMEN GLOBAL)'!B1664</f>
        <v>0</v>
      </c>
      <c r="D1664" t="e">
        <f>INDEX('[1]CÓDIGOS DE PRODUCTO'!$D$3:$D$1000,MATCH(C1664,'[1]CÓDIGOS DE PRODUCTO'!$A$3:$A$1000,0))</f>
        <v>#N/A</v>
      </c>
      <c r="E1664">
        <f>VLOOKUP(C1664,'[1]CÓDIGOS DE PRODUCTO'!$A$4:$B$156,2,FALSE)</f>
        <v>0</v>
      </c>
      <c r="F1664">
        <f>INDEX('[1]CÓDIGOS DE PRODUCTO'!$C$3:$C$1000,MATCH(C1664,'[1]CÓDIGOS DE PRODUCTO'!$A$3:$A$1000,0))</f>
        <v>0</v>
      </c>
      <c r="G1664">
        <f>+'[1]VENTAS(RESUMEN GLOBAL)'!D1664-'[1]VENTAS(RESUMEN GLOBAL)'!E1664</f>
        <v>0</v>
      </c>
      <c r="H1664" s="9">
        <f>+'[1]VENTAS(RESUMEN GLOBAL)'!K1664</f>
        <v>0</v>
      </c>
      <c r="I1664" s="8">
        <f>+G1664*'[1]VENTAS(RESUMEN GLOBAL)'!F1664</f>
        <v>0</v>
      </c>
      <c r="J1664" s="8">
        <f>'[1]VENTAS(RESUMEN GLOBAL)'!G1664*(1-'[1]VENTAS(RESUMEN GLOBAL)'!H1664)</f>
        <v>0</v>
      </c>
      <c r="K1664" s="8">
        <f t="shared" si="25"/>
        <v>0</v>
      </c>
      <c r="L1664" s="8">
        <f>+'[1]VENTAS(RESUMEN GLOBAL)'!J1664</f>
        <v>0</v>
      </c>
      <c r="M1664" s="8">
        <f>+Tabla1[[#This Row],[utilidad x dia]]*7</f>
        <v>0</v>
      </c>
    </row>
    <row r="1665" spans="1:13" x14ac:dyDescent="0.3">
      <c r="A1665" s="6">
        <f>+'[1]VENTAS(RESUMEN GLOBAL)'!L1665</f>
        <v>0</v>
      </c>
      <c r="B1665" s="6">
        <f>+'[1]VENTAS(RESUMEN GLOBAL)'!M1665</f>
        <v>0</v>
      </c>
      <c r="C1665">
        <f>+'[1]VENTAS(RESUMEN GLOBAL)'!B1665</f>
        <v>0</v>
      </c>
      <c r="D1665" t="e">
        <f>INDEX('[1]CÓDIGOS DE PRODUCTO'!$D$3:$D$1000,MATCH(C1665,'[1]CÓDIGOS DE PRODUCTO'!$A$3:$A$1000,0))</f>
        <v>#N/A</v>
      </c>
      <c r="E1665">
        <f>VLOOKUP(C1665,'[1]CÓDIGOS DE PRODUCTO'!$A$4:$B$156,2,FALSE)</f>
        <v>0</v>
      </c>
      <c r="F1665">
        <f>INDEX('[1]CÓDIGOS DE PRODUCTO'!$C$3:$C$1000,MATCH(C1665,'[1]CÓDIGOS DE PRODUCTO'!$A$3:$A$1000,0))</f>
        <v>0</v>
      </c>
      <c r="G1665">
        <f>+'[1]VENTAS(RESUMEN GLOBAL)'!D1665-'[1]VENTAS(RESUMEN GLOBAL)'!E1665</f>
        <v>0</v>
      </c>
      <c r="H1665" s="9">
        <f>+'[1]VENTAS(RESUMEN GLOBAL)'!K1665</f>
        <v>0</v>
      </c>
      <c r="I1665" s="8">
        <f>+G1665*'[1]VENTAS(RESUMEN GLOBAL)'!F1665</f>
        <v>0</v>
      </c>
      <c r="J1665" s="8">
        <f>'[1]VENTAS(RESUMEN GLOBAL)'!G1665*(1-'[1]VENTAS(RESUMEN GLOBAL)'!H1665)</f>
        <v>0</v>
      </c>
      <c r="K1665" s="8">
        <f t="shared" si="25"/>
        <v>0</v>
      </c>
      <c r="L1665" s="8">
        <f>+'[1]VENTAS(RESUMEN GLOBAL)'!J1665</f>
        <v>0</v>
      </c>
      <c r="M1665" s="8">
        <f>+Tabla1[[#This Row],[utilidad x dia]]*7</f>
        <v>0</v>
      </c>
    </row>
    <row r="1666" spans="1:13" x14ac:dyDescent="0.3">
      <c r="A1666" s="6">
        <f>+'[1]VENTAS(RESUMEN GLOBAL)'!L1666</f>
        <v>0</v>
      </c>
      <c r="B1666" s="6">
        <f>+'[1]VENTAS(RESUMEN GLOBAL)'!M1666</f>
        <v>0</v>
      </c>
      <c r="C1666">
        <f>+'[1]VENTAS(RESUMEN GLOBAL)'!B1666</f>
        <v>0</v>
      </c>
      <c r="D1666" t="e">
        <f>INDEX('[1]CÓDIGOS DE PRODUCTO'!$D$3:$D$1000,MATCH(C1666,'[1]CÓDIGOS DE PRODUCTO'!$A$3:$A$1000,0))</f>
        <v>#N/A</v>
      </c>
      <c r="E1666">
        <f>VLOOKUP(C1666,'[1]CÓDIGOS DE PRODUCTO'!$A$4:$B$156,2,FALSE)</f>
        <v>0</v>
      </c>
      <c r="F1666">
        <f>INDEX('[1]CÓDIGOS DE PRODUCTO'!$C$3:$C$1000,MATCH(C1666,'[1]CÓDIGOS DE PRODUCTO'!$A$3:$A$1000,0))</f>
        <v>0</v>
      </c>
      <c r="G1666">
        <f>+'[1]VENTAS(RESUMEN GLOBAL)'!D1666-'[1]VENTAS(RESUMEN GLOBAL)'!E1666</f>
        <v>0</v>
      </c>
      <c r="H1666" s="9">
        <f>+'[1]VENTAS(RESUMEN GLOBAL)'!K1666</f>
        <v>0</v>
      </c>
      <c r="I1666" s="8">
        <f>+G1666*'[1]VENTAS(RESUMEN GLOBAL)'!F1666</f>
        <v>0</v>
      </c>
      <c r="J1666" s="8">
        <f>'[1]VENTAS(RESUMEN GLOBAL)'!G1666*(1-'[1]VENTAS(RESUMEN GLOBAL)'!H1666)</f>
        <v>0</v>
      </c>
      <c r="K1666" s="8">
        <f t="shared" si="25"/>
        <v>0</v>
      </c>
      <c r="L1666" s="8">
        <f>+'[1]VENTAS(RESUMEN GLOBAL)'!J1666</f>
        <v>0</v>
      </c>
      <c r="M1666" s="8">
        <f>+Tabla1[[#This Row],[utilidad x dia]]*7</f>
        <v>0</v>
      </c>
    </row>
    <row r="1667" spans="1:13" x14ac:dyDescent="0.3">
      <c r="A1667" s="6">
        <f>+'[1]VENTAS(RESUMEN GLOBAL)'!L1667</f>
        <v>0</v>
      </c>
      <c r="B1667" s="6">
        <f>+'[1]VENTAS(RESUMEN GLOBAL)'!M1667</f>
        <v>0</v>
      </c>
      <c r="C1667">
        <f>+'[1]VENTAS(RESUMEN GLOBAL)'!B1667</f>
        <v>0</v>
      </c>
      <c r="D1667" t="e">
        <f>INDEX('[1]CÓDIGOS DE PRODUCTO'!$D$3:$D$1000,MATCH(C1667,'[1]CÓDIGOS DE PRODUCTO'!$A$3:$A$1000,0))</f>
        <v>#N/A</v>
      </c>
      <c r="E1667">
        <f>VLOOKUP(C1667,'[1]CÓDIGOS DE PRODUCTO'!$A$4:$B$156,2,FALSE)</f>
        <v>0</v>
      </c>
      <c r="F1667">
        <f>INDEX('[1]CÓDIGOS DE PRODUCTO'!$C$3:$C$1000,MATCH(C1667,'[1]CÓDIGOS DE PRODUCTO'!$A$3:$A$1000,0))</f>
        <v>0</v>
      </c>
      <c r="G1667">
        <f>+'[1]VENTAS(RESUMEN GLOBAL)'!D1667-'[1]VENTAS(RESUMEN GLOBAL)'!E1667</f>
        <v>0</v>
      </c>
      <c r="H1667" s="9">
        <f>+'[1]VENTAS(RESUMEN GLOBAL)'!K1667</f>
        <v>0</v>
      </c>
      <c r="I1667" s="8">
        <f>+G1667*'[1]VENTAS(RESUMEN GLOBAL)'!F1667</f>
        <v>0</v>
      </c>
      <c r="J1667" s="8">
        <f>'[1]VENTAS(RESUMEN GLOBAL)'!G1667*(1-'[1]VENTAS(RESUMEN GLOBAL)'!H1667)</f>
        <v>0</v>
      </c>
      <c r="K1667" s="8">
        <f t="shared" ref="K1667:K1730" si="26">+I1667-J1667</f>
        <v>0</v>
      </c>
      <c r="L1667" s="8">
        <f>+'[1]VENTAS(RESUMEN GLOBAL)'!J1667</f>
        <v>0</v>
      </c>
      <c r="M1667" s="8">
        <f>+Tabla1[[#This Row],[utilidad x dia]]*7</f>
        <v>0</v>
      </c>
    </row>
    <row r="1668" spans="1:13" x14ac:dyDescent="0.3">
      <c r="A1668" s="6">
        <f>+'[1]VENTAS(RESUMEN GLOBAL)'!L1668</f>
        <v>0</v>
      </c>
      <c r="B1668" s="6">
        <f>+'[1]VENTAS(RESUMEN GLOBAL)'!M1668</f>
        <v>0</v>
      </c>
      <c r="C1668">
        <f>+'[1]VENTAS(RESUMEN GLOBAL)'!B1668</f>
        <v>0</v>
      </c>
      <c r="D1668" t="e">
        <f>INDEX('[1]CÓDIGOS DE PRODUCTO'!$D$3:$D$1000,MATCH(C1668,'[1]CÓDIGOS DE PRODUCTO'!$A$3:$A$1000,0))</f>
        <v>#N/A</v>
      </c>
      <c r="E1668">
        <f>VLOOKUP(C1668,'[1]CÓDIGOS DE PRODUCTO'!$A$4:$B$156,2,FALSE)</f>
        <v>0</v>
      </c>
      <c r="F1668">
        <f>INDEX('[1]CÓDIGOS DE PRODUCTO'!$C$3:$C$1000,MATCH(C1668,'[1]CÓDIGOS DE PRODUCTO'!$A$3:$A$1000,0))</f>
        <v>0</v>
      </c>
      <c r="G1668">
        <f>+'[1]VENTAS(RESUMEN GLOBAL)'!D1668-'[1]VENTAS(RESUMEN GLOBAL)'!E1668</f>
        <v>0</v>
      </c>
      <c r="H1668" s="9">
        <f>+'[1]VENTAS(RESUMEN GLOBAL)'!K1668</f>
        <v>0</v>
      </c>
      <c r="I1668" s="8">
        <f>+G1668*'[1]VENTAS(RESUMEN GLOBAL)'!F1668</f>
        <v>0</v>
      </c>
      <c r="J1668" s="8">
        <f>'[1]VENTAS(RESUMEN GLOBAL)'!G1668*(1-'[1]VENTAS(RESUMEN GLOBAL)'!H1668)</f>
        <v>0</v>
      </c>
      <c r="K1668" s="8">
        <f t="shared" si="26"/>
        <v>0</v>
      </c>
      <c r="L1668" s="8">
        <f>+'[1]VENTAS(RESUMEN GLOBAL)'!J1668</f>
        <v>0</v>
      </c>
      <c r="M1668" s="8">
        <f>+Tabla1[[#This Row],[utilidad x dia]]*7</f>
        <v>0</v>
      </c>
    </row>
    <row r="1669" spans="1:13" x14ac:dyDescent="0.3">
      <c r="A1669" s="6">
        <f>+'[1]VENTAS(RESUMEN GLOBAL)'!L1669</f>
        <v>0</v>
      </c>
      <c r="B1669" s="6">
        <f>+'[1]VENTAS(RESUMEN GLOBAL)'!M1669</f>
        <v>0</v>
      </c>
      <c r="C1669">
        <f>+'[1]VENTAS(RESUMEN GLOBAL)'!B1669</f>
        <v>0</v>
      </c>
      <c r="D1669" t="e">
        <f>INDEX('[1]CÓDIGOS DE PRODUCTO'!$D$3:$D$1000,MATCH(C1669,'[1]CÓDIGOS DE PRODUCTO'!$A$3:$A$1000,0))</f>
        <v>#N/A</v>
      </c>
      <c r="E1669">
        <f>VLOOKUP(C1669,'[1]CÓDIGOS DE PRODUCTO'!$A$4:$B$156,2,FALSE)</f>
        <v>0</v>
      </c>
      <c r="F1669">
        <f>INDEX('[1]CÓDIGOS DE PRODUCTO'!$C$3:$C$1000,MATCH(C1669,'[1]CÓDIGOS DE PRODUCTO'!$A$3:$A$1000,0))</f>
        <v>0</v>
      </c>
      <c r="G1669">
        <f>+'[1]VENTAS(RESUMEN GLOBAL)'!D1669-'[1]VENTAS(RESUMEN GLOBAL)'!E1669</f>
        <v>0</v>
      </c>
      <c r="H1669" s="9">
        <f>+'[1]VENTAS(RESUMEN GLOBAL)'!K1669</f>
        <v>0</v>
      </c>
      <c r="I1669" s="8">
        <f>+G1669*'[1]VENTAS(RESUMEN GLOBAL)'!F1669</f>
        <v>0</v>
      </c>
      <c r="J1669" s="8">
        <f>'[1]VENTAS(RESUMEN GLOBAL)'!G1669*(1-'[1]VENTAS(RESUMEN GLOBAL)'!H1669)</f>
        <v>0</v>
      </c>
      <c r="K1669" s="8">
        <f t="shared" si="26"/>
        <v>0</v>
      </c>
      <c r="L1669" s="8">
        <f>+'[1]VENTAS(RESUMEN GLOBAL)'!J1669</f>
        <v>0</v>
      </c>
      <c r="M1669" s="8">
        <f>+Tabla1[[#This Row],[utilidad x dia]]*7</f>
        <v>0</v>
      </c>
    </row>
    <row r="1670" spans="1:13" x14ac:dyDescent="0.3">
      <c r="A1670" s="6">
        <f>+'[1]VENTAS(RESUMEN GLOBAL)'!L1670</f>
        <v>0</v>
      </c>
      <c r="B1670" s="6">
        <f>+'[1]VENTAS(RESUMEN GLOBAL)'!M1670</f>
        <v>0</v>
      </c>
      <c r="C1670">
        <f>+'[1]VENTAS(RESUMEN GLOBAL)'!B1670</f>
        <v>0</v>
      </c>
      <c r="D1670" t="e">
        <f>INDEX('[1]CÓDIGOS DE PRODUCTO'!$D$3:$D$1000,MATCH(C1670,'[1]CÓDIGOS DE PRODUCTO'!$A$3:$A$1000,0))</f>
        <v>#N/A</v>
      </c>
      <c r="E1670">
        <f>VLOOKUP(C1670,'[1]CÓDIGOS DE PRODUCTO'!$A$4:$B$156,2,FALSE)</f>
        <v>0</v>
      </c>
      <c r="F1670">
        <f>INDEX('[1]CÓDIGOS DE PRODUCTO'!$C$3:$C$1000,MATCH(C1670,'[1]CÓDIGOS DE PRODUCTO'!$A$3:$A$1000,0))</f>
        <v>0</v>
      </c>
      <c r="G1670">
        <f>+'[1]VENTAS(RESUMEN GLOBAL)'!D1670-'[1]VENTAS(RESUMEN GLOBAL)'!E1670</f>
        <v>0</v>
      </c>
      <c r="H1670" s="9">
        <f>+'[1]VENTAS(RESUMEN GLOBAL)'!K1670</f>
        <v>0</v>
      </c>
      <c r="I1670" s="8">
        <f>+G1670*'[1]VENTAS(RESUMEN GLOBAL)'!F1670</f>
        <v>0</v>
      </c>
      <c r="J1670" s="8">
        <f>'[1]VENTAS(RESUMEN GLOBAL)'!G1670*(1-'[1]VENTAS(RESUMEN GLOBAL)'!H1670)</f>
        <v>0</v>
      </c>
      <c r="K1670" s="8">
        <f t="shared" si="26"/>
        <v>0</v>
      </c>
      <c r="L1670" s="8">
        <f>+'[1]VENTAS(RESUMEN GLOBAL)'!J1670</f>
        <v>0</v>
      </c>
      <c r="M1670" s="8">
        <f>+Tabla1[[#This Row],[utilidad x dia]]*7</f>
        <v>0</v>
      </c>
    </row>
    <row r="1671" spans="1:13" x14ac:dyDescent="0.3">
      <c r="A1671" s="6">
        <f>+'[1]VENTAS(RESUMEN GLOBAL)'!L1671</f>
        <v>0</v>
      </c>
      <c r="B1671" s="6">
        <f>+'[1]VENTAS(RESUMEN GLOBAL)'!M1671</f>
        <v>0</v>
      </c>
      <c r="C1671">
        <f>+'[1]VENTAS(RESUMEN GLOBAL)'!B1671</f>
        <v>0</v>
      </c>
      <c r="D1671" t="e">
        <f>INDEX('[1]CÓDIGOS DE PRODUCTO'!$D$3:$D$1000,MATCH(C1671,'[1]CÓDIGOS DE PRODUCTO'!$A$3:$A$1000,0))</f>
        <v>#N/A</v>
      </c>
      <c r="E1671">
        <f>VLOOKUP(C1671,'[1]CÓDIGOS DE PRODUCTO'!$A$4:$B$156,2,FALSE)</f>
        <v>0</v>
      </c>
      <c r="F1671">
        <f>INDEX('[1]CÓDIGOS DE PRODUCTO'!$C$3:$C$1000,MATCH(C1671,'[1]CÓDIGOS DE PRODUCTO'!$A$3:$A$1000,0))</f>
        <v>0</v>
      </c>
      <c r="G1671">
        <f>+'[1]VENTAS(RESUMEN GLOBAL)'!D1671-'[1]VENTAS(RESUMEN GLOBAL)'!E1671</f>
        <v>0</v>
      </c>
      <c r="H1671" s="9">
        <f>+'[1]VENTAS(RESUMEN GLOBAL)'!K1671</f>
        <v>0</v>
      </c>
      <c r="I1671" s="8">
        <f>+G1671*'[1]VENTAS(RESUMEN GLOBAL)'!F1671</f>
        <v>0</v>
      </c>
      <c r="J1671" s="8">
        <f>'[1]VENTAS(RESUMEN GLOBAL)'!G1671*(1-'[1]VENTAS(RESUMEN GLOBAL)'!H1671)</f>
        <v>0</v>
      </c>
      <c r="K1671" s="8">
        <f t="shared" si="26"/>
        <v>0</v>
      </c>
      <c r="L1671" s="8">
        <f>+'[1]VENTAS(RESUMEN GLOBAL)'!J1671</f>
        <v>0</v>
      </c>
      <c r="M1671" s="8">
        <f>+Tabla1[[#This Row],[utilidad x dia]]*7</f>
        <v>0</v>
      </c>
    </row>
    <row r="1672" spans="1:13" x14ac:dyDescent="0.3">
      <c r="A1672" s="6">
        <f>+'[1]VENTAS(RESUMEN GLOBAL)'!L1672</f>
        <v>0</v>
      </c>
      <c r="B1672" s="6">
        <f>+'[1]VENTAS(RESUMEN GLOBAL)'!M1672</f>
        <v>0</v>
      </c>
      <c r="C1672">
        <f>+'[1]VENTAS(RESUMEN GLOBAL)'!B1672</f>
        <v>0</v>
      </c>
      <c r="D1672" t="e">
        <f>INDEX('[1]CÓDIGOS DE PRODUCTO'!$D$3:$D$1000,MATCH(C1672,'[1]CÓDIGOS DE PRODUCTO'!$A$3:$A$1000,0))</f>
        <v>#N/A</v>
      </c>
      <c r="E1672">
        <f>VLOOKUP(C1672,'[1]CÓDIGOS DE PRODUCTO'!$A$4:$B$156,2,FALSE)</f>
        <v>0</v>
      </c>
      <c r="F1672">
        <f>INDEX('[1]CÓDIGOS DE PRODUCTO'!$C$3:$C$1000,MATCH(C1672,'[1]CÓDIGOS DE PRODUCTO'!$A$3:$A$1000,0))</f>
        <v>0</v>
      </c>
      <c r="G1672">
        <f>+'[1]VENTAS(RESUMEN GLOBAL)'!D1672-'[1]VENTAS(RESUMEN GLOBAL)'!E1672</f>
        <v>0</v>
      </c>
      <c r="H1672" s="9">
        <f>+'[1]VENTAS(RESUMEN GLOBAL)'!K1672</f>
        <v>0</v>
      </c>
      <c r="I1672" s="8">
        <f>+G1672*'[1]VENTAS(RESUMEN GLOBAL)'!F1672</f>
        <v>0</v>
      </c>
      <c r="J1672" s="8">
        <f>'[1]VENTAS(RESUMEN GLOBAL)'!G1672*(1-'[1]VENTAS(RESUMEN GLOBAL)'!H1672)</f>
        <v>0</v>
      </c>
      <c r="K1672" s="8">
        <f t="shared" si="26"/>
        <v>0</v>
      </c>
      <c r="L1672" s="8">
        <f>+'[1]VENTAS(RESUMEN GLOBAL)'!J1672</f>
        <v>0</v>
      </c>
      <c r="M1672" s="8">
        <f>+Tabla1[[#This Row],[utilidad x dia]]*7</f>
        <v>0</v>
      </c>
    </row>
    <row r="1673" spans="1:13" x14ac:dyDescent="0.3">
      <c r="A1673" s="6">
        <f>+'[1]VENTAS(RESUMEN GLOBAL)'!L1673</f>
        <v>0</v>
      </c>
      <c r="B1673" s="6">
        <f>+'[1]VENTAS(RESUMEN GLOBAL)'!M1673</f>
        <v>0</v>
      </c>
      <c r="C1673">
        <f>+'[1]VENTAS(RESUMEN GLOBAL)'!B1673</f>
        <v>0</v>
      </c>
      <c r="D1673" t="e">
        <f>INDEX('[1]CÓDIGOS DE PRODUCTO'!$D$3:$D$1000,MATCH(C1673,'[1]CÓDIGOS DE PRODUCTO'!$A$3:$A$1000,0))</f>
        <v>#N/A</v>
      </c>
      <c r="E1673">
        <f>VLOOKUP(C1673,'[1]CÓDIGOS DE PRODUCTO'!$A$4:$B$156,2,FALSE)</f>
        <v>0</v>
      </c>
      <c r="F1673">
        <f>INDEX('[1]CÓDIGOS DE PRODUCTO'!$C$3:$C$1000,MATCH(C1673,'[1]CÓDIGOS DE PRODUCTO'!$A$3:$A$1000,0))</f>
        <v>0</v>
      </c>
      <c r="G1673">
        <f>+'[1]VENTAS(RESUMEN GLOBAL)'!D1673-'[1]VENTAS(RESUMEN GLOBAL)'!E1673</f>
        <v>0</v>
      </c>
      <c r="H1673" s="9">
        <f>+'[1]VENTAS(RESUMEN GLOBAL)'!K1673</f>
        <v>0</v>
      </c>
      <c r="I1673" s="8">
        <f>+G1673*'[1]VENTAS(RESUMEN GLOBAL)'!F1673</f>
        <v>0</v>
      </c>
      <c r="J1673" s="8">
        <f>'[1]VENTAS(RESUMEN GLOBAL)'!G1673*(1-'[1]VENTAS(RESUMEN GLOBAL)'!H1673)</f>
        <v>0</v>
      </c>
      <c r="K1673" s="8">
        <f t="shared" si="26"/>
        <v>0</v>
      </c>
      <c r="L1673" s="8">
        <f>+'[1]VENTAS(RESUMEN GLOBAL)'!J1673</f>
        <v>0</v>
      </c>
      <c r="M1673" s="8">
        <f>+Tabla1[[#This Row],[utilidad x dia]]*7</f>
        <v>0</v>
      </c>
    </row>
    <row r="1674" spans="1:13" x14ac:dyDescent="0.3">
      <c r="A1674" s="6">
        <f>+'[1]VENTAS(RESUMEN GLOBAL)'!L1674</f>
        <v>0</v>
      </c>
      <c r="B1674" s="6">
        <f>+'[1]VENTAS(RESUMEN GLOBAL)'!M1674</f>
        <v>0</v>
      </c>
      <c r="C1674">
        <f>+'[1]VENTAS(RESUMEN GLOBAL)'!B1674</f>
        <v>0</v>
      </c>
      <c r="D1674" t="e">
        <f>INDEX('[1]CÓDIGOS DE PRODUCTO'!$D$3:$D$1000,MATCH(C1674,'[1]CÓDIGOS DE PRODUCTO'!$A$3:$A$1000,0))</f>
        <v>#N/A</v>
      </c>
      <c r="E1674">
        <f>VLOOKUP(C1674,'[1]CÓDIGOS DE PRODUCTO'!$A$4:$B$156,2,FALSE)</f>
        <v>0</v>
      </c>
      <c r="F1674">
        <f>INDEX('[1]CÓDIGOS DE PRODUCTO'!$C$3:$C$1000,MATCH(C1674,'[1]CÓDIGOS DE PRODUCTO'!$A$3:$A$1000,0))</f>
        <v>0</v>
      </c>
      <c r="G1674">
        <f>+'[1]VENTAS(RESUMEN GLOBAL)'!D1674-'[1]VENTAS(RESUMEN GLOBAL)'!E1674</f>
        <v>0</v>
      </c>
      <c r="H1674" s="9">
        <f>+'[1]VENTAS(RESUMEN GLOBAL)'!K1674</f>
        <v>0</v>
      </c>
      <c r="I1674" s="8">
        <f>+G1674*'[1]VENTAS(RESUMEN GLOBAL)'!F1674</f>
        <v>0</v>
      </c>
      <c r="J1674" s="8">
        <f>'[1]VENTAS(RESUMEN GLOBAL)'!G1674*(1-'[1]VENTAS(RESUMEN GLOBAL)'!H1674)</f>
        <v>0</v>
      </c>
      <c r="K1674" s="8">
        <f t="shared" si="26"/>
        <v>0</v>
      </c>
      <c r="L1674" s="8">
        <f>+'[1]VENTAS(RESUMEN GLOBAL)'!J1674</f>
        <v>0</v>
      </c>
      <c r="M1674" s="8">
        <f>+Tabla1[[#This Row],[utilidad x dia]]*7</f>
        <v>0</v>
      </c>
    </row>
    <row r="1675" spans="1:13" x14ac:dyDescent="0.3">
      <c r="A1675" s="6">
        <f>+'[1]VENTAS(RESUMEN GLOBAL)'!L1675</f>
        <v>0</v>
      </c>
      <c r="B1675" s="6">
        <f>+'[1]VENTAS(RESUMEN GLOBAL)'!M1675</f>
        <v>0</v>
      </c>
      <c r="C1675">
        <f>+'[1]VENTAS(RESUMEN GLOBAL)'!B1675</f>
        <v>0</v>
      </c>
      <c r="D1675" t="e">
        <f>INDEX('[1]CÓDIGOS DE PRODUCTO'!$D$3:$D$1000,MATCH(C1675,'[1]CÓDIGOS DE PRODUCTO'!$A$3:$A$1000,0))</f>
        <v>#N/A</v>
      </c>
      <c r="E1675">
        <f>VLOOKUP(C1675,'[1]CÓDIGOS DE PRODUCTO'!$A$4:$B$156,2,FALSE)</f>
        <v>0</v>
      </c>
      <c r="F1675">
        <f>INDEX('[1]CÓDIGOS DE PRODUCTO'!$C$3:$C$1000,MATCH(C1675,'[1]CÓDIGOS DE PRODUCTO'!$A$3:$A$1000,0))</f>
        <v>0</v>
      </c>
      <c r="G1675">
        <f>+'[1]VENTAS(RESUMEN GLOBAL)'!D1675-'[1]VENTAS(RESUMEN GLOBAL)'!E1675</f>
        <v>0</v>
      </c>
      <c r="H1675" s="9">
        <f>+'[1]VENTAS(RESUMEN GLOBAL)'!K1675</f>
        <v>0</v>
      </c>
      <c r="I1675" s="8">
        <f>+G1675*'[1]VENTAS(RESUMEN GLOBAL)'!F1675</f>
        <v>0</v>
      </c>
      <c r="J1675" s="8">
        <f>'[1]VENTAS(RESUMEN GLOBAL)'!G1675*(1-'[1]VENTAS(RESUMEN GLOBAL)'!H1675)</f>
        <v>0</v>
      </c>
      <c r="K1675" s="8">
        <f t="shared" si="26"/>
        <v>0</v>
      </c>
      <c r="L1675" s="8">
        <f>+'[1]VENTAS(RESUMEN GLOBAL)'!J1675</f>
        <v>0</v>
      </c>
      <c r="M1675" s="8">
        <f>+Tabla1[[#This Row],[utilidad x dia]]*7</f>
        <v>0</v>
      </c>
    </row>
    <row r="1676" spans="1:13" x14ac:dyDescent="0.3">
      <c r="A1676" s="6">
        <f>+'[1]VENTAS(RESUMEN GLOBAL)'!L1676</f>
        <v>0</v>
      </c>
      <c r="B1676" s="6">
        <f>+'[1]VENTAS(RESUMEN GLOBAL)'!M1676</f>
        <v>0</v>
      </c>
      <c r="C1676">
        <f>+'[1]VENTAS(RESUMEN GLOBAL)'!B1676</f>
        <v>0</v>
      </c>
      <c r="D1676" t="e">
        <f>INDEX('[1]CÓDIGOS DE PRODUCTO'!$D$3:$D$1000,MATCH(C1676,'[1]CÓDIGOS DE PRODUCTO'!$A$3:$A$1000,0))</f>
        <v>#N/A</v>
      </c>
      <c r="E1676">
        <f>VLOOKUP(C1676,'[1]CÓDIGOS DE PRODUCTO'!$A$4:$B$156,2,FALSE)</f>
        <v>0</v>
      </c>
      <c r="F1676">
        <f>INDEX('[1]CÓDIGOS DE PRODUCTO'!$C$3:$C$1000,MATCH(C1676,'[1]CÓDIGOS DE PRODUCTO'!$A$3:$A$1000,0))</f>
        <v>0</v>
      </c>
      <c r="G1676">
        <f>+'[1]VENTAS(RESUMEN GLOBAL)'!D1676-'[1]VENTAS(RESUMEN GLOBAL)'!E1676</f>
        <v>0</v>
      </c>
      <c r="H1676" s="9">
        <f>+'[1]VENTAS(RESUMEN GLOBAL)'!K1676</f>
        <v>0</v>
      </c>
      <c r="I1676" s="8">
        <f>+G1676*'[1]VENTAS(RESUMEN GLOBAL)'!F1676</f>
        <v>0</v>
      </c>
      <c r="J1676" s="8">
        <f>'[1]VENTAS(RESUMEN GLOBAL)'!G1676*(1-'[1]VENTAS(RESUMEN GLOBAL)'!H1676)</f>
        <v>0</v>
      </c>
      <c r="K1676" s="8">
        <f t="shared" si="26"/>
        <v>0</v>
      </c>
      <c r="L1676" s="8">
        <f>+'[1]VENTAS(RESUMEN GLOBAL)'!J1676</f>
        <v>0</v>
      </c>
      <c r="M1676" s="8">
        <f>+Tabla1[[#This Row],[utilidad x dia]]*7</f>
        <v>0</v>
      </c>
    </row>
    <row r="1677" spans="1:13" x14ac:dyDescent="0.3">
      <c r="A1677" s="6">
        <f>+'[1]VENTAS(RESUMEN GLOBAL)'!L1677</f>
        <v>0</v>
      </c>
      <c r="B1677" s="6">
        <f>+'[1]VENTAS(RESUMEN GLOBAL)'!M1677</f>
        <v>0</v>
      </c>
      <c r="C1677">
        <f>+'[1]VENTAS(RESUMEN GLOBAL)'!B1677</f>
        <v>0</v>
      </c>
      <c r="D1677" t="e">
        <f>INDEX('[1]CÓDIGOS DE PRODUCTO'!$D$3:$D$1000,MATCH(C1677,'[1]CÓDIGOS DE PRODUCTO'!$A$3:$A$1000,0))</f>
        <v>#N/A</v>
      </c>
      <c r="E1677">
        <f>VLOOKUP(C1677,'[1]CÓDIGOS DE PRODUCTO'!$A$4:$B$156,2,FALSE)</f>
        <v>0</v>
      </c>
      <c r="F1677">
        <f>INDEX('[1]CÓDIGOS DE PRODUCTO'!$C$3:$C$1000,MATCH(C1677,'[1]CÓDIGOS DE PRODUCTO'!$A$3:$A$1000,0))</f>
        <v>0</v>
      </c>
      <c r="G1677">
        <f>+'[1]VENTAS(RESUMEN GLOBAL)'!D1677-'[1]VENTAS(RESUMEN GLOBAL)'!E1677</f>
        <v>0</v>
      </c>
      <c r="H1677" s="9">
        <f>+'[1]VENTAS(RESUMEN GLOBAL)'!K1677</f>
        <v>0</v>
      </c>
      <c r="I1677" s="8">
        <f>+G1677*'[1]VENTAS(RESUMEN GLOBAL)'!F1677</f>
        <v>0</v>
      </c>
      <c r="J1677" s="8">
        <f>'[1]VENTAS(RESUMEN GLOBAL)'!G1677*(1-'[1]VENTAS(RESUMEN GLOBAL)'!H1677)</f>
        <v>0</v>
      </c>
      <c r="K1677" s="8">
        <f t="shared" si="26"/>
        <v>0</v>
      </c>
      <c r="L1677" s="8">
        <f>+'[1]VENTAS(RESUMEN GLOBAL)'!J1677</f>
        <v>0</v>
      </c>
      <c r="M1677" s="8">
        <f>+Tabla1[[#This Row],[utilidad x dia]]*7</f>
        <v>0</v>
      </c>
    </row>
    <row r="1678" spans="1:13" x14ac:dyDescent="0.3">
      <c r="A1678" s="6">
        <f>+'[1]VENTAS(RESUMEN GLOBAL)'!L1678</f>
        <v>0</v>
      </c>
      <c r="B1678" s="6">
        <f>+'[1]VENTAS(RESUMEN GLOBAL)'!M1678</f>
        <v>0</v>
      </c>
      <c r="C1678">
        <f>+'[1]VENTAS(RESUMEN GLOBAL)'!B1678</f>
        <v>0</v>
      </c>
      <c r="D1678" t="e">
        <f>INDEX('[1]CÓDIGOS DE PRODUCTO'!$D$3:$D$1000,MATCH(C1678,'[1]CÓDIGOS DE PRODUCTO'!$A$3:$A$1000,0))</f>
        <v>#N/A</v>
      </c>
      <c r="E1678">
        <f>VLOOKUP(C1678,'[1]CÓDIGOS DE PRODUCTO'!$A$4:$B$156,2,FALSE)</f>
        <v>0</v>
      </c>
      <c r="F1678">
        <f>INDEX('[1]CÓDIGOS DE PRODUCTO'!$C$3:$C$1000,MATCH(C1678,'[1]CÓDIGOS DE PRODUCTO'!$A$3:$A$1000,0))</f>
        <v>0</v>
      </c>
      <c r="G1678">
        <f>+'[1]VENTAS(RESUMEN GLOBAL)'!D1678-'[1]VENTAS(RESUMEN GLOBAL)'!E1678</f>
        <v>0</v>
      </c>
      <c r="H1678" s="9">
        <f>+'[1]VENTAS(RESUMEN GLOBAL)'!K1678</f>
        <v>0</v>
      </c>
      <c r="I1678" s="8">
        <f>+G1678*'[1]VENTAS(RESUMEN GLOBAL)'!F1678</f>
        <v>0</v>
      </c>
      <c r="J1678" s="8">
        <f>'[1]VENTAS(RESUMEN GLOBAL)'!G1678*(1-'[1]VENTAS(RESUMEN GLOBAL)'!H1678)</f>
        <v>0</v>
      </c>
      <c r="K1678" s="8">
        <f t="shared" si="26"/>
        <v>0</v>
      </c>
      <c r="L1678" s="8">
        <f>+'[1]VENTAS(RESUMEN GLOBAL)'!J1678</f>
        <v>0</v>
      </c>
      <c r="M1678" s="8">
        <f>+Tabla1[[#This Row],[utilidad x dia]]*7</f>
        <v>0</v>
      </c>
    </row>
    <row r="1679" spans="1:13" x14ac:dyDescent="0.3">
      <c r="A1679" s="6">
        <f>+'[1]VENTAS(RESUMEN GLOBAL)'!L1679</f>
        <v>0</v>
      </c>
      <c r="B1679" s="6">
        <f>+'[1]VENTAS(RESUMEN GLOBAL)'!M1679</f>
        <v>0</v>
      </c>
      <c r="C1679">
        <f>+'[1]VENTAS(RESUMEN GLOBAL)'!B1679</f>
        <v>0</v>
      </c>
      <c r="D1679" t="e">
        <f>INDEX('[1]CÓDIGOS DE PRODUCTO'!$D$3:$D$1000,MATCH(C1679,'[1]CÓDIGOS DE PRODUCTO'!$A$3:$A$1000,0))</f>
        <v>#N/A</v>
      </c>
      <c r="E1679">
        <f>VLOOKUP(C1679,'[1]CÓDIGOS DE PRODUCTO'!$A$4:$B$156,2,FALSE)</f>
        <v>0</v>
      </c>
      <c r="F1679">
        <f>INDEX('[1]CÓDIGOS DE PRODUCTO'!$C$3:$C$1000,MATCH(C1679,'[1]CÓDIGOS DE PRODUCTO'!$A$3:$A$1000,0))</f>
        <v>0</v>
      </c>
      <c r="G1679">
        <f>+'[1]VENTAS(RESUMEN GLOBAL)'!D1679-'[1]VENTAS(RESUMEN GLOBAL)'!E1679</f>
        <v>0</v>
      </c>
      <c r="H1679" s="9">
        <f>+'[1]VENTAS(RESUMEN GLOBAL)'!K1679</f>
        <v>0</v>
      </c>
      <c r="I1679" s="8">
        <f>+G1679*'[1]VENTAS(RESUMEN GLOBAL)'!F1679</f>
        <v>0</v>
      </c>
      <c r="J1679" s="8">
        <f>'[1]VENTAS(RESUMEN GLOBAL)'!G1679*(1-'[1]VENTAS(RESUMEN GLOBAL)'!H1679)</f>
        <v>0</v>
      </c>
      <c r="K1679" s="8">
        <f t="shared" si="26"/>
        <v>0</v>
      </c>
      <c r="L1679" s="8">
        <f>+'[1]VENTAS(RESUMEN GLOBAL)'!J1679</f>
        <v>0</v>
      </c>
      <c r="M1679" s="8">
        <f>+Tabla1[[#This Row],[utilidad x dia]]*7</f>
        <v>0</v>
      </c>
    </row>
    <row r="1680" spans="1:13" x14ac:dyDescent="0.3">
      <c r="A1680" s="6">
        <f>+'[1]VENTAS(RESUMEN GLOBAL)'!L1680</f>
        <v>0</v>
      </c>
      <c r="B1680" s="6">
        <f>+'[1]VENTAS(RESUMEN GLOBAL)'!M1680</f>
        <v>0</v>
      </c>
      <c r="C1680">
        <f>+'[1]VENTAS(RESUMEN GLOBAL)'!B1680</f>
        <v>0</v>
      </c>
      <c r="D1680" t="e">
        <f>INDEX('[1]CÓDIGOS DE PRODUCTO'!$D$3:$D$1000,MATCH(C1680,'[1]CÓDIGOS DE PRODUCTO'!$A$3:$A$1000,0))</f>
        <v>#N/A</v>
      </c>
      <c r="E1680">
        <f>VLOOKUP(C1680,'[1]CÓDIGOS DE PRODUCTO'!$A$4:$B$156,2,FALSE)</f>
        <v>0</v>
      </c>
      <c r="F1680">
        <f>INDEX('[1]CÓDIGOS DE PRODUCTO'!$C$3:$C$1000,MATCH(C1680,'[1]CÓDIGOS DE PRODUCTO'!$A$3:$A$1000,0))</f>
        <v>0</v>
      </c>
      <c r="G1680">
        <f>+'[1]VENTAS(RESUMEN GLOBAL)'!D1680-'[1]VENTAS(RESUMEN GLOBAL)'!E1680</f>
        <v>0</v>
      </c>
      <c r="H1680" s="9">
        <f>+'[1]VENTAS(RESUMEN GLOBAL)'!K1680</f>
        <v>0</v>
      </c>
      <c r="I1680" s="8">
        <f>+G1680*'[1]VENTAS(RESUMEN GLOBAL)'!F1680</f>
        <v>0</v>
      </c>
      <c r="J1680" s="8">
        <f>'[1]VENTAS(RESUMEN GLOBAL)'!G1680*(1-'[1]VENTAS(RESUMEN GLOBAL)'!H1680)</f>
        <v>0</v>
      </c>
      <c r="K1680" s="8">
        <f t="shared" si="26"/>
        <v>0</v>
      </c>
      <c r="L1680" s="8">
        <f>+'[1]VENTAS(RESUMEN GLOBAL)'!J1680</f>
        <v>0</v>
      </c>
      <c r="M1680" s="8">
        <f>+Tabla1[[#This Row],[utilidad x dia]]*7</f>
        <v>0</v>
      </c>
    </row>
    <row r="1681" spans="1:13" x14ac:dyDescent="0.3">
      <c r="A1681" s="6">
        <f>+'[1]VENTAS(RESUMEN GLOBAL)'!L1681</f>
        <v>0</v>
      </c>
      <c r="B1681" s="6">
        <f>+'[1]VENTAS(RESUMEN GLOBAL)'!M1681</f>
        <v>0</v>
      </c>
      <c r="C1681">
        <f>+'[1]VENTAS(RESUMEN GLOBAL)'!B1681</f>
        <v>0</v>
      </c>
      <c r="D1681" t="e">
        <f>INDEX('[1]CÓDIGOS DE PRODUCTO'!$D$3:$D$1000,MATCH(C1681,'[1]CÓDIGOS DE PRODUCTO'!$A$3:$A$1000,0))</f>
        <v>#N/A</v>
      </c>
      <c r="E1681">
        <f>VLOOKUP(C1681,'[1]CÓDIGOS DE PRODUCTO'!$A$4:$B$156,2,FALSE)</f>
        <v>0</v>
      </c>
      <c r="F1681">
        <f>INDEX('[1]CÓDIGOS DE PRODUCTO'!$C$3:$C$1000,MATCH(C1681,'[1]CÓDIGOS DE PRODUCTO'!$A$3:$A$1000,0))</f>
        <v>0</v>
      </c>
      <c r="G1681">
        <f>+'[1]VENTAS(RESUMEN GLOBAL)'!D1681-'[1]VENTAS(RESUMEN GLOBAL)'!E1681</f>
        <v>0</v>
      </c>
      <c r="H1681" s="9">
        <f>+'[1]VENTAS(RESUMEN GLOBAL)'!K1681</f>
        <v>0</v>
      </c>
      <c r="I1681" s="8">
        <f>+G1681*'[1]VENTAS(RESUMEN GLOBAL)'!F1681</f>
        <v>0</v>
      </c>
      <c r="J1681" s="8">
        <f>'[1]VENTAS(RESUMEN GLOBAL)'!G1681*(1-'[1]VENTAS(RESUMEN GLOBAL)'!H1681)</f>
        <v>0</v>
      </c>
      <c r="K1681" s="8">
        <f t="shared" si="26"/>
        <v>0</v>
      </c>
      <c r="L1681" s="8">
        <f>+'[1]VENTAS(RESUMEN GLOBAL)'!J1681</f>
        <v>0</v>
      </c>
      <c r="M1681" s="8">
        <f>+Tabla1[[#This Row],[utilidad x dia]]*7</f>
        <v>0</v>
      </c>
    </row>
    <row r="1682" spans="1:13" x14ac:dyDescent="0.3">
      <c r="A1682" s="6">
        <f>+'[1]VENTAS(RESUMEN GLOBAL)'!L1682</f>
        <v>0</v>
      </c>
      <c r="B1682" s="6">
        <f>+'[1]VENTAS(RESUMEN GLOBAL)'!M1682</f>
        <v>0</v>
      </c>
      <c r="C1682">
        <f>+'[1]VENTAS(RESUMEN GLOBAL)'!B1682</f>
        <v>0</v>
      </c>
      <c r="D1682" t="e">
        <f>INDEX('[1]CÓDIGOS DE PRODUCTO'!$D$3:$D$1000,MATCH(C1682,'[1]CÓDIGOS DE PRODUCTO'!$A$3:$A$1000,0))</f>
        <v>#N/A</v>
      </c>
      <c r="E1682">
        <f>VLOOKUP(C1682,'[1]CÓDIGOS DE PRODUCTO'!$A$4:$B$156,2,FALSE)</f>
        <v>0</v>
      </c>
      <c r="F1682">
        <f>INDEX('[1]CÓDIGOS DE PRODUCTO'!$C$3:$C$1000,MATCH(C1682,'[1]CÓDIGOS DE PRODUCTO'!$A$3:$A$1000,0))</f>
        <v>0</v>
      </c>
      <c r="G1682">
        <f>+'[1]VENTAS(RESUMEN GLOBAL)'!D1682-'[1]VENTAS(RESUMEN GLOBAL)'!E1682</f>
        <v>0</v>
      </c>
      <c r="H1682" s="9">
        <f>+'[1]VENTAS(RESUMEN GLOBAL)'!K1682</f>
        <v>0</v>
      </c>
      <c r="I1682" s="8">
        <f>+G1682*'[1]VENTAS(RESUMEN GLOBAL)'!F1682</f>
        <v>0</v>
      </c>
      <c r="J1682" s="8">
        <f>'[1]VENTAS(RESUMEN GLOBAL)'!G1682*(1-'[1]VENTAS(RESUMEN GLOBAL)'!H1682)</f>
        <v>0</v>
      </c>
      <c r="K1682" s="8">
        <f t="shared" si="26"/>
        <v>0</v>
      </c>
      <c r="L1682" s="8">
        <f>+'[1]VENTAS(RESUMEN GLOBAL)'!J1682</f>
        <v>0</v>
      </c>
      <c r="M1682" s="8">
        <f>+Tabla1[[#This Row],[utilidad x dia]]*7</f>
        <v>0</v>
      </c>
    </row>
    <row r="1683" spans="1:13" x14ac:dyDescent="0.3">
      <c r="A1683" s="6">
        <f>+'[1]VENTAS(RESUMEN GLOBAL)'!L1683</f>
        <v>0</v>
      </c>
      <c r="B1683" s="6">
        <f>+'[1]VENTAS(RESUMEN GLOBAL)'!M1683</f>
        <v>0</v>
      </c>
      <c r="C1683">
        <f>+'[1]VENTAS(RESUMEN GLOBAL)'!B1683</f>
        <v>0</v>
      </c>
      <c r="D1683" t="e">
        <f>INDEX('[1]CÓDIGOS DE PRODUCTO'!$D$3:$D$1000,MATCH(C1683,'[1]CÓDIGOS DE PRODUCTO'!$A$3:$A$1000,0))</f>
        <v>#N/A</v>
      </c>
      <c r="E1683">
        <f>VLOOKUP(C1683,'[1]CÓDIGOS DE PRODUCTO'!$A$4:$B$156,2,FALSE)</f>
        <v>0</v>
      </c>
      <c r="F1683">
        <f>INDEX('[1]CÓDIGOS DE PRODUCTO'!$C$3:$C$1000,MATCH(C1683,'[1]CÓDIGOS DE PRODUCTO'!$A$3:$A$1000,0))</f>
        <v>0</v>
      </c>
      <c r="G1683">
        <f>+'[1]VENTAS(RESUMEN GLOBAL)'!D1683-'[1]VENTAS(RESUMEN GLOBAL)'!E1683</f>
        <v>0</v>
      </c>
      <c r="H1683" s="9">
        <f>+'[1]VENTAS(RESUMEN GLOBAL)'!K1683</f>
        <v>0</v>
      </c>
      <c r="I1683" s="8">
        <f>+G1683*'[1]VENTAS(RESUMEN GLOBAL)'!F1683</f>
        <v>0</v>
      </c>
      <c r="J1683" s="8">
        <f>'[1]VENTAS(RESUMEN GLOBAL)'!G1683*(1-'[1]VENTAS(RESUMEN GLOBAL)'!H1683)</f>
        <v>0</v>
      </c>
      <c r="K1683" s="8">
        <f t="shared" si="26"/>
        <v>0</v>
      </c>
      <c r="L1683" s="8">
        <f>+'[1]VENTAS(RESUMEN GLOBAL)'!J1683</f>
        <v>0</v>
      </c>
      <c r="M1683" s="8">
        <f>+Tabla1[[#This Row],[utilidad x dia]]*7</f>
        <v>0</v>
      </c>
    </row>
    <row r="1684" spans="1:13" x14ac:dyDescent="0.3">
      <c r="A1684" s="6">
        <f>+'[1]VENTAS(RESUMEN GLOBAL)'!L1684</f>
        <v>0</v>
      </c>
      <c r="B1684" s="6">
        <f>+'[1]VENTAS(RESUMEN GLOBAL)'!M1684</f>
        <v>0</v>
      </c>
      <c r="C1684">
        <f>+'[1]VENTAS(RESUMEN GLOBAL)'!B1684</f>
        <v>0</v>
      </c>
      <c r="D1684" t="e">
        <f>INDEX('[1]CÓDIGOS DE PRODUCTO'!$D$3:$D$1000,MATCH(C1684,'[1]CÓDIGOS DE PRODUCTO'!$A$3:$A$1000,0))</f>
        <v>#N/A</v>
      </c>
      <c r="E1684">
        <f>VLOOKUP(C1684,'[1]CÓDIGOS DE PRODUCTO'!$A$4:$B$156,2,FALSE)</f>
        <v>0</v>
      </c>
      <c r="F1684">
        <f>INDEX('[1]CÓDIGOS DE PRODUCTO'!$C$3:$C$1000,MATCH(C1684,'[1]CÓDIGOS DE PRODUCTO'!$A$3:$A$1000,0))</f>
        <v>0</v>
      </c>
      <c r="G1684">
        <f>+'[1]VENTAS(RESUMEN GLOBAL)'!D1684-'[1]VENTAS(RESUMEN GLOBAL)'!E1684</f>
        <v>0</v>
      </c>
      <c r="H1684" s="9">
        <f>+'[1]VENTAS(RESUMEN GLOBAL)'!K1684</f>
        <v>0</v>
      </c>
      <c r="I1684" s="8">
        <f>+G1684*'[1]VENTAS(RESUMEN GLOBAL)'!F1684</f>
        <v>0</v>
      </c>
      <c r="J1684" s="8">
        <f>'[1]VENTAS(RESUMEN GLOBAL)'!G1684*(1-'[1]VENTAS(RESUMEN GLOBAL)'!H1684)</f>
        <v>0</v>
      </c>
      <c r="K1684" s="8">
        <f t="shared" si="26"/>
        <v>0</v>
      </c>
      <c r="L1684" s="8">
        <f>+'[1]VENTAS(RESUMEN GLOBAL)'!J1684</f>
        <v>0</v>
      </c>
      <c r="M1684" s="8">
        <f>+Tabla1[[#This Row],[utilidad x dia]]*7</f>
        <v>0</v>
      </c>
    </row>
    <row r="1685" spans="1:13" x14ac:dyDescent="0.3">
      <c r="A1685" s="6">
        <f>+'[1]VENTAS(RESUMEN GLOBAL)'!L1685</f>
        <v>0</v>
      </c>
      <c r="B1685" s="6">
        <f>+'[1]VENTAS(RESUMEN GLOBAL)'!M1685</f>
        <v>0</v>
      </c>
      <c r="C1685">
        <f>+'[1]VENTAS(RESUMEN GLOBAL)'!B1685</f>
        <v>0</v>
      </c>
      <c r="D1685" t="e">
        <f>INDEX('[1]CÓDIGOS DE PRODUCTO'!$D$3:$D$1000,MATCH(C1685,'[1]CÓDIGOS DE PRODUCTO'!$A$3:$A$1000,0))</f>
        <v>#N/A</v>
      </c>
      <c r="E1685">
        <f>VLOOKUP(C1685,'[1]CÓDIGOS DE PRODUCTO'!$A$4:$B$156,2,FALSE)</f>
        <v>0</v>
      </c>
      <c r="F1685">
        <f>INDEX('[1]CÓDIGOS DE PRODUCTO'!$C$3:$C$1000,MATCH(C1685,'[1]CÓDIGOS DE PRODUCTO'!$A$3:$A$1000,0))</f>
        <v>0</v>
      </c>
      <c r="G1685">
        <f>+'[1]VENTAS(RESUMEN GLOBAL)'!D1685-'[1]VENTAS(RESUMEN GLOBAL)'!E1685</f>
        <v>0</v>
      </c>
      <c r="H1685" s="9">
        <f>+'[1]VENTAS(RESUMEN GLOBAL)'!K1685</f>
        <v>0</v>
      </c>
      <c r="I1685" s="8">
        <f>+G1685*'[1]VENTAS(RESUMEN GLOBAL)'!F1685</f>
        <v>0</v>
      </c>
      <c r="J1685" s="8">
        <f>'[1]VENTAS(RESUMEN GLOBAL)'!G1685*(1-'[1]VENTAS(RESUMEN GLOBAL)'!H1685)</f>
        <v>0</v>
      </c>
      <c r="K1685" s="8">
        <f t="shared" si="26"/>
        <v>0</v>
      </c>
      <c r="L1685" s="8">
        <f>+'[1]VENTAS(RESUMEN GLOBAL)'!J1685</f>
        <v>0</v>
      </c>
      <c r="M1685" s="8">
        <f>+Tabla1[[#This Row],[utilidad x dia]]*7</f>
        <v>0</v>
      </c>
    </row>
    <row r="1686" spans="1:13" x14ac:dyDescent="0.3">
      <c r="A1686" s="6">
        <f>+'[1]VENTAS(RESUMEN GLOBAL)'!L1686</f>
        <v>0</v>
      </c>
      <c r="B1686" s="6">
        <f>+'[1]VENTAS(RESUMEN GLOBAL)'!M1686</f>
        <v>0</v>
      </c>
      <c r="C1686">
        <f>+'[1]VENTAS(RESUMEN GLOBAL)'!B1686</f>
        <v>0</v>
      </c>
      <c r="D1686" t="e">
        <f>INDEX('[1]CÓDIGOS DE PRODUCTO'!$D$3:$D$1000,MATCH(C1686,'[1]CÓDIGOS DE PRODUCTO'!$A$3:$A$1000,0))</f>
        <v>#N/A</v>
      </c>
      <c r="E1686">
        <f>VLOOKUP(C1686,'[1]CÓDIGOS DE PRODUCTO'!$A$4:$B$156,2,FALSE)</f>
        <v>0</v>
      </c>
      <c r="F1686">
        <f>INDEX('[1]CÓDIGOS DE PRODUCTO'!$C$3:$C$1000,MATCH(C1686,'[1]CÓDIGOS DE PRODUCTO'!$A$3:$A$1000,0))</f>
        <v>0</v>
      </c>
      <c r="G1686">
        <f>+'[1]VENTAS(RESUMEN GLOBAL)'!D1686-'[1]VENTAS(RESUMEN GLOBAL)'!E1686</f>
        <v>0</v>
      </c>
      <c r="H1686" s="9">
        <f>+'[1]VENTAS(RESUMEN GLOBAL)'!K1686</f>
        <v>0</v>
      </c>
      <c r="I1686" s="8">
        <f>+G1686*'[1]VENTAS(RESUMEN GLOBAL)'!F1686</f>
        <v>0</v>
      </c>
      <c r="J1686" s="8">
        <f>'[1]VENTAS(RESUMEN GLOBAL)'!G1686*(1-'[1]VENTAS(RESUMEN GLOBAL)'!H1686)</f>
        <v>0</v>
      </c>
      <c r="K1686" s="8">
        <f t="shared" si="26"/>
        <v>0</v>
      </c>
      <c r="L1686" s="8">
        <f>+'[1]VENTAS(RESUMEN GLOBAL)'!J1686</f>
        <v>0</v>
      </c>
      <c r="M1686" s="8">
        <f>+Tabla1[[#This Row],[utilidad x dia]]*7</f>
        <v>0</v>
      </c>
    </row>
    <row r="1687" spans="1:13" x14ac:dyDescent="0.3">
      <c r="A1687" s="6">
        <f>+'[1]VENTAS(RESUMEN GLOBAL)'!L1687</f>
        <v>0</v>
      </c>
      <c r="B1687" s="6">
        <f>+'[1]VENTAS(RESUMEN GLOBAL)'!M1687</f>
        <v>0</v>
      </c>
      <c r="C1687">
        <f>+'[1]VENTAS(RESUMEN GLOBAL)'!B1687</f>
        <v>0</v>
      </c>
      <c r="D1687" t="e">
        <f>INDEX('[1]CÓDIGOS DE PRODUCTO'!$D$3:$D$1000,MATCH(C1687,'[1]CÓDIGOS DE PRODUCTO'!$A$3:$A$1000,0))</f>
        <v>#N/A</v>
      </c>
      <c r="E1687">
        <f>VLOOKUP(C1687,'[1]CÓDIGOS DE PRODUCTO'!$A$4:$B$156,2,FALSE)</f>
        <v>0</v>
      </c>
      <c r="F1687">
        <f>INDEX('[1]CÓDIGOS DE PRODUCTO'!$C$3:$C$1000,MATCH(C1687,'[1]CÓDIGOS DE PRODUCTO'!$A$3:$A$1000,0))</f>
        <v>0</v>
      </c>
      <c r="G1687">
        <f>+'[1]VENTAS(RESUMEN GLOBAL)'!D1687-'[1]VENTAS(RESUMEN GLOBAL)'!E1687</f>
        <v>0</v>
      </c>
      <c r="H1687" s="9">
        <f>+'[1]VENTAS(RESUMEN GLOBAL)'!K1687</f>
        <v>0</v>
      </c>
      <c r="I1687" s="8">
        <f>+G1687*'[1]VENTAS(RESUMEN GLOBAL)'!F1687</f>
        <v>0</v>
      </c>
      <c r="J1687" s="8">
        <f>'[1]VENTAS(RESUMEN GLOBAL)'!G1687*(1-'[1]VENTAS(RESUMEN GLOBAL)'!H1687)</f>
        <v>0</v>
      </c>
      <c r="K1687" s="8">
        <f t="shared" si="26"/>
        <v>0</v>
      </c>
      <c r="L1687" s="8">
        <f>+'[1]VENTAS(RESUMEN GLOBAL)'!J1687</f>
        <v>0</v>
      </c>
      <c r="M1687" s="8">
        <f>+Tabla1[[#This Row],[utilidad x dia]]*7</f>
        <v>0</v>
      </c>
    </row>
    <row r="1688" spans="1:13" x14ac:dyDescent="0.3">
      <c r="A1688" s="6">
        <f>+'[1]VENTAS(RESUMEN GLOBAL)'!L1688</f>
        <v>0</v>
      </c>
      <c r="B1688" s="6">
        <f>+'[1]VENTAS(RESUMEN GLOBAL)'!M1688</f>
        <v>0</v>
      </c>
      <c r="C1688">
        <f>+'[1]VENTAS(RESUMEN GLOBAL)'!B1688</f>
        <v>0</v>
      </c>
      <c r="D1688" t="e">
        <f>INDEX('[1]CÓDIGOS DE PRODUCTO'!$D$3:$D$1000,MATCH(C1688,'[1]CÓDIGOS DE PRODUCTO'!$A$3:$A$1000,0))</f>
        <v>#N/A</v>
      </c>
      <c r="E1688">
        <f>VLOOKUP(C1688,'[1]CÓDIGOS DE PRODUCTO'!$A$4:$B$156,2,FALSE)</f>
        <v>0</v>
      </c>
      <c r="F1688">
        <f>INDEX('[1]CÓDIGOS DE PRODUCTO'!$C$3:$C$1000,MATCH(C1688,'[1]CÓDIGOS DE PRODUCTO'!$A$3:$A$1000,0))</f>
        <v>0</v>
      </c>
      <c r="G1688">
        <f>+'[1]VENTAS(RESUMEN GLOBAL)'!D1688-'[1]VENTAS(RESUMEN GLOBAL)'!E1688</f>
        <v>0</v>
      </c>
      <c r="H1688" s="9">
        <f>+'[1]VENTAS(RESUMEN GLOBAL)'!K1688</f>
        <v>0</v>
      </c>
      <c r="I1688" s="8">
        <f>+G1688*'[1]VENTAS(RESUMEN GLOBAL)'!F1688</f>
        <v>0</v>
      </c>
      <c r="J1688" s="8">
        <f>'[1]VENTAS(RESUMEN GLOBAL)'!G1688*(1-'[1]VENTAS(RESUMEN GLOBAL)'!H1688)</f>
        <v>0</v>
      </c>
      <c r="K1688" s="8">
        <f t="shared" si="26"/>
        <v>0</v>
      </c>
      <c r="L1688" s="8">
        <f>+'[1]VENTAS(RESUMEN GLOBAL)'!J1688</f>
        <v>0</v>
      </c>
      <c r="M1688" s="8">
        <f>+Tabla1[[#This Row],[utilidad x dia]]*7</f>
        <v>0</v>
      </c>
    </row>
    <row r="1689" spans="1:13" x14ac:dyDescent="0.3">
      <c r="A1689" s="6">
        <f>+'[1]VENTAS(RESUMEN GLOBAL)'!L1689</f>
        <v>0</v>
      </c>
      <c r="B1689" s="6">
        <f>+'[1]VENTAS(RESUMEN GLOBAL)'!M1689</f>
        <v>0</v>
      </c>
      <c r="C1689">
        <f>+'[1]VENTAS(RESUMEN GLOBAL)'!B1689</f>
        <v>0</v>
      </c>
      <c r="D1689" t="e">
        <f>INDEX('[1]CÓDIGOS DE PRODUCTO'!$D$3:$D$1000,MATCH(C1689,'[1]CÓDIGOS DE PRODUCTO'!$A$3:$A$1000,0))</f>
        <v>#N/A</v>
      </c>
      <c r="E1689">
        <f>VLOOKUP(C1689,'[1]CÓDIGOS DE PRODUCTO'!$A$4:$B$156,2,FALSE)</f>
        <v>0</v>
      </c>
      <c r="F1689">
        <f>INDEX('[1]CÓDIGOS DE PRODUCTO'!$C$3:$C$1000,MATCH(C1689,'[1]CÓDIGOS DE PRODUCTO'!$A$3:$A$1000,0))</f>
        <v>0</v>
      </c>
      <c r="G1689">
        <f>+'[1]VENTAS(RESUMEN GLOBAL)'!D1689-'[1]VENTAS(RESUMEN GLOBAL)'!E1689</f>
        <v>0</v>
      </c>
      <c r="H1689" s="9">
        <f>+'[1]VENTAS(RESUMEN GLOBAL)'!K1689</f>
        <v>0</v>
      </c>
      <c r="I1689" s="8">
        <f>+G1689*'[1]VENTAS(RESUMEN GLOBAL)'!F1689</f>
        <v>0</v>
      </c>
      <c r="J1689" s="8">
        <f>'[1]VENTAS(RESUMEN GLOBAL)'!G1689*(1-'[1]VENTAS(RESUMEN GLOBAL)'!H1689)</f>
        <v>0</v>
      </c>
      <c r="K1689" s="8">
        <f t="shared" si="26"/>
        <v>0</v>
      </c>
      <c r="L1689" s="8">
        <f>+'[1]VENTAS(RESUMEN GLOBAL)'!J1689</f>
        <v>0</v>
      </c>
      <c r="M1689" s="8">
        <f>+Tabla1[[#This Row],[utilidad x dia]]*7</f>
        <v>0</v>
      </c>
    </row>
    <row r="1690" spans="1:13" x14ac:dyDescent="0.3">
      <c r="A1690" s="6">
        <f>+'[1]VENTAS(RESUMEN GLOBAL)'!L1690</f>
        <v>0</v>
      </c>
      <c r="B1690" s="6">
        <f>+'[1]VENTAS(RESUMEN GLOBAL)'!M1690</f>
        <v>0</v>
      </c>
      <c r="C1690">
        <f>+'[1]VENTAS(RESUMEN GLOBAL)'!B1690</f>
        <v>0</v>
      </c>
      <c r="D1690" t="e">
        <f>INDEX('[1]CÓDIGOS DE PRODUCTO'!$D$3:$D$1000,MATCH(C1690,'[1]CÓDIGOS DE PRODUCTO'!$A$3:$A$1000,0))</f>
        <v>#N/A</v>
      </c>
      <c r="E1690">
        <f>VLOOKUP(C1690,'[1]CÓDIGOS DE PRODUCTO'!$A$4:$B$156,2,FALSE)</f>
        <v>0</v>
      </c>
      <c r="F1690">
        <f>INDEX('[1]CÓDIGOS DE PRODUCTO'!$C$3:$C$1000,MATCH(C1690,'[1]CÓDIGOS DE PRODUCTO'!$A$3:$A$1000,0))</f>
        <v>0</v>
      </c>
      <c r="G1690">
        <f>+'[1]VENTAS(RESUMEN GLOBAL)'!D1690-'[1]VENTAS(RESUMEN GLOBAL)'!E1690</f>
        <v>0</v>
      </c>
      <c r="H1690" s="9">
        <f>+'[1]VENTAS(RESUMEN GLOBAL)'!K1690</f>
        <v>0</v>
      </c>
      <c r="I1690" s="8">
        <f>+G1690*'[1]VENTAS(RESUMEN GLOBAL)'!F1690</f>
        <v>0</v>
      </c>
      <c r="J1690" s="8">
        <f>'[1]VENTAS(RESUMEN GLOBAL)'!G1690*(1-'[1]VENTAS(RESUMEN GLOBAL)'!H1690)</f>
        <v>0</v>
      </c>
      <c r="K1690" s="8">
        <f t="shared" si="26"/>
        <v>0</v>
      </c>
      <c r="L1690" s="8">
        <f>+'[1]VENTAS(RESUMEN GLOBAL)'!J1690</f>
        <v>0</v>
      </c>
      <c r="M1690" s="8">
        <f>+Tabla1[[#This Row],[utilidad x dia]]*7</f>
        <v>0</v>
      </c>
    </row>
    <row r="1691" spans="1:13" x14ac:dyDescent="0.3">
      <c r="A1691" s="6">
        <f>+'[1]VENTAS(RESUMEN GLOBAL)'!L1691</f>
        <v>0</v>
      </c>
      <c r="B1691" s="6">
        <f>+'[1]VENTAS(RESUMEN GLOBAL)'!M1691</f>
        <v>0</v>
      </c>
      <c r="C1691">
        <f>+'[1]VENTAS(RESUMEN GLOBAL)'!B1691</f>
        <v>0</v>
      </c>
      <c r="D1691" t="e">
        <f>INDEX('[1]CÓDIGOS DE PRODUCTO'!$D$3:$D$1000,MATCH(C1691,'[1]CÓDIGOS DE PRODUCTO'!$A$3:$A$1000,0))</f>
        <v>#N/A</v>
      </c>
      <c r="E1691">
        <f>VLOOKUP(C1691,'[1]CÓDIGOS DE PRODUCTO'!$A$4:$B$156,2,FALSE)</f>
        <v>0</v>
      </c>
      <c r="F1691">
        <f>INDEX('[1]CÓDIGOS DE PRODUCTO'!$C$3:$C$1000,MATCH(C1691,'[1]CÓDIGOS DE PRODUCTO'!$A$3:$A$1000,0))</f>
        <v>0</v>
      </c>
      <c r="G1691">
        <f>+'[1]VENTAS(RESUMEN GLOBAL)'!D1691-'[1]VENTAS(RESUMEN GLOBAL)'!E1691</f>
        <v>0</v>
      </c>
      <c r="H1691" s="9">
        <f>+'[1]VENTAS(RESUMEN GLOBAL)'!K1691</f>
        <v>0</v>
      </c>
      <c r="I1691" s="8">
        <f>+G1691*'[1]VENTAS(RESUMEN GLOBAL)'!F1691</f>
        <v>0</v>
      </c>
      <c r="J1691" s="8">
        <f>'[1]VENTAS(RESUMEN GLOBAL)'!G1691*(1-'[1]VENTAS(RESUMEN GLOBAL)'!H1691)</f>
        <v>0</v>
      </c>
      <c r="K1691" s="8">
        <f t="shared" si="26"/>
        <v>0</v>
      </c>
      <c r="L1691" s="8">
        <f>+'[1]VENTAS(RESUMEN GLOBAL)'!J1691</f>
        <v>0</v>
      </c>
      <c r="M1691" s="8">
        <f>+Tabla1[[#This Row],[utilidad x dia]]*7</f>
        <v>0</v>
      </c>
    </row>
    <row r="1692" spans="1:13" x14ac:dyDescent="0.3">
      <c r="A1692" s="6">
        <f>+'[1]VENTAS(RESUMEN GLOBAL)'!L1692</f>
        <v>0</v>
      </c>
      <c r="B1692" s="6">
        <f>+'[1]VENTAS(RESUMEN GLOBAL)'!M1692</f>
        <v>0</v>
      </c>
      <c r="C1692">
        <f>+'[1]VENTAS(RESUMEN GLOBAL)'!B1692</f>
        <v>0</v>
      </c>
      <c r="D1692" t="e">
        <f>INDEX('[1]CÓDIGOS DE PRODUCTO'!$D$3:$D$1000,MATCH(C1692,'[1]CÓDIGOS DE PRODUCTO'!$A$3:$A$1000,0))</f>
        <v>#N/A</v>
      </c>
      <c r="E1692">
        <f>VLOOKUP(C1692,'[1]CÓDIGOS DE PRODUCTO'!$A$4:$B$156,2,FALSE)</f>
        <v>0</v>
      </c>
      <c r="F1692">
        <f>INDEX('[1]CÓDIGOS DE PRODUCTO'!$C$3:$C$1000,MATCH(C1692,'[1]CÓDIGOS DE PRODUCTO'!$A$3:$A$1000,0))</f>
        <v>0</v>
      </c>
      <c r="G1692">
        <f>+'[1]VENTAS(RESUMEN GLOBAL)'!D1692-'[1]VENTAS(RESUMEN GLOBAL)'!E1692</f>
        <v>0</v>
      </c>
      <c r="H1692" s="9">
        <f>+'[1]VENTAS(RESUMEN GLOBAL)'!K1692</f>
        <v>0</v>
      </c>
      <c r="I1692" s="8">
        <f>+G1692*'[1]VENTAS(RESUMEN GLOBAL)'!F1692</f>
        <v>0</v>
      </c>
      <c r="J1692" s="8">
        <f>'[1]VENTAS(RESUMEN GLOBAL)'!G1692*(1-'[1]VENTAS(RESUMEN GLOBAL)'!H1692)</f>
        <v>0</v>
      </c>
      <c r="K1692" s="8">
        <f t="shared" si="26"/>
        <v>0</v>
      </c>
      <c r="L1692" s="8">
        <f>+'[1]VENTAS(RESUMEN GLOBAL)'!J1692</f>
        <v>0</v>
      </c>
      <c r="M1692" s="8">
        <f>+Tabla1[[#This Row],[utilidad x dia]]*7</f>
        <v>0</v>
      </c>
    </row>
    <row r="1693" spans="1:13" x14ac:dyDescent="0.3">
      <c r="A1693" s="6">
        <f>+'[1]VENTAS(RESUMEN GLOBAL)'!L1693</f>
        <v>0</v>
      </c>
      <c r="B1693" s="6">
        <f>+'[1]VENTAS(RESUMEN GLOBAL)'!M1693</f>
        <v>0</v>
      </c>
      <c r="C1693">
        <f>+'[1]VENTAS(RESUMEN GLOBAL)'!B1693</f>
        <v>0</v>
      </c>
      <c r="D1693" t="e">
        <f>INDEX('[1]CÓDIGOS DE PRODUCTO'!$D$3:$D$1000,MATCH(C1693,'[1]CÓDIGOS DE PRODUCTO'!$A$3:$A$1000,0))</f>
        <v>#N/A</v>
      </c>
      <c r="E1693">
        <f>VLOOKUP(C1693,'[1]CÓDIGOS DE PRODUCTO'!$A$4:$B$156,2,FALSE)</f>
        <v>0</v>
      </c>
      <c r="F1693">
        <f>INDEX('[1]CÓDIGOS DE PRODUCTO'!$C$3:$C$1000,MATCH(C1693,'[1]CÓDIGOS DE PRODUCTO'!$A$3:$A$1000,0))</f>
        <v>0</v>
      </c>
      <c r="G1693">
        <f>+'[1]VENTAS(RESUMEN GLOBAL)'!D1693-'[1]VENTAS(RESUMEN GLOBAL)'!E1693</f>
        <v>0</v>
      </c>
      <c r="H1693" s="9">
        <f>+'[1]VENTAS(RESUMEN GLOBAL)'!K1693</f>
        <v>0</v>
      </c>
      <c r="I1693" s="8">
        <f>+G1693*'[1]VENTAS(RESUMEN GLOBAL)'!F1693</f>
        <v>0</v>
      </c>
      <c r="J1693" s="8">
        <f>'[1]VENTAS(RESUMEN GLOBAL)'!G1693*(1-'[1]VENTAS(RESUMEN GLOBAL)'!H1693)</f>
        <v>0</v>
      </c>
      <c r="K1693" s="8">
        <f t="shared" si="26"/>
        <v>0</v>
      </c>
      <c r="L1693" s="8">
        <f>+'[1]VENTAS(RESUMEN GLOBAL)'!J1693</f>
        <v>0</v>
      </c>
      <c r="M1693" s="8">
        <f>+Tabla1[[#This Row],[utilidad x dia]]*7</f>
        <v>0</v>
      </c>
    </row>
    <row r="1694" spans="1:13" x14ac:dyDescent="0.3">
      <c r="A1694" s="6">
        <f>+'[1]VENTAS(RESUMEN GLOBAL)'!L1694</f>
        <v>0</v>
      </c>
      <c r="B1694" s="6">
        <f>+'[1]VENTAS(RESUMEN GLOBAL)'!M1694</f>
        <v>0</v>
      </c>
      <c r="C1694">
        <f>+'[1]VENTAS(RESUMEN GLOBAL)'!B1694</f>
        <v>0</v>
      </c>
      <c r="D1694" t="e">
        <f>INDEX('[1]CÓDIGOS DE PRODUCTO'!$D$3:$D$1000,MATCH(C1694,'[1]CÓDIGOS DE PRODUCTO'!$A$3:$A$1000,0))</f>
        <v>#N/A</v>
      </c>
      <c r="E1694">
        <f>VLOOKUP(C1694,'[1]CÓDIGOS DE PRODUCTO'!$A$4:$B$156,2,FALSE)</f>
        <v>0</v>
      </c>
      <c r="F1694">
        <f>INDEX('[1]CÓDIGOS DE PRODUCTO'!$C$3:$C$1000,MATCH(C1694,'[1]CÓDIGOS DE PRODUCTO'!$A$3:$A$1000,0))</f>
        <v>0</v>
      </c>
      <c r="G1694">
        <f>+'[1]VENTAS(RESUMEN GLOBAL)'!D1694-'[1]VENTAS(RESUMEN GLOBAL)'!E1694</f>
        <v>0</v>
      </c>
      <c r="H1694" s="9">
        <f>+'[1]VENTAS(RESUMEN GLOBAL)'!K1694</f>
        <v>0</v>
      </c>
      <c r="I1694" s="8">
        <f>+G1694*'[1]VENTAS(RESUMEN GLOBAL)'!F1694</f>
        <v>0</v>
      </c>
      <c r="J1694" s="8">
        <f>'[1]VENTAS(RESUMEN GLOBAL)'!G1694*(1-'[1]VENTAS(RESUMEN GLOBAL)'!H1694)</f>
        <v>0</v>
      </c>
      <c r="K1694" s="8">
        <f t="shared" si="26"/>
        <v>0</v>
      </c>
      <c r="L1694" s="8">
        <f>+'[1]VENTAS(RESUMEN GLOBAL)'!J1694</f>
        <v>0</v>
      </c>
      <c r="M1694" s="8">
        <f>+Tabla1[[#This Row],[utilidad x dia]]*7</f>
        <v>0</v>
      </c>
    </row>
    <row r="1695" spans="1:13" x14ac:dyDescent="0.3">
      <c r="A1695" s="6">
        <f>+'[1]VENTAS(RESUMEN GLOBAL)'!L1695</f>
        <v>0</v>
      </c>
      <c r="B1695" s="6">
        <f>+'[1]VENTAS(RESUMEN GLOBAL)'!M1695</f>
        <v>0</v>
      </c>
      <c r="C1695">
        <f>+'[1]VENTAS(RESUMEN GLOBAL)'!B1695</f>
        <v>0</v>
      </c>
      <c r="D1695" t="e">
        <f>INDEX('[1]CÓDIGOS DE PRODUCTO'!$D$3:$D$1000,MATCH(C1695,'[1]CÓDIGOS DE PRODUCTO'!$A$3:$A$1000,0))</f>
        <v>#N/A</v>
      </c>
      <c r="E1695">
        <f>VLOOKUP(C1695,'[1]CÓDIGOS DE PRODUCTO'!$A$4:$B$156,2,FALSE)</f>
        <v>0</v>
      </c>
      <c r="F1695">
        <f>INDEX('[1]CÓDIGOS DE PRODUCTO'!$C$3:$C$1000,MATCH(C1695,'[1]CÓDIGOS DE PRODUCTO'!$A$3:$A$1000,0))</f>
        <v>0</v>
      </c>
      <c r="G1695">
        <f>+'[1]VENTAS(RESUMEN GLOBAL)'!D1695-'[1]VENTAS(RESUMEN GLOBAL)'!E1695</f>
        <v>0</v>
      </c>
      <c r="H1695" s="9">
        <f>+'[1]VENTAS(RESUMEN GLOBAL)'!K1695</f>
        <v>0</v>
      </c>
      <c r="I1695" s="8">
        <f>+G1695*'[1]VENTAS(RESUMEN GLOBAL)'!F1695</f>
        <v>0</v>
      </c>
      <c r="J1695" s="8">
        <f>'[1]VENTAS(RESUMEN GLOBAL)'!G1695*(1-'[1]VENTAS(RESUMEN GLOBAL)'!H1695)</f>
        <v>0</v>
      </c>
      <c r="K1695" s="8">
        <f t="shared" si="26"/>
        <v>0</v>
      </c>
      <c r="L1695" s="8">
        <f>+'[1]VENTAS(RESUMEN GLOBAL)'!J1695</f>
        <v>0</v>
      </c>
      <c r="M1695" s="8">
        <f>+Tabla1[[#This Row],[utilidad x dia]]*7</f>
        <v>0</v>
      </c>
    </row>
    <row r="1696" spans="1:13" x14ac:dyDescent="0.3">
      <c r="A1696" s="6">
        <f>+'[1]VENTAS(RESUMEN GLOBAL)'!L1696</f>
        <v>0</v>
      </c>
      <c r="B1696" s="6">
        <f>+'[1]VENTAS(RESUMEN GLOBAL)'!M1696</f>
        <v>0</v>
      </c>
      <c r="C1696">
        <f>+'[1]VENTAS(RESUMEN GLOBAL)'!B1696</f>
        <v>0</v>
      </c>
      <c r="D1696" t="e">
        <f>INDEX('[1]CÓDIGOS DE PRODUCTO'!$D$3:$D$1000,MATCH(C1696,'[1]CÓDIGOS DE PRODUCTO'!$A$3:$A$1000,0))</f>
        <v>#N/A</v>
      </c>
      <c r="E1696">
        <f>VLOOKUP(C1696,'[1]CÓDIGOS DE PRODUCTO'!$A$4:$B$156,2,FALSE)</f>
        <v>0</v>
      </c>
      <c r="F1696">
        <f>INDEX('[1]CÓDIGOS DE PRODUCTO'!$C$3:$C$1000,MATCH(C1696,'[1]CÓDIGOS DE PRODUCTO'!$A$3:$A$1000,0))</f>
        <v>0</v>
      </c>
      <c r="G1696">
        <f>+'[1]VENTAS(RESUMEN GLOBAL)'!D1696-'[1]VENTAS(RESUMEN GLOBAL)'!E1696</f>
        <v>0</v>
      </c>
      <c r="H1696" s="9">
        <f>+'[1]VENTAS(RESUMEN GLOBAL)'!K1696</f>
        <v>0</v>
      </c>
      <c r="I1696" s="8">
        <f>+G1696*'[1]VENTAS(RESUMEN GLOBAL)'!F1696</f>
        <v>0</v>
      </c>
      <c r="J1696" s="8">
        <f>'[1]VENTAS(RESUMEN GLOBAL)'!G1696*(1-'[1]VENTAS(RESUMEN GLOBAL)'!H1696)</f>
        <v>0</v>
      </c>
      <c r="K1696" s="8">
        <f t="shared" si="26"/>
        <v>0</v>
      </c>
      <c r="L1696" s="8">
        <f>+'[1]VENTAS(RESUMEN GLOBAL)'!J1696</f>
        <v>0</v>
      </c>
      <c r="M1696" s="8">
        <f>+Tabla1[[#This Row],[utilidad x dia]]*7</f>
        <v>0</v>
      </c>
    </row>
    <row r="1697" spans="1:13" x14ac:dyDescent="0.3">
      <c r="A1697" s="6">
        <f>+'[1]VENTAS(RESUMEN GLOBAL)'!L1697</f>
        <v>0</v>
      </c>
      <c r="B1697" s="6">
        <f>+'[1]VENTAS(RESUMEN GLOBAL)'!M1697</f>
        <v>0</v>
      </c>
      <c r="C1697">
        <f>+'[1]VENTAS(RESUMEN GLOBAL)'!B1697</f>
        <v>0</v>
      </c>
      <c r="D1697" t="e">
        <f>INDEX('[1]CÓDIGOS DE PRODUCTO'!$D$3:$D$1000,MATCH(C1697,'[1]CÓDIGOS DE PRODUCTO'!$A$3:$A$1000,0))</f>
        <v>#N/A</v>
      </c>
      <c r="E1697">
        <f>VLOOKUP(C1697,'[1]CÓDIGOS DE PRODUCTO'!$A$4:$B$156,2,FALSE)</f>
        <v>0</v>
      </c>
      <c r="F1697">
        <f>INDEX('[1]CÓDIGOS DE PRODUCTO'!$C$3:$C$1000,MATCH(C1697,'[1]CÓDIGOS DE PRODUCTO'!$A$3:$A$1000,0))</f>
        <v>0</v>
      </c>
      <c r="G1697">
        <f>+'[1]VENTAS(RESUMEN GLOBAL)'!D1697-'[1]VENTAS(RESUMEN GLOBAL)'!E1697</f>
        <v>0</v>
      </c>
      <c r="H1697" s="9">
        <f>+'[1]VENTAS(RESUMEN GLOBAL)'!K1697</f>
        <v>0</v>
      </c>
      <c r="I1697" s="8">
        <f>+G1697*'[1]VENTAS(RESUMEN GLOBAL)'!F1697</f>
        <v>0</v>
      </c>
      <c r="J1697" s="8">
        <f>'[1]VENTAS(RESUMEN GLOBAL)'!G1697*(1-'[1]VENTAS(RESUMEN GLOBAL)'!H1697)</f>
        <v>0</v>
      </c>
      <c r="K1697" s="8">
        <f t="shared" si="26"/>
        <v>0</v>
      </c>
      <c r="L1697" s="8">
        <f>+'[1]VENTAS(RESUMEN GLOBAL)'!J1697</f>
        <v>0</v>
      </c>
      <c r="M1697" s="8">
        <f>+Tabla1[[#This Row],[utilidad x dia]]*7</f>
        <v>0</v>
      </c>
    </row>
    <row r="1698" spans="1:13" x14ac:dyDescent="0.3">
      <c r="A1698" s="6">
        <f>+'[1]VENTAS(RESUMEN GLOBAL)'!L1698</f>
        <v>0</v>
      </c>
      <c r="B1698" s="6">
        <f>+'[1]VENTAS(RESUMEN GLOBAL)'!M1698</f>
        <v>0</v>
      </c>
      <c r="C1698">
        <f>+'[1]VENTAS(RESUMEN GLOBAL)'!B1698</f>
        <v>0</v>
      </c>
      <c r="D1698" t="e">
        <f>INDEX('[1]CÓDIGOS DE PRODUCTO'!$D$3:$D$1000,MATCH(C1698,'[1]CÓDIGOS DE PRODUCTO'!$A$3:$A$1000,0))</f>
        <v>#N/A</v>
      </c>
      <c r="E1698">
        <f>VLOOKUP(C1698,'[1]CÓDIGOS DE PRODUCTO'!$A$4:$B$156,2,FALSE)</f>
        <v>0</v>
      </c>
      <c r="F1698">
        <f>INDEX('[1]CÓDIGOS DE PRODUCTO'!$C$3:$C$1000,MATCH(C1698,'[1]CÓDIGOS DE PRODUCTO'!$A$3:$A$1000,0))</f>
        <v>0</v>
      </c>
      <c r="G1698">
        <f>+'[1]VENTAS(RESUMEN GLOBAL)'!D1698-'[1]VENTAS(RESUMEN GLOBAL)'!E1698</f>
        <v>0</v>
      </c>
      <c r="H1698" s="9">
        <f>+'[1]VENTAS(RESUMEN GLOBAL)'!K1698</f>
        <v>0</v>
      </c>
      <c r="I1698" s="8">
        <f>+G1698*'[1]VENTAS(RESUMEN GLOBAL)'!F1698</f>
        <v>0</v>
      </c>
      <c r="J1698" s="8">
        <f>'[1]VENTAS(RESUMEN GLOBAL)'!G1698*(1-'[1]VENTAS(RESUMEN GLOBAL)'!H1698)</f>
        <v>0</v>
      </c>
      <c r="K1698" s="8">
        <f t="shared" si="26"/>
        <v>0</v>
      </c>
      <c r="L1698" s="8">
        <f>+'[1]VENTAS(RESUMEN GLOBAL)'!J1698</f>
        <v>0</v>
      </c>
      <c r="M1698" s="8">
        <f>+Tabla1[[#This Row],[utilidad x dia]]*7</f>
        <v>0</v>
      </c>
    </row>
    <row r="1699" spans="1:13" x14ac:dyDescent="0.3">
      <c r="A1699" s="6">
        <f>+'[1]VENTAS(RESUMEN GLOBAL)'!L1699</f>
        <v>0</v>
      </c>
      <c r="B1699" s="6">
        <f>+'[1]VENTAS(RESUMEN GLOBAL)'!M1699</f>
        <v>0</v>
      </c>
      <c r="C1699">
        <f>+'[1]VENTAS(RESUMEN GLOBAL)'!B1699</f>
        <v>0</v>
      </c>
      <c r="D1699" t="e">
        <f>INDEX('[1]CÓDIGOS DE PRODUCTO'!$D$3:$D$1000,MATCH(C1699,'[1]CÓDIGOS DE PRODUCTO'!$A$3:$A$1000,0))</f>
        <v>#N/A</v>
      </c>
      <c r="E1699">
        <f>VLOOKUP(C1699,'[1]CÓDIGOS DE PRODUCTO'!$A$4:$B$156,2,FALSE)</f>
        <v>0</v>
      </c>
      <c r="F1699">
        <f>INDEX('[1]CÓDIGOS DE PRODUCTO'!$C$3:$C$1000,MATCH(C1699,'[1]CÓDIGOS DE PRODUCTO'!$A$3:$A$1000,0))</f>
        <v>0</v>
      </c>
      <c r="G1699">
        <f>+'[1]VENTAS(RESUMEN GLOBAL)'!D1699-'[1]VENTAS(RESUMEN GLOBAL)'!E1699</f>
        <v>0</v>
      </c>
      <c r="H1699" s="9">
        <f>+'[1]VENTAS(RESUMEN GLOBAL)'!K1699</f>
        <v>0</v>
      </c>
      <c r="I1699" s="8">
        <f>+G1699*'[1]VENTAS(RESUMEN GLOBAL)'!F1699</f>
        <v>0</v>
      </c>
      <c r="J1699" s="8">
        <f>'[1]VENTAS(RESUMEN GLOBAL)'!G1699*(1-'[1]VENTAS(RESUMEN GLOBAL)'!H1699)</f>
        <v>0</v>
      </c>
      <c r="K1699" s="8">
        <f t="shared" si="26"/>
        <v>0</v>
      </c>
      <c r="L1699" s="8">
        <f>+'[1]VENTAS(RESUMEN GLOBAL)'!J1699</f>
        <v>0</v>
      </c>
      <c r="M1699" s="8">
        <f>+Tabla1[[#This Row],[utilidad x dia]]*7</f>
        <v>0</v>
      </c>
    </row>
    <row r="1700" spans="1:13" x14ac:dyDescent="0.3">
      <c r="A1700" s="6">
        <f>+'[1]VENTAS(RESUMEN GLOBAL)'!L1700</f>
        <v>0</v>
      </c>
      <c r="B1700" s="6">
        <f>+'[1]VENTAS(RESUMEN GLOBAL)'!M1700</f>
        <v>0</v>
      </c>
      <c r="C1700">
        <f>+'[1]VENTAS(RESUMEN GLOBAL)'!B1700</f>
        <v>0</v>
      </c>
      <c r="D1700" t="e">
        <f>INDEX('[1]CÓDIGOS DE PRODUCTO'!$D$3:$D$1000,MATCH(C1700,'[1]CÓDIGOS DE PRODUCTO'!$A$3:$A$1000,0))</f>
        <v>#N/A</v>
      </c>
      <c r="E1700">
        <f>VLOOKUP(C1700,'[1]CÓDIGOS DE PRODUCTO'!$A$4:$B$156,2,FALSE)</f>
        <v>0</v>
      </c>
      <c r="F1700">
        <f>INDEX('[1]CÓDIGOS DE PRODUCTO'!$C$3:$C$1000,MATCH(C1700,'[1]CÓDIGOS DE PRODUCTO'!$A$3:$A$1000,0))</f>
        <v>0</v>
      </c>
      <c r="G1700">
        <f>+'[1]VENTAS(RESUMEN GLOBAL)'!D1700-'[1]VENTAS(RESUMEN GLOBAL)'!E1700</f>
        <v>0</v>
      </c>
      <c r="H1700" s="9">
        <f>+'[1]VENTAS(RESUMEN GLOBAL)'!K1700</f>
        <v>0</v>
      </c>
      <c r="I1700" s="8">
        <f>+G1700*'[1]VENTAS(RESUMEN GLOBAL)'!F1700</f>
        <v>0</v>
      </c>
      <c r="J1700" s="8">
        <f>'[1]VENTAS(RESUMEN GLOBAL)'!G1700*(1-'[1]VENTAS(RESUMEN GLOBAL)'!H1700)</f>
        <v>0</v>
      </c>
      <c r="K1700" s="8">
        <f t="shared" si="26"/>
        <v>0</v>
      </c>
      <c r="L1700" s="8">
        <f>+'[1]VENTAS(RESUMEN GLOBAL)'!J1700</f>
        <v>0</v>
      </c>
      <c r="M1700" s="8">
        <f>+Tabla1[[#This Row],[utilidad x dia]]*7</f>
        <v>0</v>
      </c>
    </row>
    <row r="1701" spans="1:13" x14ac:dyDescent="0.3">
      <c r="A1701" s="6">
        <f>+'[1]VENTAS(RESUMEN GLOBAL)'!L1701</f>
        <v>0</v>
      </c>
      <c r="B1701" s="6">
        <f>+'[1]VENTAS(RESUMEN GLOBAL)'!M1701</f>
        <v>0</v>
      </c>
      <c r="C1701">
        <f>+'[1]VENTAS(RESUMEN GLOBAL)'!B1701</f>
        <v>0</v>
      </c>
      <c r="D1701" t="e">
        <f>INDEX('[1]CÓDIGOS DE PRODUCTO'!$D$3:$D$1000,MATCH(C1701,'[1]CÓDIGOS DE PRODUCTO'!$A$3:$A$1000,0))</f>
        <v>#N/A</v>
      </c>
      <c r="E1701">
        <f>VLOOKUP(C1701,'[1]CÓDIGOS DE PRODUCTO'!$A$4:$B$156,2,FALSE)</f>
        <v>0</v>
      </c>
      <c r="F1701">
        <f>INDEX('[1]CÓDIGOS DE PRODUCTO'!$C$3:$C$1000,MATCH(C1701,'[1]CÓDIGOS DE PRODUCTO'!$A$3:$A$1000,0))</f>
        <v>0</v>
      </c>
      <c r="G1701">
        <f>+'[1]VENTAS(RESUMEN GLOBAL)'!D1701-'[1]VENTAS(RESUMEN GLOBAL)'!E1701</f>
        <v>0</v>
      </c>
      <c r="H1701" s="9">
        <f>+'[1]VENTAS(RESUMEN GLOBAL)'!K1701</f>
        <v>0</v>
      </c>
      <c r="I1701" s="8">
        <f>+G1701*'[1]VENTAS(RESUMEN GLOBAL)'!F1701</f>
        <v>0</v>
      </c>
      <c r="J1701" s="8">
        <f>'[1]VENTAS(RESUMEN GLOBAL)'!G1701*(1-'[1]VENTAS(RESUMEN GLOBAL)'!H1701)</f>
        <v>0</v>
      </c>
      <c r="K1701" s="8">
        <f t="shared" si="26"/>
        <v>0</v>
      </c>
      <c r="L1701" s="8">
        <f>+'[1]VENTAS(RESUMEN GLOBAL)'!J1701</f>
        <v>0</v>
      </c>
      <c r="M1701" s="8">
        <f>+Tabla1[[#This Row],[utilidad x dia]]*7</f>
        <v>0</v>
      </c>
    </row>
    <row r="1702" spans="1:13" x14ac:dyDescent="0.3">
      <c r="A1702" s="6">
        <f>+'[1]VENTAS(RESUMEN GLOBAL)'!L1702</f>
        <v>0</v>
      </c>
      <c r="B1702" s="6">
        <f>+'[1]VENTAS(RESUMEN GLOBAL)'!M1702</f>
        <v>0</v>
      </c>
      <c r="C1702">
        <f>+'[1]VENTAS(RESUMEN GLOBAL)'!B1702</f>
        <v>0</v>
      </c>
      <c r="D1702" t="e">
        <f>INDEX('[1]CÓDIGOS DE PRODUCTO'!$D$3:$D$1000,MATCH(C1702,'[1]CÓDIGOS DE PRODUCTO'!$A$3:$A$1000,0))</f>
        <v>#N/A</v>
      </c>
      <c r="E1702">
        <f>VLOOKUP(C1702,'[1]CÓDIGOS DE PRODUCTO'!$A$4:$B$156,2,FALSE)</f>
        <v>0</v>
      </c>
      <c r="F1702">
        <f>INDEX('[1]CÓDIGOS DE PRODUCTO'!$C$3:$C$1000,MATCH(C1702,'[1]CÓDIGOS DE PRODUCTO'!$A$3:$A$1000,0))</f>
        <v>0</v>
      </c>
      <c r="G1702">
        <f>+'[1]VENTAS(RESUMEN GLOBAL)'!D1702-'[1]VENTAS(RESUMEN GLOBAL)'!E1702</f>
        <v>0</v>
      </c>
      <c r="H1702" s="9">
        <f>+'[1]VENTAS(RESUMEN GLOBAL)'!K1702</f>
        <v>0</v>
      </c>
      <c r="I1702" s="8">
        <f>+G1702*'[1]VENTAS(RESUMEN GLOBAL)'!F1702</f>
        <v>0</v>
      </c>
      <c r="J1702" s="8">
        <f>'[1]VENTAS(RESUMEN GLOBAL)'!G1702*(1-'[1]VENTAS(RESUMEN GLOBAL)'!H1702)</f>
        <v>0</v>
      </c>
      <c r="K1702" s="8">
        <f t="shared" si="26"/>
        <v>0</v>
      </c>
      <c r="L1702" s="8">
        <f>+'[1]VENTAS(RESUMEN GLOBAL)'!J1702</f>
        <v>0</v>
      </c>
      <c r="M1702" s="8">
        <f>+Tabla1[[#This Row],[utilidad x dia]]*7</f>
        <v>0</v>
      </c>
    </row>
    <row r="1703" spans="1:13" x14ac:dyDescent="0.3">
      <c r="A1703" s="6">
        <f>+'[1]VENTAS(RESUMEN GLOBAL)'!L1703</f>
        <v>0</v>
      </c>
      <c r="B1703" s="6">
        <f>+'[1]VENTAS(RESUMEN GLOBAL)'!M1703</f>
        <v>0</v>
      </c>
      <c r="C1703">
        <f>+'[1]VENTAS(RESUMEN GLOBAL)'!B1703</f>
        <v>0</v>
      </c>
      <c r="D1703" t="e">
        <f>INDEX('[1]CÓDIGOS DE PRODUCTO'!$D$3:$D$1000,MATCH(C1703,'[1]CÓDIGOS DE PRODUCTO'!$A$3:$A$1000,0))</f>
        <v>#N/A</v>
      </c>
      <c r="E1703">
        <f>VLOOKUP(C1703,'[1]CÓDIGOS DE PRODUCTO'!$A$4:$B$156,2,FALSE)</f>
        <v>0</v>
      </c>
      <c r="F1703">
        <f>INDEX('[1]CÓDIGOS DE PRODUCTO'!$C$3:$C$1000,MATCH(C1703,'[1]CÓDIGOS DE PRODUCTO'!$A$3:$A$1000,0))</f>
        <v>0</v>
      </c>
      <c r="G1703">
        <f>+'[1]VENTAS(RESUMEN GLOBAL)'!D1703-'[1]VENTAS(RESUMEN GLOBAL)'!E1703</f>
        <v>0</v>
      </c>
      <c r="H1703" s="9">
        <f>+'[1]VENTAS(RESUMEN GLOBAL)'!K1703</f>
        <v>0</v>
      </c>
      <c r="I1703" s="8">
        <f>+G1703*'[1]VENTAS(RESUMEN GLOBAL)'!F1703</f>
        <v>0</v>
      </c>
      <c r="J1703" s="8">
        <f>'[1]VENTAS(RESUMEN GLOBAL)'!G1703*(1-'[1]VENTAS(RESUMEN GLOBAL)'!H1703)</f>
        <v>0</v>
      </c>
      <c r="K1703" s="8">
        <f t="shared" si="26"/>
        <v>0</v>
      </c>
      <c r="L1703" s="8">
        <f>+'[1]VENTAS(RESUMEN GLOBAL)'!J1703</f>
        <v>0</v>
      </c>
      <c r="M1703" s="8">
        <f>+Tabla1[[#This Row],[utilidad x dia]]*7</f>
        <v>0</v>
      </c>
    </row>
    <row r="1704" spans="1:13" x14ac:dyDescent="0.3">
      <c r="A1704" s="6">
        <f>+'[1]VENTAS(RESUMEN GLOBAL)'!L1704</f>
        <v>0</v>
      </c>
      <c r="B1704" s="6">
        <f>+'[1]VENTAS(RESUMEN GLOBAL)'!M1704</f>
        <v>0</v>
      </c>
      <c r="C1704">
        <f>+'[1]VENTAS(RESUMEN GLOBAL)'!B1704</f>
        <v>0</v>
      </c>
      <c r="D1704" t="e">
        <f>INDEX('[1]CÓDIGOS DE PRODUCTO'!$D$3:$D$1000,MATCH(C1704,'[1]CÓDIGOS DE PRODUCTO'!$A$3:$A$1000,0))</f>
        <v>#N/A</v>
      </c>
      <c r="E1704">
        <f>VLOOKUP(C1704,'[1]CÓDIGOS DE PRODUCTO'!$A$4:$B$156,2,FALSE)</f>
        <v>0</v>
      </c>
      <c r="F1704">
        <f>INDEX('[1]CÓDIGOS DE PRODUCTO'!$C$3:$C$1000,MATCH(C1704,'[1]CÓDIGOS DE PRODUCTO'!$A$3:$A$1000,0))</f>
        <v>0</v>
      </c>
      <c r="G1704">
        <f>+'[1]VENTAS(RESUMEN GLOBAL)'!D1704-'[1]VENTAS(RESUMEN GLOBAL)'!E1704</f>
        <v>0</v>
      </c>
      <c r="H1704" s="9">
        <f>+'[1]VENTAS(RESUMEN GLOBAL)'!K1704</f>
        <v>0</v>
      </c>
      <c r="I1704" s="8">
        <f>+G1704*'[1]VENTAS(RESUMEN GLOBAL)'!F1704</f>
        <v>0</v>
      </c>
      <c r="J1704" s="8">
        <f>'[1]VENTAS(RESUMEN GLOBAL)'!G1704*(1-'[1]VENTAS(RESUMEN GLOBAL)'!H1704)</f>
        <v>0</v>
      </c>
      <c r="K1704" s="8">
        <f t="shared" si="26"/>
        <v>0</v>
      </c>
      <c r="L1704" s="8">
        <f>+'[1]VENTAS(RESUMEN GLOBAL)'!J1704</f>
        <v>0</v>
      </c>
      <c r="M1704" s="8">
        <f>+Tabla1[[#This Row],[utilidad x dia]]*7</f>
        <v>0</v>
      </c>
    </row>
    <row r="1705" spans="1:13" x14ac:dyDescent="0.3">
      <c r="A1705" s="6">
        <f>+'[1]VENTAS(RESUMEN GLOBAL)'!L1705</f>
        <v>0</v>
      </c>
      <c r="B1705" s="6">
        <f>+'[1]VENTAS(RESUMEN GLOBAL)'!M1705</f>
        <v>0</v>
      </c>
      <c r="C1705">
        <f>+'[1]VENTAS(RESUMEN GLOBAL)'!B1705</f>
        <v>0</v>
      </c>
      <c r="D1705" t="e">
        <f>INDEX('[1]CÓDIGOS DE PRODUCTO'!$D$3:$D$1000,MATCH(C1705,'[1]CÓDIGOS DE PRODUCTO'!$A$3:$A$1000,0))</f>
        <v>#N/A</v>
      </c>
      <c r="E1705">
        <f>VLOOKUP(C1705,'[1]CÓDIGOS DE PRODUCTO'!$A$4:$B$156,2,FALSE)</f>
        <v>0</v>
      </c>
      <c r="F1705">
        <f>INDEX('[1]CÓDIGOS DE PRODUCTO'!$C$3:$C$1000,MATCH(C1705,'[1]CÓDIGOS DE PRODUCTO'!$A$3:$A$1000,0))</f>
        <v>0</v>
      </c>
      <c r="G1705">
        <f>+'[1]VENTAS(RESUMEN GLOBAL)'!D1705-'[1]VENTAS(RESUMEN GLOBAL)'!E1705</f>
        <v>0</v>
      </c>
      <c r="H1705" s="9">
        <f>+'[1]VENTAS(RESUMEN GLOBAL)'!K1705</f>
        <v>0</v>
      </c>
      <c r="I1705" s="8">
        <f>+G1705*'[1]VENTAS(RESUMEN GLOBAL)'!F1705</f>
        <v>0</v>
      </c>
      <c r="J1705" s="8">
        <f>'[1]VENTAS(RESUMEN GLOBAL)'!G1705*(1-'[1]VENTAS(RESUMEN GLOBAL)'!H1705)</f>
        <v>0</v>
      </c>
      <c r="K1705" s="8">
        <f t="shared" si="26"/>
        <v>0</v>
      </c>
      <c r="L1705" s="8">
        <f>+'[1]VENTAS(RESUMEN GLOBAL)'!J1705</f>
        <v>0</v>
      </c>
      <c r="M1705" s="8">
        <f>+Tabla1[[#This Row],[utilidad x dia]]*7</f>
        <v>0</v>
      </c>
    </row>
    <row r="1706" spans="1:13" x14ac:dyDescent="0.3">
      <c r="A1706" s="6">
        <f>+'[1]VENTAS(RESUMEN GLOBAL)'!L1706</f>
        <v>0</v>
      </c>
      <c r="B1706" s="6">
        <f>+'[1]VENTAS(RESUMEN GLOBAL)'!M1706</f>
        <v>0</v>
      </c>
      <c r="C1706">
        <f>+'[1]VENTAS(RESUMEN GLOBAL)'!B1706</f>
        <v>0</v>
      </c>
      <c r="D1706" t="e">
        <f>INDEX('[1]CÓDIGOS DE PRODUCTO'!$D$3:$D$1000,MATCH(C1706,'[1]CÓDIGOS DE PRODUCTO'!$A$3:$A$1000,0))</f>
        <v>#N/A</v>
      </c>
      <c r="E1706">
        <f>VLOOKUP(C1706,'[1]CÓDIGOS DE PRODUCTO'!$A$4:$B$156,2,FALSE)</f>
        <v>0</v>
      </c>
      <c r="F1706">
        <f>INDEX('[1]CÓDIGOS DE PRODUCTO'!$C$3:$C$1000,MATCH(C1706,'[1]CÓDIGOS DE PRODUCTO'!$A$3:$A$1000,0))</f>
        <v>0</v>
      </c>
      <c r="G1706">
        <f>+'[1]VENTAS(RESUMEN GLOBAL)'!D1706-'[1]VENTAS(RESUMEN GLOBAL)'!E1706</f>
        <v>0</v>
      </c>
      <c r="H1706" s="9">
        <f>+'[1]VENTAS(RESUMEN GLOBAL)'!K1706</f>
        <v>0</v>
      </c>
      <c r="I1706" s="8">
        <f>+G1706*'[1]VENTAS(RESUMEN GLOBAL)'!F1706</f>
        <v>0</v>
      </c>
      <c r="J1706" s="8">
        <f>'[1]VENTAS(RESUMEN GLOBAL)'!G1706*(1-'[1]VENTAS(RESUMEN GLOBAL)'!H1706)</f>
        <v>0</v>
      </c>
      <c r="K1706" s="8">
        <f t="shared" si="26"/>
        <v>0</v>
      </c>
      <c r="L1706" s="8">
        <f>+'[1]VENTAS(RESUMEN GLOBAL)'!J1706</f>
        <v>0</v>
      </c>
      <c r="M1706" s="8">
        <f>+Tabla1[[#This Row],[utilidad x dia]]*7</f>
        <v>0</v>
      </c>
    </row>
    <row r="1707" spans="1:13" x14ac:dyDescent="0.3">
      <c r="A1707" s="6">
        <f>+'[1]VENTAS(RESUMEN GLOBAL)'!L1707</f>
        <v>0</v>
      </c>
      <c r="B1707" s="6">
        <f>+'[1]VENTAS(RESUMEN GLOBAL)'!M1707</f>
        <v>0</v>
      </c>
      <c r="C1707">
        <f>+'[1]VENTAS(RESUMEN GLOBAL)'!B1707</f>
        <v>0</v>
      </c>
      <c r="D1707" t="e">
        <f>INDEX('[1]CÓDIGOS DE PRODUCTO'!$D$3:$D$1000,MATCH(C1707,'[1]CÓDIGOS DE PRODUCTO'!$A$3:$A$1000,0))</f>
        <v>#N/A</v>
      </c>
      <c r="E1707">
        <f>VLOOKUP(C1707,'[1]CÓDIGOS DE PRODUCTO'!$A$4:$B$156,2,FALSE)</f>
        <v>0</v>
      </c>
      <c r="F1707">
        <f>INDEX('[1]CÓDIGOS DE PRODUCTO'!$C$3:$C$1000,MATCH(C1707,'[1]CÓDIGOS DE PRODUCTO'!$A$3:$A$1000,0))</f>
        <v>0</v>
      </c>
      <c r="G1707">
        <f>+'[1]VENTAS(RESUMEN GLOBAL)'!D1707-'[1]VENTAS(RESUMEN GLOBAL)'!E1707</f>
        <v>0</v>
      </c>
      <c r="H1707" s="9">
        <f>+'[1]VENTAS(RESUMEN GLOBAL)'!K1707</f>
        <v>0</v>
      </c>
      <c r="I1707" s="8">
        <f>+G1707*'[1]VENTAS(RESUMEN GLOBAL)'!F1707</f>
        <v>0</v>
      </c>
      <c r="J1707" s="8">
        <f>'[1]VENTAS(RESUMEN GLOBAL)'!G1707*(1-'[1]VENTAS(RESUMEN GLOBAL)'!H1707)</f>
        <v>0</v>
      </c>
      <c r="K1707" s="8">
        <f t="shared" si="26"/>
        <v>0</v>
      </c>
      <c r="L1707" s="8">
        <f>+'[1]VENTAS(RESUMEN GLOBAL)'!J1707</f>
        <v>0</v>
      </c>
      <c r="M1707" s="8">
        <f>+Tabla1[[#This Row],[utilidad x dia]]*7</f>
        <v>0</v>
      </c>
    </row>
    <row r="1708" spans="1:13" x14ac:dyDescent="0.3">
      <c r="A1708" s="6">
        <f>+'[1]VENTAS(RESUMEN GLOBAL)'!L1708</f>
        <v>0</v>
      </c>
      <c r="B1708" s="6">
        <f>+'[1]VENTAS(RESUMEN GLOBAL)'!M1708</f>
        <v>0</v>
      </c>
      <c r="C1708">
        <f>+'[1]VENTAS(RESUMEN GLOBAL)'!B1708</f>
        <v>0</v>
      </c>
      <c r="D1708" t="e">
        <f>INDEX('[1]CÓDIGOS DE PRODUCTO'!$D$3:$D$1000,MATCH(C1708,'[1]CÓDIGOS DE PRODUCTO'!$A$3:$A$1000,0))</f>
        <v>#N/A</v>
      </c>
      <c r="E1708">
        <f>VLOOKUP(C1708,'[1]CÓDIGOS DE PRODUCTO'!$A$4:$B$156,2,FALSE)</f>
        <v>0</v>
      </c>
      <c r="F1708">
        <f>INDEX('[1]CÓDIGOS DE PRODUCTO'!$C$3:$C$1000,MATCH(C1708,'[1]CÓDIGOS DE PRODUCTO'!$A$3:$A$1000,0))</f>
        <v>0</v>
      </c>
      <c r="G1708">
        <f>+'[1]VENTAS(RESUMEN GLOBAL)'!D1708-'[1]VENTAS(RESUMEN GLOBAL)'!E1708</f>
        <v>0</v>
      </c>
      <c r="H1708" s="9">
        <f>+'[1]VENTAS(RESUMEN GLOBAL)'!K1708</f>
        <v>0</v>
      </c>
      <c r="I1708" s="8">
        <f>+G1708*'[1]VENTAS(RESUMEN GLOBAL)'!F1708</f>
        <v>0</v>
      </c>
      <c r="J1708" s="8">
        <f>'[1]VENTAS(RESUMEN GLOBAL)'!G1708*(1-'[1]VENTAS(RESUMEN GLOBAL)'!H1708)</f>
        <v>0</v>
      </c>
      <c r="K1708" s="8">
        <f t="shared" si="26"/>
        <v>0</v>
      </c>
      <c r="L1708" s="8">
        <f>+'[1]VENTAS(RESUMEN GLOBAL)'!J1708</f>
        <v>0</v>
      </c>
      <c r="M1708" s="8">
        <f>+Tabla1[[#This Row],[utilidad x dia]]*7</f>
        <v>0</v>
      </c>
    </row>
    <row r="1709" spans="1:13" x14ac:dyDescent="0.3">
      <c r="A1709" s="6">
        <f>+'[1]VENTAS(RESUMEN GLOBAL)'!L1709</f>
        <v>0</v>
      </c>
      <c r="B1709" s="6">
        <f>+'[1]VENTAS(RESUMEN GLOBAL)'!M1709</f>
        <v>0</v>
      </c>
      <c r="C1709">
        <f>+'[1]VENTAS(RESUMEN GLOBAL)'!B1709</f>
        <v>0</v>
      </c>
      <c r="D1709" t="e">
        <f>INDEX('[1]CÓDIGOS DE PRODUCTO'!$D$3:$D$1000,MATCH(C1709,'[1]CÓDIGOS DE PRODUCTO'!$A$3:$A$1000,0))</f>
        <v>#N/A</v>
      </c>
      <c r="E1709">
        <f>VLOOKUP(C1709,'[1]CÓDIGOS DE PRODUCTO'!$A$4:$B$156,2,FALSE)</f>
        <v>0</v>
      </c>
      <c r="F1709">
        <f>INDEX('[1]CÓDIGOS DE PRODUCTO'!$C$3:$C$1000,MATCH(C1709,'[1]CÓDIGOS DE PRODUCTO'!$A$3:$A$1000,0))</f>
        <v>0</v>
      </c>
      <c r="G1709">
        <f>+'[1]VENTAS(RESUMEN GLOBAL)'!D1709-'[1]VENTAS(RESUMEN GLOBAL)'!E1709</f>
        <v>0</v>
      </c>
      <c r="H1709" s="9">
        <f>+'[1]VENTAS(RESUMEN GLOBAL)'!K1709</f>
        <v>0</v>
      </c>
      <c r="I1709" s="8">
        <f>+G1709*'[1]VENTAS(RESUMEN GLOBAL)'!F1709</f>
        <v>0</v>
      </c>
      <c r="J1709" s="8">
        <f>'[1]VENTAS(RESUMEN GLOBAL)'!G1709*(1-'[1]VENTAS(RESUMEN GLOBAL)'!H1709)</f>
        <v>0</v>
      </c>
      <c r="K1709" s="8">
        <f t="shared" si="26"/>
        <v>0</v>
      </c>
      <c r="L1709" s="8">
        <f>+'[1]VENTAS(RESUMEN GLOBAL)'!J1709</f>
        <v>0</v>
      </c>
      <c r="M1709" s="8">
        <f>+Tabla1[[#This Row],[utilidad x dia]]*7</f>
        <v>0</v>
      </c>
    </row>
    <row r="1710" spans="1:13" x14ac:dyDescent="0.3">
      <c r="A1710" s="6">
        <f>+'[1]VENTAS(RESUMEN GLOBAL)'!L1710</f>
        <v>0</v>
      </c>
      <c r="B1710" s="6">
        <f>+'[1]VENTAS(RESUMEN GLOBAL)'!M1710</f>
        <v>0</v>
      </c>
      <c r="C1710">
        <f>+'[1]VENTAS(RESUMEN GLOBAL)'!B1710</f>
        <v>0</v>
      </c>
      <c r="D1710" t="e">
        <f>INDEX('[1]CÓDIGOS DE PRODUCTO'!$D$3:$D$1000,MATCH(C1710,'[1]CÓDIGOS DE PRODUCTO'!$A$3:$A$1000,0))</f>
        <v>#N/A</v>
      </c>
      <c r="E1710">
        <f>VLOOKUP(C1710,'[1]CÓDIGOS DE PRODUCTO'!$A$4:$B$156,2,FALSE)</f>
        <v>0</v>
      </c>
      <c r="F1710">
        <f>INDEX('[1]CÓDIGOS DE PRODUCTO'!$C$3:$C$1000,MATCH(C1710,'[1]CÓDIGOS DE PRODUCTO'!$A$3:$A$1000,0))</f>
        <v>0</v>
      </c>
      <c r="G1710">
        <f>+'[1]VENTAS(RESUMEN GLOBAL)'!D1710-'[1]VENTAS(RESUMEN GLOBAL)'!E1710</f>
        <v>0</v>
      </c>
      <c r="H1710" s="9">
        <f>+'[1]VENTAS(RESUMEN GLOBAL)'!K1710</f>
        <v>0</v>
      </c>
      <c r="I1710" s="8">
        <f>+G1710*'[1]VENTAS(RESUMEN GLOBAL)'!F1710</f>
        <v>0</v>
      </c>
      <c r="J1710" s="8">
        <f>'[1]VENTAS(RESUMEN GLOBAL)'!G1710*(1-'[1]VENTAS(RESUMEN GLOBAL)'!H1710)</f>
        <v>0</v>
      </c>
      <c r="K1710" s="8">
        <f t="shared" si="26"/>
        <v>0</v>
      </c>
      <c r="L1710" s="8">
        <f>+'[1]VENTAS(RESUMEN GLOBAL)'!J1710</f>
        <v>0</v>
      </c>
      <c r="M1710" s="8">
        <f>+Tabla1[[#This Row],[utilidad x dia]]*7</f>
        <v>0</v>
      </c>
    </row>
    <row r="1711" spans="1:13" x14ac:dyDescent="0.3">
      <c r="A1711" s="6">
        <f>+'[1]VENTAS(RESUMEN GLOBAL)'!L1711</f>
        <v>0</v>
      </c>
      <c r="B1711" s="6">
        <f>+'[1]VENTAS(RESUMEN GLOBAL)'!M1711</f>
        <v>0</v>
      </c>
      <c r="C1711">
        <f>+'[1]VENTAS(RESUMEN GLOBAL)'!B1711</f>
        <v>0</v>
      </c>
      <c r="D1711" t="e">
        <f>INDEX('[1]CÓDIGOS DE PRODUCTO'!$D$3:$D$1000,MATCH(C1711,'[1]CÓDIGOS DE PRODUCTO'!$A$3:$A$1000,0))</f>
        <v>#N/A</v>
      </c>
      <c r="E1711">
        <f>VLOOKUP(C1711,'[1]CÓDIGOS DE PRODUCTO'!$A$4:$B$156,2,FALSE)</f>
        <v>0</v>
      </c>
      <c r="F1711">
        <f>INDEX('[1]CÓDIGOS DE PRODUCTO'!$C$3:$C$1000,MATCH(C1711,'[1]CÓDIGOS DE PRODUCTO'!$A$3:$A$1000,0))</f>
        <v>0</v>
      </c>
      <c r="G1711">
        <f>+'[1]VENTAS(RESUMEN GLOBAL)'!D1711-'[1]VENTAS(RESUMEN GLOBAL)'!E1711</f>
        <v>0</v>
      </c>
      <c r="H1711" s="9">
        <f>+'[1]VENTAS(RESUMEN GLOBAL)'!K1711</f>
        <v>0</v>
      </c>
      <c r="I1711" s="8">
        <f>+G1711*'[1]VENTAS(RESUMEN GLOBAL)'!F1711</f>
        <v>0</v>
      </c>
      <c r="J1711" s="8">
        <f>'[1]VENTAS(RESUMEN GLOBAL)'!G1711*(1-'[1]VENTAS(RESUMEN GLOBAL)'!H1711)</f>
        <v>0</v>
      </c>
      <c r="K1711" s="8">
        <f t="shared" si="26"/>
        <v>0</v>
      </c>
      <c r="L1711" s="8">
        <f>+'[1]VENTAS(RESUMEN GLOBAL)'!J1711</f>
        <v>0</v>
      </c>
      <c r="M1711" s="8">
        <f>+Tabla1[[#This Row],[utilidad x dia]]*7</f>
        <v>0</v>
      </c>
    </row>
    <row r="1712" spans="1:13" x14ac:dyDescent="0.3">
      <c r="A1712" s="6">
        <f>+'[1]VENTAS(RESUMEN GLOBAL)'!L1712</f>
        <v>0</v>
      </c>
      <c r="B1712" s="6">
        <f>+'[1]VENTAS(RESUMEN GLOBAL)'!M1712</f>
        <v>0</v>
      </c>
      <c r="C1712">
        <f>+'[1]VENTAS(RESUMEN GLOBAL)'!B1712</f>
        <v>0</v>
      </c>
      <c r="D1712" t="e">
        <f>INDEX('[1]CÓDIGOS DE PRODUCTO'!$D$3:$D$1000,MATCH(C1712,'[1]CÓDIGOS DE PRODUCTO'!$A$3:$A$1000,0))</f>
        <v>#N/A</v>
      </c>
      <c r="E1712">
        <f>VLOOKUP(C1712,'[1]CÓDIGOS DE PRODUCTO'!$A$4:$B$156,2,FALSE)</f>
        <v>0</v>
      </c>
      <c r="F1712">
        <f>INDEX('[1]CÓDIGOS DE PRODUCTO'!$C$3:$C$1000,MATCH(C1712,'[1]CÓDIGOS DE PRODUCTO'!$A$3:$A$1000,0))</f>
        <v>0</v>
      </c>
      <c r="G1712">
        <f>+'[1]VENTAS(RESUMEN GLOBAL)'!D1712-'[1]VENTAS(RESUMEN GLOBAL)'!E1712</f>
        <v>0</v>
      </c>
      <c r="H1712" s="9">
        <f>+'[1]VENTAS(RESUMEN GLOBAL)'!K1712</f>
        <v>0</v>
      </c>
      <c r="I1712" s="8">
        <f>+G1712*'[1]VENTAS(RESUMEN GLOBAL)'!F1712</f>
        <v>0</v>
      </c>
      <c r="J1712" s="8">
        <f>'[1]VENTAS(RESUMEN GLOBAL)'!G1712*(1-'[1]VENTAS(RESUMEN GLOBAL)'!H1712)</f>
        <v>0</v>
      </c>
      <c r="K1712" s="8">
        <f t="shared" si="26"/>
        <v>0</v>
      </c>
      <c r="L1712" s="8">
        <f>+'[1]VENTAS(RESUMEN GLOBAL)'!J1712</f>
        <v>0</v>
      </c>
      <c r="M1712" s="8">
        <f>+Tabla1[[#This Row],[utilidad x dia]]*7</f>
        <v>0</v>
      </c>
    </row>
    <row r="1713" spans="1:13" x14ac:dyDescent="0.3">
      <c r="A1713" s="6">
        <f>+'[1]VENTAS(RESUMEN GLOBAL)'!L1713</f>
        <v>0</v>
      </c>
      <c r="B1713" s="6">
        <f>+'[1]VENTAS(RESUMEN GLOBAL)'!M1713</f>
        <v>0</v>
      </c>
      <c r="C1713">
        <f>+'[1]VENTAS(RESUMEN GLOBAL)'!B1713</f>
        <v>0</v>
      </c>
      <c r="D1713" t="e">
        <f>INDEX('[1]CÓDIGOS DE PRODUCTO'!$D$3:$D$1000,MATCH(C1713,'[1]CÓDIGOS DE PRODUCTO'!$A$3:$A$1000,0))</f>
        <v>#N/A</v>
      </c>
      <c r="E1713">
        <f>VLOOKUP(C1713,'[1]CÓDIGOS DE PRODUCTO'!$A$4:$B$156,2,FALSE)</f>
        <v>0</v>
      </c>
      <c r="F1713">
        <f>INDEX('[1]CÓDIGOS DE PRODUCTO'!$C$3:$C$1000,MATCH(C1713,'[1]CÓDIGOS DE PRODUCTO'!$A$3:$A$1000,0))</f>
        <v>0</v>
      </c>
      <c r="G1713">
        <f>+'[1]VENTAS(RESUMEN GLOBAL)'!D1713-'[1]VENTAS(RESUMEN GLOBAL)'!E1713</f>
        <v>0</v>
      </c>
      <c r="H1713" s="9">
        <f>+'[1]VENTAS(RESUMEN GLOBAL)'!K1713</f>
        <v>0</v>
      </c>
      <c r="I1713" s="8">
        <f>+G1713*'[1]VENTAS(RESUMEN GLOBAL)'!F1713</f>
        <v>0</v>
      </c>
      <c r="J1713" s="8">
        <f>'[1]VENTAS(RESUMEN GLOBAL)'!G1713*(1-'[1]VENTAS(RESUMEN GLOBAL)'!H1713)</f>
        <v>0</v>
      </c>
      <c r="K1713" s="8">
        <f t="shared" si="26"/>
        <v>0</v>
      </c>
      <c r="L1713" s="8">
        <f>+'[1]VENTAS(RESUMEN GLOBAL)'!J1713</f>
        <v>0</v>
      </c>
      <c r="M1713" s="8">
        <f>+Tabla1[[#This Row],[utilidad x dia]]*7</f>
        <v>0</v>
      </c>
    </row>
    <row r="1714" spans="1:13" x14ac:dyDescent="0.3">
      <c r="A1714" s="6">
        <f>+'[1]VENTAS(RESUMEN GLOBAL)'!L1714</f>
        <v>0</v>
      </c>
      <c r="B1714" s="6">
        <f>+'[1]VENTAS(RESUMEN GLOBAL)'!M1714</f>
        <v>0</v>
      </c>
      <c r="C1714">
        <f>+'[1]VENTAS(RESUMEN GLOBAL)'!B1714</f>
        <v>0</v>
      </c>
      <c r="D1714" t="e">
        <f>INDEX('[1]CÓDIGOS DE PRODUCTO'!$D$3:$D$1000,MATCH(C1714,'[1]CÓDIGOS DE PRODUCTO'!$A$3:$A$1000,0))</f>
        <v>#N/A</v>
      </c>
      <c r="E1714">
        <f>VLOOKUP(C1714,'[1]CÓDIGOS DE PRODUCTO'!$A$4:$B$156,2,FALSE)</f>
        <v>0</v>
      </c>
      <c r="F1714">
        <f>INDEX('[1]CÓDIGOS DE PRODUCTO'!$C$3:$C$1000,MATCH(C1714,'[1]CÓDIGOS DE PRODUCTO'!$A$3:$A$1000,0))</f>
        <v>0</v>
      </c>
      <c r="G1714">
        <f>+'[1]VENTAS(RESUMEN GLOBAL)'!D1714-'[1]VENTAS(RESUMEN GLOBAL)'!E1714</f>
        <v>0</v>
      </c>
      <c r="H1714" s="9">
        <f>+'[1]VENTAS(RESUMEN GLOBAL)'!K1714</f>
        <v>0</v>
      </c>
      <c r="I1714" s="8">
        <f>+G1714*'[1]VENTAS(RESUMEN GLOBAL)'!F1714</f>
        <v>0</v>
      </c>
      <c r="J1714" s="8">
        <f>'[1]VENTAS(RESUMEN GLOBAL)'!G1714*(1-'[1]VENTAS(RESUMEN GLOBAL)'!H1714)</f>
        <v>0</v>
      </c>
      <c r="K1714" s="8">
        <f t="shared" si="26"/>
        <v>0</v>
      </c>
      <c r="L1714" s="8">
        <f>+'[1]VENTAS(RESUMEN GLOBAL)'!J1714</f>
        <v>0</v>
      </c>
      <c r="M1714" s="8">
        <f>+Tabla1[[#This Row],[utilidad x dia]]*7</f>
        <v>0</v>
      </c>
    </row>
    <row r="1715" spans="1:13" x14ac:dyDescent="0.3">
      <c r="A1715" s="6">
        <f>+'[1]VENTAS(RESUMEN GLOBAL)'!L1715</f>
        <v>0</v>
      </c>
      <c r="B1715" s="6">
        <f>+'[1]VENTAS(RESUMEN GLOBAL)'!M1715</f>
        <v>0</v>
      </c>
      <c r="C1715">
        <f>+'[1]VENTAS(RESUMEN GLOBAL)'!B1715</f>
        <v>0</v>
      </c>
      <c r="D1715" t="e">
        <f>INDEX('[1]CÓDIGOS DE PRODUCTO'!$D$3:$D$1000,MATCH(C1715,'[1]CÓDIGOS DE PRODUCTO'!$A$3:$A$1000,0))</f>
        <v>#N/A</v>
      </c>
      <c r="E1715">
        <f>VLOOKUP(C1715,'[1]CÓDIGOS DE PRODUCTO'!$A$4:$B$156,2,FALSE)</f>
        <v>0</v>
      </c>
      <c r="F1715">
        <f>INDEX('[1]CÓDIGOS DE PRODUCTO'!$C$3:$C$1000,MATCH(C1715,'[1]CÓDIGOS DE PRODUCTO'!$A$3:$A$1000,0))</f>
        <v>0</v>
      </c>
      <c r="G1715">
        <f>+'[1]VENTAS(RESUMEN GLOBAL)'!D1715-'[1]VENTAS(RESUMEN GLOBAL)'!E1715</f>
        <v>0</v>
      </c>
      <c r="H1715" s="9">
        <f>+'[1]VENTAS(RESUMEN GLOBAL)'!K1715</f>
        <v>0</v>
      </c>
      <c r="I1715" s="8">
        <f>+G1715*'[1]VENTAS(RESUMEN GLOBAL)'!F1715</f>
        <v>0</v>
      </c>
      <c r="J1715" s="8">
        <f>'[1]VENTAS(RESUMEN GLOBAL)'!G1715*(1-'[1]VENTAS(RESUMEN GLOBAL)'!H1715)</f>
        <v>0</v>
      </c>
      <c r="K1715" s="8">
        <f t="shared" si="26"/>
        <v>0</v>
      </c>
      <c r="L1715" s="8">
        <f>+'[1]VENTAS(RESUMEN GLOBAL)'!J1715</f>
        <v>0</v>
      </c>
      <c r="M1715" s="8">
        <f>+Tabla1[[#This Row],[utilidad x dia]]*7</f>
        <v>0</v>
      </c>
    </row>
    <row r="1716" spans="1:13" x14ac:dyDescent="0.3">
      <c r="A1716" s="6">
        <f>+'[1]VENTAS(RESUMEN GLOBAL)'!L1716</f>
        <v>0</v>
      </c>
      <c r="B1716" s="6">
        <f>+'[1]VENTAS(RESUMEN GLOBAL)'!M1716</f>
        <v>0</v>
      </c>
      <c r="C1716">
        <f>+'[1]VENTAS(RESUMEN GLOBAL)'!B1716</f>
        <v>0</v>
      </c>
      <c r="D1716" t="e">
        <f>INDEX('[1]CÓDIGOS DE PRODUCTO'!$D$3:$D$1000,MATCH(C1716,'[1]CÓDIGOS DE PRODUCTO'!$A$3:$A$1000,0))</f>
        <v>#N/A</v>
      </c>
      <c r="E1716">
        <f>VLOOKUP(C1716,'[1]CÓDIGOS DE PRODUCTO'!$A$4:$B$156,2,FALSE)</f>
        <v>0</v>
      </c>
      <c r="F1716">
        <f>INDEX('[1]CÓDIGOS DE PRODUCTO'!$C$3:$C$1000,MATCH(C1716,'[1]CÓDIGOS DE PRODUCTO'!$A$3:$A$1000,0))</f>
        <v>0</v>
      </c>
      <c r="G1716">
        <f>+'[1]VENTAS(RESUMEN GLOBAL)'!D1716-'[1]VENTAS(RESUMEN GLOBAL)'!E1716</f>
        <v>0</v>
      </c>
      <c r="H1716" s="9">
        <f>+'[1]VENTAS(RESUMEN GLOBAL)'!K1716</f>
        <v>0</v>
      </c>
      <c r="I1716" s="8">
        <f>+G1716*'[1]VENTAS(RESUMEN GLOBAL)'!F1716</f>
        <v>0</v>
      </c>
      <c r="J1716" s="8">
        <f>'[1]VENTAS(RESUMEN GLOBAL)'!G1716*(1-'[1]VENTAS(RESUMEN GLOBAL)'!H1716)</f>
        <v>0</v>
      </c>
      <c r="K1716" s="8">
        <f t="shared" si="26"/>
        <v>0</v>
      </c>
      <c r="L1716" s="8">
        <f>+'[1]VENTAS(RESUMEN GLOBAL)'!J1716</f>
        <v>0</v>
      </c>
      <c r="M1716" s="8">
        <f>+Tabla1[[#This Row],[utilidad x dia]]*7</f>
        <v>0</v>
      </c>
    </row>
    <row r="1717" spans="1:13" x14ac:dyDescent="0.3">
      <c r="A1717" s="6">
        <f>+'[1]VENTAS(RESUMEN GLOBAL)'!L1717</f>
        <v>0</v>
      </c>
      <c r="B1717" s="6">
        <f>+'[1]VENTAS(RESUMEN GLOBAL)'!M1717</f>
        <v>0</v>
      </c>
      <c r="C1717">
        <f>+'[1]VENTAS(RESUMEN GLOBAL)'!B1717</f>
        <v>0</v>
      </c>
      <c r="D1717" t="e">
        <f>INDEX('[1]CÓDIGOS DE PRODUCTO'!$D$3:$D$1000,MATCH(C1717,'[1]CÓDIGOS DE PRODUCTO'!$A$3:$A$1000,0))</f>
        <v>#N/A</v>
      </c>
      <c r="E1717">
        <f>VLOOKUP(C1717,'[1]CÓDIGOS DE PRODUCTO'!$A$4:$B$156,2,FALSE)</f>
        <v>0</v>
      </c>
      <c r="F1717">
        <f>INDEX('[1]CÓDIGOS DE PRODUCTO'!$C$3:$C$1000,MATCH(C1717,'[1]CÓDIGOS DE PRODUCTO'!$A$3:$A$1000,0))</f>
        <v>0</v>
      </c>
      <c r="G1717">
        <f>+'[1]VENTAS(RESUMEN GLOBAL)'!D1717-'[1]VENTAS(RESUMEN GLOBAL)'!E1717</f>
        <v>0</v>
      </c>
      <c r="H1717" s="9">
        <f>+'[1]VENTAS(RESUMEN GLOBAL)'!K1717</f>
        <v>0</v>
      </c>
      <c r="I1717" s="8">
        <f>+G1717*'[1]VENTAS(RESUMEN GLOBAL)'!F1717</f>
        <v>0</v>
      </c>
      <c r="J1717" s="8">
        <f>'[1]VENTAS(RESUMEN GLOBAL)'!G1717*(1-'[1]VENTAS(RESUMEN GLOBAL)'!H1717)</f>
        <v>0</v>
      </c>
      <c r="K1717" s="8">
        <f t="shared" si="26"/>
        <v>0</v>
      </c>
      <c r="L1717" s="8">
        <f>+'[1]VENTAS(RESUMEN GLOBAL)'!J1717</f>
        <v>0</v>
      </c>
      <c r="M1717" s="8">
        <f>+Tabla1[[#This Row],[utilidad x dia]]*7</f>
        <v>0</v>
      </c>
    </row>
    <row r="1718" spans="1:13" x14ac:dyDescent="0.3">
      <c r="A1718" s="6">
        <f>+'[1]VENTAS(RESUMEN GLOBAL)'!L1718</f>
        <v>0</v>
      </c>
      <c r="B1718" s="6">
        <f>+'[1]VENTAS(RESUMEN GLOBAL)'!M1718</f>
        <v>0</v>
      </c>
      <c r="C1718">
        <f>+'[1]VENTAS(RESUMEN GLOBAL)'!B1718</f>
        <v>0</v>
      </c>
      <c r="D1718" t="e">
        <f>INDEX('[1]CÓDIGOS DE PRODUCTO'!$D$3:$D$1000,MATCH(C1718,'[1]CÓDIGOS DE PRODUCTO'!$A$3:$A$1000,0))</f>
        <v>#N/A</v>
      </c>
      <c r="E1718">
        <f>VLOOKUP(C1718,'[1]CÓDIGOS DE PRODUCTO'!$A$4:$B$156,2,FALSE)</f>
        <v>0</v>
      </c>
      <c r="F1718">
        <f>INDEX('[1]CÓDIGOS DE PRODUCTO'!$C$3:$C$1000,MATCH(C1718,'[1]CÓDIGOS DE PRODUCTO'!$A$3:$A$1000,0))</f>
        <v>0</v>
      </c>
      <c r="G1718">
        <f>+'[1]VENTAS(RESUMEN GLOBAL)'!D1718-'[1]VENTAS(RESUMEN GLOBAL)'!E1718</f>
        <v>0</v>
      </c>
      <c r="H1718" s="9">
        <f>+'[1]VENTAS(RESUMEN GLOBAL)'!K1718</f>
        <v>0</v>
      </c>
      <c r="I1718" s="8">
        <f>+G1718*'[1]VENTAS(RESUMEN GLOBAL)'!F1718</f>
        <v>0</v>
      </c>
      <c r="J1718" s="8">
        <f>'[1]VENTAS(RESUMEN GLOBAL)'!G1718*(1-'[1]VENTAS(RESUMEN GLOBAL)'!H1718)</f>
        <v>0</v>
      </c>
      <c r="K1718" s="8">
        <f t="shared" si="26"/>
        <v>0</v>
      </c>
      <c r="L1718" s="8">
        <f>+'[1]VENTAS(RESUMEN GLOBAL)'!J1718</f>
        <v>0</v>
      </c>
      <c r="M1718" s="8">
        <f>+Tabla1[[#This Row],[utilidad x dia]]*7</f>
        <v>0</v>
      </c>
    </row>
    <row r="1719" spans="1:13" x14ac:dyDescent="0.3">
      <c r="A1719" s="6">
        <f>+'[1]VENTAS(RESUMEN GLOBAL)'!L1719</f>
        <v>0</v>
      </c>
      <c r="B1719" s="6">
        <f>+'[1]VENTAS(RESUMEN GLOBAL)'!M1719</f>
        <v>0</v>
      </c>
      <c r="C1719">
        <f>+'[1]VENTAS(RESUMEN GLOBAL)'!B1719</f>
        <v>0</v>
      </c>
      <c r="D1719" t="e">
        <f>INDEX('[1]CÓDIGOS DE PRODUCTO'!$D$3:$D$1000,MATCH(C1719,'[1]CÓDIGOS DE PRODUCTO'!$A$3:$A$1000,0))</f>
        <v>#N/A</v>
      </c>
      <c r="E1719">
        <f>VLOOKUP(C1719,'[1]CÓDIGOS DE PRODUCTO'!$A$4:$B$156,2,FALSE)</f>
        <v>0</v>
      </c>
      <c r="F1719">
        <f>INDEX('[1]CÓDIGOS DE PRODUCTO'!$C$3:$C$1000,MATCH(C1719,'[1]CÓDIGOS DE PRODUCTO'!$A$3:$A$1000,0))</f>
        <v>0</v>
      </c>
      <c r="G1719">
        <f>+'[1]VENTAS(RESUMEN GLOBAL)'!D1719-'[1]VENTAS(RESUMEN GLOBAL)'!E1719</f>
        <v>0</v>
      </c>
      <c r="H1719" s="9">
        <f>+'[1]VENTAS(RESUMEN GLOBAL)'!K1719</f>
        <v>0</v>
      </c>
      <c r="I1719" s="8">
        <f>+G1719*'[1]VENTAS(RESUMEN GLOBAL)'!F1719</f>
        <v>0</v>
      </c>
      <c r="J1719" s="8">
        <f>'[1]VENTAS(RESUMEN GLOBAL)'!G1719*(1-'[1]VENTAS(RESUMEN GLOBAL)'!H1719)</f>
        <v>0</v>
      </c>
      <c r="K1719" s="8">
        <f t="shared" si="26"/>
        <v>0</v>
      </c>
      <c r="L1719" s="8">
        <f>+'[1]VENTAS(RESUMEN GLOBAL)'!J1719</f>
        <v>0</v>
      </c>
      <c r="M1719" s="8">
        <f>+Tabla1[[#This Row],[utilidad x dia]]*7</f>
        <v>0</v>
      </c>
    </row>
    <row r="1720" spans="1:13" x14ac:dyDescent="0.3">
      <c r="A1720" s="6">
        <f>+'[1]VENTAS(RESUMEN GLOBAL)'!L1720</f>
        <v>0</v>
      </c>
      <c r="B1720" s="6">
        <f>+'[1]VENTAS(RESUMEN GLOBAL)'!M1720</f>
        <v>0</v>
      </c>
      <c r="C1720">
        <f>+'[1]VENTAS(RESUMEN GLOBAL)'!B1720</f>
        <v>0</v>
      </c>
      <c r="D1720" t="e">
        <f>INDEX('[1]CÓDIGOS DE PRODUCTO'!$D$3:$D$1000,MATCH(C1720,'[1]CÓDIGOS DE PRODUCTO'!$A$3:$A$1000,0))</f>
        <v>#N/A</v>
      </c>
      <c r="E1720">
        <f>VLOOKUP(C1720,'[1]CÓDIGOS DE PRODUCTO'!$A$4:$B$156,2,FALSE)</f>
        <v>0</v>
      </c>
      <c r="F1720">
        <f>INDEX('[1]CÓDIGOS DE PRODUCTO'!$C$3:$C$1000,MATCH(C1720,'[1]CÓDIGOS DE PRODUCTO'!$A$3:$A$1000,0))</f>
        <v>0</v>
      </c>
      <c r="G1720">
        <f>+'[1]VENTAS(RESUMEN GLOBAL)'!D1720-'[1]VENTAS(RESUMEN GLOBAL)'!E1720</f>
        <v>0</v>
      </c>
      <c r="H1720" s="9">
        <f>+'[1]VENTAS(RESUMEN GLOBAL)'!K1720</f>
        <v>0</v>
      </c>
      <c r="I1720" s="8">
        <f>+G1720*'[1]VENTAS(RESUMEN GLOBAL)'!F1720</f>
        <v>0</v>
      </c>
      <c r="J1720" s="8">
        <f>'[1]VENTAS(RESUMEN GLOBAL)'!G1720*(1-'[1]VENTAS(RESUMEN GLOBAL)'!H1720)</f>
        <v>0</v>
      </c>
      <c r="K1720" s="8">
        <f t="shared" si="26"/>
        <v>0</v>
      </c>
      <c r="L1720" s="8">
        <f>+'[1]VENTAS(RESUMEN GLOBAL)'!J1720</f>
        <v>0</v>
      </c>
      <c r="M1720" s="8">
        <f>+Tabla1[[#This Row],[utilidad x dia]]*7</f>
        <v>0</v>
      </c>
    </row>
    <row r="1721" spans="1:13" x14ac:dyDescent="0.3">
      <c r="A1721" s="6">
        <f>+'[1]VENTAS(RESUMEN GLOBAL)'!L1721</f>
        <v>0</v>
      </c>
      <c r="B1721" s="6">
        <f>+'[1]VENTAS(RESUMEN GLOBAL)'!M1721</f>
        <v>0</v>
      </c>
      <c r="C1721">
        <f>+'[1]VENTAS(RESUMEN GLOBAL)'!B1721</f>
        <v>0</v>
      </c>
      <c r="D1721" t="e">
        <f>INDEX('[1]CÓDIGOS DE PRODUCTO'!$D$3:$D$1000,MATCH(C1721,'[1]CÓDIGOS DE PRODUCTO'!$A$3:$A$1000,0))</f>
        <v>#N/A</v>
      </c>
      <c r="E1721">
        <f>VLOOKUP(C1721,'[1]CÓDIGOS DE PRODUCTO'!$A$4:$B$156,2,FALSE)</f>
        <v>0</v>
      </c>
      <c r="F1721">
        <f>INDEX('[1]CÓDIGOS DE PRODUCTO'!$C$3:$C$1000,MATCH(C1721,'[1]CÓDIGOS DE PRODUCTO'!$A$3:$A$1000,0))</f>
        <v>0</v>
      </c>
      <c r="G1721">
        <f>+'[1]VENTAS(RESUMEN GLOBAL)'!D1721-'[1]VENTAS(RESUMEN GLOBAL)'!E1721</f>
        <v>0</v>
      </c>
      <c r="H1721" s="9">
        <f>+'[1]VENTAS(RESUMEN GLOBAL)'!K1721</f>
        <v>0</v>
      </c>
      <c r="I1721" s="8">
        <f>+G1721*'[1]VENTAS(RESUMEN GLOBAL)'!F1721</f>
        <v>0</v>
      </c>
      <c r="J1721" s="8">
        <f>'[1]VENTAS(RESUMEN GLOBAL)'!G1721*(1-'[1]VENTAS(RESUMEN GLOBAL)'!H1721)</f>
        <v>0</v>
      </c>
      <c r="K1721" s="8">
        <f t="shared" si="26"/>
        <v>0</v>
      </c>
      <c r="L1721" s="8">
        <f>+'[1]VENTAS(RESUMEN GLOBAL)'!J1721</f>
        <v>0</v>
      </c>
      <c r="M1721" s="8">
        <f>+Tabla1[[#This Row],[utilidad x dia]]*7</f>
        <v>0</v>
      </c>
    </row>
    <row r="1722" spans="1:13" x14ac:dyDescent="0.3">
      <c r="A1722" s="6">
        <f>+'[1]VENTAS(RESUMEN GLOBAL)'!L1722</f>
        <v>0</v>
      </c>
      <c r="B1722" s="6">
        <f>+'[1]VENTAS(RESUMEN GLOBAL)'!M1722</f>
        <v>0</v>
      </c>
      <c r="C1722">
        <f>+'[1]VENTAS(RESUMEN GLOBAL)'!B1722</f>
        <v>0</v>
      </c>
      <c r="D1722" t="e">
        <f>INDEX('[1]CÓDIGOS DE PRODUCTO'!$D$3:$D$1000,MATCH(C1722,'[1]CÓDIGOS DE PRODUCTO'!$A$3:$A$1000,0))</f>
        <v>#N/A</v>
      </c>
      <c r="E1722">
        <f>VLOOKUP(C1722,'[1]CÓDIGOS DE PRODUCTO'!$A$4:$B$156,2,FALSE)</f>
        <v>0</v>
      </c>
      <c r="F1722">
        <f>INDEX('[1]CÓDIGOS DE PRODUCTO'!$C$3:$C$1000,MATCH(C1722,'[1]CÓDIGOS DE PRODUCTO'!$A$3:$A$1000,0))</f>
        <v>0</v>
      </c>
      <c r="G1722">
        <f>+'[1]VENTAS(RESUMEN GLOBAL)'!D1722-'[1]VENTAS(RESUMEN GLOBAL)'!E1722</f>
        <v>0</v>
      </c>
      <c r="H1722" s="9">
        <f>+'[1]VENTAS(RESUMEN GLOBAL)'!K1722</f>
        <v>0</v>
      </c>
      <c r="I1722" s="8">
        <f>+G1722*'[1]VENTAS(RESUMEN GLOBAL)'!F1722</f>
        <v>0</v>
      </c>
      <c r="J1722" s="8">
        <f>'[1]VENTAS(RESUMEN GLOBAL)'!G1722*(1-'[1]VENTAS(RESUMEN GLOBAL)'!H1722)</f>
        <v>0</v>
      </c>
      <c r="K1722" s="8">
        <f t="shared" si="26"/>
        <v>0</v>
      </c>
      <c r="L1722" s="8">
        <f>+'[1]VENTAS(RESUMEN GLOBAL)'!J1722</f>
        <v>0</v>
      </c>
      <c r="M1722" s="8">
        <f>+Tabla1[[#This Row],[utilidad x dia]]*7</f>
        <v>0</v>
      </c>
    </row>
    <row r="1723" spans="1:13" x14ac:dyDescent="0.3">
      <c r="A1723" s="6">
        <f>+'[1]VENTAS(RESUMEN GLOBAL)'!L1723</f>
        <v>0</v>
      </c>
      <c r="B1723" s="6">
        <f>+'[1]VENTAS(RESUMEN GLOBAL)'!M1723</f>
        <v>0</v>
      </c>
      <c r="C1723">
        <f>+'[1]VENTAS(RESUMEN GLOBAL)'!B1723</f>
        <v>0</v>
      </c>
      <c r="D1723" t="e">
        <f>INDEX('[1]CÓDIGOS DE PRODUCTO'!$D$3:$D$1000,MATCH(C1723,'[1]CÓDIGOS DE PRODUCTO'!$A$3:$A$1000,0))</f>
        <v>#N/A</v>
      </c>
      <c r="E1723">
        <f>VLOOKUP(C1723,'[1]CÓDIGOS DE PRODUCTO'!$A$4:$B$156,2,FALSE)</f>
        <v>0</v>
      </c>
      <c r="F1723">
        <f>INDEX('[1]CÓDIGOS DE PRODUCTO'!$C$3:$C$1000,MATCH(C1723,'[1]CÓDIGOS DE PRODUCTO'!$A$3:$A$1000,0))</f>
        <v>0</v>
      </c>
      <c r="G1723">
        <f>+'[1]VENTAS(RESUMEN GLOBAL)'!D1723-'[1]VENTAS(RESUMEN GLOBAL)'!E1723</f>
        <v>0</v>
      </c>
      <c r="H1723" s="9">
        <f>+'[1]VENTAS(RESUMEN GLOBAL)'!K1723</f>
        <v>0</v>
      </c>
      <c r="I1723" s="8">
        <f>+G1723*'[1]VENTAS(RESUMEN GLOBAL)'!F1723</f>
        <v>0</v>
      </c>
      <c r="J1723" s="8">
        <f>'[1]VENTAS(RESUMEN GLOBAL)'!G1723*(1-'[1]VENTAS(RESUMEN GLOBAL)'!H1723)</f>
        <v>0</v>
      </c>
      <c r="K1723" s="8">
        <f t="shared" si="26"/>
        <v>0</v>
      </c>
      <c r="L1723" s="8">
        <f>+'[1]VENTAS(RESUMEN GLOBAL)'!J1723</f>
        <v>0</v>
      </c>
      <c r="M1723" s="8">
        <f>+Tabla1[[#This Row],[utilidad x dia]]*7</f>
        <v>0</v>
      </c>
    </row>
    <row r="1724" spans="1:13" x14ac:dyDescent="0.3">
      <c r="A1724" s="6">
        <f>+'[1]VENTAS(RESUMEN GLOBAL)'!L1724</f>
        <v>0</v>
      </c>
      <c r="B1724" s="6">
        <f>+'[1]VENTAS(RESUMEN GLOBAL)'!M1724</f>
        <v>0</v>
      </c>
      <c r="C1724">
        <f>+'[1]VENTAS(RESUMEN GLOBAL)'!B1724</f>
        <v>0</v>
      </c>
      <c r="D1724" t="e">
        <f>INDEX('[1]CÓDIGOS DE PRODUCTO'!$D$3:$D$1000,MATCH(C1724,'[1]CÓDIGOS DE PRODUCTO'!$A$3:$A$1000,0))</f>
        <v>#N/A</v>
      </c>
      <c r="E1724">
        <f>VLOOKUP(C1724,'[1]CÓDIGOS DE PRODUCTO'!$A$4:$B$156,2,FALSE)</f>
        <v>0</v>
      </c>
      <c r="F1724">
        <f>INDEX('[1]CÓDIGOS DE PRODUCTO'!$C$3:$C$1000,MATCH(C1724,'[1]CÓDIGOS DE PRODUCTO'!$A$3:$A$1000,0))</f>
        <v>0</v>
      </c>
      <c r="G1724">
        <f>+'[1]VENTAS(RESUMEN GLOBAL)'!D1724-'[1]VENTAS(RESUMEN GLOBAL)'!E1724</f>
        <v>0</v>
      </c>
      <c r="H1724" s="9">
        <f>+'[1]VENTAS(RESUMEN GLOBAL)'!K1724</f>
        <v>0</v>
      </c>
      <c r="I1724" s="8">
        <f>+G1724*'[1]VENTAS(RESUMEN GLOBAL)'!F1724</f>
        <v>0</v>
      </c>
      <c r="J1724" s="8">
        <f>'[1]VENTAS(RESUMEN GLOBAL)'!G1724*(1-'[1]VENTAS(RESUMEN GLOBAL)'!H1724)</f>
        <v>0</v>
      </c>
      <c r="K1724" s="8">
        <f t="shared" si="26"/>
        <v>0</v>
      </c>
      <c r="L1724" s="8">
        <f>+'[1]VENTAS(RESUMEN GLOBAL)'!J1724</f>
        <v>0</v>
      </c>
      <c r="M1724" s="8">
        <f>+Tabla1[[#This Row],[utilidad x dia]]*7</f>
        <v>0</v>
      </c>
    </row>
    <row r="1725" spans="1:13" x14ac:dyDescent="0.3">
      <c r="A1725" s="6">
        <f>+'[1]VENTAS(RESUMEN GLOBAL)'!L1725</f>
        <v>0</v>
      </c>
      <c r="B1725" s="6">
        <f>+'[1]VENTAS(RESUMEN GLOBAL)'!M1725</f>
        <v>0</v>
      </c>
      <c r="C1725">
        <f>+'[1]VENTAS(RESUMEN GLOBAL)'!B1725</f>
        <v>0</v>
      </c>
      <c r="D1725" t="e">
        <f>INDEX('[1]CÓDIGOS DE PRODUCTO'!$D$3:$D$1000,MATCH(C1725,'[1]CÓDIGOS DE PRODUCTO'!$A$3:$A$1000,0))</f>
        <v>#N/A</v>
      </c>
      <c r="E1725">
        <f>VLOOKUP(C1725,'[1]CÓDIGOS DE PRODUCTO'!$A$4:$B$156,2,FALSE)</f>
        <v>0</v>
      </c>
      <c r="F1725">
        <f>INDEX('[1]CÓDIGOS DE PRODUCTO'!$C$3:$C$1000,MATCH(C1725,'[1]CÓDIGOS DE PRODUCTO'!$A$3:$A$1000,0))</f>
        <v>0</v>
      </c>
      <c r="G1725">
        <f>+'[1]VENTAS(RESUMEN GLOBAL)'!D1725-'[1]VENTAS(RESUMEN GLOBAL)'!E1725</f>
        <v>0</v>
      </c>
      <c r="H1725" s="9">
        <f>+'[1]VENTAS(RESUMEN GLOBAL)'!K1725</f>
        <v>0</v>
      </c>
      <c r="I1725" s="8">
        <f>+G1725*'[1]VENTAS(RESUMEN GLOBAL)'!F1725</f>
        <v>0</v>
      </c>
      <c r="J1725" s="8">
        <f>'[1]VENTAS(RESUMEN GLOBAL)'!G1725*(1-'[1]VENTAS(RESUMEN GLOBAL)'!H1725)</f>
        <v>0</v>
      </c>
      <c r="K1725" s="8">
        <f t="shared" si="26"/>
        <v>0</v>
      </c>
      <c r="L1725" s="8">
        <f>+'[1]VENTAS(RESUMEN GLOBAL)'!J1725</f>
        <v>0</v>
      </c>
      <c r="M1725" s="8">
        <f>+Tabla1[[#This Row],[utilidad x dia]]*7</f>
        <v>0</v>
      </c>
    </row>
    <row r="1726" spans="1:13" x14ac:dyDescent="0.3">
      <c r="A1726" s="6">
        <f>+'[1]VENTAS(RESUMEN GLOBAL)'!L1726</f>
        <v>0</v>
      </c>
      <c r="B1726" s="6">
        <f>+'[1]VENTAS(RESUMEN GLOBAL)'!M1726</f>
        <v>0</v>
      </c>
      <c r="C1726">
        <f>+'[1]VENTAS(RESUMEN GLOBAL)'!B1726</f>
        <v>0</v>
      </c>
      <c r="D1726" t="e">
        <f>INDEX('[1]CÓDIGOS DE PRODUCTO'!$D$3:$D$1000,MATCH(C1726,'[1]CÓDIGOS DE PRODUCTO'!$A$3:$A$1000,0))</f>
        <v>#N/A</v>
      </c>
      <c r="E1726">
        <f>VLOOKUP(C1726,'[1]CÓDIGOS DE PRODUCTO'!$A$4:$B$156,2,FALSE)</f>
        <v>0</v>
      </c>
      <c r="F1726">
        <f>INDEX('[1]CÓDIGOS DE PRODUCTO'!$C$3:$C$1000,MATCH(C1726,'[1]CÓDIGOS DE PRODUCTO'!$A$3:$A$1000,0))</f>
        <v>0</v>
      </c>
      <c r="G1726">
        <f>+'[1]VENTAS(RESUMEN GLOBAL)'!D1726-'[1]VENTAS(RESUMEN GLOBAL)'!E1726</f>
        <v>0</v>
      </c>
      <c r="H1726" s="9">
        <f>+'[1]VENTAS(RESUMEN GLOBAL)'!K1726</f>
        <v>0</v>
      </c>
      <c r="I1726" s="8">
        <f>+G1726*'[1]VENTAS(RESUMEN GLOBAL)'!F1726</f>
        <v>0</v>
      </c>
      <c r="J1726" s="8">
        <f>'[1]VENTAS(RESUMEN GLOBAL)'!G1726*(1-'[1]VENTAS(RESUMEN GLOBAL)'!H1726)</f>
        <v>0</v>
      </c>
      <c r="K1726" s="8">
        <f t="shared" si="26"/>
        <v>0</v>
      </c>
      <c r="L1726" s="8">
        <f>+'[1]VENTAS(RESUMEN GLOBAL)'!J1726</f>
        <v>0</v>
      </c>
      <c r="M1726" s="8">
        <f>+Tabla1[[#This Row],[utilidad x dia]]*7</f>
        <v>0</v>
      </c>
    </row>
    <row r="1727" spans="1:13" x14ac:dyDescent="0.3">
      <c r="A1727" s="6">
        <f>+'[1]VENTAS(RESUMEN GLOBAL)'!L1727</f>
        <v>0</v>
      </c>
      <c r="B1727" s="6">
        <f>+'[1]VENTAS(RESUMEN GLOBAL)'!M1727</f>
        <v>0</v>
      </c>
      <c r="C1727">
        <f>+'[1]VENTAS(RESUMEN GLOBAL)'!B1727</f>
        <v>0</v>
      </c>
      <c r="D1727" t="e">
        <f>INDEX('[1]CÓDIGOS DE PRODUCTO'!$D$3:$D$1000,MATCH(C1727,'[1]CÓDIGOS DE PRODUCTO'!$A$3:$A$1000,0))</f>
        <v>#N/A</v>
      </c>
      <c r="E1727">
        <f>VLOOKUP(C1727,'[1]CÓDIGOS DE PRODUCTO'!$A$4:$B$156,2,FALSE)</f>
        <v>0</v>
      </c>
      <c r="F1727">
        <f>INDEX('[1]CÓDIGOS DE PRODUCTO'!$C$3:$C$1000,MATCH(C1727,'[1]CÓDIGOS DE PRODUCTO'!$A$3:$A$1000,0))</f>
        <v>0</v>
      </c>
      <c r="G1727">
        <f>+'[1]VENTAS(RESUMEN GLOBAL)'!D1727-'[1]VENTAS(RESUMEN GLOBAL)'!E1727</f>
        <v>0</v>
      </c>
      <c r="H1727" s="9">
        <f>+'[1]VENTAS(RESUMEN GLOBAL)'!K1727</f>
        <v>0</v>
      </c>
      <c r="I1727" s="8">
        <f>+G1727*'[1]VENTAS(RESUMEN GLOBAL)'!F1727</f>
        <v>0</v>
      </c>
      <c r="J1727" s="8">
        <f>'[1]VENTAS(RESUMEN GLOBAL)'!G1727*(1-'[1]VENTAS(RESUMEN GLOBAL)'!H1727)</f>
        <v>0</v>
      </c>
      <c r="K1727" s="8">
        <f t="shared" si="26"/>
        <v>0</v>
      </c>
      <c r="L1727" s="8">
        <f>+'[1]VENTAS(RESUMEN GLOBAL)'!J1727</f>
        <v>0</v>
      </c>
      <c r="M1727" s="8">
        <f>+Tabla1[[#This Row],[utilidad x dia]]*7</f>
        <v>0</v>
      </c>
    </row>
    <row r="1728" spans="1:13" x14ac:dyDescent="0.3">
      <c r="A1728" s="6">
        <f>+'[1]VENTAS(RESUMEN GLOBAL)'!L1728</f>
        <v>0</v>
      </c>
      <c r="B1728" s="6">
        <f>+'[1]VENTAS(RESUMEN GLOBAL)'!M1728</f>
        <v>0</v>
      </c>
      <c r="C1728">
        <f>+'[1]VENTAS(RESUMEN GLOBAL)'!B1728</f>
        <v>0</v>
      </c>
      <c r="D1728" t="e">
        <f>INDEX('[1]CÓDIGOS DE PRODUCTO'!$D$3:$D$1000,MATCH(C1728,'[1]CÓDIGOS DE PRODUCTO'!$A$3:$A$1000,0))</f>
        <v>#N/A</v>
      </c>
      <c r="E1728">
        <f>VLOOKUP(C1728,'[1]CÓDIGOS DE PRODUCTO'!$A$4:$B$156,2,FALSE)</f>
        <v>0</v>
      </c>
      <c r="F1728">
        <f>INDEX('[1]CÓDIGOS DE PRODUCTO'!$C$3:$C$1000,MATCH(C1728,'[1]CÓDIGOS DE PRODUCTO'!$A$3:$A$1000,0))</f>
        <v>0</v>
      </c>
      <c r="G1728">
        <f>+'[1]VENTAS(RESUMEN GLOBAL)'!D1728-'[1]VENTAS(RESUMEN GLOBAL)'!E1728</f>
        <v>0</v>
      </c>
      <c r="H1728" s="9">
        <f>+'[1]VENTAS(RESUMEN GLOBAL)'!K1728</f>
        <v>0</v>
      </c>
      <c r="I1728" s="8">
        <f>+G1728*'[1]VENTAS(RESUMEN GLOBAL)'!F1728</f>
        <v>0</v>
      </c>
      <c r="J1728" s="8">
        <f>'[1]VENTAS(RESUMEN GLOBAL)'!G1728*(1-'[1]VENTAS(RESUMEN GLOBAL)'!H1728)</f>
        <v>0</v>
      </c>
      <c r="K1728" s="8">
        <f t="shared" si="26"/>
        <v>0</v>
      </c>
      <c r="L1728" s="8">
        <f>+'[1]VENTAS(RESUMEN GLOBAL)'!J1728</f>
        <v>0</v>
      </c>
      <c r="M1728" s="8">
        <f>+Tabla1[[#This Row],[utilidad x dia]]*7</f>
        <v>0</v>
      </c>
    </row>
    <row r="1729" spans="1:13" x14ac:dyDescent="0.3">
      <c r="A1729" s="6">
        <f>+'[1]VENTAS(RESUMEN GLOBAL)'!L1729</f>
        <v>0</v>
      </c>
      <c r="B1729" s="6">
        <f>+'[1]VENTAS(RESUMEN GLOBAL)'!M1729</f>
        <v>0</v>
      </c>
      <c r="C1729">
        <f>+'[1]VENTAS(RESUMEN GLOBAL)'!B1729</f>
        <v>0</v>
      </c>
      <c r="D1729" t="e">
        <f>INDEX('[1]CÓDIGOS DE PRODUCTO'!$D$3:$D$1000,MATCH(C1729,'[1]CÓDIGOS DE PRODUCTO'!$A$3:$A$1000,0))</f>
        <v>#N/A</v>
      </c>
      <c r="E1729">
        <f>VLOOKUP(C1729,'[1]CÓDIGOS DE PRODUCTO'!$A$4:$B$156,2,FALSE)</f>
        <v>0</v>
      </c>
      <c r="F1729">
        <f>INDEX('[1]CÓDIGOS DE PRODUCTO'!$C$3:$C$1000,MATCH(C1729,'[1]CÓDIGOS DE PRODUCTO'!$A$3:$A$1000,0))</f>
        <v>0</v>
      </c>
      <c r="G1729">
        <f>+'[1]VENTAS(RESUMEN GLOBAL)'!D1729-'[1]VENTAS(RESUMEN GLOBAL)'!E1729</f>
        <v>0</v>
      </c>
      <c r="H1729" s="9">
        <f>+'[1]VENTAS(RESUMEN GLOBAL)'!K1729</f>
        <v>0</v>
      </c>
      <c r="I1729" s="8">
        <f>+G1729*'[1]VENTAS(RESUMEN GLOBAL)'!F1729</f>
        <v>0</v>
      </c>
      <c r="J1729" s="8">
        <f>'[1]VENTAS(RESUMEN GLOBAL)'!G1729*(1-'[1]VENTAS(RESUMEN GLOBAL)'!H1729)</f>
        <v>0</v>
      </c>
      <c r="K1729" s="8">
        <f t="shared" si="26"/>
        <v>0</v>
      </c>
      <c r="L1729" s="8">
        <f>+'[1]VENTAS(RESUMEN GLOBAL)'!J1729</f>
        <v>0</v>
      </c>
      <c r="M1729" s="8">
        <f>+Tabla1[[#This Row],[utilidad x dia]]*7</f>
        <v>0</v>
      </c>
    </row>
    <row r="1730" spans="1:13" x14ac:dyDescent="0.3">
      <c r="A1730" s="6">
        <f>+'[1]VENTAS(RESUMEN GLOBAL)'!L1730</f>
        <v>0</v>
      </c>
      <c r="B1730" s="6">
        <f>+'[1]VENTAS(RESUMEN GLOBAL)'!M1730</f>
        <v>0</v>
      </c>
      <c r="C1730">
        <f>+'[1]VENTAS(RESUMEN GLOBAL)'!B1730</f>
        <v>0</v>
      </c>
      <c r="D1730" t="e">
        <f>INDEX('[1]CÓDIGOS DE PRODUCTO'!$D$3:$D$1000,MATCH(C1730,'[1]CÓDIGOS DE PRODUCTO'!$A$3:$A$1000,0))</f>
        <v>#N/A</v>
      </c>
      <c r="E1730">
        <f>VLOOKUP(C1730,'[1]CÓDIGOS DE PRODUCTO'!$A$4:$B$156,2,FALSE)</f>
        <v>0</v>
      </c>
      <c r="F1730">
        <f>INDEX('[1]CÓDIGOS DE PRODUCTO'!$C$3:$C$1000,MATCH(C1730,'[1]CÓDIGOS DE PRODUCTO'!$A$3:$A$1000,0))</f>
        <v>0</v>
      </c>
      <c r="G1730">
        <f>+'[1]VENTAS(RESUMEN GLOBAL)'!D1730-'[1]VENTAS(RESUMEN GLOBAL)'!E1730</f>
        <v>0</v>
      </c>
      <c r="H1730" s="9">
        <f>+'[1]VENTAS(RESUMEN GLOBAL)'!K1730</f>
        <v>0</v>
      </c>
      <c r="I1730" s="8">
        <f>+G1730*'[1]VENTAS(RESUMEN GLOBAL)'!F1730</f>
        <v>0</v>
      </c>
      <c r="J1730" s="8">
        <f>'[1]VENTAS(RESUMEN GLOBAL)'!G1730*(1-'[1]VENTAS(RESUMEN GLOBAL)'!H1730)</f>
        <v>0</v>
      </c>
      <c r="K1730" s="8">
        <f t="shared" si="26"/>
        <v>0</v>
      </c>
      <c r="L1730" s="8">
        <f>+'[1]VENTAS(RESUMEN GLOBAL)'!J1730</f>
        <v>0</v>
      </c>
      <c r="M1730" s="8">
        <f>+Tabla1[[#This Row],[utilidad x dia]]*7</f>
        <v>0</v>
      </c>
    </row>
    <row r="1731" spans="1:13" x14ac:dyDescent="0.3">
      <c r="A1731" s="6">
        <f>+'[1]VENTAS(RESUMEN GLOBAL)'!L1731</f>
        <v>0</v>
      </c>
      <c r="B1731" s="6">
        <f>+'[1]VENTAS(RESUMEN GLOBAL)'!M1731</f>
        <v>0</v>
      </c>
      <c r="C1731">
        <f>+'[1]VENTAS(RESUMEN GLOBAL)'!B1731</f>
        <v>0</v>
      </c>
      <c r="D1731" t="e">
        <f>INDEX('[1]CÓDIGOS DE PRODUCTO'!$D$3:$D$1000,MATCH(C1731,'[1]CÓDIGOS DE PRODUCTO'!$A$3:$A$1000,0))</f>
        <v>#N/A</v>
      </c>
      <c r="E1731">
        <f>VLOOKUP(C1731,'[1]CÓDIGOS DE PRODUCTO'!$A$4:$B$156,2,FALSE)</f>
        <v>0</v>
      </c>
      <c r="F1731">
        <f>INDEX('[1]CÓDIGOS DE PRODUCTO'!$C$3:$C$1000,MATCH(C1731,'[1]CÓDIGOS DE PRODUCTO'!$A$3:$A$1000,0))</f>
        <v>0</v>
      </c>
      <c r="G1731">
        <f>+'[1]VENTAS(RESUMEN GLOBAL)'!D1731-'[1]VENTAS(RESUMEN GLOBAL)'!E1731</f>
        <v>0</v>
      </c>
      <c r="H1731" s="9">
        <f>+'[1]VENTAS(RESUMEN GLOBAL)'!K1731</f>
        <v>0</v>
      </c>
      <c r="I1731" s="8">
        <f>+G1731*'[1]VENTAS(RESUMEN GLOBAL)'!F1731</f>
        <v>0</v>
      </c>
      <c r="J1731" s="8">
        <f>'[1]VENTAS(RESUMEN GLOBAL)'!G1731*(1-'[1]VENTAS(RESUMEN GLOBAL)'!H1731)</f>
        <v>0</v>
      </c>
      <c r="K1731" s="8">
        <f t="shared" ref="K1731:K1794" si="27">+I1731-J1731</f>
        <v>0</v>
      </c>
      <c r="L1731" s="8">
        <f>+'[1]VENTAS(RESUMEN GLOBAL)'!J1731</f>
        <v>0</v>
      </c>
      <c r="M1731" s="8">
        <f>+Tabla1[[#This Row],[utilidad x dia]]*7</f>
        <v>0</v>
      </c>
    </row>
    <row r="1732" spans="1:13" x14ac:dyDescent="0.3">
      <c r="A1732" s="6">
        <f>+'[1]VENTAS(RESUMEN GLOBAL)'!L1732</f>
        <v>0</v>
      </c>
      <c r="B1732" s="6">
        <f>+'[1]VENTAS(RESUMEN GLOBAL)'!M1732</f>
        <v>0</v>
      </c>
      <c r="C1732">
        <f>+'[1]VENTAS(RESUMEN GLOBAL)'!B1732</f>
        <v>0</v>
      </c>
      <c r="D1732" t="e">
        <f>INDEX('[1]CÓDIGOS DE PRODUCTO'!$D$3:$D$1000,MATCH(C1732,'[1]CÓDIGOS DE PRODUCTO'!$A$3:$A$1000,0))</f>
        <v>#N/A</v>
      </c>
      <c r="E1732">
        <f>VLOOKUP(C1732,'[1]CÓDIGOS DE PRODUCTO'!$A$4:$B$156,2,FALSE)</f>
        <v>0</v>
      </c>
      <c r="F1732">
        <f>INDEX('[1]CÓDIGOS DE PRODUCTO'!$C$3:$C$1000,MATCH(C1732,'[1]CÓDIGOS DE PRODUCTO'!$A$3:$A$1000,0))</f>
        <v>0</v>
      </c>
      <c r="G1732">
        <f>+'[1]VENTAS(RESUMEN GLOBAL)'!D1732-'[1]VENTAS(RESUMEN GLOBAL)'!E1732</f>
        <v>0</v>
      </c>
      <c r="H1732" s="9">
        <f>+'[1]VENTAS(RESUMEN GLOBAL)'!K1732</f>
        <v>0</v>
      </c>
      <c r="I1732" s="8">
        <f>+G1732*'[1]VENTAS(RESUMEN GLOBAL)'!F1732</f>
        <v>0</v>
      </c>
      <c r="J1732" s="8">
        <f>'[1]VENTAS(RESUMEN GLOBAL)'!G1732*(1-'[1]VENTAS(RESUMEN GLOBAL)'!H1732)</f>
        <v>0</v>
      </c>
      <c r="K1732" s="8">
        <f t="shared" si="27"/>
        <v>0</v>
      </c>
      <c r="L1732" s="8">
        <f>+'[1]VENTAS(RESUMEN GLOBAL)'!J1732</f>
        <v>0</v>
      </c>
      <c r="M1732" s="8">
        <f>+Tabla1[[#This Row],[utilidad x dia]]*7</f>
        <v>0</v>
      </c>
    </row>
    <row r="1733" spans="1:13" x14ac:dyDescent="0.3">
      <c r="A1733" s="6">
        <f>+'[1]VENTAS(RESUMEN GLOBAL)'!L1733</f>
        <v>0</v>
      </c>
      <c r="B1733" s="6">
        <f>+'[1]VENTAS(RESUMEN GLOBAL)'!M1733</f>
        <v>0</v>
      </c>
      <c r="C1733">
        <f>+'[1]VENTAS(RESUMEN GLOBAL)'!B1733</f>
        <v>0</v>
      </c>
      <c r="D1733" t="e">
        <f>INDEX('[1]CÓDIGOS DE PRODUCTO'!$D$3:$D$1000,MATCH(C1733,'[1]CÓDIGOS DE PRODUCTO'!$A$3:$A$1000,0))</f>
        <v>#N/A</v>
      </c>
      <c r="E1733">
        <f>VLOOKUP(C1733,'[1]CÓDIGOS DE PRODUCTO'!$A$4:$B$156,2,FALSE)</f>
        <v>0</v>
      </c>
      <c r="F1733">
        <f>INDEX('[1]CÓDIGOS DE PRODUCTO'!$C$3:$C$1000,MATCH(C1733,'[1]CÓDIGOS DE PRODUCTO'!$A$3:$A$1000,0))</f>
        <v>0</v>
      </c>
      <c r="G1733">
        <f>+'[1]VENTAS(RESUMEN GLOBAL)'!D1733-'[1]VENTAS(RESUMEN GLOBAL)'!E1733</f>
        <v>0</v>
      </c>
      <c r="H1733" s="9">
        <f>+'[1]VENTAS(RESUMEN GLOBAL)'!K1733</f>
        <v>0</v>
      </c>
      <c r="I1733" s="8">
        <f>+G1733*'[1]VENTAS(RESUMEN GLOBAL)'!F1733</f>
        <v>0</v>
      </c>
      <c r="J1733" s="8">
        <f>'[1]VENTAS(RESUMEN GLOBAL)'!G1733*(1-'[1]VENTAS(RESUMEN GLOBAL)'!H1733)</f>
        <v>0</v>
      </c>
      <c r="K1733" s="8">
        <f t="shared" si="27"/>
        <v>0</v>
      </c>
      <c r="L1733" s="8">
        <f>+'[1]VENTAS(RESUMEN GLOBAL)'!J1733</f>
        <v>0</v>
      </c>
      <c r="M1733" s="8">
        <f>+Tabla1[[#This Row],[utilidad x dia]]*7</f>
        <v>0</v>
      </c>
    </row>
    <row r="1734" spans="1:13" x14ac:dyDescent="0.3">
      <c r="A1734" s="6">
        <f>+'[1]VENTAS(RESUMEN GLOBAL)'!L1734</f>
        <v>0</v>
      </c>
      <c r="B1734" s="6">
        <f>+'[1]VENTAS(RESUMEN GLOBAL)'!M1734</f>
        <v>0</v>
      </c>
      <c r="C1734">
        <f>+'[1]VENTAS(RESUMEN GLOBAL)'!B1734</f>
        <v>0</v>
      </c>
      <c r="D1734" t="e">
        <f>INDEX('[1]CÓDIGOS DE PRODUCTO'!$D$3:$D$1000,MATCH(C1734,'[1]CÓDIGOS DE PRODUCTO'!$A$3:$A$1000,0))</f>
        <v>#N/A</v>
      </c>
      <c r="E1734">
        <f>VLOOKUP(C1734,'[1]CÓDIGOS DE PRODUCTO'!$A$4:$B$156,2,FALSE)</f>
        <v>0</v>
      </c>
      <c r="F1734">
        <f>INDEX('[1]CÓDIGOS DE PRODUCTO'!$C$3:$C$1000,MATCH(C1734,'[1]CÓDIGOS DE PRODUCTO'!$A$3:$A$1000,0))</f>
        <v>0</v>
      </c>
      <c r="G1734">
        <f>+'[1]VENTAS(RESUMEN GLOBAL)'!D1734-'[1]VENTAS(RESUMEN GLOBAL)'!E1734</f>
        <v>0</v>
      </c>
      <c r="H1734" s="9">
        <f>+'[1]VENTAS(RESUMEN GLOBAL)'!K1734</f>
        <v>0</v>
      </c>
      <c r="I1734" s="8">
        <f>+G1734*'[1]VENTAS(RESUMEN GLOBAL)'!F1734</f>
        <v>0</v>
      </c>
      <c r="J1734" s="8">
        <f>'[1]VENTAS(RESUMEN GLOBAL)'!G1734*(1-'[1]VENTAS(RESUMEN GLOBAL)'!H1734)</f>
        <v>0</v>
      </c>
      <c r="K1734" s="8">
        <f t="shared" si="27"/>
        <v>0</v>
      </c>
      <c r="L1734" s="8">
        <f>+'[1]VENTAS(RESUMEN GLOBAL)'!J1734</f>
        <v>0</v>
      </c>
      <c r="M1734" s="8">
        <f>+Tabla1[[#This Row],[utilidad x dia]]*7</f>
        <v>0</v>
      </c>
    </row>
    <row r="1735" spans="1:13" x14ac:dyDescent="0.3">
      <c r="A1735" s="6">
        <f>+'[1]VENTAS(RESUMEN GLOBAL)'!L1735</f>
        <v>0</v>
      </c>
      <c r="B1735" s="6">
        <f>+'[1]VENTAS(RESUMEN GLOBAL)'!M1735</f>
        <v>0</v>
      </c>
      <c r="C1735">
        <f>+'[1]VENTAS(RESUMEN GLOBAL)'!B1735</f>
        <v>0</v>
      </c>
      <c r="D1735" t="e">
        <f>INDEX('[1]CÓDIGOS DE PRODUCTO'!$D$3:$D$1000,MATCH(C1735,'[1]CÓDIGOS DE PRODUCTO'!$A$3:$A$1000,0))</f>
        <v>#N/A</v>
      </c>
      <c r="E1735">
        <f>VLOOKUP(C1735,'[1]CÓDIGOS DE PRODUCTO'!$A$4:$B$156,2,FALSE)</f>
        <v>0</v>
      </c>
      <c r="F1735">
        <f>INDEX('[1]CÓDIGOS DE PRODUCTO'!$C$3:$C$1000,MATCH(C1735,'[1]CÓDIGOS DE PRODUCTO'!$A$3:$A$1000,0))</f>
        <v>0</v>
      </c>
      <c r="G1735">
        <f>+'[1]VENTAS(RESUMEN GLOBAL)'!D1735-'[1]VENTAS(RESUMEN GLOBAL)'!E1735</f>
        <v>0</v>
      </c>
      <c r="H1735" s="9">
        <f>+'[1]VENTAS(RESUMEN GLOBAL)'!K1735</f>
        <v>0</v>
      </c>
      <c r="I1735" s="8">
        <f>+G1735*'[1]VENTAS(RESUMEN GLOBAL)'!F1735</f>
        <v>0</v>
      </c>
      <c r="J1735" s="8">
        <f>'[1]VENTAS(RESUMEN GLOBAL)'!G1735*(1-'[1]VENTAS(RESUMEN GLOBAL)'!H1735)</f>
        <v>0</v>
      </c>
      <c r="K1735" s="8">
        <f t="shared" si="27"/>
        <v>0</v>
      </c>
      <c r="L1735" s="8">
        <f>+'[1]VENTAS(RESUMEN GLOBAL)'!J1735</f>
        <v>0</v>
      </c>
      <c r="M1735" s="8">
        <f>+Tabla1[[#This Row],[utilidad x dia]]*7</f>
        <v>0</v>
      </c>
    </row>
    <row r="1736" spans="1:13" x14ac:dyDescent="0.3">
      <c r="A1736" s="6">
        <f>+'[1]VENTAS(RESUMEN GLOBAL)'!L1736</f>
        <v>0</v>
      </c>
      <c r="B1736" s="6">
        <f>+'[1]VENTAS(RESUMEN GLOBAL)'!M1736</f>
        <v>0</v>
      </c>
      <c r="C1736">
        <f>+'[1]VENTAS(RESUMEN GLOBAL)'!B1736</f>
        <v>0</v>
      </c>
      <c r="D1736" t="e">
        <f>INDEX('[1]CÓDIGOS DE PRODUCTO'!$D$3:$D$1000,MATCH(C1736,'[1]CÓDIGOS DE PRODUCTO'!$A$3:$A$1000,0))</f>
        <v>#N/A</v>
      </c>
      <c r="E1736">
        <f>VLOOKUP(C1736,'[1]CÓDIGOS DE PRODUCTO'!$A$4:$B$156,2,FALSE)</f>
        <v>0</v>
      </c>
      <c r="F1736">
        <f>INDEX('[1]CÓDIGOS DE PRODUCTO'!$C$3:$C$1000,MATCH(C1736,'[1]CÓDIGOS DE PRODUCTO'!$A$3:$A$1000,0))</f>
        <v>0</v>
      </c>
      <c r="G1736">
        <f>+'[1]VENTAS(RESUMEN GLOBAL)'!D1736-'[1]VENTAS(RESUMEN GLOBAL)'!E1736</f>
        <v>0</v>
      </c>
      <c r="H1736" s="9">
        <f>+'[1]VENTAS(RESUMEN GLOBAL)'!K1736</f>
        <v>0</v>
      </c>
      <c r="I1736" s="8">
        <f>+G1736*'[1]VENTAS(RESUMEN GLOBAL)'!F1736</f>
        <v>0</v>
      </c>
      <c r="J1736" s="8">
        <f>'[1]VENTAS(RESUMEN GLOBAL)'!G1736*(1-'[1]VENTAS(RESUMEN GLOBAL)'!H1736)</f>
        <v>0</v>
      </c>
      <c r="K1736" s="8">
        <f t="shared" si="27"/>
        <v>0</v>
      </c>
      <c r="L1736" s="8">
        <f>+'[1]VENTAS(RESUMEN GLOBAL)'!J1736</f>
        <v>0</v>
      </c>
      <c r="M1736" s="8">
        <f>+Tabla1[[#This Row],[utilidad x dia]]*7</f>
        <v>0</v>
      </c>
    </row>
    <row r="1737" spans="1:13" x14ac:dyDescent="0.3">
      <c r="A1737" s="6">
        <f>+'[1]VENTAS(RESUMEN GLOBAL)'!L1737</f>
        <v>0</v>
      </c>
      <c r="B1737" s="6">
        <f>+'[1]VENTAS(RESUMEN GLOBAL)'!M1737</f>
        <v>0</v>
      </c>
      <c r="C1737">
        <f>+'[1]VENTAS(RESUMEN GLOBAL)'!B1737</f>
        <v>0</v>
      </c>
      <c r="D1737" t="e">
        <f>INDEX('[1]CÓDIGOS DE PRODUCTO'!$D$3:$D$1000,MATCH(C1737,'[1]CÓDIGOS DE PRODUCTO'!$A$3:$A$1000,0))</f>
        <v>#N/A</v>
      </c>
      <c r="E1737">
        <f>VLOOKUP(C1737,'[1]CÓDIGOS DE PRODUCTO'!$A$4:$B$156,2,FALSE)</f>
        <v>0</v>
      </c>
      <c r="F1737">
        <f>INDEX('[1]CÓDIGOS DE PRODUCTO'!$C$3:$C$1000,MATCH(C1737,'[1]CÓDIGOS DE PRODUCTO'!$A$3:$A$1000,0))</f>
        <v>0</v>
      </c>
      <c r="G1737">
        <f>+'[1]VENTAS(RESUMEN GLOBAL)'!D1737-'[1]VENTAS(RESUMEN GLOBAL)'!E1737</f>
        <v>0</v>
      </c>
      <c r="H1737" s="9">
        <f>+'[1]VENTAS(RESUMEN GLOBAL)'!K1737</f>
        <v>0</v>
      </c>
      <c r="I1737" s="8">
        <f>+G1737*'[1]VENTAS(RESUMEN GLOBAL)'!F1737</f>
        <v>0</v>
      </c>
      <c r="J1737" s="8">
        <f>'[1]VENTAS(RESUMEN GLOBAL)'!G1737*(1-'[1]VENTAS(RESUMEN GLOBAL)'!H1737)</f>
        <v>0</v>
      </c>
      <c r="K1737" s="8">
        <f t="shared" si="27"/>
        <v>0</v>
      </c>
      <c r="L1737" s="8">
        <f>+'[1]VENTAS(RESUMEN GLOBAL)'!J1737</f>
        <v>0</v>
      </c>
      <c r="M1737" s="8">
        <f>+Tabla1[[#This Row],[utilidad x dia]]*7</f>
        <v>0</v>
      </c>
    </row>
    <row r="1738" spans="1:13" x14ac:dyDescent="0.3">
      <c r="A1738" s="6">
        <f>+'[1]VENTAS(RESUMEN GLOBAL)'!L1738</f>
        <v>0</v>
      </c>
      <c r="B1738" s="6">
        <f>+'[1]VENTAS(RESUMEN GLOBAL)'!M1738</f>
        <v>0</v>
      </c>
      <c r="C1738">
        <f>+'[1]VENTAS(RESUMEN GLOBAL)'!B1738</f>
        <v>0</v>
      </c>
      <c r="D1738" t="e">
        <f>INDEX('[1]CÓDIGOS DE PRODUCTO'!$D$3:$D$1000,MATCH(C1738,'[1]CÓDIGOS DE PRODUCTO'!$A$3:$A$1000,0))</f>
        <v>#N/A</v>
      </c>
      <c r="E1738">
        <f>VLOOKUP(C1738,'[1]CÓDIGOS DE PRODUCTO'!$A$4:$B$156,2,FALSE)</f>
        <v>0</v>
      </c>
      <c r="F1738">
        <f>INDEX('[1]CÓDIGOS DE PRODUCTO'!$C$3:$C$1000,MATCH(C1738,'[1]CÓDIGOS DE PRODUCTO'!$A$3:$A$1000,0))</f>
        <v>0</v>
      </c>
      <c r="G1738">
        <f>+'[1]VENTAS(RESUMEN GLOBAL)'!D1738-'[1]VENTAS(RESUMEN GLOBAL)'!E1738</f>
        <v>0</v>
      </c>
      <c r="H1738" s="9">
        <f>+'[1]VENTAS(RESUMEN GLOBAL)'!K1738</f>
        <v>0</v>
      </c>
      <c r="I1738" s="8">
        <f>+G1738*'[1]VENTAS(RESUMEN GLOBAL)'!F1738</f>
        <v>0</v>
      </c>
      <c r="J1738" s="8">
        <f>'[1]VENTAS(RESUMEN GLOBAL)'!G1738*(1-'[1]VENTAS(RESUMEN GLOBAL)'!H1738)</f>
        <v>0</v>
      </c>
      <c r="K1738" s="8">
        <f t="shared" si="27"/>
        <v>0</v>
      </c>
      <c r="L1738" s="8">
        <f>+'[1]VENTAS(RESUMEN GLOBAL)'!J1738</f>
        <v>0</v>
      </c>
      <c r="M1738" s="8">
        <f>+Tabla1[[#This Row],[utilidad x dia]]*7</f>
        <v>0</v>
      </c>
    </row>
    <row r="1739" spans="1:13" x14ac:dyDescent="0.3">
      <c r="A1739" s="6">
        <f>+'[1]VENTAS(RESUMEN GLOBAL)'!L1739</f>
        <v>0</v>
      </c>
      <c r="B1739" s="6">
        <f>+'[1]VENTAS(RESUMEN GLOBAL)'!M1739</f>
        <v>0</v>
      </c>
      <c r="C1739">
        <f>+'[1]VENTAS(RESUMEN GLOBAL)'!B1739</f>
        <v>0</v>
      </c>
      <c r="D1739" t="e">
        <f>INDEX('[1]CÓDIGOS DE PRODUCTO'!$D$3:$D$1000,MATCH(C1739,'[1]CÓDIGOS DE PRODUCTO'!$A$3:$A$1000,0))</f>
        <v>#N/A</v>
      </c>
      <c r="E1739">
        <f>VLOOKUP(C1739,'[1]CÓDIGOS DE PRODUCTO'!$A$4:$B$156,2,FALSE)</f>
        <v>0</v>
      </c>
      <c r="F1739">
        <f>INDEX('[1]CÓDIGOS DE PRODUCTO'!$C$3:$C$1000,MATCH(C1739,'[1]CÓDIGOS DE PRODUCTO'!$A$3:$A$1000,0))</f>
        <v>0</v>
      </c>
      <c r="G1739">
        <f>+'[1]VENTAS(RESUMEN GLOBAL)'!D1739-'[1]VENTAS(RESUMEN GLOBAL)'!E1739</f>
        <v>0</v>
      </c>
      <c r="H1739" s="9">
        <f>+'[1]VENTAS(RESUMEN GLOBAL)'!K1739</f>
        <v>0</v>
      </c>
      <c r="I1739" s="8">
        <f>+G1739*'[1]VENTAS(RESUMEN GLOBAL)'!F1739</f>
        <v>0</v>
      </c>
      <c r="J1739" s="8">
        <f>'[1]VENTAS(RESUMEN GLOBAL)'!G1739*(1-'[1]VENTAS(RESUMEN GLOBAL)'!H1739)</f>
        <v>0</v>
      </c>
      <c r="K1739" s="8">
        <f t="shared" si="27"/>
        <v>0</v>
      </c>
      <c r="L1739" s="8">
        <f>+'[1]VENTAS(RESUMEN GLOBAL)'!J1739</f>
        <v>0</v>
      </c>
      <c r="M1739" s="8">
        <f>+Tabla1[[#This Row],[utilidad x dia]]*7</f>
        <v>0</v>
      </c>
    </row>
    <row r="1740" spans="1:13" x14ac:dyDescent="0.3">
      <c r="A1740" s="6">
        <f>+'[1]VENTAS(RESUMEN GLOBAL)'!L1740</f>
        <v>0</v>
      </c>
      <c r="B1740" s="6">
        <f>+'[1]VENTAS(RESUMEN GLOBAL)'!M1740</f>
        <v>0</v>
      </c>
      <c r="C1740">
        <f>+'[1]VENTAS(RESUMEN GLOBAL)'!B1740</f>
        <v>0</v>
      </c>
      <c r="D1740" t="e">
        <f>INDEX('[1]CÓDIGOS DE PRODUCTO'!$D$3:$D$1000,MATCH(C1740,'[1]CÓDIGOS DE PRODUCTO'!$A$3:$A$1000,0))</f>
        <v>#N/A</v>
      </c>
      <c r="E1740">
        <f>VLOOKUP(C1740,'[1]CÓDIGOS DE PRODUCTO'!$A$4:$B$156,2,FALSE)</f>
        <v>0</v>
      </c>
      <c r="F1740">
        <f>INDEX('[1]CÓDIGOS DE PRODUCTO'!$C$3:$C$1000,MATCH(C1740,'[1]CÓDIGOS DE PRODUCTO'!$A$3:$A$1000,0))</f>
        <v>0</v>
      </c>
      <c r="G1740">
        <f>+'[1]VENTAS(RESUMEN GLOBAL)'!D1740-'[1]VENTAS(RESUMEN GLOBAL)'!E1740</f>
        <v>0</v>
      </c>
      <c r="H1740" s="9">
        <f>+'[1]VENTAS(RESUMEN GLOBAL)'!K1740</f>
        <v>0</v>
      </c>
      <c r="I1740" s="8">
        <f>+G1740*'[1]VENTAS(RESUMEN GLOBAL)'!F1740</f>
        <v>0</v>
      </c>
      <c r="J1740" s="8">
        <f>'[1]VENTAS(RESUMEN GLOBAL)'!G1740*(1-'[1]VENTAS(RESUMEN GLOBAL)'!H1740)</f>
        <v>0</v>
      </c>
      <c r="K1740" s="8">
        <f t="shared" si="27"/>
        <v>0</v>
      </c>
      <c r="L1740" s="8">
        <f>+'[1]VENTAS(RESUMEN GLOBAL)'!J1740</f>
        <v>0</v>
      </c>
      <c r="M1740" s="8">
        <f>+Tabla1[[#This Row],[utilidad x dia]]*7</f>
        <v>0</v>
      </c>
    </row>
    <row r="1741" spans="1:13" x14ac:dyDescent="0.3">
      <c r="A1741" s="6">
        <f>+'[1]VENTAS(RESUMEN GLOBAL)'!L1741</f>
        <v>0</v>
      </c>
      <c r="B1741" s="6">
        <f>+'[1]VENTAS(RESUMEN GLOBAL)'!M1741</f>
        <v>0</v>
      </c>
      <c r="C1741">
        <f>+'[1]VENTAS(RESUMEN GLOBAL)'!B1741</f>
        <v>0</v>
      </c>
      <c r="D1741" t="e">
        <f>INDEX('[1]CÓDIGOS DE PRODUCTO'!$D$3:$D$1000,MATCH(C1741,'[1]CÓDIGOS DE PRODUCTO'!$A$3:$A$1000,0))</f>
        <v>#N/A</v>
      </c>
      <c r="E1741">
        <f>VLOOKUP(C1741,'[1]CÓDIGOS DE PRODUCTO'!$A$4:$B$156,2,FALSE)</f>
        <v>0</v>
      </c>
      <c r="F1741">
        <f>INDEX('[1]CÓDIGOS DE PRODUCTO'!$C$3:$C$1000,MATCH(C1741,'[1]CÓDIGOS DE PRODUCTO'!$A$3:$A$1000,0))</f>
        <v>0</v>
      </c>
      <c r="G1741">
        <f>+'[1]VENTAS(RESUMEN GLOBAL)'!D1741-'[1]VENTAS(RESUMEN GLOBAL)'!E1741</f>
        <v>0</v>
      </c>
      <c r="H1741" s="9">
        <f>+'[1]VENTAS(RESUMEN GLOBAL)'!K1741</f>
        <v>0</v>
      </c>
      <c r="I1741" s="8">
        <f>+G1741*'[1]VENTAS(RESUMEN GLOBAL)'!F1741</f>
        <v>0</v>
      </c>
      <c r="J1741" s="8">
        <f>'[1]VENTAS(RESUMEN GLOBAL)'!G1741*(1-'[1]VENTAS(RESUMEN GLOBAL)'!H1741)</f>
        <v>0</v>
      </c>
      <c r="K1741" s="8">
        <f t="shared" si="27"/>
        <v>0</v>
      </c>
      <c r="L1741" s="8">
        <f>+'[1]VENTAS(RESUMEN GLOBAL)'!J1741</f>
        <v>0</v>
      </c>
      <c r="M1741" s="8">
        <f>+Tabla1[[#This Row],[utilidad x dia]]*7</f>
        <v>0</v>
      </c>
    </row>
    <row r="1742" spans="1:13" x14ac:dyDescent="0.3">
      <c r="A1742" s="6">
        <f>+'[1]VENTAS(RESUMEN GLOBAL)'!L1742</f>
        <v>0</v>
      </c>
      <c r="B1742" s="6">
        <f>+'[1]VENTAS(RESUMEN GLOBAL)'!M1742</f>
        <v>0</v>
      </c>
      <c r="C1742">
        <f>+'[1]VENTAS(RESUMEN GLOBAL)'!B1742</f>
        <v>0</v>
      </c>
      <c r="D1742" t="e">
        <f>INDEX('[1]CÓDIGOS DE PRODUCTO'!$D$3:$D$1000,MATCH(C1742,'[1]CÓDIGOS DE PRODUCTO'!$A$3:$A$1000,0))</f>
        <v>#N/A</v>
      </c>
      <c r="E1742">
        <f>VLOOKUP(C1742,'[1]CÓDIGOS DE PRODUCTO'!$A$4:$B$156,2,FALSE)</f>
        <v>0</v>
      </c>
      <c r="F1742">
        <f>INDEX('[1]CÓDIGOS DE PRODUCTO'!$C$3:$C$1000,MATCH(C1742,'[1]CÓDIGOS DE PRODUCTO'!$A$3:$A$1000,0))</f>
        <v>0</v>
      </c>
      <c r="G1742">
        <f>+'[1]VENTAS(RESUMEN GLOBAL)'!D1742-'[1]VENTAS(RESUMEN GLOBAL)'!E1742</f>
        <v>0</v>
      </c>
      <c r="H1742" s="9">
        <f>+'[1]VENTAS(RESUMEN GLOBAL)'!K1742</f>
        <v>0</v>
      </c>
      <c r="I1742" s="8">
        <f>+G1742*'[1]VENTAS(RESUMEN GLOBAL)'!F1742</f>
        <v>0</v>
      </c>
      <c r="J1742" s="8">
        <f>'[1]VENTAS(RESUMEN GLOBAL)'!G1742*(1-'[1]VENTAS(RESUMEN GLOBAL)'!H1742)</f>
        <v>0</v>
      </c>
      <c r="K1742" s="8">
        <f t="shared" si="27"/>
        <v>0</v>
      </c>
      <c r="L1742" s="8">
        <f>+'[1]VENTAS(RESUMEN GLOBAL)'!J1742</f>
        <v>0</v>
      </c>
      <c r="M1742" s="8">
        <f>+Tabla1[[#This Row],[utilidad x dia]]*7</f>
        <v>0</v>
      </c>
    </row>
    <row r="1743" spans="1:13" x14ac:dyDescent="0.3">
      <c r="A1743" s="6">
        <f>+'[1]VENTAS(RESUMEN GLOBAL)'!L1743</f>
        <v>0</v>
      </c>
      <c r="B1743" s="6">
        <f>+'[1]VENTAS(RESUMEN GLOBAL)'!M1743</f>
        <v>0</v>
      </c>
      <c r="C1743">
        <f>+'[1]VENTAS(RESUMEN GLOBAL)'!B1743</f>
        <v>0</v>
      </c>
      <c r="D1743" t="e">
        <f>INDEX('[1]CÓDIGOS DE PRODUCTO'!$D$3:$D$1000,MATCH(C1743,'[1]CÓDIGOS DE PRODUCTO'!$A$3:$A$1000,0))</f>
        <v>#N/A</v>
      </c>
      <c r="E1743">
        <f>VLOOKUP(C1743,'[1]CÓDIGOS DE PRODUCTO'!$A$4:$B$156,2,FALSE)</f>
        <v>0</v>
      </c>
      <c r="F1743">
        <f>INDEX('[1]CÓDIGOS DE PRODUCTO'!$C$3:$C$1000,MATCH(C1743,'[1]CÓDIGOS DE PRODUCTO'!$A$3:$A$1000,0))</f>
        <v>0</v>
      </c>
      <c r="G1743">
        <f>+'[1]VENTAS(RESUMEN GLOBAL)'!D1743-'[1]VENTAS(RESUMEN GLOBAL)'!E1743</f>
        <v>0</v>
      </c>
      <c r="H1743" s="9">
        <f>+'[1]VENTAS(RESUMEN GLOBAL)'!K1743</f>
        <v>0</v>
      </c>
      <c r="I1743" s="8">
        <f>+G1743*'[1]VENTAS(RESUMEN GLOBAL)'!F1743</f>
        <v>0</v>
      </c>
      <c r="J1743" s="8">
        <f>'[1]VENTAS(RESUMEN GLOBAL)'!G1743*(1-'[1]VENTAS(RESUMEN GLOBAL)'!H1743)</f>
        <v>0</v>
      </c>
      <c r="K1743" s="8">
        <f t="shared" si="27"/>
        <v>0</v>
      </c>
      <c r="L1743" s="8">
        <f>+'[1]VENTAS(RESUMEN GLOBAL)'!J1743</f>
        <v>0</v>
      </c>
      <c r="M1743" s="8">
        <f>+Tabla1[[#This Row],[utilidad x dia]]*7</f>
        <v>0</v>
      </c>
    </row>
    <row r="1744" spans="1:13" x14ac:dyDescent="0.3">
      <c r="A1744" s="6">
        <f>+'[1]VENTAS(RESUMEN GLOBAL)'!L1744</f>
        <v>0</v>
      </c>
      <c r="B1744" s="6">
        <f>+'[1]VENTAS(RESUMEN GLOBAL)'!M1744</f>
        <v>0</v>
      </c>
      <c r="C1744">
        <f>+'[1]VENTAS(RESUMEN GLOBAL)'!B1744</f>
        <v>0</v>
      </c>
      <c r="D1744" t="e">
        <f>INDEX('[1]CÓDIGOS DE PRODUCTO'!$D$3:$D$1000,MATCH(C1744,'[1]CÓDIGOS DE PRODUCTO'!$A$3:$A$1000,0))</f>
        <v>#N/A</v>
      </c>
      <c r="E1744">
        <f>VLOOKUP(C1744,'[1]CÓDIGOS DE PRODUCTO'!$A$4:$B$156,2,FALSE)</f>
        <v>0</v>
      </c>
      <c r="F1744">
        <f>INDEX('[1]CÓDIGOS DE PRODUCTO'!$C$3:$C$1000,MATCH(C1744,'[1]CÓDIGOS DE PRODUCTO'!$A$3:$A$1000,0))</f>
        <v>0</v>
      </c>
      <c r="G1744">
        <f>+'[1]VENTAS(RESUMEN GLOBAL)'!D1744-'[1]VENTAS(RESUMEN GLOBAL)'!E1744</f>
        <v>0</v>
      </c>
      <c r="H1744" s="9">
        <f>+'[1]VENTAS(RESUMEN GLOBAL)'!K1744</f>
        <v>0</v>
      </c>
      <c r="I1744" s="8">
        <f>+G1744*'[1]VENTAS(RESUMEN GLOBAL)'!F1744</f>
        <v>0</v>
      </c>
      <c r="J1744" s="8">
        <f>'[1]VENTAS(RESUMEN GLOBAL)'!G1744*(1-'[1]VENTAS(RESUMEN GLOBAL)'!H1744)</f>
        <v>0</v>
      </c>
      <c r="K1744" s="8">
        <f t="shared" si="27"/>
        <v>0</v>
      </c>
      <c r="L1744" s="8">
        <f>+'[1]VENTAS(RESUMEN GLOBAL)'!J1744</f>
        <v>0</v>
      </c>
      <c r="M1744" s="8">
        <f>+Tabla1[[#This Row],[utilidad x dia]]*7</f>
        <v>0</v>
      </c>
    </row>
    <row r="1745" spans="1:13" x14ac:dyDescent="0.3">
      <c r="A1745" s="6">
        <f>+'[1]VENTAS(RESUMEN GLOBAL)'!L1745</f>
        <v>0</v>
      </c>
      <c r="B1745" s="6">
        <f>+'[1]VENTAS(RESUMEN GLOBAL)'!M1745</f>
        <v>0</v>
      </c>
      <c r="C1745">
        <f>+'[1]VENTAS(RESUMEN GLOBAL)'!B1745</f>
        <v>0</v>
      </c>
      <c r="D1745" t="e">
        <f>INDEX('[1]CÓDIGOS DE PRODUCTO'!$D$3:$D$1000,MATCH(C1745,'[1]CÓDIGOS DE PRODUCTO'!$A$3:$A$1000,0))</f>
        <v>#N/A</v>
      </c>
      <c r="E1745">
        <f>VLOOKUP(C1745,'[1]CÓDIGOS DE PRODUCTO'!$A$4:$B$156,2,FALSE)</f>
        <v>0</v>
      </c>
      <c r="F1745">
        <f>INDEX('[1]CÓDIGOS DE PRODUCTO'!$C$3:$C$1000,MATCH(C1745,'[1]CÓDIGOS DE PRODUCTO'!$A$3:$A$1000,0))</f>
        <v>0</v>
      </c>
      <c r="G1745">
        <f>+'[1]VENTAS(RESUMEN GLOBAL)'!D1745-'[1]VENTAS(RESUMEN GLOBAL)'!E1745</f>
        <v>0</v>
      </c>
      <c r="H1745" s="9">
        <f>+'[1]VENTAS(RESUMEN GLOBAL)'!K1745</f>
        <v>0</v>
      </c>
      <c r="I1745" s="8">
        <f>+G1745*'[1]VENTAS(RESUMEN GLOBAL)'!F1745</f>
        <v>0</v>
      </c>
      <c r="J1745" s="8">
        <f>'[1]VENTAS(RESUMEN GLOBAL)'!G1745*(1-'[1]VENTAS(RESUMEN GLOBAL)'!H1745)</f>
        <v>0</v>
      </c>
      <c r="K1745" s="8">
        <f t="shared" si="27"/>
        <v>0</v>
      </c>
      <c r="L1745" s="8">
        <f>+'[1]VENTAS(RESUMEN GLOBAL)'!J1745</f>
        <v>0</v>
      </c>
      <c r="M1745" s="8">
        <f>+Tabla1[[#This Row],[utilidad x dia]]*7</f>
        <v>0</v>
      </c>
    </row>
    <row r="1746" spans="1:13" x14ac:dyDescent="0.3">
      <c r="A1746" s="6">
        <f>+'[1]VENTAS(RESUMEN GLOBAL)'!L1746</f>
        <v>0</v>
      </c>
      <c r="B1746" s="6">
        <f>+'[1]VENTAS(RESUMEN GLOBAL)'!M1746</f>
        <v>0</v>
      </c>
      <c r="C1746">
        <f>+'[1]VENTAS(RESUMEN GLOBAL)'!B1746</f>
        <v>0</v>
      </c>
      <c r="D1746" t="e">
        <f>INDEX('[1]CÓDIGOS DE PRODUCTO'!$D$3:$D$1000,MATCH(C1746,'[1]CÓDIGOS DE PRODUCTO'!$A$3:$A$1000,0))</f>
        <v>#N/A</v>
      </c>
      <c r="E1746">
        <f>VLOOKUP(C1746,'[1]CÓDIGOS DE PRODUCTO'!$A$4:$B$156,2,FALSE)</f>
        <v>0</v>
      </c>
      <c r="F1746">
        <f>INDEX('[1]CÓDIGOS DE PRODUCTO'!$C$3:$C$1000,MATCH(C1746,'[1]CÓDIGOS DE PRODUCTO'!$A$3:$A$1000,0))</f>
        <v>0</v>
      </c>
      <c r="G1746">
        <f>+'[1]VENTAS(RESUMEN GLOBAL)'!D1746-'[1]VENTAS(RESUMEN GLOBAL)'!E1746</f>
        <v>0</v>
      </c>
      <c r="H1746" s="9">
        <f>+'[1]VENTAS(RESUMEN GLOBAL)'!K1746</f>
        <v>0</v>
      </c>
      <c r="I1746" s="8">
        <f>+G1746*'[1]VENTAS(RESUMEN GLOBAL)'!F1746</f>
        <v>0</v>
      </c>
      <c r="J1746" s="8">
        <f>'[1]VENTAS(RESUMEN GLOBAL)'!G1746*(1-'[1]VENTAS(RESUMEN GLOBAL)'!H1746)</f>
        <v>0</v>
      </c>
      <c r="K1746" s="8">
        <f t="shared" si="27"/>
        <v>0</v>
      </c>
      <c r="L1746" s="8">
        <f>+'[1]VENTAS(RESUMEN GLOBAL)'!J1746</f>
        <v>0</v>
      </c>
      <c r="M1746" s="8">
        <f>+Tabla1[[#This Row],[utilidad x dia]]*7</f>
        <v>0</v>
      </c>
    </row>
    <row r="1747" spans="1:13" x14ac:dyDescent="0.3">
      <c r="A1747" s="6">
        <f>+'[1]VENTAS(RESUMEN GLOBAL)'!L1747</f>
        <v>0</v>
      </c>
      <c r="B1747" s="6">
        <f>+'[1]VENTAS(RESUMEN GLOBAL)'!M1747</f>
        <v>0</v>
      </c>
      <c r="C1747">
        <f>+'[1]VENTAS(RESUMEN GLOBAL)'!B1747</f>
        <v>0</v>
      </c>
      <c r="D1747" t="e">
        <f>INDEX('[1]CÓDIGOS DE PRODUCTO'!$D$3:$D$1000,MATCH(C1747,'[1]CÓDIGOS DE PRODUCTO'!$A$3:$A$1000,0))</f>
        <v>#N/A</v>
      </c>
      <c r="E1747">
        <f>VLOOKUP(C1747,'[1]CÓDIGOS DE PRODUCTO'!$A$4:$B$156,2,FALSE)</f>
        <v>0</v>
      </c>
      <c r="F1747">
        <f>INDEX('[1]CÓDIGOS DE PRODUCTO'!$C$3:$C$1000,MATCH(C1747,'[1]CÓDIGOS DE PRODUCTO'!$A$3:$A$1000,0))</f>
        <v>0</v>
      </c>
      <c r="G1747">
        <f>+'[1]VENTAS(RESUMEN GLOBAL)'!D1747-'[1]VENTAS(RESUMEN GLOBAL)'!E1747</f>
        <v>0</v>
      </c>
      <c r="H1747" s="9">
        <f>+'[1]VENTAS(RESUMEN GLOBAL)'!K1747</f>
        <v>0</v>
      </c>
      <c r="I1747" s="8">
        <f>+G1747*'[1]VENTAS(RESUMEN GLOBAL)'!F1747</f>
        <v>0</v>
      </c>
      <c r="J1747" s="8">
        <f>'[1]VENTAS(RESUMEN GLOBAL)'!G1747*(1-'[1]VENTAS(RESUMEN GLOBAL)'!H1747)</f>
        <v>0</v>
      </c>
      <c r="K1747" s="8">
        <f t="shared" si="27"/>
        <v>0</v>
      </c>
      <c r="L1747" s="8">
        <f>+'[1]VENTAS(RESUMEN GLOBAL)'!J1747</f>
        <v>0</v>
      </c>
      <c r="M1747" s="8">
        <f>+Tabla1[[#This Row],[utilidad x dia]]*7</f>
        <v>0</v>
      </c>
    </row>
    <row r="1748" spans="1:13" x14ac:dyDescent="0.3">
      <c r="A1748" s="6">
        <f>+'[1]VENTAS(RESUMEN GLOBAL)'!L1748</f>
        <v>0</v>
      </c>
      <c r="B1748" s="6">
        <f>+'[1]VENTAS(RESUMEN GLOBAL)'!M1748</f>
        <v>0</v>
      </c>
      <c r="C1748">
        <f>+'[1]VENTAS(RESUMEN GLOBAL)'!B1748</f>
        <v>0</v>
      </c>
      <c r="D1748" t="e">
        <f>INDEX('[1]CÓDIGOS DE PRODUCTO'!$D$3:$D$1000,MATCH(C1748,'[1]CÓDIGOS DE PRODUCTO'!$A$3:$A$1000,0))</f>
        <v>#N/A</v>
      </c>
      <c r="E1748">
        <f>VLOOKUP(C1748,'[1]CÓDIGOS DE PRODUCTO'!$A$4:$B$156,2,FALSE)</f>
        <v>0</v>
      </c>
      <c r="F1748">
        <f>INDEX('[1]CÓDIGOS DE PRODUCTO'!$C$3:$C$1000,MATCH(C1748,'[1]CÓDIGOS DE PRODUCTO'!$A$3:$A$1000,0))</f>
        <v>0</v>
      </c>
      <c r="G1748">
        <f>+'[1]VENTAS(RESUMEN GLOBAL)'!D1748-'[1]VENTAS(RESUMEN GLOBAL)'!E1748</f>
        <v>0</v>
      </c>
      <c r="H1748" s="9">
        <f>+'[1]VENTAS(RESUMEN GLOBAL)'!K1748</f>
        <v>0</v>
      </c>
      <c r="I1748" s="8">
        <f>+G1748*'[1]VENTAS(RESUMEN GLOBAL)'!F1748</f>
        <v>0</v>
      </c>
      <c r="J1748" s="8">
        <f>'[1]VENTAS(RESUMEN GLOBAL)'!G1748*(1-'[1]VENTAS(RESUMEN GLOBAL)'!H1748)</f>
        <v>0</v>
      </c>
      <c r="K1748" s="8">
        <f t="shared" si="27"/>
        <v>0</v>
      </c>
      <c r="L1748" s="8">
        <f>+'[1]VENTAS(RESUMEN GLOBAL)'!J1748</f>
        <v>0</v>
      </c>
      <c r="M1748" s="8">
        <f>+Tabla1[[#This Row],[utilidad x dia]]*7</f>
        <v>0</v>
      </c>
    </row>
    <row r="1749" spans="1:13" x14ac:dyDescent="0.3">
      <c r="A1749" s="6">
        <f>+'[1]VENTAS(RESUMEN GLOBAL)'!L1749</f>
        <v>0</v>
      </c>
      <c r="B1749" s="6">
        <f>+'[1]VENTAS(RESUMEN GLOBAL)'!M1749</f>
        <v>0</v>
      </c>
      <c r="C1749">
        <f>+'[1]VENTAS(RESUMEN GLOBAL)'!B1749</f>
        <v>0</v>
      </c>
      <c r="D1749" t="e">
        <f>INDEX('[1]CÓDIGOS DE PRODUCTO'!$D$3:$D$1000,MATCH(C1749,'[1]CÓDIGOS DE PRODUCTO'!$A$3:$A$1000,0))</f>
        <v>#N/A</v>
      </c>
      <c r="E1749">
        <f>VLOOKUP(C1749,'[1]CÓDIGOS DE PRODUCTO'!$A$4:$B$156,2,FALSE)</f>
        <v>0</v>
      </c>
      <c r="F1749">
        <f>INDEX('[1]CÓDIGOS DE PRODUCTO'!$C$3:$C$1000,MATCH(C1749,'[1]CÓDIGOS DE PRODUCTO'!$A$3:$A$1000,0))</f>
        <v>0</v>
      </c>
      <c r="G1749">
        <f>+'[1]VENTAS(RESUMEN GLOBAL)'!D1749-'[1]VENTAS(RESUMEN GLOBAL)'!E1749</f>
        <v>0</v>
      </c>
      <c r="H1749" s="9">
        <f>+'[1]VENTAS(RESUMEN GLOBAL)'!K1749</f>
        <v>0</v>
      </c>
      <c r="I1749" s="8">
        <f>+G1749*'[1]VENTAS(RESUMEN GLOBAL)'!F1749</f>
        <v>0</v>
      </c>
      <c r="J1749" s="8">
        <f>'[1]VENTAS(RESUMEN GLOBAL)'!G1749*(1-'[1]VENTAS(RESUMEN GLOBAL)'!H1749)</f>
        <v>0</v>
      </c>
      <c r="K1749" s="8">
        <f t="shared" si="27"/>
        <v>0</v>
      </c>
      <c r="L1749" s="8">
        <f>+'[1]VENTAS(RESUMEN GLOBAL)'!J1749</f>
        <v>0</v>
      </c>
      <c r="M1749" s="8">
        <f>+Tabla1[[#This Row],[utilidad x dia]]*7</f>
        <v>0</v>
      </c>
    </row>
    <row r="1750" spans="1:13" x14ac:dyDescent="0.3">
      <c r="A1750" s="6">
        <f>+'[1]VENTAS(RESUMEN GLOBAL)'!L1750</f>
        <v>0</v>
      </c>
      <c r="B1750" s="6">
        <f>+'[1]VENTAS(RESUMEN GLOBAL)'!M1750</f>
        <v>0</v>
      </c>
      <c r="C1750">
        <f>+'[1]VENTAS(RESUMEN GLOBAL)'!B1750</f>
        <v>0</v>
      </c>
      <c r="D1750" t="e">
        <f>INDEX('[1]CÓDIGOS DE PRODUCTO'!$D$3:$D$1000,MATCH(C1750,'[1]CÓDIGOS DE PRODUCTO'!$A$3:$A$1000,0))</f>
        <v>#N/A</v>
      </c>
      <c r="E1750">
        <f>VLOOKUP(C1750,'[1]CÓDIGOS DE PRODUCTO'!$A$4:$B$156,2,FALSE)</f>
        <v>0</v>
      </c>
      <c r="F1750">
        <f>INDEX('[1]CÓDIGOS DE PRODUCTO'!$C$3:$C$1000,MATCH(C1750,'[1]CÓDIGOS DE PRODUCTO'!$A$3:$A$1000,0))</f>
        <v>0</v>
      </c>
      <c r="G1750">
        <f>+'[1]VENTAS(RESUMEN GLOBAL)'!D1750-'[1]VENTAS(RESUMEN GLOBAL)'!E1750</f>
        <v>0</v>
      </c>
      <c r="H1750" s="9">
        <f>+'[1]VENTAS(RESUMEN GLOBAL)'!K1750</f>
        <v>0</v>
      </c>
      <c r="I1750" s="8">
        <f>+G1750*'[1]VENTAS(RESUMEN GLOBAL)'!F1750</f>
        <v>0</v>
      </c>
      <c r="J1750" s="8">
        <f>'[1]VENTAS(RESUMEN GLOBAL)'!G1750*(1-'[1]VENTAS(RESUMEN GLOBAL)'!H1750)</f>
        <v>0</v>
      </c>
      <c r="K1750" s="8">
        <f t="shared" si="27"/>
        <v>0</v>
      </c>
      <c r="L1750" s="8">
        <f>+'[1]VENTAS(RESUMEN GLOBAL)'!J1750</f>
        <v>0</v>
      </c>
      <c r="M1750" s="8">
        <f>+Tabla1[[#This Row],[utilidad x dia]]*7</f>
        <v>0</v>
      </c>
    </row>
    <row r="1751" spans="1:13" x14ac:dyDescent="0.3">
      <c r="A1751" s="6">
        <f>+'[1]VENTAS(RESUMEN GLOBAL)'!L1751</f>
        <v>0</v>
      </c>
      <c r="B1751" s="6">
        <f>+'[1]VENTAS(RESUMEN GLOBAL)'!M1751</f>
        <v>0</v>
      </c>
      <c r="C1751">
        <f>+'[1]VENTAS(RESUMEN GLOBAL)'!B1751</f>
        <v>0</v>
      </c>
      <c r="D1751" t="e">
        <f>INDEX('[1]CÓDIGOS DE PRODUCTO'!$D$3:$D$1000,MATCH(C1751,'[1]CÓDIGOS DE PRODUCTO'!$A$3:$A$1000,0))</f>
        <v>#N/A</v>
      </c>
      <c r="E1751">
        <f>VLOOKUP(C1751,'[1]CÓDIGOS DE PRODUCTO'!$A$4:$B$156,2,FALSE)</f>
        <v>0</v>
      </c>
      <c r="F1751">
        <f>INDEX('[1]CÓDIGOS DE PRODUCTO'!$C$3:$C$1000,MATCH(C1751,'[1]CÓDIGOS DE PRODUCTO'!$A$3:$A$1000,0))</f>
        <v>0</v>
      </c>
      <c r="G1751">
        <f>+'[1]VENTAS(RESUMEN GLOBAL)'!D1751-'[1]VENTAS(RESUMEN GLOBAL)'!E1751</f>
        <v>0</v>
      </c>
      <c r="H1751" s="9">
        <f>+'[1]VENTAS(RESUMEN GLOBAL)'!K1751</f>
        <v>0</v>
      </c>
      <c r="I1751" s="8">
        <f>+G1751*'[1]VENTAS(RESUMEN GLOBAL)'!F1751</f>
        <v>0</v>
      </c>
      <c r="J1751" s="8">
        <f>'[1]VENTAS(RESUMEN GLOBAL)'!G1751*(1-'[1]VENTAS(RESUMEN GLOBAL)'!H1751)</f>
        <v>0</v>
      </c>
      <c r="K1751" s="8">
        <f t="shared" si="27"/>
        <v>0</v>
      </c>
      <c r="L1751" s="8">
        <f>+'[1]VENTAS(RESUMEN GLOBAL)'!J1751</f>
        <v>0</v>
      </c>
      <c r="M1751" s="8">
        <f>+Tabla1[[#This Row],[utilidad x dia]]*7</f>
        <v>0</v>
      </c>
    </row>
    <row r="1752" spans="1:13" x14ac:dyDescent="0.3">
      <c r="A1752" s="6">
        <f>+'[1]VENTAS(RESUMEN GLOBAL)'!L1752</f>
        <v>0</v>
      </c>
      <c r="B1752" s="6">
        <f>+'[1]VENTAS(RESUMEN GLOBAL)'!M1752</f>
        <v>0</v>
      </c>
      <c r="C1752">
        <f>+'[1]VENTAS(RESUMEN GLOBAL)'!B1752</f>
        <v>0</v>
      </c>
      <c r="D1752" t="e">
        <f>INDEX('[1]CÓDIGOS DE PRODUCTO'!$D$3:$D$1000,MATCH(C1752,'[1]CÓDIGOS DE PRODUCTO'!$A$3:$A$1000,0))</f>
        <v>#N/A</v>
      </c>
      <c r="E1752">
        <f>VLOOKUP(C1752,'[1]CÓDIGOS DE PRODUCTO'!$A$4:$B$156,2,FALSE)</f>
        <v>0</v>
      </c>
      <c r="F1752">
        <f>INDEX('[1]CÓDIGOS DE PRODUCTO'!$C$3:$C$1000,MATCH(C1752,'[1]CÓDIGOS DE PRODUCTO'!$A$3:$A$1000,0))</f>
        <v>0</v>
      </c>
      <c r="G1752">
        <f>+'[1]VENTAS(RESUMEN GLOBAL)'!D1752-'[1]VENTAS(RESUMEN GLOBAL)'!E1752</f>
        <v>0</v>
      </c>
      <c r="H1752" s="9">
        <f>+'[1]VENTAS(RESUMEN GLOBAL)'!K1752</f>
        <v>0</v>
      </c>
      <c r="I1752" s="8">
        <f>+G1752*'[1]VENTAS(RESUMEN GLOBAL)'!F1752</f>
        <v>0</v>
      </c>
      <c r="J1752" s="8">
        <f>'[1]VENTAS(RESUMEN GLOBAL)'!G1752*(1-'[1]VENTAS(RESUMEN GLOBAL)'!H1752)</f>
        <v>0</v>
      </c>
      <c r="K1752" s="8">
        <f t="shared" si="27"/>
        <v>0</v>
      </c>
      <c r="L1752" s="8">
        <f>+'[1]VENTAS(RESUMEN GLOBAL)'!J1752</f>
        <v>0</v>
      </c>
      <c r="M1752" s="8">
        <f>+Tabla1[[#This Row],[utilidad x dia]]*7</f>
        <v>0</v>
      </c>
    </row>
    <row r="1753" spans="1:13" x14ac:dyDescent="0.3">
      <c r="A1753" s="6">
        <f>+'[1]VENTAS(RESUMEN GLOBAL)'!L1753</f>
        <v>0</v>
      </c>
      <c r="B1753" s="6">
        <f>+'[1]VENTAS(RESUMEN GLOBAL)'!M1753</f>
        <v>0</v>
      </c>
      <c r="C1753">
        <f>+'[1]VENTAS(RESUMEN GLOBAL)'!B1753</f>
        <v>0</v>
      </c>
      <c r="D1753" t="e">
        <f>INDEX('[1]CÓDIGOS DE PRODUCTO'!$D$3:$D$1000,MATCH(C1753,'[1]CÓDIGOS DE PRODUCTO'!$A$3:$A$1000,0))</f>
        <v>#N/A</v>
      </c>
      <c r="E1753">
        <f>VLOOKUP(C1753,'[1]CÓDIGOS DE PRODUCTO'!$A$4:$B$156,2,FALSE)</f>
        <v>0</v>
      </c>
      <c r="F1753">
        <f>INDEX('[1]CÓDIGOS DE PRODUCTO'!$C$3:$C$1000,MATCH(C1753,'[1]CÓDIGOS DE PRODUCTO'!$A$3:$A$1000,0))</f>
        <v>0</v>
      </c>
      <c r="G1753">
        <f>+'[1]VENTAS(RESUMEN GLOBAL)'!D1753-'[1]VENTAS(RESUMEN GLOBAL)'!E1753</f>
        <v>0</v>
      </c>
      <c r="H1753" s="9">
        <f>+'[1]VENTAS(RESUMEN GLOBAL)'!K1753</f>
        <v>0</v>
      </c>
      <c r="I1753" s="8">
        <f>+G1753*'[1]VENTAS(RESUMEN GLOBAL)'!F1753</f>
        <v>0</v>
      </c>
      <c r="J1753" s="8">
        <f>'[1]VENTAS(RESUMEN GLOBAL)'!G1753*(1-'[1]VENTAS(RESUMEN GLOBAL)'!H1753)</f>
        <v>0</v>
      </c>
      <c r="K1753" s="8">
        <f t="shared" si="27"/>
        <v>0</v>
      </c>
      <c r="L1753" s="8">
        <f>+'[1]VENTAS(RESUMEN GLOBAL)'!J1753</f>
        <v>0</v>
      </c>
      <c r="M1753" s="8">
        <f>+Tabla1[[#This Row],[utilidad x dia]]*7</f>
        <v>0</v>
      </c>
    </row>
    <row r="1754" spans="1:13" x14ac:dyDescent="0.3">
      <c r="A1754" s="6">
        <f>+'[1]VENTAS(RESUMEN GLOBAL)'!L1754</f>
        <v>0</v>
      </c>
      <c r="B1754" s="6">
        <f>+'[1]VENTAS(RESUMEN GLOBAL)'!M1754</f>
        <v>0</v>
      </c>
      <c r="C1754">
        <f>+'[1]VENTAS(RESUMEN GLOBAL)'!B1754</f>
        <v>0</v>
      </c>
      <c r="D1754" t="e">
        <f>INDEX('[1]CÓDIGOS DE PRODUCTO'!$D$3:$D$1000,MATCH(C1754,'[1]CÓDIGOS DE PRODUCTO'!$A$3:$A$1000,0))</f>
        <v>#N/A</v>
      </c>
      <c r="E1754">
        <f>VLOOKUP(C1754,'[1]CÓDIGOS DE PRODUCTO'!$A$4:$B$156,2,FALSE)</f>
        <v>0</v>
      </c>
      <c r="F1754">
        <f>INDEX('[1]CÓDIGOS DE PRODUCTO'!$C$3:$C$1000,MATCH(C1754,'[1]CÓDIGOS DE PRODUCTO'!$A$3:$A$1000,0))</f>
        <v>0</v>
      </c>
      <c r="G1754">
        <f>+'[1]VENTAS(RESUMEN GLOBAL)'!D1754-'[1]VENTAS(RESUMEN GLOBAL)'!E1754</f>
        <v>0</v>
      </c>
      <c r="H1754" s="9">
        <f>+'[1]VENTAS(RESUMEN GLOBAL)'!K1754</f>
        <v>0</v>
      </c>
      <c r="I1754" s="8">
        <f>+G1754*'[1]VENTAS(RESUMEN GLOBAL)'!F1754</f>
        <v>0</v>
      </c>
      <c r="J1754" s="8">
        <f>'[1]VENTAS(RESUMEN GLOBAL)'!G1754*(1-'[1]VENTAS(RESUMEN GLOBAL)'!H1754)</f>
        <v>0</v>
      </c>
      <c r="K1754" s="8">
        <f t="shared" si="27"/>
        <v>0</v>
      </c>
      <c r="L1754" s="8">
        <f>+'[1]VENTAS(RESUMEN GLOBAL)'!J1754</f>
        <v>0</v>
      </c>
      <c r="M1754" s="8">
        <f>+Tabla1[[#This Row],[utilidad x dia]]*7</f>
        <v>0</v>
      </c>
    </row>
    <row r="1755" spans="1:13" x14ac:dyDescent="0.3">
      <c r="A1755" s="6">
        <f>+'[1]VENTAS(RESUMEN GLOBAL)'!L1755</f>
        <v>0</v>
      </c>
      <c r="B1755" s="6">
        <f>+'[1]VENTAS(RESUMEN GLOBAL)'!M1755</f>
        <v>0</v>
      </c>
      <c r="C1755">
        <f>+'[1]VENTAS(RESUMEN GLOBAL)'!B1755</f>
        <v>0</v>
      </c>
      <c r="D1755" t="e">
        <f>INDEX('[1]CÓDIGOS DE PRODUCTO'!$D$3:$D$1000,MATCH(C1755,'[1]CÓDIGOS DE PRODUCTO'!$A$3:$A$1000,0))</f>
        <v>#N/A</v>
      </c>
      <c r="E1755">
        <f>VLOOKUP(C1755,'[1]CÓDIGOS DE PRODUCTO'!$A$4:$B$156,2,FALSE)</f>
        <v>0</v>
      </c>
      <c r="F1755">
        <f>INDEX('[1]CÓDIGOS DE PRODUCTO'!$C$3:$C$1000,MATCH(C1755,'[1]CÓDIGOS DE PRODUCTO'!$A$3:$A$1000,0))</f>
        <v>0</v>
      </c>
      <c r="G1755">
        <f>+'[1]VENTAS(RESUMEN GLOBAL)'!D1755-'[1]VENTAS(RESUMEN GLOBAL)'!E1755</f>
        <v>0</v>
      </c>
      <c r="H1755" s="9">
        <f>+'[1]VENTAS(RESUMEN GLOBAL)'!K1755</f>
        <v>0</v>
      </c>
      <c r="I1755" s="8">
        <f>+G1755*'[1]VENTAS(RESUMEN GLOBAL)'!F1755</f>
        <v>0</v>
      </c>
      <c r="J1755" s="8">
        <f>'[1]VENTAS(RESUMEN GLOBAL)'!G1755*(1-'[1]VENTAS(RESUMEN GLOBAL)'!H1755)</f>
        <v>0</v>
      </c>
      <c r="K1755" s="8">
        <f t="shared" si="27"/>
        <v>0</v>
      </c>
      <c r="L1755" s="8">
        <f>+'[1]VENTAS(RESUMEN GLOBAL)'!J1755</f>
        <v>0</v>
      </c>
      <c r="M1755" s="8">
        <f>+Tabla1[[#This Row],[utilidad x dia]]*7</f>
        <v>0</v>
      </c>
    </row>
    <row r="1756" spans="1:13" x14ac:dyDescent="0.3">
      <c r="A1756" s="6">
        <f>+'[1]VENTAS(RESUMEN GLOBAL)'!L1756</f>
        <v>0</v>
      </c>
      <c r="B1756" s="6">
        <f>+'[1]VENTAS(RESUMEN GLOBAL)'!M1756</f>
        <v>0</v>
      </c>
      <c r="C1756">
        <f>+'[1]VENTAS(RESUMEN GLOBAL)'!B1756</f>
        <v>0</v>
      </c>
      <c r="D1756" t="e">
        <f>INDEX('[1]CÓDIGOS DE PRODUCTO'!$D$3:$D$1000,MATCH(C1756,'[1]CÓDIGOS DE PRODUCTO'!$A$3:$A$1000,0))</f>
        <v>#N/A</v>
      </c>
      <c r="E1756">
        <f>VLOOKUP(C1756,'[1]CÓDIGOS DE PRODUCTO'!$A$4:$B$156,2,FALSE)</f>
        <v>0</v>
      </c>
      <c r="F1756">
        <f>INDEX('[1]CÓDIGOS DE PRODUCTO'!$C$3:$C$1000,MATCH(C1756,'[1]CÓDIGOS DE PRODUCTO'!$A$3:$A$1000,0))</f>
        <v>0</v>
      </c>
      <c r="G1756">
        <f>+'[1]VENTAS(RESUMEN GLOBAL)'!D1756-'[1]VENTAS(RESUMEN GLOBAL)'!E1756</f>
        <v>0</v>
      </c>
      <c r="H1756" s="9">
        <f>+'[1]VENTAS(RESUMEN GLOBAL)'!K1756</f>
        <v>0</v>
      </c>
      <c r="I1756" s="8">
        <f>+G1756*'[1]VENTAS(RESUMEN GLOBAL)'!F1756</f>
        <v>0</v>
      </c>
      <c r="J1756" s="8">
        <f>'[1]VENTAS(RESUMEN GLOBAL)'!G1756*(1-'[1]VENTAS(RESUMEN GLOBAL)'!H1756)</f>
        <v>0</v>
      </c>
      <c r="K1756" s="8">
        <f t="shared" si="27"/>
        <v>0</v>
      </c>
      <c r="L1756" s="8">
        <f>+'[1]VENTAS(RESUMEN GLOBAL)'!J1756</f>
        <v>0</v>
      </c>
      <c r="M1756" s="8">
        <f>+Tabla1[[#This Row],[utilidad x dia]]*7</f>
        <v>0</v>
      </c>
    </row>
    <row r="1757" spans="1:13" x14ac:dyDescent="0.3">
      <c r="A1757" s="6">
        <f>+'[1]VENTAS(RESUMEN GLOBAL)'!L1757</f>
        <v>0</v>
      </c>
      <c r="B1757" s="6">
        <f>+'[1]VENTAS(RESUMEN GLOBAL)'!M1757</f>
        <v>0</v>
      </c>
      <c r="C1757">
        <f>+'[1]VENTAS(RESUMEN GLOBAL)'!B1757</f>
        <v>0</v>
      </c>
      <c r="D1757" t="e">
        <f>INDEX('[1]CÓDIGOS DE PRODUCTO'!$D$3:$D$1000,MATCH(C1757,'[1]CÓDIGOS DE PRODUCTO'!$A$3:$A$1000,0))</f>
        <v>#N/A</v>
      </c>
      <c r="E1757">
        <f>VLOOKUP(C1757,'[1]CÓDIGOS DE PRODUCTO'!$A$4:$B$156,2,FALSE)</f>
        <v>0</v>
      </c>
      <c r="F1757">
        <f>INDEX('[1]CÓDIGOS DE PRODUCTO'!$C$3:$C$1000,MATCH(C1757,'[1]CÓDIGOS DE PRODUCTO'!$A$3:$A$1000,0))</f>
        <v>0</v>
      </c>
      <c r="G1757">
        <f>+'[1]VENTAS(RESUMEN GLOBAL)'!D1757-'[1]VENTAS(RESUMEN GLOBAL)'!E1757</f>
        <v>0</v>
      </c>
      <c r="H1757" s="9">
        <f>+'[1]VENTAS(RESUMEN GLOBAL)'!K1757</f>
        <v>0</v>
      </c>
      <c r="I1757" s="8">
        <f>+G1757*'[1]VENTAS(RESUMEN GLOBAL)'!F1757</f>
        <v>0</v>
      </c>
      <c r="J1757" s="8">
        <f>'[1]VENTAS(RESUMEN GLOBAL)'!G1757*(1-'[1]VENTAS(RESUMEN GLOBAL)'!H1757)</f>
        <v>0</v>
      </c>
      <c r="K1757" s="8">
        <f t="shared" si="27"/>
        <v>0</v>
      </c>
      <c r="L1757" s="8">
        <f>+'[1]VENTAS(RESUMEN GLOBAL)'!J1757</f>
        <v>0</v>
      </c>
      <c r="M1757" s="8">
        <f>+Tabla1[[#This Row],[utilidad x dia]]*7</f>
        <v>0</v>
      </c>
    </row>
    <row r="1758" spans="1:13" x14ac:dyDescent="0.3">
      <c r="A1758" s="6">
        <f>+'[1]VENTAS(RESUMEN GLOBAL)'!L1758</f>
        <v>0</v>
      </c>
      <c r="B1758" s="6">
        <f>+'[1]VENTAS(RESUMEN GLOBAL)'!M1758</f>
        <v>0</v>
      </c>
      <c r="C1758">
        <f>+'[1]VENTAS(RESUMEN GLOBAL)'!B1758</f>
        <v>0</v>
      </c>
      <c r="D1758" t="e">
        <f>INDEX('[1]CÓDIGOS DE PRODUCTO'!$D$3:$D$1000,MATCH(C1758,'[1]CÓDIGOS DE PRODUCTO'!$A$3:$A$1000,0))</f>
        <v>#N/A</v>
      </c>
      <c r="E1758">
        <f>VLOOKUP(C1758,'[1]CÓDIGOS DE PRODUCTO'!$A$4:$B$156,2,FALSE)</f>
        <v>0</v>
      </c>
      <c r="F1758">
        <f>INDEX('[1]CÓDIGOS DE PRODUCTO'!$C$3:$C$1000,MATCH(C1758,'[1]CÓDIGOS DE PRODUCTO'!$A$3:$A$1000,0))</f>
        <v>0</v>
      </c>
      <c r="G1758">
        <f>+'[1]VENTAS(RESUMEN GLOBAL)'!D1758-'[1]VENTAS(RESUMEN GLOBAL)'!E1758</f>
        <v>0</v>
      </c>
      <c r="H1758" s="9">
        <f>+'[1]VENTAS(RESUMEN GLOBAL)'!K1758</f>
        <v>0</v>
      </c>
      <c r="I1758" s="8">
        <f>+G1758*'[1]VENTAS(RESUMEN GLOBAL)'!F1758</f>
        <v>0</v>
      </c>
      <c r="J1758" s="8">
        <f>'[1]VENTAS(RESUMEN GLOBAL)'!G1758*(1-'[1]VENTAS(RESUMEN GLOBAL)'!H1758)</f>
        <v>0</v>
      </c>
      <c r="K1758" s="8">
        <f t="shared" si="27"/>
        <v>0</v>
      </c>
      <c r="L1758" s="8">
        <f>+'[1]VENTAS(RESUMEN GLOBAL)'!J1758</f>
        <v>0</v>
      </c>
      <c r="M1758" s="8">
        <f>+Tabla1[[#This Row],[utilidad x dia]]*7</f>
        <v>0</v>
      </c>
    </row>
    <row r="1759" spans="1:13" x14ac:dyDescent="0.3">
      <c r="A1759" s="6">
        <f>+'[1]VENTAS(RESUMEN GLOBAL)'!L1759</f>
        <v>0</v>
      </c>
      <c r="B1759" s="6">
        <f>+'[1]VENTAS(RESUMEN GLOBAL)'!M1759</f>
        <v>0</v>
      </c>
      <c r="C1759">
        <f>+'[1]VENTAS(RESUMEN GLOBAL)'!B1759</f>
        <v>0</v>
      </c>
      <c r="D1759" t="e">
        <f>INDEX('[1]CÓDIGOS DE PRODUCTO'!$D$3:$D$1000,MATCH(C1759,'[1]CÓDIGOS DE PRODUCTO'!$A$3:$A$1000,0))</f>
        <v>#N/A</v>
      </c>
      <c r="E1759">
        <f>VLOOKUP(C1759,'[1]CÓDIGOS DE PRODUCTO'!$A$4:$B$156,2,FALSE)</f>
        <v>0</v>
      </c>
      <c r="F1759">
        <f>INDEX('[1]CÓDIGOS DE PRODUCTO'!$C$3:$C$1000,MATCH(C1759,'[1]CÓDIGOS DE PRODUCTO'!$A$3:$A$1000,0))</f>
        <v>0</v>
      </c>
      <c r="G1759">
        <f>+'[1]VENTAS(RESUMEN GLOBAL)'!D1759-'[1]VENTAS(RESUMEN GLOBAL)'!E1759</f>
        <v>0</v>
      </c>
      <c r="H1759" s="9">
        <f>+'[1]VENTAS(RESUMEN GLOBAL)'!K1759</f>
        <v>0</v>
      </c>
      <c r="I1759" s="8">
        <f>+G1759*'[1]VENTAS(RESUMEN GLOBAL)'!F1759</f>
        <v>0</v>
      </c>
      <c r="J1759" s="8">
        <f>'[1]VENTAS(RESUMEN GLOBAL)'!G1759*(1-'[1]VENTAS(RESUMEN GLOBAL)'!H1759)</f>
        <v>0</v>
      </c>
      <c r="K1759" s="8">
        <f t="shared" si="27"/>
        <v>0</v>
      </c>
      <c r="L1759" s="8">
        <f>+'[1]VENTAS(RESUMEN GLOBAL)'!J1759</f>
        <v>0</v>
      </c>
      <c r="M1759" s="8">
        <f>+Tabla1[[#This Row],[utilidad x dia]]*7</f>
        <v>0</v>
      </c>
    </row>
    <row r="1760" spans="1:13" x14ac:dyDescent="0.3">
      <c r="A1760" s="6">
        <f>+'[1]VENTAS(RESUMEN GLOBAL)'!L1760</f>
        <v>0</v>
      </c>
      <c r="B1760" s="6">
        <f>+'[1]VENTAS(RESUMEN GLOBAL)'!M1760</f>
        <v>0</v>
      </c>
      <c r="C1760">
        <f>+'[1]VENTAS(RESUMEN GLOBAL)'!B1760</f>
        <v>0</v>
      </c>
      <c r="D1760" t="e">
        <f>INDEX('[1]CÓDIGOS DE PRODUCTO'!$D$3:$D$1000,MATCH(C1760,'[1]CÓDIGOS DE PRODUCTO'!$A$3:$A$1000,0))</f>
        <v>#N/A</v>
      </c>
      <c r="E1760">
        <f>VLOOKUP(C1760,'[1]CÓDIGOS DE PRODUCTO'!$A$4:$B$156,2,FALSE)</f>
        <v>0</v>
      </c>
      <c r="F1760">
        <f>INDEX('[1]CÓDIGOS DE PRODUCTO'!$C$3:$C$1000,MATCH(C1760,'[1]CÓDIGOS DE PRODUCTO'!$A$3:$A$1000,0))</f>
        <v>0</v>
      </c>
      <c r="G1760">
        <f>+'[1]VENTAS(RESUMEN GLOBAL)'!D1760-'[1]VENTAS(RESUMEN GLOBAL)'!E1760</f>
        <v>0</v>
      </c>
      <c r="H1760" s="9">
        <f>+'[1]VENTAS(RESUMEN GLOBAL)'!K1760</f>
        <v>0</v>
      </c>
      <c r="I1760" s="8">
        <f>+G1760*'[1]VENTAS(RESUMEN GLOBAL)'!F1760</f>
        <v>0</v>
      </c>
      <c r="J1760" s="8">
        <f>'[1]VENTAS(RESUMEN GLOBAL)'!G1760*(1-'[1]VENTAS(RESUMEN GLOBAL)'!H1760)</f>
        <v>0</v>
      </c>
      <c r="K1760" s="8">
        <f t="shared" si="27"/>
        <v>0</v>
      </c>
      <c r="L1760" s="8">
        <f>+'[1]VENTAS(RESUMEN GLOBAL)'!J1760</f>
        <v>0</v>
      </c>
      <c r="M1760" s="8">
        <f>+Tabla1[[#This Row],[utilidad x dia]]*7</f>
        <v>0</v>
      </c>
    </row>
    <row r="1761" spans="1:13" x14ac:dyDescent="0.3">
      <c r="A1761" s="6">
        <f>+'[1]VENTAS(RESUMEN GLOBAL)'!L1761</f>
        <v>0</v>
      </c>
      <c r="B1761" s="6">
        <f>+'[1]VENTAS(RESUMEN GLOBAL)'!M1761</f>
        <v>0</v>
      </c>
      <c r="C1761">
        <f>+'[1]VENTAS(RESUMEN GLOBAL)'!B1761</f>
        <v>0</v>
      </c>
      <c r="D1761" t="e">
        <f>INDEX('[1]CÓDIGOS DE PRODUCTO'!$D$3:$D$1000,MATCH(C1761,'[1]CÓDIGOS DE PRODUCTO'!$A$3:$A$1000,0))</f>
        <v>#N/A</v>
      </c>
      <c r="E1761">
        <f>VLOOKUP(C1761,'[1]CÓDIGOS DE PRODUCTO'!$A$4:$B$156,2,FALSE)</f>
        <v>0</v>
      </c>
      <c r="F1761">
        <f>INDEX('[1]CÓDIGOS DE PRODUCTO'!$C$3:$C$1000,MATCH(C1761,'[1]CÓDIGOS DE PRODUCTO'!$A$3:$A$1000,0))</f>
        <v>0</v>
      </c>
      <c r="G1761">
        <f>+'[1]VENTAS(RESUMEN GLOBAL)'!D1761-'[1]VENTAS(RESUMEN GLOBAL)'!E1761</f>
        <v>0</v>
      </c>
      <c r="H1761" s="9">
        <f>+'[1]VENTAS(RESUMEN GLOBAL)'!K1761</f>
        <v>0</v>
      </c>
      <c r="I1761" s="8">
        <f>+G1761*'[1]VENTAS(RESUMEN GLOBAL)'!F1761</f>
        <v>0</v>
      </c>
      <c r="J1761" s="8">
        <f>'[1]VENTAS(RESUMEN GLOBAL)'!G1761*(1-'[1]VENTAS(RESUMEN GLOBAL)'!H1761)</f>
        <v>0</v>
      </c>
      <c r="K1761" s="8">
        <f t="shared" si="27"/>
        <v>0</v>
      </c>
      <c r="L1761" s="8">
        <f>+'[1]VENTAS(RESUMEN GLOBAL)'!J1761</f>
        <v>0</v>
      </c>
      <c r="M1761" s="8">
        <f>+Tabla1[[#This Row],[utilidad x dia]]*7</f>
        <v>0</v>
      </c>
    </row>
    <row r="1762" spans="1:13" x14ac:dyDescent="0.3">
      <c r="A1762" s="6">
        <f>+'[1]VENTAS(RESUMEN GLOBAL)'!L1762</f>
        <v>0</v>
      </c>
      <c r="B1762" s="6">
        <f>+'[1]VENTAS(RESUMEN GLOBAL)'!M1762</f>
        <v>0</v>
      </c>
      <c r="C1762">
        <f>+'[1]VENTAS(RESUMEN GLOBAL)'!B1762</f>
        <v>0</v>
      </c>
      <c r="D1762" t="e">
        <f>INDEX('[1]CÓDIGOS DE PRODUCTO'!$D$3:$D$1000,MATCH(C1762,'[1]CÓDIGOS DE PRODUCTO'!$A$3:$A$1000,0))</f>
        <v>#N/A</v>
      </c>
      <c r="E1762">
        <f>VLOOKUP(C1762,'[1]CÓDIGOS DE PRODUCTO'!$A$4:$B$156,2,FALSE)</f>
        <v>0</v>
      </c>
      <c r="F1762">
        <f>INDEX('[1]CÓDIGOS DE PRODUCTO'!$C$3:$C$1000,MATCH(C1762,'[1]CÓDIGOS DE PRODUCTO'!$A$3:$A$1000,0))</f>
        <v>0</v>
      </c>
      <c r="G1762">
        <f>+'[1]VENTAS(RESUMEN GLOBAL)'!D1762-'[1]VENTAS(RESUMEN GLOBAL)'!E1762</f>
        <v>0</v>
      </c>
      <c r="H1762" s="9">
        <f>+'[1]VENTAS(RESUMEN GLOBAL)'!K1762</f>
        <v>0</v>
      </c>
      <c r="I1762" s="8">
        <f>+G1762*'[1]VENTAS(RESUMEN GLOBAL)'!F1762</f>
        <v>0</v>
      </c>
      <c r="J1762" s="8">
        <f>'[1]VENTAS(RESUMEN GLOBAL)'!G1762*(1-'[1]VENTAS(RESUMEN GLOBAL)'!H1762)</f>
        <v>0</v>
      </c>
      <c r="K1762" s="8">
        <f t="shared" si="27"/>
        <v>0</v>
      </c>
      <c r="L1762" s="8">
        <f>+'[1]VENTAS(RESUMEN GLOBAL)'!J1762</f>
        <v>0</v>
      </c>
      <c r="M1762" s="8">
        <f>+Tabla1[[#This Row],[utilidad x dia]]*7</f>
        <v>0</v>
      </c>
    </row>
    <row r="1763" spans="1:13" x14ac:dyDescent="0.3">
      <c r="A1763" s="6">
        <f>+'[1]VENTAS(RESUMEN GLOBAL)'!L1763</f>
        <v>0</v>
      </c>
      <c r="B1763" s="6">
        <f>+'[1]VENTAS(RESUMEN GLOBAL)'!M1763</f>
        <v>0</v>
      </c>
      <c r="C1763">
        <f>+'[1]VENTAS(RESUMEN GLOBAL)'!B1763</f>
        <v>0</v>
      </c>
      <c r="D1763" t="e">
        <f>INDEX('[1]CÓDIGOS DE PRODUCTO'!$D$3:$D$1000,MATCH(C1763,'[1]CÓDIGOS DE PRODUCTO'!$A$3:$A$1000,0))</f>
        <v>#N/A</v>
      </c>
      <c r="E1763">
        <f>VLOOKUP(C1763,'[1]CÓDIGOS DE PRODUCTO'!$A$4:$B$156,2,FALSE)</f>
        <v>0</v>
      </c>
      <c r="F1763">
        <f>INDEX('[1]CÓDIGOS DE PRODUCTO'!$C$3:$C$1000,MATCH(C1763,'[1]CÓDIGOS DE PRODUCTO'!$A$3:$A$1000,0))</f>
        <v>0</v>
      </c>
      <c r="G1763">
        <f>+'[1]VENTAS(RESUMEN GLOBAL)'!D1763-'[1]VENTAS(RESUMEN GLOBAL)'!E1763</f>
        <v>0</v>
      </c>
      <c r="H1763" s="9">
        <f>+'[1]VENTAS(RESUMEN GLOBAL)'!K1763</f>
        <v>0</v>
      </c>
      <c r="I1763" s="8">
        <f>+G1763*'[1]VENTAS(RESUMEN GLOBAL)'!F1763</f>
        <v>0</v>
      </c>
      <c r="J1763" s="8">
        <f>'[1]VENTAS(RESUMEN GLOBAL)'!G1763*(1-'[1]VENTAS(RESUMEN GLOBAL)'!H1763)</f>
        <v>0</v>
      </c>
      <c r="K1763" s="8">
        <f t="shared" si="27"/>
        <v>0</v>
      </c>
      <c r="L1763" s="8">
        <f>+'[1]VENTAS(RESUMEN GLOBAL)'!J1763</f>
        <v>0</v>
      </c>
      <c r="M1763" s="8">
        <f>+Tabla1[[#This Row],[utilidad x dia]]*7</f>
        <v>0</v>
      </c>
    </row>
    <row r="1764" spans="1:13" x14ac:dyDescent="0.3">
      <c r="A1764" s="6">
        <f>+'[1]VENTAS(RESUMEN GLOBAL)'!L1764</f>
        <v>0</v>
      </c>
      <c r="B1764" s="6">
        <f>+'[1]VENTAS(RESUMEN GLOBAL)'!M1764</f>
        <v>0</v>
      </c>
      <c r="C1764">
        <f>+'[1]VENTAS(RESUMEN GLOBAL)'!B1764</f>
        <v>0</v>
      </c>
      <c r="D1764" t="e">
        <f>INDEX('[1]CÓDIGOS DE PRODUCTO'!$D$3:$D$1000,MATCH(C1764,'[1]CÓDIGOS DE PRODUCTO'!$A$3:$A$1000,0))</f>
        <v>#N/A</v>
      </c>
      <c r="E1764">
        <f>VLOOKUP(C1764,'[1]CÓDIGOS DE PRODUCTO'!$A$4:$B$156,2,FALSE)</f>
        <v>0</v>
      </c>
      <c r="F1764">
        <f>INDEX('[1]CÓDIGOS DE PRODUCTO'!$C$3:$C$1000,MATCH(C1764,'[1]CÓDIGOS DE PRODUCTO'!$A$3:$A$1000,0))</f>
        <v>0</v>
      </c>
      <c r="G1764">
        <f>+'[1]VENTAS(RESUMEN GLOBAL)'!D1764-'[1]VENTAS(RESUMEN GLOBAL)'!E1764</f>
        <v>0</v>
      </c>
      <c r="H1764" s="9">
        <f>+'[1]VENTAS(RESUMEN GLOBAL)'!K1764</f>
        <v>0</v>
      </c>
      <c r="I1764" s="8">
        <f>+G1764*'[1]VENTAS(RESUMEN GLOBAL)'!F1764</f>
        <v>0</v>
      </c>
      <c r="J1764" s="8">
        <f>'[1]VENTAS(RESUMEN GLOBAL)'!G1764*(1-'[1]VENTAS(RESUMEN GLOBAL)'!H1764)</f>
        <v>0</v>
      </c>
      <c r="K1764" s="8">
        <f t="shared" si="27"/>
        <v>0</v>
      </c>
      <c r="L1764" s="8">
        <f>+'[1]VENTAS(RESUMEN GLOBAL)'!J1764</f>
        <v>0</v>
      </c>
      <c r="M1764" s="8">
        <f>+Tabla1[[#This Row],[utilidad x dia]]*7</f>
        <v>0</v>
      </c>
    </row>
    <row r="1765" spans="1:13" x14ac:dyDescent="0.3">
      <c r="A1765" s="6">
        <f>+'[1]VENTAS(RESUMEN GLOBAL)'!L1765</f>
        <v>0</v>
      </c>
      <c r="B1765" s="6">
        <f>+'[1]VENTAS(RESUMEN GLOBAL)'!M1765</f>
        <v>0</v>
      </c>
      <c r="C1765">
        <f>+'[1]VENTAS(RESUMEN GLOBAL)'!B1765</f>
        <v>0</v>
      </c>
      <c r="D1765" t="e">
        <f>INDEX('[1]CÓDIGOS DE PRODUCTO'!$D$3:$D$1000,MATCH(C1765,'[1]CÓDIGOS DE PRODUCTO'!$A$3:$A$1000,0))</f>
        <v>#N/A</v>
      </c>
      <c r="E1765">
        <f>VLOOKUP(C1765,'[1]CÓDIGOS DE PRODUCTO'!$A$4:$B$156,2,FALSE)</f>
        <v>0</v>
      </c>
      <c r="F1765">
        <f>INDEX('[1]CÓDIGOS DE PRODUCTO'!$C$3:$C$1000,MATCH(C1765,'[1]CÓDIGOS DE PRODUCTO'!$A$3:$A$1000,0))</f>
        <v>0</v>
      </c>
      <c r="G1765">
        <f>+'[1]VENTAS(RESUMEN GLOBAL)'!D1765-'[1]VENTAS(RESUMEN GLOBAL)'!E1765</f>
        <v>0</v>
      </c>
      <c r="H1765" s="9">
        <f>+'[1]VENTAS(RESUMEN GLOBAL)'!K1765</f>
        <v>0</v>
      </c>
      <c r="I1765" s="8">
        <f>+G1765*'[1]VENTAS(RESUMEN GLOBAL)'!F1765</f>
        <v>0</v>
      </c>
      <c r="J1765" s="8">
        <f>'[1]VENTAS(RESUMEN GLOBAL)'!G1765*(1-'[1]VENTAS(RESUMEN GLOBAL)'!H1765)</f>
        <v>0</v>
      </c>
      <c r="K1765" s="8">
        <f t="shared" si="27"/>
        <v>0</v>
      </c>
      <c r="L1765" s="8">
        <f>+'[1]VENTAS(RESUMEN GLOBAL)'!J1765</f>
        <v>0</v>
      </c>
      <c r="M1765" s="8">
        <f>+Tabla1[[#This Row],[utilidad x dia]]*7</f>
        <v>0</v>
      </c>
    </row>
    <row r="1766" spans="1:13" x14ac:dyDescent="0.3">
      <c r="A1766" s="6">
        <f>+'[1]VENTAS(RESUMEN GLOBAL)'!L1766</f>
        <v>0</v>
      </c>
      <c r="B1766" s="6">
        <f>+'[1]VENTAS(RESUMEN GLOBAL)'!M1766</f>
        <v>0</v>
      </c>
      <c r="C1766">
        <f>+'[1]VENTAS(RESUMEN GLOBAL)'!B1766</f>
        <v>0</v>
      </c>
      <c r="D1766" t="e">
        <f>INDEX('[1]CÓDIGOS DE PRODUCTO'!$D$3:$D$1000,MATCH(C1766,'[1]CÓDIGOS DE PRODUCTO'!$A$3:$A$1000,0))</f>
        <v>#N/A</v>
      </c>
      <c r="E1766">
        <f>VLOOKUP(C1766,'[1]CÓDIGOS DE PRODUCTO'!$A$4:$B$156,2,FALSE)</f>
        <v>0</v>
      </c>
      <c r="F1766">
        <f>INDEX('[1]CÓDIGOS DE PRODUCTO'!$C$3:$C$1000,MATCH(C1766,'[1]CÓDIGOS DE PRODUCTO'!$A$3:$A$1000,0))</f>
        <v>0</v>
      </c>
      <c r="G1766">
        <f>+'[1]VENTAS(RESUMEN GLOBAL)'!D1766-'[1]VENTAS(RESUMEN GLOBAL)'!E1766</f>
        <v>0</v>
      </c>
      <c r="H1766" s="9">
        <f>+'[1]VENTAS(RESUMEN GLOBAL)'!K1766</f>
        <v>0</v>
      </c>
      <c r="I1766" s="8">
        <f>+G1766*'[1]VENTAS(RESUMEN GLOBAL)'!F1766</f>
        <v>0</v>
      </c>
      <c r="J1766" s="8">
        <f>'[1]VENTAS(RESUMEN GLOBAL)'!G1766*(1-'[1]VENTAS(RESUMEN GLOBAL)'!H1766)</f>
        <v>0</v>
      </c>
      <c r="K1766" s="8">
        <f t="shared" si="27"/>
        <v>0</v>
      </c>
      <c r="L1766" s="8">
        <f>+'[1]VENTAS(RESUMEN GLOBAL)'!J1766</f>
        <v>0</v>
      </c>
      <c r="M1766" s="8">
        <f>+Tabla1[[#This Row],[utilidad x dia]]*7</f>
        <v>0</v>
      </c>
    </row>
    <row r="1767" spans="1:13" x14ac:dyDescent="0.3">
      <c r="A1767" s="6">
        <f>+'[1]VENTAS(RESUMEN GLOBAL)'!L1767</f>
        <v>0</v>
      </c>
      <c r="B1767" s="6">
        <f>+'[1]VENTAS(RESUMEN GLOBAL)'!M1767</f>
        <v>0</v>
      </c>
      <c r="C1767">
        <f>+'[1]VENTAS(RESUMEN GLOBAL)'!B1767</f>
        <v>0</v>
      </c>
      <c r="D1767" t="e">
        <f>INDEX('[1]CÓDIGOS DE PRODUCTO'!$D$3:$D$1000,MATCH(C1767,'[1]CÓDIGOS DE PRODUCTO'!$A$3:$A$1000,0))</f>
        <v>#N/A</v>
      </c>
      <c r="E1767">
        <f>VLOOKUP(C1767,'[1]CÓDIGOS DE PRODUCTO'!$A$4:$B$156,2,FALSE)</f>
        <v>0</v>
      </c>
      <c r="F1767">
        <f>INDEX('[1]CÓDIGOS DE PRODUCTO'!$C$3:$C$1000,MATCH(C1767,'[1]CÓDIGOS DE PRODUCTO'!$A$3:$A$1000,0))</f>
        <v>0</v>
      </c>
      <c r="G1767">
        <f>+'[1]VENTAS(RESUMEN GLOBAL)'!D1767-'[1]VENTAS(RESUMEN GLOBAL)'!E1767</f>
        <v>0</v>
      </c>
      <c r="H1767" s="9">
        <f>+'[1]VENTAS(RESUMEN GLOBAL)'!K1767</f>
        <v>0</v>
      </c>
      <c r="I1767" s="8">
        <f>+G1767*'[1]VENTAS(RESUMEN GLOBAL)'!F1767</f>
        <v>0</v>
      </c>
      <c r="J1767" s="8">
        <f>'[1]VENTAS(RESUMEN GLOBAL)'!G1767*(1-'[1]VENTAS(RESUMEN GLOBAL)'!H1767)</f>
        <v>0</v>
      </c>
      <c r="K1767" s="8">
        <f t="shared" si="27"/>
        <v>0</v>
      </c>
      <c r="L1767" s="8">
        <f>+'[1]VENTAS(RESUMEN GLOBAL)'!J1767</f>
        <v>0</v>
      </c>
      <c r="M1767" s="8">
        <f>+Tabla1[[#This Row],[utilidad x dia]]*7</f>
        <v>0</v>
      </c>
    </row>
    <row r="1768" spans="1:13" x14ac:dyDescent="0.3">
      <c r="A1768" s="6">
        <f>+'[1]VENTAS(RESUMEN GLOBAL)'!L1768</f>
        <v>0</v>
      </c>
      <c r="B1768" s="6">
        <f>+'[1]VENTAS(RESUMEN GLOBAL)'!M1768</f>
        <v>0</v>
      </c>
      <c r="C1768">
        <f>+'[1]VENTAS(RESUMEN GLOBAL)'!B1768</f>
        <v>0</v>
      </c>
      <c r="D1768" t="e">
        <f>INDEX('[1]CÓDIGOS DE PRODUCTO'!$D$3:$D$1000,MATCH(C1768,'[1]CÓDIGOS DE PRODUCTO'!$A$3:$A$1000,0))</f>
        <v>#N/A</v>
      </c>
      <c r="E1768">
        <f>VLOOKUP(C1768,'[1]CÓDIGOS DE PRODUCTO'!$A$4:$B$156,2,FALSE)</f>
        <v>0</v>
      </c>
      <c r="F1768">
        <f>INDEX('[1]CÓDIGOS DE PRODUCTO'!$C$3:$C$1000,MATCH(C1768,'[1]CÓDIGOS DE PRODUCTO'!$A$3:$A$1000,0))</f>
        <v>0</v>
      </c>
      <c r="G1768">
        <f>+'[1]VENTAS(RESUMEN GLOBAL)'!D1768-'[1]VENTAS(RESUMEN GLOBAL)'!E1768</f>
        <v>0</v>
      </c>
      <c r="H1768" s="9">
        <f>+'[1]VENTAS(RESUMEN GLOBAL)'!K1768</f>
        <v>0</v>
      </c>
      <c r="I1768" s="8">
        <f>+G1768*'[1]VENTAS(RESUMEN GLOBAL)'!F1768</f>
        <v>0</v>
      </c>
      <c r="J1768" s="8">
        <f>'[1]VENTAS(RESUMEN GLOBAL)'!G1768*(1-'[1]VENTAS(RESUMEN GLOBAL)'!H1768)</f>
        <v>0</v>
      </c>
      <c r="K1768" s="8">
        <f t="shared" si="27"/>
        <v>0</v>
      </c>
      <c r="L1768" s="8">
        <f>+'[1]VENTAS(RESUMEN GLOBAL)'!J1768</f>
        <v>0</v>
      </c>
      <c r="M1768" s="8">
        <f>+Tabla1[[#This Row],[utilidad x dia]]*7</f>
        <v>0</v>
      </c>
    </row>
    <row r="1769" spans="1:13" x14ac:dyDescent="0.3">
      <c r="A1769" s="6">
        <f>+'[1]VENTAS(RESUMEN GLOBAL)'!L1769</f>
        <v>0</v>
      </c>
      <c r="B1769" s="6">
        <f>+'[1]VENTAS(RESUMEN GLOBAL)'!M1769</f>
        <v>0</v>
      </c>
      <c r="C1769">
        <f>+'[1]VENTAS(RESUMEN GLOBAL)'!B1769</f>
        <v>0</v>
      </c>
      <c r="D1769" t="e">
        <f>INDEX('[1]CÓDIGOS DE PRODUCTO'!$D$3:$D$1000,MATCH(C1769,'[1]CÓDIGOS DE PRODUCTO'!$A$3:$A$1000,0))</f>
        <v>#N/A</v>
      </c>
      <c r="E1769">
        <f>VLOOKUP(C1769,'[1]CÓDIGOS DE PRODUCTO'!$A$4:$B$156,2,FALSE)</f>
        <v>0</v>
      </c>
      <c r="F1769">
        <f>INDEX('[1]CÓDIGOS DE PRODUCTO'!$C$3:$C$1000,MATCH(C1769,'[1]CÓDIGOS DE PRODUCTO'!$A$3:$A$1000,0))</f>
        <v>0</v>
      </c>
      <c r="G1769">
        <f>+'[1]VENTAS(RESUMEN GLOBAL)'!D1769-'[1]VENTAS(RESUMEN GLOBAL)'!E1769</f>
        <v>0</v>
      </c>
      <c r="H1769" s="9">
        <f>+'[1]VENTAS(RESUMEN GLOBAL)'!K1769</f>
        <v>0</v>
      </c>
      <c r="I1769" s="8">
        <f>+G1769*'[1]VENTAS(RESUMEN GLOBAL)'!F1769</f>
        <v>0</v>
      </c>
      <c r="J1769" s="8">
        <f>'[1]VENTAS(RESUMEN GLOBAL)'!G1769*(1-'[1]VENTAS(RESUMEN GLOBAL)'!H1769)</f>
        <v>0</v>
      </c>
      <c r="K1769" s="8">
        <f t="shared" si="27"/>
        <v>0</v>
      </c>
      <c r="L1769" s="8">
        <f>+'[1]VENTAS(RESUMEN GLOBAL)'!J1769</f>
        <v>0</v>
      </c>
      <c r="M1769" s="8">
        <f>+Tabla1[[#This Row],[utilidad x dia]]*7</f>
        <v>0</v>
      </c>
    </row>
    <row r="1770" spans="1:13" x14ac:dyDescent="0.3">
      <c r="A1770" s="6">
        <f>+'[1]VENTAS(RESUMEN GLOBAL)'!L1770</f>
        <v>0</v>
      </c>
      <c r="B1770" s="6">
        <f>+'[1]VENTAS(RESUMEN GLOBAL)'!M1770</f>
        <v>0</v>
      </c>
      <c r="C1770">
        <f>+'[1]VENTAS(RESUMEN GLOBAL)'!B1770</f>
        <v>0</v>
      </c>
      <c r="D1770" t="e">
        <f>INDEX('[1]CÓDIGOS DE PRODUCTO'!$D$3:$D$1000,MATCH(C1770,'[1]CÓDIGOS DE PRODUCTO'!$A$3:$A$1000,0))</f>
        <v>#N/A</v>
      </c>
      <c r="E1770">
        <f>VLOOKUP(C1770,'[1]CÓDIGOS DE PRODUCTO'!$A$4:$B$156,2,FALSE)</f>
        <v>0</v>
      </c>
      <c r="F1770">
        <f>INDEX('[1]CÓDIGOS DE PRODUCTO'!$C$3:$C$1000,MATCH(C1770,'[1]CÓDIGOS DE PRODUCTO'!$A$3:$A$1000,0))</f>
        <v>0</v>
      </c>
      <c r="G1770">
        <f>+'[1]VENTAS(RESUMEN GLOBAL)'!D1770-'[1]VENTAS(RESUMEN GLOBAL)'!E1770</f>
        <v>0</v>
      </c>
      <c r="H1770" s="9">
        <f>+'[1]VENTAS(RESUMEN GLOBAL)'!K1770</f>
        <v>0</v>
      </c>
      <c r="I1770" s="8">
        <f>+G1770*'[1]VENTAS(RESUMEN GLOBAL)'!F1770</f>
        <v>0</v>
      </c>
      <c r="J1770" s="8">
        <f>'[1]VENTAS(RESUMEN GLOBAL)'!G1770*(1-'[1]VENTAS(RESUMEN GLOBAL)'!H1770)</f>
        <v>0</v>
      </c>
      <c r="K1770" s="8">
        <f t="shared" si="27"/>
        <v>0</v>
      </c>
      <c r="L1770" s="8">
        <f>+'[1]VENTAS(RESUMEN GLOBAL)'!J1770</f>
        <v>0</v>
      </c>
      <c r="M1770" s="8">
        <f>+Tabla1[[#This Row],[utilidad x dia]]*7</f>
        <v>0</v>
      </c>
    </row>
    <row r="1771" spans="1:13" x14ac:dyDescent="0.3">
      <c r="A1771" s="6">
        <f>+'[1]VENTAS(RESUMEN GLOBAL)'!L1771</f>
        <v>0</v>
      </c>
      <c r="B1771" s="6">
        <f>+'[1]VENTAS(RESUMEN GLOBAL)'!M1771</f>
        <v>0</v>
      </c>
      <c r="C1771">
        <f>+'[1]VENTAS(RESUMEN GLOBAL)'!B1771</f>
        <v>0</v>
      </c>
      <c r="D1771" t="e">
        <f>INDEX('[1]CÓDIGOS DE PRODUCTO'!$D$3:$D$1000,MATCH(C1771,'[1]CÓDIGOS DE PRODUCTO'!$A$3:$A$1000,0))</f>
        <v>#N/A</v>
      </c>
      <c r="E1771">
        <f>VLOOKUP(C1771,'[1]CÓDIGOS DE PRODUCTO'!$A$4:$B$156,2,FALSE)</f>
        <v>0</v>
      </c>
      <c r="F1771">
        <f>INDEX('[1]CÓDIGOS DE PRODUCTO'!$C$3:$C$1000,MATCH(C1771,'[1]CÓDIGOS DE PRODUCTO'!$A$3:$A$1000,0))</f>
        <v>0</v>
      </c>
      <c r="G1771">
        <f>+'[1]VENTAS(RESUMEN GLOBAL)'!D1771-'[1]VENTAS(RESUMEN GLOBAL)'!E1771</f>
        <v>0</v>
      </c>
      <c r="H1771" s="9">
        <f>+'[1]VENTAS(RESUMEN GLOBAL)'!K1771</f>
        <v>0</v>
      </c>
      <c r="I1771" s="8">
        <f>+G1771*'[1]VENTAS(RESUMEN GLOBAL)'!F1771</f>
        <v>0</v>
      </c>
      <c r="J1771" s="8">
        <f>'[1]VENTAS(RESUMEN GLOBAL)'!G1771*(1-'[1]VENTAS(RESUMEN GLOBAL)'!H1771)</f>
        <v>0</v>
      </c>
      <c r="K1771" s="8">
        <f t="shared" si="27"/>
        <v>0</v>
      </c>
      <c r="L1771" s="8">
        <f>+'[1]VENTAS(RESUMEN GLOBAL)'!J1771</f>
        <v>0</v>
      </c>
      <c r="M1771" s="8">
        <f>+Tabla1[[#This Row],[utilidad x dia]]*7</f>
        <v>0</v>
      </c>
    </row>
    <row r="1772" spans="1:13" x14ac:dyDescent="0.3">
      <c r="A1772" s="6">
        <f>+'[1]VENTAS(RESUMEN GLOBAL)'!L1772</f>
        <v>0</v>
      </c>
      <c r="B1772" s="6">
        <f>+'[1]VENTAS(RESUMEN GLOBAL)'!M1772</f>
        <v>0</v>
      </c>
      <c r="C1772">
        <f>+'[1]VENTAS(RESUMEN GLOBAL)'!B1772</f>
        <v>0</v>
      </c>
      <c r="D1772" t="e">
        <f>INDEX('[1]CÓDIGOS DE PRODUCTO'!$D$3:$D$1000,MATCH(C1772,'[1]CÓDIGOS DE PRODUCTO'!$A$3:$A$1000,0))</f>
        <v>#N/A</v>
      </c>
      <c r="E1772">
        <f>VLOOKUP(C1772,'[1]CÓDIGOS DE PRODUCTO'!$A$4:$B$156,2,FALSE)</f>
        <v>0</v>
      </c>
      <c r="F1772">
        <f>INDEX('[1]CÓDIGOS DE PRODUCTO'!$C$3:$C$1000,MATCH(C1772,'[1]CÓDIGOS DE PRODUCTO'!$A$3:$A$1000,0))</f>
        <v>0</v>
      </c>
      <c r="G1772">
        <f>+'[1]VENTAS(RESUMEN GLOBAL)'!D1772-'[1]VENTAS(RESUMEN GLOBAL)'!E1772</f>
        <v>0</v>
      </c>
      <c r="H1772" s="9">
        <f>+'[1]VENTAS(RESUMEN GLOBAL)'!K1772</f>
        <v>0</v>
      </c>
      <c r="I1772" s="8">
        <f>+G1772*'[1]VENTAS(RESUMEN GLOBAL)'!F1772</f>
        <v>0</v>
      </c>
      <c r="J1772" s="8">
        <f>'[1]VENTAS(RESUMEN GLOBAL)'!G1772*(1-'[1]VENTAS(RESUMEN GLOBAL)'!H1772)</f>
        <v>0</v>
      </c>
      <c r="K1772" s="8">
        <f t="shared" si="27"/>
        <v>0</v>
      </c>
      <c r="L1772" s="8">
        <f>+'[1]VENTAS(RESUMEN GLOBAL)'!J1772</f>
        <v>0</v>
      </c>
      <c r="M1772" s="8">
        <f>+Tabla1[[#This Row],[utilidad x dia]]*7</f>
        <v>0</v>
      </c>
    </row>
    <row r="1773" spans="1:13" x14ac:dyDescent="0.3">
      <c r="A1773" s="6">
        <f>+'[1]VENTAS(RESUMEN GLOBAL)'!L1773</f>
        <v>0</v>
      </c>
      <c r="B1773" s="6">
        <f>+'[1]VENTAS(RESUMEN GLOBAL)'!M1773</f>
        <v>0</v>
      </c>
      <c r="C1773">
        <f>+'[1]VENTAS(RESUMEN GLOBAL)'!B1773</f>
        <v>0</v>
      </c>
      <c r="D1773" t="e">
        <f>INDEX('[1]CÓDIGOS DE PRODUCTO'!$D$3:$D$1000,MATCH(C1773,'[1]CÓDIGOS DE PRODUCTO'!$A$3:$A$1000,0))</f>
        <v>#N/A</v>
      </c>
      <c r="E1773">
        <f>VLOOKUP(C1773,'[1]CÓDIGOS DE PRODUCTO'!$A$4:$B$156,2,FALSE)</f>
        <v>0</v>
      </c>
      <c r="F1773">
        <f>INDEX('[1]CÓDIGOS DE PRODUCTO'!$C$3:$C$1000,MATCH(C1773,'[1]CÓDIGOS DE PRODUCTO'!$A$3:$A$1000,0))</f>
        <v>0</v>
      </c>
      <c r="G1773">
        <f>+'[1]VENTAS(RESUMEN GLOBAL)'!D1773-'[1]VENTAS(RESUMEN GLOBAL)'!E1773</f>
        <v>0</v>
      </c>
      <c r="H1773" s="9">
        <f>+'[1]VENTAS(RESUMEN GLOBAL)'!K1773</f>
        <v>0</v>
      </c>
      <c r="I1773" s="8">
        <f>+G1773*'[1]VENTAS(RESUMEN GLOBAL)'!F1773</f>
        <v>0</v>
      </c>
      <c r="J1773" s="8">
        <f>'[1]VENTAS(RESUMEN GLOBAL)'!G1773*(1-'[1]VENTAS(RESUMEN GLOBAL)'!H1773)</f>
        <v>0</v>
      </c>
      <c r="K1773" s="8">
        <f t="shared" si="27"/>
        <v>0</v>
      </c>
      <c r="L1773" s="8">
        <f>+'[1]VENTAS(RESUMEN GLOBAL)'!J1773</f>
        <v>0</v>
      </c>
      <c r="M1773" s="8">
        <f>+Tabla1[[#This Row],[utilidad x dia]]*7</f>
        <v>0</v>
      </c>
    </row>
    <row r="1774" spans="1:13" x14ac:dyDescent="0.3">
      <c r="A1774" s="6">
        <f>+'[1]VENTAS(RESUMEN GLOBAL)'!L1774</f>
        <v>0</v>
      </c>
      <c r="B1774" s="6">
        <f>+'[1]VENTAS(RESUMEN GLOBAL)'!M1774</f>
        <v>0</v>
      </c>
      <c r="C1774">
        <f>+'[1]VENTAS(RESUMEN GLOBAL)'!B1774</f>
        <v>0</v>
      </c>
      <c r="D1774" t="e">
        <f>INDEX('[1]CÓDIGOS DE PRODUCTO'!$D$3:$D$1000,MATCH(C1774,'[1]CÓDIGOS DE PRODUCTO'!$A$3:$A$1000,0))</f>
        <v>#N/A</v>
      </c>
      <c r="E1774">
        <f>VLOOKUP(C1774,'[1]CÓDIGOS DE PRODUCTO'!$A$4:$B$156,2,FALSE)</f>
        <v>0</v>
      </c>
      <c r="F1774">
        <f>INDEX('[1]CÓDIGOS DE PRODUCTO'!$C$3:$C$1000,MATCH(C1774,'[1]CÓDIGOS DE PRODUCTO'!$A$3:$A$1000,0))</f>
        <v>0</v>
      </c>
      <c r="G1774">
        <f>+'[1]VENTAS(RESUMEN GLOBAL)'!D1774-'[1]VENTAS(RESUMEN GLOBAL)'!E1774</f>
        <v>0</v>
      </c>
      <c r="H1774" s="9">
        <f>+'[1]VENTAS(RESUMEN GLOBAL)'!K1774</f>
        <v>0</v>
      </c>
      <c r="I1774" s="8">
        <f>+G1774*'[1]VENTAS(RESUMEN GLOBAL)'!F1774</f>
        <v>0</v>
      </c>
      <c r="J1774" s="8">
        <f>'[1]VENTAS(RESUMEN GLOBAL)'!G1774*(1-'[1]VENTAS(RESUMEN GLOBAL)'!H1774)</f>
        <v>0</v>
      </c>
      <c r="K1774" s="8">
        <f t="shared" si="27"/>
        <v>0</v>
      </c>
      <c r="L1774" s="8">
        <f>+'[1]VENTAS(RESUMEN GLOBAL)'!J1774</f>
        <v>0</v>
      </c>
      <c r="M1774" s="8">
        <f>+Tabla1[[#This Row],[utilidad x dia]]*7</f>
        <v>0</v>
      </c>
    </row>
    <row r="1775" spans="1:13" x14ac:dyDescent="0.3">
      <c r="A1775" s="6">
        <f>+'[1]VENTAS(RESUMEN GLOBAL)'!L1775</f>
        <v>0</v>
      </c>
      <c r="B1775" s="6">
        <f>+'[1]VENTAS(RESUMEN GLOBAL)'!M1775</f>
        <v>0</v>
      </c>
      <c r="C1775">
        <f>+'[1]VENTAS(RESUMEN GLOBAL)'!B1775</f>
        <v>0</v>
      </c>
      <c r="D1775" t="e">
        <f>INDEX('[1]CÓDIGOS DE PRODUCTO'!$D$3:$D$1000,MATCH(C1775,'[1]CÓDIGOS DE PRODUCTO'!$A$3:$A$1000,0))</f>
        <v>#N/A</v>
      </c>
      <c r="E1775">
        <f>VLOOKUP(C1775,'[1]CÓDIGOS DE PRODUCTO'!$A$4:$B$156,2,FALSE)</f>
        <v>0</v>
      </c>
      <c r="F1775">
        <f>INDEX('[1]CÓDIGOS DE PRODUCTO'!$C$3:$C$1000,MATCH(C1775,'[1]CÓDIGOS DE PRODUCTO'!$A$3:$A$1000,0))</f>
        <v>0</v>
      </c>
      <c r="G1775">
        <f>+'[1]VENTAS(RESUMEN GLOBAL)'!D1775-'[1]VENTAS(RESUMEN GLOBAL)'!E1775</f>
        <v>0</v>
      </c>
      <c r="H1775" s="9">
        <f>+'[1]VENTAS(RESUMEN GLOBAL)'!K1775</f>
        <v>0</v>
      </c>
      <c r="I1775" s="8">
        <f>+G1775*'[1]VENTAS(RESUMEN GLOBAL)'!F1775</f>
        <v>0</v>
      </c>
      <c r="J1775" s="8">
        <f>'[1]VENTAS(RESUMEN GLOBAL)'!G1775*(1-'[1]VENTAS(RESUMEN GLOBAL)'!H1775)</f>
        <v>0</v>
      </c>
      <c r="K1775" s="8">
        <f t="shared" si="27"/>
        <v>0</v>
      </c>
      <c r="L1775" s="8">
        <f>+'[1]VENTAS(RESUMEN GLOBAL)'!J1775</f>
        <v>0</v>
      </c>
      <c r="M1775" s="8">
        <f>+Tabla1[[#This Row],[utilidad x dia]]*7</f>
        <v>0</v>
      </c>
    </row>
    <row r="1776" spans="1:13" x14ac:dyDescent="0.3">
      <c r="A1776" s="6">
        <f>+'[1]VENTAS(RESUMEN GLOBAL)'!L1776</f>
        <v>0</v>
      </c>
      <c r="B1776" s="6">
        <f>+'[1]VENTAS(RESUMEN GLOBAL)'!M1776</f>
        <v>0</v>
      </c>
      <c r="C1776">
        <f>+'[1]VENTAS(RESUMEN GLOBAL)'!B1776</f>
        <v>0</v>
      </c>
      <c r="D1776" t="e">
        <f>INDEX('[1]CÓDIGOS DE PRODUCTO'!$D$3:$D$1000,MATCH(C1776,'[1]CÓDIGOS DE PRODUCTO'!$A$3:$A$1000,0))</f>
        <v>#N/A</v>
      </c>
      <c r="E1776">
        <f>VLOOKUP(C1776,'[1]CÓDIGOS DE PRODUCTO'!$A$4:$B$156,2,FALSE)</f>
        <v>0</v>
      </c>
      <c r="F1776">
        <f>INDEX('[1]CÓDIGOS DE PRODUCTO'!$C$3:$C$1000,MATCH(C1776,'[1]CÓDIGOS DE PRODUCTO'!$A$3:$A$1000,0))</f>
        <v>0</v>
      </c>
      <c r="G1776">
        <f>+'[1]VENTAS(RESUMEN GLOBAL)'!D1776-'[1]VENTAS(RESUMEN GLOBAL)'!E1776</f>
        <v>0</v>
      </c>
      <c r="H1776" s="9">
        <f>+'[1]VENTAS(RESUMEN GLOBAL)'!K1776</f>
        <v>0</v>
      </c>
      <c r="I1776" s="8">
        <f>+G1776*'[1]VENTAS(RESUMEN GLOBAL)'!F1776</f>
        <v>0</v>
      </c>
      <c r="J1776" s="8">
        <f>'[1]VENTAS(RESUMEN GLOBAL)'!G1776*(1-'[1]VENTAS(RESUMEN GLOBAL)'!H1776)</f>
        <v>0</v>
      </c>
      <c r="K1776" s="8">
        <f t="shared" si="27"/>
        <v>0</v>
      </c>
      <c r="L1776" s="8">
        <f>+'[1]VENTAS(RESUMEN GLOBAL)'!J1776</f>
        <v>0</v>
      </c>
      <c r="M1776" s="8">
        <f>+Tabla1[[#This Row],[utilidad x dia]]*7</f>
        <v>0</v>
      </c>
    </row>
    <row r="1777" spans="1:13" x14ac:dyDescent="0.3">
      <c r="A1777" s="6">
        <f>+'[1]VENTAS(RESUMEN GLOBAL)'!L1777</f>
        <v>0</v>
      </c>
      <c r="B1777" s="6">
        <f>+'[1]VENTAS(RESUMEN GLOBAL)'!M1777</f>
        <v>0</v>
      </c>
      <c r="C1777">
        <f>+'[1]VENTAS(RESUMEN GLOBAL)'!B1777</f>
        <v>0</v>
      </c>
      <c r="D1777" t="e">
        <f>INDEX('[1]CÓDIGOS DE PRODUCTO'!$D$3:$D$1000,MATCH(C1777,'[1]CÓDIGOS DE PRODUCTO'!$A$3:$A$1000,0))</f>
        <v>#N/A</v>
      </c>
      <c r="E1777">
        <f>VLOOKUP(C1777,'[1]CÓDIGOS DE PRODUCTO'!$A$4:$B$156,2,FALSE)</f>
        <v>0</v>
      </c>
      <c r="F1777">
        <f>INDEX('[1]CÓDIGOS DE PRODUCTO'!$C$3:$C$1000,MATCH(C1777,'[1]CÓDIGOS DE PRODUCTO'!$A$3:$A$1000,0))</f>
        <v>0</v>
      </c>
      <c r="G1777">
        <f>+'[1]VENTAS(RESUMEN GLOBAL)'!D1777-'[1]VENTAS(RESUMEN GLOBAL)'!E1777</f>
        <v>0</v>
      </c>
      <c r="H1777" s="9">
        <f>+'[1]VENTAS(RESUMEN GLOBAL)'!K1777</f>
        <v>0</v>
      </c>
      <c r="I1777" s="8">
        <f>+G1777*'[1]VENTAS(RESUMEN GLOBAL)'!F1777</f>
        <v>0</v>
      </c>
      <c r="J1777" s="8">
        <f>'[1]VENTAS(RESUMEN GLOBAL)'!G1777*(1-'[1]VENTAS(RESUMEN GLOBAL)'!H1777)</f>
        <v>0</v>
      </c>
      <c r="K1777" s="8">
        <f t="shared" si="27"/>
        <v>0</v>
      </c>
      <c r="L1777" s="8">
        <f>+'[1]VENTAS(RESUMEN GLOBAL)'!J1777</f>
        <v>0</v>
      </c>
      <c r="M1777" s="8">
        <f>+Tabla1[[#This Row],[utilidad x dia]]*7</f>
        <v>0</v>
      </c>
    </row>
    <row r="1778" spans="1:13" x14ac:dyDescent="0.3">
      <c r="A1778" s="6">
        <f>+'[1]VENTAS(RESUMEN GLOBAL)'!L1778</f>
        <v>0</v>
      </c>
      <c r="B1778" s="6">
        <f>+'[1]VENTAS(RESUMEN GLOBAL)'!M1778</f>
        <v>0</v>
      </c>
      <c r="C1778">
        <f>+'[1]VENTAS(RESUMEN GLOBAL)'!B1778</f>
        <v>0</v>
      </c>
      <c r="D1778" t="e">
        <f>INDEX('[1]CÓDIGOS DE PRODUCTO'!$D$3:$D$1000,MATCH(C1778,'[1]CÓDIGOS DE PRODUCTO'!$A$3:$A$1000,0))</f>
        <v>#N/A</v>
      </c>
      <c r="E1778">
        <f>VLOOKUP(C1778,'[1]CÓDIGOS DE PRODUCTO'!$A$4:$B$156,2,FALSE)</f>
        <v>0</v>
      </c>
      <c r="F1778">
        <f>INDEX('[1]CÓDIGOS DE PRODUCTO'!$C$3:$C$1000,MATCH(C1778,'[1]CÓDIGOS DE PRODUCTO'!$A$3:$A$1000,0))</f>
        <v>0</v>
      </c>
      <c r="G1778">
        <f>+'[1]VENTAS(RESUMEN GLOBAL)'!D1778-'[1]VENTAS(RESUMEN GLOBAL)'!E1778</f>
        <v>0</v>
      </c>
      <c r="H1778" s="9">
        <f>+'[1]VENTAS(RESUMEN GLOBAL)'!K1778</f>
        <v>0</v>
      </c>
      <c r="I1778" s="8">
        <f>+G1778*'[1]VENTAS(RESUMEN GLOBAL)'!F1778</f>
        <v>0</v>
      </c>
      <c r="J1778" s="8">
        <f>'[1]VENTAS(RESUMEN GLOBAL)'!G1778*(1-'[1]VENTAS(RESUMEN GLOBAL)'!H1778)</f>
        <v>0</v>
      </c>
      <c r="K1778" s="8">
        <f t="shared" si="27"/>
        <v>0</v>
      </c>
      <c r="L1778" s="8">
        <f>+'[1]VENTAS(RESUMEN GLOBAL)'!J1778</f>
        <v>0</v>
      </c>
      <c r="M1778" s="8">
        <f>+Tabla1[[#This Row],[utilidad x dia]]*7</f>
        <v>0</v>
      </c>
    </row>
    <row r="1779" spans="1:13" x14ac:dyDescent="0.3">
      <c r="A1779" s="6">
        <f>+'[1]VENTAS(RESUMEN GLOBAL)'!L1779</f>
        <v>0</v>
      </c>
      <c r="B1779" s="6">
        <f>+'[1]VENTAS(RESUMEN GLOBAL)'!M1779</f>
        <v>0</v>
      </c>
      <c r="C1779">
        <f>+'[1]VENTAS(RESUMEN GLOBAL)'!B1779</f>
        <v>0</v>
      </c>
      <c r="D1779" t="e">
        <f>INDEX('[1]CÓDIGOS DE PRODUCTO'!$D$3:$D$1000,MATCH(C1779,'[1]CÓDIGOS DE PRODUCTO'!$A$3:$A$1000,0))</f>
        <v>#N/A</v>
      </c>
      <c r="E1779">
        <f>VLOOKUP(C1779,'[1]CÓDIGOS DE PRODUCTO'!$A$4:$B$156,2,FALSE)</f>
        <v>0</v>
      </c>
      <c r="F1779">
        <f>INDEX('[1]CÓDIGOS DE PRODUCTO'!$C$3:$C$1000,MATCH(C1779,'[1]CÓDIGOS DE PRODUCTO'!$A$3:$A$1000,0))</f>
        <v>0</v>
      </c>
      <c r="G1779">
        <f>+'[1]VENTAS(RESUMEN GLOBAL)'!D1779-'[1]VENTAS(RESUMEN GLOBAL)'!E1779</f>
        <v>0</v>
      </c>
      <c r="H1779" s="9">
        <f>+'[1]VENTAS(RESUMEN GLOBAL)'!K1779</f>
        <v>0</v>
      </c>
      <c r="I1779" s="8">
        <f>+G1779*'[1]VENTAS(RESUMEN GLOBAL)'!F1779</f>
        <v>0</v>
      </c>
      <c r="J1779" s="8">
        <f>'[1]VENTAS(RESUMEN GLOBAL)'!G1779*(1-'[1]VENTAS(RESUMEN GLOBAL)'!H1779)</f>
        <v>0</v>
      </c>
      <c r="K1779" s="8">
        <f t="shared" si="27"/>
        <v>0</v>
      </c>
      <c r="L1779" s="8">
        <f>+'[1]VENTAS(RESUMEN GLOBAL)'!J1779</f>
        <v>0</v>
      </c>
      <c r="M1779" s="8">
        <f>+Tabla1[[#This Row],[utilidad x dia]]*7</f>
        <v>0</v>
      </c>
    </row>
    <row r="1780" spans="1:13" x14ac:dyDescent="0.3">
      <c r="A1780" s="6">
        <f>+'[1]VENTAS(RESUMEN GLOBAL)'!L1780</f>
        <v>0</v>
      </c>
      <c r="B1780" s="6">
        <f>+'[1]VENTAS(RESUMEN GLOBAL)'!M1780</f>
        <v>0</v>
      </c>
      <c r="C1780">
        <f>+'[1]VENTAS(RESUMEN GLOBAL)'!B1780</f>
        <v>0</v>
      </c>
      <c r="D1780" t="e">
        <f>INDEX('[1]CÓDIGOS DE PRODUCTO'!$D$3:$D$1000,MATCH(C1780,'[1]CÓDIGOS DE PRODUCTO'!$A$3:$A$1000,0))</f>
        <v>#N/A</v>
      </c>
      <c r="E1780">
        <f>VLOOKUP(C1780,'[1]CÓDIGOS DE PRODUCTO'!$A$4:$B$156,2,FALSE)</f>
        <v>0</v>
      </c>
      <c r="F1780">
        <f>INDEX('[1]CÓDIGOS DE PRODUCTO'!$C$3:$C$1000,MATCH(C1780,'[1]CÓDIGOS DE PRODUCTO'!$A$3:$A$1000,0))</f>
        <v>0</v>
      </c>
      <c r="G1780">
        <f>+'[1]VENTAS(RESUMEN GLOBAL)'!D1780-'[1]VENTAS(RESUMEN GLOBAL)'!E1780</f>
        <v>0</v>
      </c>
      <c r="H1780" s="9">
        <f>+'[1]VENTAS(RESUMEN GLOBAL)'!K1780</f>
        <v>0</v>
      </c>
      <c r="I1780" s="8">
        <f>+G1780*'[1]VENTAS(RESUMEN GLOBAL)'!F1780</f>
        <v>0</v>
      </c>
      <c r="J1780" s="8">
        <f>'[1]VENTAS(RESUMEN GLOBAL)'!G1780*(1-'[1]VENTAS(RESUMEN GLOBAL)'!H1780)</f>
        <v>0</v>
      </c>
      <c r="K1780" s="8">
        <f t="shared" si="27"/>
        <v>0</v>
      </c>
      <c r="L1780" s="8">
        <f>+'[1]VENTAS(RESUMEN GLOBAL)'!J1780</f>
        <v>0</v>
      </c>
      <c r="M1780" s="8">
        <f>+Tabla1[[#This Row],[utilidad x dia]]*7</f>
        <v>0</v>
      </c>
    </row>
    <row r="1781" spans="1:13" x14ac:dyDescent="0.3">
      <c r="A1781" s="6">
        <f>+'[1]VENTAS(RESUMEN GLOBAL)'!L1781</f>
        <v>0</v>
      </c>
      <c r="B1781" s="6">
        <f>+'[1]VENTAS(RESUMEN GLOBAL)'!M1781</f>
        <v>0</v>
      </c>
      <c r="C1781">
        <f>+'[1]VENTAS(RESUMEN GLOBAL)'!B1781</f>
        <v>0</v>
      </c>
      <c r="D1781" t="e">
        <f>INDEX('[1]CÓDIGOS DE PRODUCTO'!$D$3:$D$1000,MATCH(C1781,'[1]CÓDIGOS DE PRODUCTO'!$A$3:$A$1000,0))</f>
        <v>#N/A</v>
      </c>
      <c r="E1781">
        <f>VLOOKUP(C1781,'[1]CÓDIGOS DE PRODUCTO'!$A$4:$B$156,2,FALSE)</f>
        <v>0</v>
      </c>
      <c r="F1781">
        <f>INDEX('[1]CÓDIGOS DE PRODUCTO'!$C$3:$C$1000,MATCH(C1781,'[1]CÓDIGOS DE PRODUCTO'!$A$3:$A$1000,0))</f>
        <v>0</v>
      </c>
      <c r="G1781">
        <f>+'[1]VENTAS(RESUMEN GLOBAL)'!D1781-'[1]VENTAS(RESUMEN GLOBAL)'!E1781</f>
        <v>0</v>
      </c>
      <c r="H1781" s="9">
        <f>+'[1]VENTAS(RESUMEN GLOBAL)'!K1781</f>
        <v>0</v>
      </c>
      <c r="I1781" s="8">
        <f>+G1781*'[1]VENTAS(RESUMEN GLOBAL)'!F1781</f>
        <v>0</v>
      </c>
      <c r="J1781" s="8">
        <f>'[1]VENTAS(RESUMEN GLOBAL)'!G1781*(1-'[1]VENTAS(RESUMEN GLOBAL)'!H1781)</f>
        <v>0</v>
      </c>
      <c r="K1781" s="8">
        <f t="shared" si="27"/>
        <v>0</v>
      </c>
      <c r="L1781" s="8">
        <f>+'[1]VENTAS(RESUMEN GLOBAL)'!J1781</f>
        <v>0</v>
      </c>
      <c r="M1781" s="8">
        <f>+Tabla1[[#This Row],[utilidad x dia]]*7</f>
        <v>0</v>
      </c>
    </row>
    <row r="1782" spans="1:13" x14ac:dyDescent="0.3">
      <c r="A1782" s="6">
        <f>+'[1]VENTAS(RESUMEN GLOBAL)'!L1782</f>
        <v>0</v>
      </c>
      <c r="B1782" s="6">
        <f>+'[1]VENTAS(RESUMEN GLOBAL)'!M1782</f>
        <v>0</v>
      </c>
      <c r="C1782">
        <f>+'[1]VENTAS(RESUMEN GLOBAL)'!B1782</f>
        <v>0</v>
      </c>
      <c r="D1782" t="e">
        <f>INDEX('[1]CÓDIGOS DE PRODUCTO'!$D$3:$D$1000,MATCH(C1782,'[1]CÓDIGOS DE PRODUCTO'!$A$3:$A$1000,0))</f>
        <v>#N/A</v>
      </c>
      <c r="E1782">
        <f>VLOOKUP(C1782,'[1]CÓDIGOS DE PRODUCTO'!$A$4:$B$156,2,FALSE)</f>
        <v>0</v>
      </c>
      <c r="F1782">
        <f>INDEX('[1]CÓDIGOS DE PRODUCTO'!$C$3:$C$1000,MATCH(C1782,'[1]CÓDIGOS DE PRODUCTO'!$A$3:$A$1000,0))</f>
        <v>0</v>
      </c>
      <c r="G1782">
        <f>+'[1]VENTAS(RESUMEN GLOBAL)'!D1782-'[1]VENTAS(RESUMEN GLOBAL)'!E1782</f>
        <v>0</v>
      </c>
      <c r="H1782" s="9">
        <f>+'[1]VENTAS(RESUMEN GLOBAL)'!K1782</f>
        <v>0</v>
      </c>
      <c r="I1782" s="8">
        <f>+G1782*'[1]VENTAS(RESUMEN GLOBAL)'!F1782</f>
        <v>0</v>
      </c>
      <c r="J1782" s="8">
        <f>'[1]VENTAS(RESUMEN GLOBAL)'!G1782*(1-'[1]VENTAS(RESUMEN GLOBAL)'!H1782)</f>
        <v>0</v>
      </c>
      <c r="K1782" s="8">
        <f t="shared" si="27"/>
        <v>0</v>
      </c>
      <c r="L1782" s="8">
        <f>+'[1]VENTAS(RESUMEN GLOBAL)'!J1782</f>
        <v>0</v>
      </c>
      <c r="M1782" s="8">
        <f>+Tabla1[[#This Row],[utilidad x dia]]*7</f>
        <v>0</v>
      </c>
    </row>
    <row r="1783" spans="1:13" x14ac:dyDescent="0.3">
      <c r="A1783" s="6">
        <f>+'[1]VENTAS(RESUMEN GLOBAL)'!L1783</f>
        <v>0</v>
      </c>
      <c r="B1783" s="6">
        <f>+'[1]VENTAS(RESUMEN GLOBAL)'!M1783</f>
        <v>0</v>
      </c>
      <c r="C1783">
        <f>+'[1]VENTAS(RESUMEN GLOBAL)'!B1783</f>
        <v>0</v>
      </c>
      <c r="D1783" t="e">
        <f>INDEX('[1]CÓDIGOS DE PRODUCTO'!$D$3:$D$1000,MATCH(C1783,'[1]CÓDIGOS DE PRODUCTO'!$A$3:$A$1000,0))</f>
        <v>#N/A</v>
      </c>
      <c r="E1783">
        <f>VLOOKUP(C1783,'[1]CÓDIGOS DE PRODUCTO'!$A$4:$B$156,2,FALSE)</f>
        <v>0</v>
      </c>
      <c r="F1783">
        <f>INDEX('[1]CÓDIGOS DE PRODUCTO'!$C$3:$C$1000,MATCH(C1783,'[1]CÓDIGOS DE PRODUCTO'!$A$3:$A$1000,0))</f>
        <v>0</v>
      </c>
      <c r="G1783">
        <f>+'[1]VENTAS(RESUMEN GLOBAL)'!D1783-'[1]VENTAS(RESUMEN GLOBAL)'!E1783</f>
        <v>0</v>
      </c>
      <c r="H1783" s="9">
        <f>+'[1]VENTAS(RESUMEN GLOBAL)'!K1783</f>
        <v>0</v>
      </c>
      <c r="I1783" s="8">
        <f>+G1783*'[1]VENTAS(RESUMEN GLOBAL)'!F1783</f>
        <v>0</v>
      </c>
      <c r="J1783" s="8">
        <f>'[1]VENTAS(RESUMEN GLOBAL)'!G1783*(1-'[1]VENTAS(RESUMEN GLOBAL)'!H1783)</f>
        <v>0</v>
      </c>
      <c r="K1783" s="8">
        <f t="shared" si="27"/>
        <v>0</v>
      </c>
      <c r="L1783" s="8">
        <f>+'[1]VENTAS(RESUMEN GLOBAL)'!J1783</f>
        <v>0</v>
      </c>
      <c r="M1783" s="8">
        <f>+Tabla1[[#This Row],[utilidad x dia]]*7</f>
        <v>0</v>
      </c>
    </row>
    <row r="1784" spans="1:13" x14ac:dyDescent="0.3">
      <c r="A1784" s="6">
        <f>+'[1]VENTAS(RESUMEN GLOBAL)'!L1784</f>
        <v>0</v>
      </c>
      <c r="B1784" s="6">
        <f>+'[1]VENTAS(RESUMEN GLOBAL)'!M1784</f>
        <v>0</v>
      </c>
      <c r="C1784">
        <f>+'[1]VENTAS(RESUMEN GLOBAL)'!B1784</f>
        <v>0</v>
      </c>
      <c r="D1784" t="e">
        <f>INDEX('[1]CÓDIGOS DE PRODUCTO'!$D$3:$D$1000,MATCH(C1784,'[1]CÓDIGOS DE PRODUCTO'!$A$3:$A$1000,0))</f>
        <v>#N/A</v>
      </c>
      <c r="E1784">
        <f>VLOOKUP(C1784,'[1]CÓDIGOS DE PRODUCTO'!$A$4:$B$156,2,FALSE)</f>
        <v>0</v>
      </c>
      <c r="F1784">
        <f>INDEX('[1]CÓDIGOS DE PRODUCTO'!$C$3:$C$1000,MATCH(C1784,'[1]CÓDIGOS DE PRODUCTO'!$A$3:$A$1000,0))</f>
        <v>0</v>
      </c>
      <c r="G1784">
        <f>+'[1]VENTAS(RESUMEN GLOBAL)'!D1784-'[1]VENTAS(RESUMEN GLOBAL)'!E1784</f>
        <v>0</v>
      </c>
      <c r="H1784" s="9">
        <f>+'[1]VENTAS(RESUMEN GLOBAL)'!K1784</f>
        <v>0</v>
      </c>
      <c r="I1784" s="8">
        <f>+G1784*'[1]VENTAS(RESUMEN GLOBAL)'!F1784</f>
        <v>0</v>
      </c>
      <c r="J1784" s="8">
        <f>'[1]VENTAS(RESUMEN GLOBAL)'!G1784*(1-'[1]VENTAS(RESUMEN GLOBAL)'!H1784)</f>
        <v>0</v>
      </c>
      <c r="K1784" s="8">
        <f t="shared" si="27"/>
        <v>0</v>
      </c>
      <c r="L1784" s="8">
        <f>+'[1]VENTAS(RESUMEN GLOBAL)'!J1784</f>
        <v>0</v>
      </c>
      <c r="M1784" s="8">
        <f>+Tabla1[[#This Row],[utilidad x dia]]*7</f>
        <v>0</v>
      </c>
    </row>
    <row r="1785" spans="1:13" x14ac:dyDescent="0.3">
      <c r="A1785" s="6">
        <f>+'[1]VENTAS(RESUMEN GLOBAL)'!L1785</f>
        <v>0</v>
      </c>
      <c r="B1785" s="6">
        <f>+'[1]VENTAS(RESUMEN GLOBAL)'!M1785</f>
        <v>0</v>
      </c>
      <c r="C1785">
        <f>+'[1]VENTAS(RESUMEN GLOBAL)'!B1785</f>
        <v>0</v>
      </c>
      <c r="D1785" t="e">
        <f>INDEX('[1]CÓDIGOS DE PRODUCTO'!$D$3:$D$1000,MATCH(C1785,'[1]CÓDIGOS DE PRODUCTO'!$A$3:$A$1000,0))</f>
        <v>#N/A</v>
      </c>
      <c r="E1785">
        <f>VLOOKUP(C1785,'[1]CÓDIGOS DE PRODUCTO'!$A$4:$B$156,2,FALSE)</f>
        <v>0</v>
      </c>
      <c r="F1785">
        <f>INDEX('[1]CÓDIGOS DE PRODUCTO'!$C$3:$C$1000,MATCH(C1785,'[1]CÓDIGOS DE PRODUCTO'!$A$3:$A$1000,0))</f>
        <v>0</v>
      </c>
      <c r="G1785">
        <f>+'[1]VENTAS(RESUMEN GLOBAL)'!D1785-'[1]VENTAS(RESUMEN GLOBAL)'!E1785</f>
        <v>0</v>
      </c>
      <c r="H1785" s="9">
        <f>+'[1]VENTAS(RESUMEN GLOBAL)'!K1785</f>
        <v>0</v>
      </c>
      <c r="I1785" s="8">
        <f>+G1785*'[1]VENTAS(RESUMEN GLOBAL)'!F1785</f>
        <v>0</v>
      </c>
      <c r="J1785" s="8">
        <f>'[1]VENTAS(RESUMEN GLOBAL)'!G1785*(1-'[1]VENTAS(RESUMEN GLOBAL)'!H1785)</f>
        <v>0</v>
      </c>
      <c r="K1785" s="8">
        <f t="shared" si="27"/>
        <v>0</v>
      </c>
      <c r="L1785" s="8">
        <f>+'[1]VENTAS(RESUMEN GLOBAL)'!J1785</f>
        <v>0</v>
      </c>
      <c r="M1785" s="8">
        <f>+Tabla1[[#This Row],[utilidad x dia]]*7</f>
        <v>0</v>
      </c>
    </row>
    <row r="1786" spans="1:13" x14ac:dyDescent="0.3">
      <c r="A1786" s="6">
        <f>+'[1]VENTAS(RESUMEN GLOBAL)'!L1786</f>
        <v>0</v>
      </c>
      <c r="B1786" s="6">
        <f>+'[1]VENTAS(RESUMEN GLOBAL)'!M1786</f>
        <v>0</v>
      </c>
      <c r="C1786">
        <f>+'[1]VENTAS(RESUMEN GLOBAL)'!B1786</f>
        <v>0</v>
      </c>
      <c r="D1786" t="e">
        <f>INDEX('[1]CÓDIGOS DE PRODUCTO'!$D$3:$D$1000,MATCH(C1786,'[1]CÓDIGOS DE PRODUCTO'!$A$3:$A$1000,0))</f>
        <v>#N/A</v>
      </c>
      <c r="E1786">
        <f>VLOOKUP(C1786,'[1]CÓDIGOS DE PRODUCTO'!$A$4:$B$156,2,FALSE)</f>
        <v>0</v>
      </c>
      <c r="F1786">
        <f>INDEX('[1]CÓDIGOS DE PRODUCTO'!$C$3:$C$1000,MATCH(C1786,'[1]CÓDIGOS DE PRODUCTO'!$A$3:$A$1000,0))</f>
        <v>0</v>
      </c>
      <c r="G1786">
        <f>+'[1]VENTAS(RESUMEN GLOBAL)'!D1786-'[1]VENTAS(RESUMEN GLOBAL)'!E1786</f>
        <v>0</v>
      </c>
      <c r="H1786" s="9">
        <f>+'[1]VENTAS(RESUMEN GLOBAL)'!K1786</f>
        <v>0</v>
      </c>
      <c r="I1786" s="8">
        <f>+G1786*'[1]VENTAS(RESUMEN GLOBAL)'!F1786</f>
        <v>0</v>
      </c>
      <c r="J1786" s="8">
        <f>'[1]VENTAS(RESUMEN GLOBAL)'!G1786*(1-'[1]VENTAS(RESUMEN GLOBAL)'!H1786)</f>
        <v>0</v>
      </c>
      <c r="K1786" s="8">
        <f t="shared" si="27"/>
        <v>0</v>
      </c>
      <c r="L1786" s="8">
        <f>+'[1]VENTAS(RESUMEN GLOBAL)'!J1786</f>
        <v>0</v>
      </c>
      <c r="M1786" s="8">
        <f>+Tabla1[[#This Row],[utilidad x dia]]*7</f>
        <v>0</v>
      </c>
    </row>
    <row r="1787" spans="1:13" x14ac:dyDescent="0.3">
      <c r="A1787" s="6">
        <f>+'[1]VENTAS(RESUMEN GLOBAL)'!L1787</f>
        <v>0</v>
      </c>
      <c r="B1787" s="6">
        <f>+'[1]VENTAS(RESUMEN GLOBAL)'!M1787</f>
        <v>0</v>
      </c>
      <c r="C1787">
        <f>+'[1]VENTAS(RESUMEN GLOBAL)'!B1787</f>
        <v>0</v>
      </c>
      <c r="D1787" t="e">
        <f>INDEX('[1]CÓDIGOS DE PRODUCTO'!$D$3:$D$1000,MATCH(C1787,'[1]CÓDIGOS DE PRODUCTO'!$A$3:$A$1000,0))</f>
        <v>#N/A</v>
      </c>
      <c r="E1787">
        <f>VLOOKUP(C1787,'[1]CÓDIGOS DE PRODUCTO'!$A$4:$B$156,2,FALSE)</f>
        <v>0</v>
      </c>
      <c r="F1787">
        <f>INDEX('[1]CÓDIGOS DE PRODUCTO'!$C$3:$C$1000,MATCH(C1787,'[1]CÓDIGOS DE PRODUCTO'!$A$3:$A$1000,0))</f>
        <v>0</v>
      </c>
      <c r="G1787">
        <f>+'[1]VENTAS(RESUMEN GLOBAL)'!D1787-'[1]VENTAS(RESUMEN GLOBAL)'!E1787</f>
        <v>0</v>
      </c>
      <c r="H1787" s="9">
        <f>+'[1]VENTAS(RESUMEN GLOBAL)'!K1787</f>
        <v>0</v>
      </c>
      <c r="I1787" s="8">
        <f>+G1787*'[1]VENTAS(RESUMEN GLOBAL)'!F1787</f>
        <v>0</v>
      </c>
      <c r="J1787" s="8">
        <f>'[1]VENTAS(RESUMEN GLOBAL)'!G1787*(1-'[1]VENTAS(RESUMEN GLOBAL)'!H1787)</f>
        <v>0</v>
      </c>
      <c r="K1787" s="8">
        <f t="shared" si="27"/>
        <v>0</v>
      </c>
      <c r="L1787" s="8">
        <f>+'[1]VENTAS(RESUMEN GLOBAL)'!J1787</f>
        <v>0</v>
      </c>
      <c r="M1787" s="8">
        <f>+Tabla1[[#This Row],[utilidad x dia]]*7</f>
        <v>0</v>
      </c>
    </row>
    <row r="1788" spans="1:13" x14ac:dyDescent="0.3">
      <c r="A1788" s="6">
        <f>+'[1]VENTAS(RESUMEN GLOBAL)'!L1788</f>
        <v>0</v>
      </c>
      <c r="B1788" s="6">
        <f>+'[1]VENTAS(RESUMEN GLOBAL)'!M1788</f>
        <v>0</v>
      </c>
      <c r="C1788">
        <f>+'[1]VENTAS(RESUMEN GLOBAL)'!B1788</f>
        <v>0</v>
      </c>
      <c r="D1788" t="e">
        <f>INDEX('[1]CÓDIGOS DE PRODUCTO'!$D$3:$D$1000,MATCH(C1788,'[1]CÓDIGOS DE PRODUCTO'!$A$3:$A$1000,0))</f>
        <v>#N/A</v>
      </c>
      <c r="E1788">
        <f>VLOOKUP(C1788,'[1]CÓDIGOS DE PRODUCTO'!$A$4:$B$156,2,FALSE)</f>
        <v>0</v>
      </c>
      <c r="F1788">
        <f>INDEX('[1]CÓDIGOS DE PRODUCTO'!$C$3:$C$1000,MATCH(C1788,'[1]CÓDIGOS DE PRODUCTO'!$A$3:$A$1000,0))</f>
        <v>0</v>
      </c>
      <c r="G1788">
        <f>+'[1]VENTAS(RESUMEN GLOBAL)'!D1788-'[1]VENTAS(RESUMEN GLOBAL)'!E1788</f>
        <v>0</v>
      </c>
      <c r="H1788" s="9">
        <f>+'[1]VENTAS(RESUMEN GLOBAL)'!K1788</f>
        <v>0</v>
      </c>
      <c r="I1788" s="8">
        <f>+G1788*'[1]VENTAS(RESUMEN GLOBAL)'!F1788</f>
        <v>0</v>
      </c>
      <c r="J1788" s="8">
        <f>'[1]VENTAS(RESUMEN GLOBAL)'!G1788*(1-'[1]VENTAS(RESUMEN GLOBAL)'!H1788)</f>
        <v>0</v>
      </c>
      <c r="K1788" s="8">
        <f t="shared" si="27"/>
        <v>0</v>
      </c>
      <c r="L1788" s="8">
        <f>+'[1]VENTAS(RESUMEN GLOBAL)'!J1788</f>
        <v>0</v>
      </c>
      <c r="M1788" s="8">
        <f>+Tabla1[[#This Row],[utilidad x dia]]*7</f>
        <v>0</v>
      </c>
    </row>
    <row r="1789" spans="1:13" x14ac:dyDescent="0.3">
      <c r="A1789" s="6">
        <f>+'[1]VENTAS(RESUMEN GLOBAL)'!L1789</f>
        <v>0</v>
      </c>
      <c r="B1789" s="6">
        <f>+'[1]VENTAS(RESUMEN GLOBAL)'!M1789</f>
        <v>0</v>
      </c>
      <c r="C1789">
        <f>+'[1]VENTAS(RESUMEN GLOBAL)'!B1789</f>
        <v>0</v>
      </c>
      <c r="D1789" t="e">
        <f>INDEX('[1]CÓDIGOS DE PRODUCTO'!$D$3:$D$1000,MATCH(C1789,'[1]CÓDIGOS DE PRODUCTO'!$A$3:$A$1000,0))</f>
        <v>#N/A</v>
      </c>
      <c r="E1789">
        <f>VLOOKUP(C1789,'[1]CÓDIGOS DE PRODUCTO'!$A$4:$B$156,2,FALSE)</f>
        <v>0</v>
      </c>
      <c r="F1789">
        <f>INDEX('[1]CÓDIGOS DE PRODUCTO'!$C$3:$C$1000,MATCH(C1789,'[1]CÓDIGOS DE PRODUCTO'!$A$3:$A$1000,0))</f>
        <v>0</v>
      </c>
      <c r="G1789">
        <f>+'[1]VENTAS(RESUMEN GLOBAL)'!D1789-'[1]VENTAS(RESUMEN GLOBAL)'!E1789</f>
        <v>0</v>
      </c>
      <c r="H1789" s="9">
        <f>+'[1]VENTAS(RESUMEN GLOBAL)'!K1789</f>
        <v>0</v>
      </c>
      <c r="I1789" s="8">
        <f>+G1789*'[1]VENTAS(RESUMEN GLOBAL)'!F1789</f>
        <v>0</v>
      </c>
      <c r="J1789" s="8">
        <f>'[1]VENTAS(RESUMEN GLOBAL)'!G1789*(1-'[1]VENTAS(RESUMEN GLOBAL)'!H1789)</f>
        <v>0</v>
      </c>
      <c r="K1789" s="8">
        <f t="shared" si="27"/>
        <v>0</v>
      </c>
      <c r="L1789" s="8">
        <f>+'[1]VENTAS(RESUMEN GLOBAL)'!J1789</f>
        <v>0</v>
      </c>
      <c r="M1789" s="8">
        <f>+Tabla1[[#This Row],[utilidad x dia]]*7</f>
        <v>0</v>
      </c>
    </row>
    <row r="1790" spans="1:13" x14ac:dyDescent="0.3">
      <c r="A1790" s="6">
        <f>+'[1]VENTAS(RESUMEN GLOBAL)'!L1790</f>
        <v>0</v>
      </c>
      <c r="B1790" s="6">
        <f>+'[1]VENTAS(RESUMEN GLOBAL)'!M1790</f>
        <v>0</v>
      </c>
      <c r="C1790">
        <f>+'[1]VENTAS(RESUMEN GLOBAL)'!B1790</f>
        <v>0</v>
      </c>
      <c r="D1790" t="e">
        <f>INDEX('[1]CÓDIGOS DE PRODUCTO'!$D$3:$D$1000,MATCH(C1790,'[1]CÓDIGOS DE PRODUCTO'!$A$3:$A$1000,0))</f>
        <v>#N/A</v>
      </c>
      <c r="E1790">
        <f>VLOOKUP(C1790,'[1]CÓDIGOS DE PRODUCTO'!$A$4:$B$156,2,FALSE)</f>
        <v>0</v>
      </c>
      <c r="F1790">
        <f>INDEX('[1]CÓDIGOS DE PRODUCTO'!$C$3:$C$1000,MATCH(C1790,'[1]CÓDIGOS DE PRODUCTO'!$A$3:$A$1000,0))</f>
        <v>0</v>
      </c>
      <c r="G1790">
        <f>+'[1]VENTAS(RESUMEN GLOBAL)'!D1790-'[1]VENTAS(RESUMEN GLOBAL)'!E1790</f>
        <v>0</v>
      </c>
      <c r="H1790" s="9">
        <f>+'[1]VENTAS(RESUMEN GLOBAL)'!K1790</f>
        <v>0</v>
      </c>
      <c r="I1790" s="8">
        <f>+G1790*'[1]VENTAS(RESUMEN GLOBAL)'!F1790</f>
        <v>0</v>
      </c>
      <c r="J1790" s="8">
        <f>'[1]VENTAS(RESUMEN GLOBAL)'!G1790*(1-'[1]VENTAS(RESUMEN GLOBAL)'!H1790)</f>
        <v>0</v>
      </c>
      <c r="K1790" s="8">
        <f t="shared" si="27"/>
        <v>0</v>
      </c>
      <c r="L1790" s="8">
        <f>+'[1]VENTAS(RESUMEN GLOBAL)'!J1790</f>
        <v>0</v>
      </c>
      <c r="M1790" s="8">
        <f>+Tabla1[[#This Row],[utilidad x dia]]*7</f>
        <v>0</v>
      </c>
    </row>
    <row r="1791" spans="1:13" x14ac:dyDescent="0.3">
      <c r="A1791" s="6">
        <f>+'[1]VENTAS(RESUMEN GLOBAL)'!L1791</f>
        <v>0</v>
      </c>
      <c r="B1791" s="6">
        <f>+'[1]VENTAS(RESUMEN GLOBAL)'!M1791</f>
        <v>0</v>
      </c>
      <c r="C1791">
        <f>+'[1]VENTAS(RESUMEN GLOBAL)'!B1791</f>
        <v>0</v>
      </c>
      <c r="D1791" t="e">
        <f>INDEX('[1]CÓDIGOS DE PRODUCTO'!$D$3:$D$1000,MATCH(C1791,'[1]CÓDIGOS DE PRODUCTO'!$A$3:$A$1000,0))</f>
        <v>#N/A</v>
      </c>
      <c r="E1791">
        <f>VLOOKUP(C1791,'[1]CÓDIGOS DE PRODUCTO'!$A$4:$B$156,2,FALSE)</f>
        <v>0</v>
      </c>
      <c r="F1791">
        <f>INDEX('[1]CÓDIGOS DE PRODUCTO'!$C$3:$C$1000,MATCH(C1791,'[1]CÓDIGOS DE PRODUCTO'!$A$3:$A$1000,0))</f>
        <v>0</v>
      </c>
      <c r="G1791">
        <f>+'[1]VENTAS(RESUMEN GLOBAL)'!D1791-'[1]VENTAS(RESUMEN GLOBAL)'!E1791</f>
        <v>0</v>
      </c>
      <c r="H1791" s="9">
        <f>+'[1]VENTAS(RESUMEN GLOBAL)'!K1791</f>
        <v>0</v>
      </c>
      <c r="I1791" s="8">
        <f>+G1791*'[1]VENTAS(RESUMEN GLOBAL)'!F1791</f>
        <v>0</v>
      </c>
      <c r="J1791" s="8">
        <f>'[1]VENTAS(RESUMEN GLOBAL)'!G1791*(1-'[1]VENTAS(RESUMEN GLOBAL)'!H1791)</f>
        <v>0</v>
      </c>
      <c r="K1791" s="8">
        <f t="shared" si="27"/>
        <v>0</v>
      </c>
      <c r="L1791" s="8">
        <f>+'[1]VENTAS(RESUMEN GLOBAL)'!J1791</f>
        <v>0</v>
      </c>
      <c r="M1791" s="8">
        <f>+Tabla1[[#This Row],[utilidad x dia]]*7</f>
        <v>0</v>
      </c>
    </row>
    <row r="1792" spans="1:13" x14ac:dyDescent="0.3">
      <c r="A1792" s="6">
        <f>+'[1]VENTAS(RESUMEN GLOBAL)'!L1792</f>
        <v>0</v>
      </c>
      <c r="B1792" s="6">
        <f>+'[1]VENTAS(RESUMEN GLOBAL)'!M1792</f>
        <v>0</v>
      </c>
      <c r="C1792">
        <f>+'[1]VENTAS(RESUMEN GLOBAL)'!B1792</f>
        <v>0</v>
      </c>
      <c r="D1792" t="e">
        <f>INDEX('[1]CÓDIGOS DE PRODUCTO'!$D$3:$D$1000,MATCH(C1792,'[1]CÓDIGOS DE PRODUCTO'!$A$3:$A$1000,0))</f>
        <v>#N/A</v>
      </c>
      <c r="E1792">
        <f>VLOOKUP(C1792,'[1]CÓDIGOS DE PRODUCTO'!$A$4:$B$156,2,FALSE)</f>
        <v>0</v>
      </c>
      <c r="F1792">
        <f>INDEX('[1]CÓDIGOS DE PRODUCTO'!$C$3:$C$1000,MATCH(C1792,'[1]CÓDIGOS DE PRODUCTO'!$A$3:$A$1000,0))</f>
        <v>0</v>
      </c>
      <c r="G1792">
        <f>+'[1]VENTAS(RESUMEN GLOBAL)'!D1792-'[1]VENTAS(RESUMEN GLOBAL)'!E1792</f>
        <v>0</v>
      </c>
      <c r="H1792" s="9">
        <f>+'[1]VENTAS(RESUMEN GLOBAL)'!K1792</f>
        <v>0</v>
      </c>
      <c r="I1792" s="8">
        <f>+G1792*'[1]VENTAS(RESUMEN GLOBAL)'!F1792</f>
        <v>0</v>
      </c>
      <c r="J1792" s="8">
        <f>'[1]VENTAS(RESUMEN GLOBAL)'!G1792*(1-'[1]VENTAS(RESUMEN GLOBAL)'!H1792)</f>
        <v>0</v>
      </c>
      <c r="K1792" s="8">
        <f t="shared" si="27"/>
        <v>0</v>
      </c>
      <c r="L1792" s="8">
        <f>+'[1]VENTAS(RESUMEN GLOBAL)'!J1792</f>
        <v>0</v>
      </c>
      <c r="M1792" s="8">
        <f>+Tabla1[[#This Row],[utilidad x dia]]*7</f>
        <v>0</v>
      </c>
    </row>
    <row r="1793" spans="1:13" x14ac:dyDescent="0.3">
      <c r="A1793" s="6">
        <f>+'[1]VENTAS(RESUMEN GLOBAL)'!L1793</f>
        <v>0</v>
      </c>
      <c r="B1793" s="6">
        <f>+'[1]VENTAS(RESUMEN GLOBAL)'!M1793</f>
        <v>0</v>
      </c>
      <c r="C1793">
        <f>+'[1]VENTAS(RESUMEN GLOBAL)'!B1793</f>
        <v>0</v>
      </c>
      <c r="D1793" t="e">
        <f>INDEX('[1]CÓDIGOS DE PRODUCTO'!$D$3:$D$1000,MATCH(C1793,'[1]CÓDIGOS DE PRODUCTO'!$A$3:$A$1000,0))</f>
        <v>#N/A</v>
      </c>
      <c r="E1793">
        <f>VLOOKUP(C1793,'[1]CÓDIGOS DE PRODUCTO'!$A$4:$B$156,2,FALSE)</f>
        <v>0</v>
      </c>
      <c r="F1793">
        <f>INDEX('[1]CÓDIGOS DE PRODUCTO'!$C$3:$C$1000,MATCH(C1793,'[1]CÓDIGOS DE PRODUCTO'!$A$3:$A$1000,0))</f>
        <v>0</v>
      </c>
      <c r="G1793">
        <f>+'[1]VENTAS(RESUMEN GLOBAL)'!D1793-'[1]VENTAS(RESUMEN GLOBAL)'!E1793</f>
        <v>0</v>
      </c>
      <c r="H1793" s="9">
        <f>+'[1]VENTAS(RESUMEN GLOBAL)'!K1793</f>
        <v>0</v>
      </c>
      <c r="I1793" s="8">
        <f>+G1793*'[1]VENTAS(RESUMEN GLOBAL)'!F1793</f>
        <v>0</v>
      </c>
      <c r="J1793" s="8">
        <f>'[1]VENTAS(RESUMEN GLOBAL)'!G1793*(1-'[1]VENTAS(RESUMEN GLOBAL)'!H1793)</f>
        <v>0</v>
      </c>
      <c r="K1793" s="8">
        <f t="shared" si="27"/>
        <v>0</v>
      </c>
      <c r="L1793" s="8">
        <f>+'[1]VENTAS(RESUMEN GLOBAL)'!J1793</f>
        <v>0</v>
      </c>
      <c r="M1793" s="8">
        <f>+Tabla1[[#This Row],[utilidad x dia]]*7</f>
        <v>0</v>
      </c>
    </row>
    <row r="1794" spans="1:13" x14ac:dyDescent="0.3">
      <c r="A1794" s="6">
        <f>+'[1]VENTAS(RESUMEN GLOBAL)'!L1794</f>
        <v>0</v>
      </c>
      <c r="B1794" s="6">
        <f>+'[1]VENTAS(RESUMEN GLOBAL)'!M1794</f>
        <v>0</v>
      </c>
      <c r="C1794">
        <f>+'[1]VENTAS(RESUMEN GLOBAL)'!B1794</f>
        <v>0</v>
      </c>
      <c r="D1794" t="e">
        <f>INDEX('[1]CÓDIGOS DE PRODUCTO'!$D$3:$D$1000,MATCH(C1794,'[1]CÓDIGOS DE PRODUCTO'!$A$3:$A$1000,0))</f>
        <v>#N/A</v>
      </c>
      <c r="E1794">
        <f>VLOOKUP(C1794,'[1]CÓDIGOS DE PRODUCTO'!$A$4:$B$156,2,FALSE)</f>
        <v>0</v>
      </c>
      <c r="F1794">
        <f>INDEX('[1]CÓDIGOS DE PRODUCTO'!$C$3:$C$1000,MATCH(C1794,'[1]CÓDIGOS DE PRODUCTO'!$A$3:$A$1000,0))</f>
        <v>0</v>
      </c>
      <c r="G1794">
        <f>+'[1]VENTAS(RESUMEN GLOBAL)'!D1794-'[1]VENTAS(RESUMEN GLOBAL)'!E1794</f>
        <v>0</v>
      </c>
      <c r="H1794" s="9">
        <f>+'[1]VENTAS(RESUMEN GLOBAL)'!K1794</f>
        <v>0</v>
      </c>
      <c r="I1794" s="8">
        <f>+G1794*'[1]VENTAS(RESUMEN GLOBAL)'!F1794</f>
        <v>0</v>
      </c>
      <c r="J1794" s="8">
        <f>'[1]VENTAS(RESUMEN GLOBAL)'!G1794*(1-'[1]VENTAS(RESUMEN GLOBAL)'!H1794)</f>
        <v>0</v>
      </c>
      <c r="K1794" s="8">
        <f t="shared" si="27"/>
        <v>0</v>
      </c>
      <c r="L1794" s="8">
        <f>+'[1]VENTAS(RESUMEN GLOBAL)'!J1794</f>
        <v>0</v>
      </c>
      <c r="M1794" s="8">
        <f>+Tabla1[[#This Row],[utilidad x dia]]*7</f>
        <v>0</v>
      </c>
    </row>
    <row r="1795" spans="1:13" x14ac:dyDescent="0.3">
      <c r="A1795" s="6">
        <f>+'[1]VENTAS(RESUMEN GLOBAL)'!L1795</f>
        <v>0</v>
      </c>
      <c r="B1795" s="6">
        <f>+'[1]VENTAS(RESUMEN GLOBAL)'!M1795</f>
        <v>0</v>
      </c>
      <c r="C1795">
        <f>+'[1]VENTAS(RESUMEN GLOBAL)'!B1795</f>
        <v>0</v>
      </c>
      <c r="D1795" t="e">
        <f>INDEX('[1]CÓDIGOS DE PRODUCTO'!$D$3:$D$1000,MATCH(C1795,'[1]CÓDIGOS DE PRODUCTO'!$A$3:$A$1000,0))</f>
        <v>#N/A</v>
      </c>
      <c r="E1795">
        <f>VLOOKUP(C1795,'[1]CÓDIGOS DE PRODUCTO'!$A$4:$B$156,2,FALSE)</f>
        <v>0</v>
      </c>
      <c r="F1795">
        <f>INDEX('[1]CÓDIGOS DE PRODUCTO'!$C$3:$C$1000,MATCH(C1795,'[1]CÓDIGOS DE PRODUCTO'!$A$3:$A$1000,0))</f>
        <v>0</v>
      </c>
      <c r="G1795">
        <f>+'[1]VENTAS(RESUMEN GLOBAL)'!D1795-'[1]VENTAS(RESUMEN GLOBAL)'!E1795</f>
        <v>0</v>
      </c>
      <c r="H1795" s="9">
        <f>+'[1]VENTAS(RESUMEN GLOBAL)'!K1795</f>
        <v>0</v>
      </c>
      <c r="I1795" s="8">
        <f>+G1795*'[1]VENTAS(RESUMEN GLOBAL)'!F1795</f>
        <v>0</v>
      </c>
      <c r="J1795" s="8">
        <f>'[1]VENTAS(RESUMEN GLOBAL)'!G1795*(1-'[1]VENTAS(RESUMEN GLOBAL)'!H1795)</f>
        <v>0</v>
      </c>
      <c r="K1795" s="8">
        <f t="shared" ref="K1795:K1858" si="28">+I1795-J1795</f>
        <v>0</v>
      </c>
      <c r="L1795" s="8">
        <f>+'[1]VENTAS(RESUMEN GLOBAL)'!J1795</f>
        <v>0</v>
      </c>
      <c r="M1795" s="8">
        <f>+Tabla1[[#This Row],[utilidad x dia]]*7</f>
        <v>0</v>
      </c>
    </row>
    <row r="1796" spans="1:13" x14ac:dyDescent="0.3">
      <c r="A1796" s="6">
        <f>+'[1]VENTAS(RESUMEN GLOBAL)'!L1796</f>
        <v>0</v>
      </c>
      <c r="B1796" s="6">
        <f>+'[1]VENTAS(RESUMEN GLOBAL)'!M1796</f>
        <v>0</v>
      </c>
      <c r="C1796">
        <f>+'[1]VENTAS(RESUMEN GLOBAL)'!B1796</f>
        <v>0</v>
      </c>
      <c r="D1796" t="e">
        <f>INDEX('[1]CÓDIGOS DE PRODUCTO'!$D$3:$D$1000,MATCH(C1796,'[1]CÓDIGOS DE PRODUCTO'!$A$3:$A$1000,0))</f>
        <v>#N/A</v>
      </c>
      <c r="E1796">
        <f>VLOOKUP(C1796,'[1]CÓDIGOS DE PRODUCTO'!$A$4:$B$156,2,FALSE)</f>
        <v>0</v>
      </c>
      <c r="F1796">
        <f>INDEX('[1]CÓDIGOS DE PRODUCTO'!$C$3:$C$1000,MATCH(C1796,'[1]CÓDIGOS DE PRODUCTO'!$A$3:$A$1000,0))</f>
        <v>0</v>
      </c>
      <c r="G1796">
        <f>+'[1]VENTAS(RESUMEN GLOBAL)'!D1796-'[1]VENTAS(RESUMEN GLOBAL)'!E1796</f>
        <v>0</v>
      </c>
      <c r="H1796" s="9">
        <f>+'[1]VENTAS(RESUMEN GLOBAL)'!K1796</f>
        <v>0</v>
      </c>
      <c r="I1796" s="8">
        <f>+G1796*'[1]VENTAS(RESUMEN GLOBAL)'!F1796</f>
        <v>0</v>
      </c>
      <c r="J1796" s="8">
        <f>'[1]VENTAS(RESUMEN GLOBAL)'!G1796*(1-'[1]VENTAS(RESUMEN GLOBAL)'!H1796)</f>
        <v>0</v>
      </c>
      <c r="K1796" s="8">
        <f t="shared" si="28"/>
        <v>0</v>
      </c>
      <c r="L1796" s="8">
        <f>+'[1]VENTAS(RESUMEN GLOBAL)'!J1796</f>
        <v>0</v>
      </c>
      <c r="M1796" s="8">
        <f>+Tabla1[[#This Row],[utilidad x dia]]*7</f>
        <v>0</v>
      </c>
    </row>
    <row r="1797" spans="1:13" x14ac:dyDescent="0.3">
      <c r="A1797" s="6">
        <f>+'[1]VENTAS(RESUMEN GLOBAL)'!L1797</f>
        <v>0</v>
      </c>
      <c r="B1797" s="6">
        <f>+'[1]VENTAS(RESUMEN GLOBAL)'!M1797</f>
        <v>0</v>
      </c>
      <c r="C1797">
        <f>+'[1]VENTAS(RESUMEN GLOBAL)'!B1797</f>
        <v>0</v>
      </c>
      <c r="D1797" t="e">
        <f>INDEX('[1]CÓDIGOS DE PRODUCTO'!$D$3:$D$1000,MATCH(C1797,'[1]CÓDIGOS DE PRODUCTO'!$A$3:$A$1000,0))</f>
        <v>#N/A</v>
      </c>
      <c r="E1797">
        <f>VLOOKUP(C1797,'[1]CÓDIGOS DE PRODUCTO'!$A$4:$B$156,2,FALSE)</f>
        <v>0</v>
      </c>
      <c r="F1797">
        <f>INDEX('[1]CÓDIGOS DE PRODUCTO'!$C$3:$C$1000,MATCH(C1797,'[1]CÓDIGOS DE PRODUCTO'!$A$3:$A$1000,0))</f>
        <v>0</v>
      </c>
      <c r="G1797">
        <f>+'[1]VENTAS(RESUMEN GLOBAL)'!D1797-'[1]VENTAS(RESUMEN GLOBAL)'!E1797</f>
        <v>0</v>
      </c>
      <c r="H1797" s="9">
        <f>+'[1]VENTAS(RESUMEN GLOBAL)'!K1797</f>
        <v>0</v>
      </c>
      <c r="I1797" s="8">
        <f>+G1797*'[1]VENTAS(RESUMEN GLOBAL)'!F1797</f>
        <v>0</v>
      </c>
      <c r="J1797" s="8">
        <f>'[1]VENTAS(RESUMEN GLOBAL)'!G1797*(1-'[1]VENTAS(RESUMEN GLOBAL)'!H1797)</f>
        <v>0</v>
      </c>
      <c r="K1797" s="8">
        <f t="shared" si="28"/>
        <v>0</v>
      </c>
      <c r="L1797" s="8">
        <f>+'[1]VENTAS(RESUMEN GLOBAL)'!J1797</f>
        <v>0</v>
      </c>
      <c r="M1797" s="8">
        <f>+Tabla1[[#This Row],[utilidad x dia]]*7</f>
        <v>0</v>
      </c>
    </row>
    <row r="1798" spans="1:13" x14ac:dyDescent="0.3">
      <c r="A1798" s="6">
        <f>+'[1]VENTAS(RESUMEN GLOBAL)'!L1798</f>
        <v>0</v>
      </c>
      <c r="B1798" s="6">
        <f>+'[1]VENTAS(RESUMEN GLOBAL)'!M1798</f>
        <v>0</v>
      </c>
      <c r="C1798">
        <f>+'[1]VENTAS(RESUMEN GLOBAL)'!B1798</f>
        <v>0</v>
      </c>
      <c r="D1798" t="e">
        <f>INDEX('[1]CÓDIGOS DE PRODUCTO'!$D$3:$D$1000,MATCH(C1798,'[1]CÓDIGOS DE PRODUCTO'!$A$3:$A$1000,0))</f>
        <v>#N/A</v>
      </c>
      <c r="E1798">
        <f>VLOOKUP(C1798,'[1]CÓDIGOS DE PRODUCTO'!$A$4:$B$156,2,FALSE)</f>
        <v>0</v>
      </c>
      <c r="F1798">
        <f>INDEX('[1]CÓDIGOS DE PRODUCTO'!$C$3:$C$1000,MATCH(C1798,'[1]CÓDIGOS DE PRODUCTO'!$A$3:$A$1000,0))</f>
        <v>0</v>
      </c>
      <c r="G1798">
        <f>+'[1]VENTAS(RESUMEN GLOBAL)'!D1798-'[1]VENTAS(RESUMEN GLOBAL)'!E1798</f>
        <v>0</v>
      </c>
      <c r="H1798" s="9">
        <f>+'[1]VENTAS(RESUMEN GLOBAL)'!K1798</f>
        <v>0</v>
      </c>
      <c r="I1798" s="8">
        <f>+G1798*'[1]VENTAS(RESUMEN GLOBAL)'!F1798</f>
        <v>0</v>
      </c>
      <c r="J1798" s="8">
        <f>'[1]VENTAS(RESUMEN GLOBAL)'!G1798*(1-'[1]VENTAS(RESUMEN GLOBAL)'!H1798)</f>
        <v>0</v>
      </c>
      <c r="K1798" s="8">
        <f t="shared" si="28"/>
        <v>0</v>
      </c>
      <c r="L1798" s="8">
        <f>+'[1]VENTAS(RESUMEN GLOBAL)'!J1798</f>
        <v>0</v>
      </c>
      <c r="M1798" s="8">
        <f>+Tabla1[[#This Row],[utilidad x dia]]*7</f>
        <v>0</v>
      </c>
    </row>
    <row r="1799" spans="1:13" x14ac:dyDescent="0.3">
      <c r="A1799" s="6">
        <f>+'[1]VENTAS(RESUMEN GLOBAL)'!L1799</f>
        <v>0</v>
      </c>
      <c r="B1799" s="6">
        <f>+'[1]VENTAS(RESUMEN GLOBAL)'!M1799</f>
        <v>0</v>
      </c>
      <c r="C1799">
        <f>+'[1]VENTAS(RESUMEN GLOBAL)'!B1799</f>
        <v>0</v>
      </c>
      <c r="D1799" t="e">
        <f>INDEX('[1]CÓDIGOS DE PRODUCTO'!$D$3:$D$1000,MATCH(C1799,'[1]CÓDIGOS DE PRODUCTO'!$A$3:$A$1000,0))</f>
        <v>#N/A</v>
      </c>
      <c r="E1799">
        <f>VLOOKUP(C1799,'[1]CÓDIGOS DE PRODUCTO'!$A$4:$B$156,2,FALSE)</f>
        <v>0</v>
      </c>
      <c r="F1799">
        <f>INDEX('[1]CÓDIGOS DE PRODUCTO'!$C$3:$C$1000,MATCH(C1799,'[1]CÓDIGOS DE PRODUCTO'!$A$3:$A$1000,0))</f>
        <v>0</v>
      </c>
      <c r="G1799">
        <f>+'[1]VENTAS(RESUMEN GLOBAL)'!D1799-'[1]VENTAS(RESUMEN GLOBAL)'!E1799</f>
        <v>0</v>
      </c>
      <c r="H1799" s="9">
        <f>+'[1]VENTAS(RESUMEN GLOBAL)'!K1799</f>
        <v>0</v>
      </c>
      <c r="I1799" s="8">
        <f>+G1799*'[1]VENTAS(RESUMEN GLOBAL)'!F1799</f>
        <v>0</v>
      </c>
      <c r="J1799" s="8">
        <f>'[1]VENTAS(RESUMEN GLOBAL)'!G1799*(1-'[1]VENTAS(RESUMEN GLOBAL)'!H1799)</f>
        <v>0</v>
      </c>
      <c r="K1799" s="8">
        <f t="shared" si="28"/>
        <v>0</v>
      </c>
      <c r="L1799" s="8">
        <f>+'[1]VENTAS(RESUMEN GLOBAL)'!J1799</f>
        <v>0</v>
      </c>
      <c r="M1799" s="8">
        <f>+Tabla1[[#This Row],[utilidad x dia]]*7</f>
        <v>0</v>
      </c>
    </row>
    <row r="1800" spans="1:13" x14ac:dyDescent="0.3">
      <c r="A1800" s="6">
        <f>+'[1]VENTAS(RESUMEN GLOBAL)'!L1800</f>
        <v>0</v>
      </c>
      <c r="B1800" s="6">
        <f>+'[1]VENTAS(RESUMEN GLOBAL)'!M1800</f>
        <v>0</v>
      </c>
      <c r="C1800">
        <f>+'[1]VENTAS(RESUMEN GLOBAL)'!B1800</f>
        <v>0</v>
      </c>
      <c r="D1800" t="e">
        <f>INDEX('[1]CÓDIGOS DE PRODUCTO'!$D$3:$D$1000,MATCH(C1800,'[1]CÓDIGOS DE PRODUCTO'!$A$3:$A$1000,0))</f>
        <v>#N/A</v>
      </c>
      <c r="E1800">
        <f>VLOOKUP(C1800,'[1]CÓDIGOS DE PRODUCTO'!$A$4:$B$156,2,FALSE)</f>
        <v>0</v>
      </c>
      <c r="F1800">
        <f>INDEX('[1]CÓDIGOS DE PRODUCTO'!$C$3:$C$1000,MATCH(C1800,'[1]CÓDIGOS DE PRODUCTO'!$A$3:$A$1000,0))</f>
        <v>0</v>
      </c>
      <c r="G1800">
        <f>+'[1]VENTAS(RESUMEN GLOBAL)'!D1800-'[1]VENTAS(RESUMEN GLOBAL)'!E1800</f>
        <v>0</v>
      </c>
      <c r="H1800" s="9">
        <f>+'[1]VENTAS(RESUMEN GLOBAL)'!K1800</f>
        <v>0</v>
      </c>
      <c r="I1800" s="8">
        <f>+G1800*'[1]VENTAS(RESUMEN GLOBAL)'!F1800</f>
        <v>0</v>
      </c>
      <c r="J1800" s="8">
        <f>'[1]VENTAS(RESUMEN GLOBAL)'!G1800*(1-'[1]VENTAS(RESUMEN GLOBAL)'!H1800)</f>
        <v>0</v>
      </c>
      <c r="K1800" s="8">
        <f t="shared" si="28"/>
        <v>0</v>
      </c>
      <c r="L1800" s="8">
        <f>+'[1]VENTAS(RESUMEN GLOBAL)'!J1800</f>
        <v>0</v>
      </c>
      <c r="M1800" s="8">
        <f>+Tabla1[[#This Row],[utilidad x dia]]*7</f>
        <v>0</v>
      </c>
    </row>
    <row r="1801" spans="1:13" x14ac:dyDescent="0.3">
      <c r="A1801" s="6">
        <f>+'[1]VENTAS(RESUMEN GLOBAL)'!L1801</f>
        <v>0</v>
      </c>
      <c r="B1801" s="6">
        <f>+'[1]VENTAS(RESUMEN GLOBAL)'!M1801</f>
        <v>0</v>
      </c>
      <c r="C1801">
        <f>+'[1]VENTAS(RESUMEN GLOBAL)'!B1801</f>
        <v>0</v>
      </c>
      <c r="D1801" t="e">
        <f>INDEX('[1]CÓDIGOS DE PRODUCTO'!$D$3:$D$1000,MATCH(C1801,'[1]CÓDIGOS DE PRODUCTO'!$A$3:$A$1000,0))</f>
        <v>#N/A</v>
      </c>
      <c r="E1801">
        <f>VLOOKUP(C1801,'[1]CÓDIGOS DE PRODUCTO'!$A$4:$B$156,2,FALSE)</f>
        <v>0</v>
      </c>
      <c r="F1801">
        <f>INDEX('[1]CÓDIGOS DE PRODUCTO'!$C$3:$C$1000,MATCH(C1801,'[1]CÓDIGOS DE PRODUCTO'!$A$3:$A$1000,0))</f>
        <v>0</v>
      </c>
      <c r="G1801">
        <f>+'[1]VENTAS(RESUMEN GLOBAL)'!D1801-'[1]VENTAS(RESUMEN GLOBAL)'!E1801</f>
        <v>0</v>
      </c>
      <c r="H1801" s="9">
        <f>+'[1]VENTAS(RESUMEN GLOBAL)'!K1801</f>
        <v>0</v>
      </c>
      <c r="I1801" s="8">
        <f>+G1801*'[1]VENTAS(RESUMEN GLOBAL)'!F1801</f>
        <v>0</v>
      </c>
      <c r="J1801" s="8">
        <f>'[1]VENTAS(RESUMEN GLOBAL)'!G1801*(1-'[1]VENTAS(RESUMEN GLOBAL)'!H1801)</f>
        <v>0</v>
      </c>
      <c r="K1801" s="8">
        <f t="shared" si="28"/>
        <v>0</v>
      </c>
      <c r="L1801" s="8">
        <f>+'[1]VENTAS(RESUMEN GLOBAL)'!J1801</f>
        <v>0</v>
      </c>
      <c r="M1801" s="8">
        <f>+Tabla1[[#This Row],[utilidad x dia]]*7</f>
        <v>0</v>
      </c>
    </row>
    <row r="1802" spans="1:13" x14ac:dyDescent="0.3">
      <c r="A1802" s="6">
        <f>+'[1]VENTAS(RESUMEN GLOBAL)'!L1802</f>
        <v>0</v>
      </c>
      <c r="B1802" s="6">
        <f>+'[1]VENTAS(RESUMEN GLOBAL)'!M1802</f>
        <v>0</v>
      </c>
      <c r="C1802">
        <f>+'[1]VENTAS(RESUMEN GLOBAL)'!B1802</f>
        <v>0</v>
      </c>
      <c r="D1802" t="e">
        <f>INDEX('[1]CÓDIGOS DE PRODUCTO'!$D$3:$D$1000,MATCH(C1802,'[1]CÓDIGOS DE PRODUCTO'!$A$3:$A$1000,0))</f>
        <v>#N/A</v>
      </c>
      <c r="E1802">
        <f>VLOOKUP(C1802,'[1]CÓDIGOS DE PRODUCTO'!$A$4:$B$156,2,FALSE)</f>
        <v>0</v>
      </c>
      <c r="F1802">
        <f>INDEX('[1]CÓDIGOS DE PRODUCTO'!$C$3:$C$1000,MATCH(C1802,'[1]CÓDIGOS DE PRODUCTO'!$A$3:$A$1000,0))</f>
        <v>0</v>
      </c>
      <c r="G1802">
        <f>+'[1]VENTAS(RESUMEN GLOBAL)'!D1802-'[1]VENTAS(RESUMEN GLOBAL)'!E1802</f>
        <v>0</v>
      </c>
      <c r="H1802" s="9">
        <f>+'[1]VENTAS(RESUMEN GLOBAL)'!K1802</f>
        <v>0</v>
      </c>
      <c r="I1802" s="8">
        <f>+G1802*'[1]VENTAS(RESUMEN GLOBAL)'!F1802</f>
        <v>0</v>
      </c>
      <c r="J1802" s="8">
        <f>'[1]VENTAS(RESUMEN GLOBAL)'!G1802*(1-'[1]VENTAS(RESUMEN GLOBAL)'!H1802)</f>
        <v>0</v>
      </c>
      <c r="K1802" s="8">
        <f t="shared" si="28"/>
        <v>0</v>
      </c>
      <c r="L1802" s="8">
        <f>+'[1]VENTAS(RESUMEN GLOBAL)'!J1802</f>
        <v>0</v>
      </c>
      <c r="M1802" s="8">
        <f>+Tabla1[[#This Row],[utilidad x dia]]*7</f>
        <v>0</v>
      </c>
    </row>
    <row r="1803" spans="1:13" x14ac:dyDescent="0.3">
      <c r="A1803" s="6">
        <f>+'[1]VENTAS(RESUMEN GLOBAL)'!L1803</f>
        <v>0</v>
      </c>
      <c r="B1803" s="6">
        <f>+'[1]VENTAS(RESUMEN GLOBAL)'!M1803</f>
        <v>0</v>
      </c>
      <c r="C1803">
        <f>+'[1]VENTAS(RESUMEN GLOBAL)'!B1803</f>
        <v>0</v>
      </c>
      <c r="D1803" t="e">
        <f>INDEX('[1]CÓDIGOS DE PRODUCTO'!$D$3:$D$1000,MATCH(C1803,'[1]CÓDIGOS DE PRODUCTO'!$A$3:$A$1000,0))</f>
        <v>#N/A</v>
      </c>
      <c r="E1803">
        <f>VLOOKUP(C1803,'[1]CÓDIGOS DE PRODUCTO'!$A$4:$B$156,2,FALSE)</f>
        <v>0</v>
      </c>
      <c r="F1803">
        <f>INDEX('[1]CÓDIGOS DE PRODUCTO'!$C$3:$C$1000,MATCH(C1803,'[1]CÓDIGOS DE PRODUCTO'!$A$3:$A$1000,0))</f>
        <v>0</v>
      </c>
      <c r="G1803">
        <f>+'[1]VENTAS(RESUMEN GLOBAL)'!D1803-'[1]VENTAS(RESUMEN GLOBAL)'!E1803</f>
        <v>0</v>
      </c>
      <c r="H1803" s="9">
        <f>+'[1]VENTAS(RESUMEN GLOBAL)'!K1803</f>
        <v>0</v>
      </c>
      <c r="I1803" s="8">
        <f>+G1803*'[1]VENTAS(RESUMEN GLOBAL)'!F1803</f>
        <v>0</v>
      </c>
      <c r="J1803" s="8">
        <f>'[1]VENTAS(RESUMEN GLOBAL)'!G1803*(1-'[1]VENTAS(RESUMEN GLOBAL)'!H1803)</f>
        <v>0</v>
      </c>
      <c r="K1803" s="8">
        <f t="shared" si="28"/>
        <v>0</v>
      </c>
      <c r="L1803" s="8">
        <f>+'[1]VENTAS(RESUMEN GLOBAL)'!J1803</f>
        <v>0</v>
      </c>
      <c r="M1803" s="8">
        <f>+Tabla1[[#This Row],[utilidad x dia]]*7</f>
        <v>0</v>
      </c>
    </row>
    <row r="1804" spans="1:13" x14ac:dyDescent="0.3">
      <c r="A1804" s="6">
        <f>+'[1]VENTAS(RESUMEN GLOBAL)'!L1804</f>
        <v>0</v>
      </c>
      <c r="B1804" s="6">
        <f>+'[1]VENTAS(RESUMEN GLOBAL)'!M1804</f>
        <v>0</v>
      </c>
      <c r="C1804">
        <f>+'[1]VENTAS(RESUMEN GLOBAL)'!B1804</f>
        <v>0</v>
      </c>
      <c r="D1804" t="e">
        <f>INDEX('[1]CÓDIGOS DE PRODUCTO'!$D$3:$D$1000,MATCH(C1804,'[1]CÓDIGOS DE PRODUCTO'!$A$3:$A$1000,0))</f>
        <v>#N/A</v>
      </c>
      <c r="E1804">
        <f>VLOOKUP(C1804,'[1]CÓDIGOS DE PRODUCTO'!$A$4:$B$156,2,FALSE)</f>
        <v>0</v>
      </c>
      <c r="F1804">
        <f>INDEX('[1]CÓDIGOS DE PRODUCTO'!$C$3:$C$1000,MATCH(C1804,'[1]CÓDIGOS DE PRODUCTO'!$A$3:$A$1000,0))</f>
        <v>0</v>
      </c>
      <c r="G1804">
        <f>+'[1]VENTAS(RESUMEN GLOBAL)'!D1804-'[1]VENTAS(RESUMEN GLOBAL)'!E1804</f>
        <v>0</v>
      </c>
      <c r="H1804" s="9">
        <f>+'[1]VENTAS(RESUMEN GLOBAL)'!K1804</f>
        <v>0</v>
      </c>
      <c r="I1804" s="8">
        <f>+G1804*'[1]VENTAS(RESUMEN GLOBAL)'!F1804</f>
        <v>0</v>
      </c>
      <c r="J1804" s="8">
        <f>'[1]VENTAS(RESUMEN GLOBAL)'!G1804*(1-'[1]VENTAS(RESUMEN GLOBAL)'!H1804)</f>
        <v>0</v>
      </c>
      <c r="K1804" s="8">
        <f t="shared" si="28"/>
        <v>0</v>
      </c>
      <c r="L1804" s="8">
        <f>+'[1]VENTAS(RESUMEN GLOBAL)'!J1804</f>
        <v>0</v>
      </c>
      <c r="M1804" s="8">
        <f>+Tabla1[[#This Row],[utilidad x dia]]*7</f>
        <v>0</v>
      </c>
    </row>
    <row r="1805" spans="1:13" x14ac:dyDescent="0.3">
      <c r="A1805" s="6">
        <f>+'[1]VENTAS(RESUMEN GLOBAL)'!L1805</f>
        <v>0</v>
      </c>
      <c r="B1805" s="6">
        <f>+'[1]VENTAS(RESUMEN GLOBAL)'!M1805</f>
        <v>0</v>
      </c>
      <c r="C1805">
        <f>+'[1]VENTAS(RESUMEN GLOBAL)'!B1805</f>
        <v>0</v>
      </c>
      <c r="D1805" t="e">
        <f>INDEX('[1]CÓDIGOS DE PRODUCTO'!$D$3:$D$1000,MATCH(C1805,'[1]CÓDIGOS DE PRODUCTO'!$A$3:$A$1000,0))</f>
        <v>#N/A</v>
      </c>
      <c r="E1805">
        <f>VLOOKUP(C1805,'[1]CÓDIGOS DE PRODUCTO'!$A$4:$B$156,2,FALSE)</f>
        <v>0</v>
      </c>
      <c r="F1805">
        <f>INDEX('[1]CÓDIGOS DE PRODUCTO'!$C$3:$C$1000,MATCH(C1805,'[1]CÓDIGOS DE PRODUCTO'!$A$3:$A$1000,0))</f>
        <v>0</v>
      </c>
      <c r="G1805">
        <f>+'[1]VENTAS(RESUMEN GLOBAL)'!D1805-'[1]VENTAS(RESUMEN GLOBAL)'!E1805</f>
        <v>0</v>
      </c>
      <c r="H1805" s="9">
        <f>+'[1]VENTAS(RESUMEN GLOBAL)'!K1805</f>
        <v>0</v>
      </c>
      <c r="I1805" s="8">
        <f>+G1805*'[1]VENTAS(RESUMEN GLOBAL)'!F1805</f>
        <v>0</v>
      </c>
      <c r="J1805" s="8">
        <f>'[1]VENTAS(RESUMEN GLOBAL)'!G1805*(1-'[1]VENTAS(RESUMEN GLOBAL)'!H1805)</f>
        <v>0</v>
      </c>
      <c r="K1805" s="8">
        <f t="shared" si="28"/>
        <v>0</v>
      </c>
      <c r="L1805" s="8">
        <f>+'[1]VENTAS(RESUMEN GLOBAL)'!J1805</f>
        <v>0</v>
      </c>
      <c r="M1805" s="8">
        <f>+Tabla1[[#This Row],[utilidad x dia]]*7</f>
        <v>0</v>
      </c>
    </row>
    <row r="1806" spans="1:13" x14ac:dyDescent="0.3">
      <c r="A1806" s="6">
        <f>+'[1]VENTAS(RESUMEN GLOBAL)'!L1806</f>
        <v>0</v>
      </c>
      <c r="B1806" s="6">
        <f>+'[1]VENTAS(RESUMEN GLOBAL)'!M1806</f>
        <v>0</v>
      </c>
      <c r="C1806">
        <f>+'[1]VENTAS(RESUMEN GLOBAL)'!B1806</f>
        <v>0</v>
      </c>
      <c r="D1806" t="e">
        <f>INDEX('[1]CÓDIGOS DE PRODUCTO'!$D$3:$D$1000,MATCH(C1806,'[1]CÓDIGOS DE PRODUCTO'!$A$3:$A$1000,0))</f>
        <v>#N/A</v>
      </c>
      <c r="E1806">
        <f>VLOOKUP(C1806,'[1]CÓDIGOS DE PRODUCTO'!$A$4:$B$156,2,FALSE)</f>
        <v>0</v>
      </c>
      <c r="F1806">
        <f>INDEX('[1]CÓDIGOS DE PRODUCTO'!$C$3:$C$1000,MATCH(C1806,'[1]CÓDIGOS DE PRODUCTO'!$A$3:$A$1000,0))</f>
        <v>0</v>
      </c>
      <c r="G1806">
        <f>+'[1]VENTAS(RESUMEN GLOBAL)'!D1806-'[1]VENTAS(RESUMEN GLOBAL)'!E1806</f>
        <v>0</v>
      </c>
      <c r="H1806" s="9">
        <f>+'[1]VENTAS(RESUMEN GLOBAL)'!K1806</f>
        <v>0</v>
      </c>
      <c r="I1806" s="8">
        <f>+G1806*'[1]VENTAS(RESUMEN GLOBAL)'!F1806</f>
        <v>0</v>
      </c>
      <c r="J1806" s="8">
        <f>'[1]VENTAS(RESUMEN GLOBAL)'!G1806*(1-'[1]VENTAS(RESUMEN GLOBAL)'!H1806)</f>
        <v>0</v>
      </c>
      <c r="K1806" s="8">
        <f t="shared" si="28"/>
        <v>0</v>
      </c>
      <c r="L1806" s="8">
        <f>+'[1]VENTAS(RESUMEN GLOBAL)'!J1806</f>
        <v>0</v>
      </c>
      <c r="M1806" s="8">
        <f>+Tabla1[[#This Row],[utilidad x dia]]*7</f>
        <v>0</v>
      </c>
    </row>
    <row r="1807" spans="1:13" x14ac:dyDescent="0.3">
      <c r="A1807" s="6">
        <f>+'[1]VENTAS(RESUMEN GLOBAL)'!L1807</f>
        <v>0</v>
      </c>
      <c r="B1807" s="6">
        <f>+'[1]VENTAS(RESUMEN GLOBAL)'!M1807</f>
        <v>0</v>
      </c>
      <c r="C1807">
        <f>+'[1]VENTAS(RESUMEN GLOBAL)'!B1807</f>
        <v>0</v>
      </c>
      <c r="D1807" t="e">
        <f>INDEX('[1]CÓDIGOS DE PRODUCTO'!$D$3:$D$1000,MATCH(C1807,'[1]CÓDIGOS DE PRODUCTO'!$A$3:$A$1000,0))</f>
        <v>#N/A</v>
      </c>
      <c r="E1807">
        <f>VLOOKUP(C1807,'[1]CÓDIGOS DE PRODUCTO'!$A$4:$B$156,2,FALSE)</f>
        <v>0</v>
      </c>
      <c r="F1807">
        <f>INDEX('[1]CÓDIGOS DE PRODUCTO'!$C$3:$C$1000,MATCH(C1807,'[1]CÓDIGOS DE PRODUCTO'!$A$3:$A$1000,0))</f>
        <v>0</v>
      </c>
      <c r="G1807">
        <f>+'[1]VENTAS(RESUMEN GLOBAL)'!D1807-'[1]VENTAS(RESUMEN GLOBAL)'!E1807</f>
        <v>0</v>
      </c>
      <c r="H1807" s="9">
        <f>+'[1]VENTAS(RESUMEN GLOBAL)'!K1807</f>
        <v>0</v>
      </c>
      <c r="I1807" s="8">
        <f>+G1807*'[1]VENTAS(RESUMEN GLOBAL)'!F1807</f>
        <v>0</v>
      </c>
      <c r="J1807" s="8">
        <f>'[1]VENTAS(RESUMEN GLOBAL)'!G1807*(1-'[1]VENTAS(RESUMEN GLOBAL)'!H1807)</f>
        <v>0</v>
      </c>
      <c r="K1807" s="8">
        <f t="shared" si="28"/>
        <v>0</v>
      </c>
      <c r="L1807" s="8">
        <f>+'[1]VENTAS(RESUMEN GLOBAL)'!J1807</f>
        <v>0</v>
      </c>
      <c r="M1807" s="8">
        <f>+Tabla1[[#This Row],[utilidad x dia]]*7</f>
        <v>0</v>
      </c>
    </row>
    <row r="1808" spans="1:13" x14ac:dyDescent="0.3">
      <c r="A1808" s="6">
        <f>+'[1]VENTAS(RESUMEN GLOBAL)'!L1808</f>
        <v>0</v>
      </c>
      <c r="B1808" s="6">
        <f>+'[1]VENTAS(RESUMEN GLOBAL)'!M1808</f>
        <v>0</v>
      </c>
      <c r="C1808">
        <f>+'[1]VENTAS(RESUMEN GLOBAL)'!B1808</f>
        <v>0</v>
      </c>
      <c r="D1808" t="e">
        <f>INDEX('[1]CÓDIGOS DE PRODUCTO'!$D$3:$D$1000,MATCH(C1808,'[1]CÓDIGOS DE PRODUCTO'!$A$3:$A$1000,0))</f>
        <v>#N/A</v>
      </c>
      <c r="E1808">
        <f>VLOOKUP(C1808,'[1]CÓDIGOS DE PRODUCTO'!$A$4:$B$156,2,FALSE)</f>
        <v>0</v>
      </c>
      <c r="F1808">
        <f>INDEX('[1]CÓDIGOS DE PRODUCTO'!$C$3:$C$1000,MATCH(C1808,'[1]CÓDIGOS DE PRODUCTO'!$A$3:$A$1000,0))</f>
        <v>0</v>
      </c>
      <c r="G1808">
        <f>+'[1]VENTAS(RESUMEN GLOBAL)'!D1808-'[1]VENTAS(RESUMEN GLOBAL)'!E1808</f>
        <v>0</v>
      </c>
      <c r="H1808" s="9">
        <f>+'[1]VENTAS(RESUMEN GLOBAL)'!K1808</f>
        <v>0</v>
      </c>
      <c r="I1808" s="8">
        <f>+G1808*'[1]VENTAS(RESUMEN GLOBAL)'!F1808</f>
        <v>0</v>
      </c>
      <c r="J1808" s="8">
        <f>'[1]VENTAS(RESUMEN GLOBAL)'!G1808*(1-'[1]VENTAS(RESUMEN GLOBAL)'!H1808)</f>
        <v>0</v>
      </c>
      <c r="K1808" s="8">
        <f t="shared" si="28"/>
        <v>0</v>
      </c>
      <c r="L1808" s="8">
        <f>+'[1]VENTAS(RESUMEN GLOBAL)'!J1808</f>
        <v>0</v>
      </c>
      <c r="M1808" s="8">
        <f>+Tabla1[[#This Row],[utilidad x dia]]*7</f>
        <v>0</v>
      </c>
    </row>
    <row r="1809" spans="1:13" x14ac:dyDescent="0.3">
      <c r="A1809" s="6">
        <f>+'[1]VENTAS(RESUMEN GLOBAL)'!L1809</f>
        <v>0</v>
      </c>
      <c r="B1809" s="6">
        <f>+'[1]VENTAS(RESUMEN GLOBAL)'!M1809</f>
        <v>0</v>
      </c>
      <c r="C1809">
        <f>+'[1]VENTAS(RESUMEN GLOBAL)'!B1809</f>
        <v>0</v>
      </c>
      <c r="D1809" t="e">
        <f>INDEX('[1]CÓDIGOS DE PRODUCTO'!$D$3:$D$1000,MATCH(C1809,'[1]CÓDIGOS DE PRODUCTO'!$A$3:$A$1000,0))</f>
        <v>#N/A</v>
      </c>
      <c r="E1809">
        <f>VLOOKUP(C1809,'[1]CÓDIGOS DE PRODUCTO'!$A$4:$B$156,2,FALSE)</f>
        <v>0</v>
      </c>
      <c r="F1809">
        <f>INDEX('[1]CÓDIGOS DE PRODUCTO'!$C$3:$C$1000,MATCH(C1809,'[1]CÓDIGOS DE PRODUCTO'!$A$3:$A$1000,0))</f>
        <v>0</v>
      </c>
      <c r="G1809">
        <f>+'[1]VENTAS(RESUMEN GLOBAL)'!D1809-'[1]VENTAS(RESUMEN GLOBAL)'!E1809</f>
        <v>0</v>
      </c>
      <c r="H1809" s="9">
        <f>+'[1]VENTAS(RESUMEN GLOBAL)'!K1809</f>
        <v>0</v>
      </c>
      <c r="I1809" s="8">
        <f>+G1809*'[1]VENTAS(RESUMEN GLOBAL)'!F1809</f>
        <v>0</v>
      </c>
      <c r="J1809" s="8">
        <f>'[1]VENTAS(RESUMEN GLOBAL)'!G1809*(1-'[1]VENTAS(RESUMEN GLOBAL)'!H1809)</f>
        <v>0</v>
      </c>
      <c r="K1809" s="8">
        <f t="shared" si="28"/>
        <v>0</v>
      </c>
      <c r="L1809" s="8">
        <f>+'[1]VENTAS(RESUMEN GLOBAL)'!J1809</f>
        <v>0</v>
      </c>
      <c r="M1809" s="8">
        <f>+Tabla1[[#This Row],[utilidad x dia]]*7</f>
        <v>0</v>
      </c>
    </row>
    <row r="1810" spans="1:13" x14ac:dyDescent="0.3">
      <c r="A1810" s="6">
        <f>+'[1]VENTAS(RESUMEN GLOBAL)'!L1810</f>
        <v>0</v>
      </c>
      <c r="B1810" s="6">
        <f>+'[1]VENTAS(RESUMEN GLOBAL)'!M1810</f>
        <v>0</v>
      </c>
      <c r="C1810">
        <f>+'[1]VENTAS(RESUMEN GLOBAL)'!B1810</f>
        <v>0</v>
      </c>
      <c r="D1810" t="e">
        <f>INDEX('[1]CÓDIGOS DE PRODUCTO'!$D$3:$D$1000,MATCH(C1810,'[1]CÓDIGOS DE PRODUCTO'!$A$3:$A$1000,0))</f>
        <v>#N/A</v>
      </c>
      <c r="E1810">
        <f>VLOOKUP(C1810,'[1]CÓDIGOS DE PRODUCTO'!$A$4:$B$156,2,FALSE)</f>
        <v>0</v>
      </c>
      <c r="F1810">
        <f>INDEX('[1]CÓDIGOS DE PRODUCTO'!$C$3:$C$1000,MATCH(C1810,'[1]CÓDIGOS DE PRODUCTO'!$A$3:$A$1000,0))</f>
        <v>0</v>
      </c>
      <c r="G1810">
        <f>+'[1]VENTAS(RESUMEN GLOBAL)'!D1810-'[1]VENTAS(RESUMEN GLOBAL)'!E1810</f>
        <v>0</v>
      </c>
      <c r="H1810" s="9">
        <f>+'[1]VENTAS(RESUMEN GLOBAL)'!K1810</f>
        <v>0</v>
      </c>
      <c r="I1810" s="8">
        <f>+G1810*'[1]VENTAS(RESUMEN GLOBAL)'!F1810</f>
        <v>0</v>
      </c>
      <c r="J1810" s="8">
        <f>'[1]VENTAS(RESUMEN GLOBAL)'!G1810*(1-'[1]VENTAS(RESUMEN GLOBAL)'!H1810)</f>
        <v>0</v>
      </c>
      <c r="K1810" s="8">
        <f t="shared" si="28"/>
        <v>0</v>
      </c>
      <c r="L1810" s="8">
        <f>+'[1]VENTAS(RESUMEN GLOBAL)'!J1810</f>
        <v>0</v>
      </c>
      <c r="M1810" s="8">
        <f>+Tabla1[[#This Row],[utilidad x dia]]*7</f>
        <v>0</v>
      </c>
    </row>
    <row r="1811" spans="1:13" x14ac:dyDescent="0.3">
      <c r="A1811" s="6">
        <f>+'[1]VENTAS(RESUMEN GLOBAL)'!L1811</f>
        <v>0</v>
      </c>
      <c r="B1811" s="6">
        <f>+'[1]VENTAS(RESUMEN GLOBAL)'!M1811</f>
        <v>0</v>
      </c>
      <c r="C1811">
        <f>+'[1]VENTAS(RESUMEN GLOBAL)'!B1811</f>
        <v>0</v>
      </c>
      <c r="D1811" t="e">
        <f>INDEX('[1]CÓDIGOS DE PRODUCTO'!$D$3:$D$1000,MATCH(C1811,'[1]CÓDIGOS DE PRODUCTO'!$A$3:$A$1000,0))</f>
        <v>#N/A</v>
      </c>
      <c r="E1811">
        <f>VLOOKUP(C1811,'[1]CÓDIGOS DE PRODUCTO'!$A$4:$B$156,2,FALSE)</f>
        <v>0</v>
      </c>
      <c r="F1811">
        <f>INDEX('[1]CÓDIGOS DE PRODUCTO'!$C$3:$C$1000,MATCH(C1811,'[1]CÓDIGOS DE PRODUCTO'!$A$3:$A$1000,0))</f>
        <v>0</v>
      </c>
      <c r="G1811">
        <f>+'[1]VENTAS(RESUMEN GLOBAL)'!D1811-'[1]VENTAS(RESUMEN GLOBAL)'!E1811</f>
        <v>0</v>
      </c>
      <c r="H1811" s="9">
        <f>+'[1]VENTAS(RESUMEN GLOBAL)'!K1811</f>
        <v>0</v>
      </c>
      <c r="I1811" s="8">
        <f>+G1811*'[1]VENTAS(RESUMEN GLOBAL)'!F1811</f>
        <v>0</v>
      </c>
      <c r="J1811" s="8">
        <f>'[1]VENTAS(RESUMEN GLOBAL)'!G1811*(1-'[1]VENTAS(RESUMEN GLOBAL)'!H1811)</f>
        <v>0</v>
      </c>
      <c r="K1811" s="8">
        <f t="shared" si="28"/>
        <v>0</v>
      </c>
      <c r="L1811" s="8">
        <f>+'[1]VENTAS(RESUMEN GLOBAL)'!J1811</f>
        <v>0</v>
      </c>
      <c r="M1811" s="8">
        <f>+Tabla1[[#This Row],[utilidad x dia]]*7</f>
        <v>0</v>
      </c>
    </row>
    <row r="1812" spans="1:13" x14ac:dyDescent="0.3">
      <c r="A1812" s="6">
        <f>+'[1]VENTAS(RESUMEN GLOBAL)'!L1812</f>
        <v>0</v>
      </c>
      <c r="B1812" s="6">
        <f>+'[1]VENTAS(RESUMEN GLOBAL)'!M1812</f>
        <v>0</v>
      </c>
      <c r="C1812">
        <f>+'[1]VENTAS(RESUMEN GLOBAL)'!B1812</f>
        <v>0</v>
      </c>
      <c r="D1812" t="e">
        <f>INDEX('[1]CÓDIGOS DE PRODUCTO'!$D$3:$D$1000,MATCH(C1812,'[1]CÓDIGOS DE PRODUCTO'!$A$3:$A$1000,0))</f>
        <v>#N/A</v>
      </c>
      <c r="E1812">
        <f>VLOOKUP(C1812,'[1]CÓDIGOS DE PRODUCTO'!$A$4:$B$156,2,FALSE)</f>
        <v>0</v>
      </c>
      <c r="F1812">
        <f>INDEX('[1]CÓDIGOS DE PRODUCTO'!$C$3:$C$1000,MATCH(C1812,'[1]CÓDIGOS DE PRODUCTO'!$A$3:$A$1000,0))</f>
        <v>0</v>
      </c>
      <c r="G1812">
        <f>+'[1]VENTAS(RESUMEN GLOBAL)'!D1812-'[1]VENTAS(RESUMEN GLOBAL)'!E1812</f>
        <v>0</v>
      </c>
      <c r="H1812" s="9">
        <f>+'[1]VENTAS(RESUMEN GLOBAL)'!K1812</f>
        <v>0</v>
      </c>
      <c r="I1812" s="8">
        <f>+G1812*'[1]VENTAS(RESUMEN GLOBAL)'!F1812</f>
        <v>0</v>
      </c>
      <c r="J1812" s="8">
        <f>'[1]VENTAS(RESUMEN GLOBAL)'!G1812*(1-'[1]VENTAS(RESUMEN GLOBAL)'!H1812)</f>
        <v>0</v>
      </c>
      <c r="K1812" s="8">
        <f t="shared" si="28"/>
        <v>0</v>
      </c>
      <c r="L1812" s="8">
        <f>+'[1]VENTAS(RESUMEN GLOBAL)'!J1812</f>
        <v>0</v>
      </c>
      <c r="M1812" s="8">
        <f>+Tabla1[[#This Row],[utilidad x dia]]*7</f>
        <v>0</v>
      </c>
    </row>
    <row r="1813" spans="1:13" x14ac:dyDescent="0.3">
      <c r="A1813" s="6">
        <f>+'[1]VENTAS(RESUMEN GLOBAL)'!L1813</f>
        <v>0</v>
      </c>
      <c r="B1813" s="6">
        <f>+'[1]VENTAS(RESUMEN GLOBAL)'!M1813</f>
        <v>0</v>
      </c>
      <c r="C1813">
        <f>+'[1]VENTAS(RESUMEN GLOBAL)'!B1813</f>
        <v>0</v>
      </c>
      <c r="D1813" t="e">
        <f>INDEX('[1]CÓDIGOS DE PRODUCTO'!$D$3:$D$1000,MATCH(C1813,'[1]CÓDIGOS DE PRODUCTO'!$A$3:$A$1000,0))</f>
        <v>#N/A</v>
      </c>
      <c r="E1813">
        <f>VLOOKUP(C1813,'[1]CÓDIGOS DE PRODUCTO'!$A$4:$B$156,2,FALSE)</f>
        <v>0</v>
      </c>
      <c r="F1813">
        <f>INDEX('[1]CÓDIGOS DE PRODUCTO'!$C$3:$C$1000,MATCH(C1813,'[1]CÓDIGOS DE PRODUCTO'!$A$3:$A$1000,0))</f>
        <v>0</v>
      </c>
      <c r="G1813">
        <f>+'[1]VENTAS(RESUMEN GLOBAL)'!D1813-'[1]VENTAS(RESUMEN GLOBAL)'!E1813</f>
        <v>0</v>
      </c>
      <c r="H1813" s="9">
        <f>+'[1]VENTAS(RESUMEN GLOBAL)'!K1813</f>
        <v>0</v>
      </c>
      <c r="I1813" s="8">
        <f>+G1813*'[1]VENTAS(RESUMEN GLOBAL)'!F1813</f>
        <v>0</v>
      </c>
      <c r="J1813" s="8">
        <f>'[1]VENTAS(RESUMEN GLOBAL)'!G1813*(1-'[1]VENTAS(RESUMEN GLOBAL)'!H1813)</f>
        <v>0</v>
      </c>
      <c r="K1813" s="8">
        <f t="shared" si="28"/>
        <v>0</v>
      </c>
      <c r="L1813" s="8">
        <f>+'[1]VENTAS(RESUMEN GLOBAL)'!J1813</f>
        <v>0</v>
      </c>
      <c r="M1813" s="8">
        <f>+Tabla1[[#This Row],[utilidad x dia]]*7</f>
        <v>0</v>
      </c>
    </row>
    <row r="1814" spans="1:13" x14ac:dyDescent="0.3">
      <c r="A1814" s="6">
        <f>+'[1]VENTAS(RESUMEN GLOBAL)'!L1814</f>
        <v>0</v>
      </c>
      <c r="B1814" s="6">
        <f>+'[1]VENTAS(RESUMEN GLOBAL)'!M1814</f>
        <v>0</v>
      </c>
      <c r="C1814">
        <f>+'[1]VENTAS(RESUMEN GLOBAL)'!B1814</f>
        <v>0</v>
      </c>
      <c r="D1814" t="e">
        <f>INDEX('[1]CÓDIGOS DE PRODUCTO'!$D$3:$D$1000,MATCH(C1814,'[1]CÓDIGOS DE PRODUCTO'!$A$3:$A$1000,0))</f>
        <v>#N/A</v>
      </c>
      <c r="E1814">
        <f>VLOOKUP(C1814,'[1]CÓDIGOS DE PRODUCTO'!$A$4:$B$156,2,FALSE)</f>
        <v>0</v>
      </c>
      <c r="F1814">
        <f>INDEX('[1]CÓDIGOS DE PRODUCTO'!$C$3:$C$1000,MATCH(C1814,'[1]CÓDIGOS DE PRODUCTO'!$A$3:$A$1000,0))</f>
        <v>0</v>
      </c>
      <c r="G1814">
        <f>+'[1]VENTAS(RESUMEN GLOBAL)'!D1814-'[1]VENTAS(RESUMEN GLOBAL)'!E1814</f>
        <v>0</v>
      </c>
      <c r="H1814" s="9">
        <f>+'[1]VENTAS(RESUMEN GLOBAL)'!K1814</f>
        <v>0</v>
      </c>
      <c r="I1814" s="8">
        <f>+G1814*'[1]VENTAS(RESUMEN GLOBAL)'!F1814</f>
        <v>0</v>
      </c>
      <c r="J1814" s="8">
        <f>'[1]VENTAS(RESUMEN GLOBAL)'!G1814*(1-'[1]VENTAS(RESUMEN GLOBAL)'!H1814)</f>
        <v>0</v>
      </c>
      <c r="K1814" s="8">
        <f t="shared" si="28"/>
        <v>0</v>
      </c>
      <c r="L1814" s="8">
        <f>+'[1]VENTAS(RESUMEN GLOBAL)'!J1814</f>
        <v>0</v>
      </c>
      <c r="M1814" s="8">
        <f>+Tabla1[[#This Row],[utilidad x dia]]*7</f>
        <v>0</v>
      </c>
    </row>
    <row r="1815" spans="1:13" x14ac:dyDescent="0.3">
      <c r="A1815" s="6">
        <f>+'[1]VENTAS(RESUMEN GLOBAL)'!L1815</f>
        <v>0</v>
      </c>
      <c r="B1815" s="6">
        <f>+'[1]VENTAS(RESUMEN GLOBAL)'!M1815</f>
        <v>0</v>
      </c>
      <c r="C1815">
        <f>+'[1]VENTAS(RESUMEN GLOBAL)'!B1815</f>
        <v>0</v>
      </c>
      <c r="D1815" t="e">
        <f>INDEX('[1]CÓDIGOS DE PRODUCTO'!$D$3:$D$1000,MATCH(C1815,'[1]CÓDIGOS DE PRODUCTO'!$A$3:$A$1000,0))</f>
        <v>#N/A</v>
      </c>
      <c r="E1815">
        <f>VLOOKUP(C1815,'[1]CÓDIGOS DE PRODUCTO'!$A$4:$B$156,2,FALSE)</f>
        <v>0</v>
      </c>
      <c r="F1815">
        <f>INDEX('[1]CÓDIGOS DE PRODUCTO'!$C$3:$C$1000,MATCH(C1815,'[1]CÓDIGOS DE PRODUCTO'!$A$3:$A$1000,0))</f>
        <v>0</v>
      </c>
      <c r="G1815">
        <f>+'[1]VENTAS(RESUMEN GLOBAL)'!D1815-'[1]VENTAS(RESUMEN GLOBAL)'!E1815</f>
        <v>0</v>
      </c>
      <c r="H1815" s="9">
        <f>+'[1]VENTAS(RESUMEN GLOBAL)'!K1815</f>
        <v>0</v>
      </c>
      <c r="I1815" s="8">
        <f>+G1815*'[1]VENTAS(RESUMEN GLOBAL)'!F1815</f>
        <v>0</v>
      </c>
      <c r="J1815" s="8">
        <f>'[1]VENTAS(RESUMEN GLOBAL)'!G1815*(1-'[1]VENTAS(RESUMEN GLOBAL)'!H1815)</f>
        <v>0</v>
      </c>
      <c r="K1815" s="8">
        <f t="shared" si="28"/>
        <v>0</v>
      </c>
      <c r="L1815" s="8">
        <f>+'[1]VENTAS(RESUMEN GLOBAL)'!J1815</f>
        <v>0</v>
      </c>
      <c r="M1815" s="8">
        <f>+Tabla1[[#This Row],[utilidad x dia]]*7</f>
        <v>0</v>
      </c>
    </row>
    <row r="1816" spans="1:13" x14ac:dyDescent="0.3">
      <c r="A1816" s="6">
        <f>+'[1]VENTAS(RESUMEN GLOBAL)'!L1816</f>
        <v>0</v>
      </c>
      <c r="B1816" s="6">
        <f>+'[1]VENTAS(RESUMEN GLOBAL)'!M1816</f>
        <v>0</v>
      </c>
      <c r="C1816">
        <f>+'[1]VENTAS(RESUMEN GLOBAL)'!B1816</f>
        <v>0</v>
      </c>
      <c r="D1816" t="e">
        <f>INDEX('[1]CÓDIGOS DE PRODUCTO'!$D$3:$D$1000,MATCH(C1816,'[1]CÓDIGOS DE PRODUCTO'!$A$3:$A$1000,0))</f>
        <v>#N/A</v>
      </c>
      <c r="E1816">
        <f>VLOOKUP(C1816,'[1]CÓDIGOS DE PRODUCTO'!$A$4:$B$156,2,FALSE)</f>
        <v>0</v>
      </c>
      <c r="F1816">
        <f>INDEX('[1]CÓDIGOS DE PRODUCTO'!$C$3:$C$1000,MATCH(C1816,'[1]CÓDIGOS DE PRODUCTO'!$A$3:$A$1000,0))</f>
        <v>0</v>
      </c>
      <c r="G1816">
        <f>+'[1]VENTAS(RESUMEN GLOBAL)'!D1816-'[1]VENTAS(RESUMEN GLOBAL)'!E1816</f>
        <v>0</v>
      </c>
      <c r="H1816" s="9">
        <f>+'[1]VENTAS(RESUMEN GLOBAL)'!K1816</f>
        <v>0</v>
      </c>
      <c r="I1816" s="8">
        <f>+G1816*'[1]VENTAS(RESUMEN GLOBAL)'!F1816</f>
        <v>0</v>
      </c>
      <c r="J1816" s="8">
        <f>'[1]VENTAS(RESUMEN GLOBAL)'!G1816*(1-'[1]VENTAS(RESUMEN GLOBAL)'!H1816)</f>
        <v>0</v>
      </c>
      <c r="K1816" s="8">
        <f t="shared" si="28"/>
        <v>0</v>
      </c>
      <c r="L1816" s="8">
        <f>+'[1]VENTAS(RESUMEN GLOBAL)'!J1816</f>
        <v>0</v>
      </c>
      <c r="M1816" s="8">
        <f>+Tabla1[[#This Row],[utilidad x dia]]*7</f>
        <v>0</v>
      </c>
    </row>
    <row r="1817" spans="1:13" x14ac:dyDescent="0.3">
      <c r="A1817" s="6">
        <f>+'[1]VENTAS(RESUMEN GLOBAL)'!L1817</f>
        <v>0</v>
      </c>
      <c r="B1817" s="6">
        <f>+'[1]VENTAS(RESUMEN GLOBAL)'!M1817</f>
        <v>0</v>
      </c>
      <c r="C1817">
        <f>+'[1]VENTAS(RESUMEN GLOBAL)'!B1817</f>
        <v>0</v>
      </c>
      <c r="D1817" t="e">
        <f>INDEX('[1]CÓDIGOS DE PRODUCTO'!$D$3:$D$1000,MATCH(C1817,'[1]CÓDIGOS DE PRODUCTO'!$A$3:$A$1000,0))</f>
        <v>#N/A</v>
      </c>
      <c r="E1817">
        <f>VLOOKUP(C1817,'[1]CÓDIGOS DE PRODUCTO'!$A$4:$B$156,2,FALSE)</f>
        <v>0</v>
      </c>
      <c r="F1817">
        <f>INDEX('[1]CÓDIGOS DE PRODUCTO'!$C$3:$C$1000,MATCH(C1817,'[1]CÓDIGOS DE PRODUCTO'!$A$3:$A$1000,0))</f>
        <v>0</v>
      </c>
      <c r="G1817">
        <f>+'[1]VENTAS(RESUMEN GLOBAL)'!D1817-'[1]VENTAS(RESUMEN GLOBAL)'!E1817</f>
        <v>0</v>
      </c>
      <c r="H1817" s="9">
        <f>+'[1]VENTAS(RESUMEN GLOBAL)'!K1817</f>
        <v>0</v>
      </c>
      <c r="I1817" s="8">
        <f>+G1817*'[1]VENTAS(RESUMEN GLOBAL)'!F1817</f>
        <v>0</v>
      </c>
      <c r="J1817" s="8">
        <f>'[1]VENTAS(RESUMEN GLOBAL)'!G1817*(1-'[1]VENTAS(RESUMEN GLOBAL)'!H1817)</f>
        <v>0</v>
      </c>
      <c r="K1817" s="8">
        <f t="shared" si="28"/>
        <v>0</v>
      </c>
      <c r="L1817" s="8">
        <f>+'[1]VENTAS(RESUMEN GLOBAL)'!J1817</f>
        <v>0</v>
      </c>
      <c r="M1817" s="8">
        <f>+Tabla1[[#This Row],[utilidad x dia]]*7</f>
        <v>0</v>
      </c>
    </row>
    <row r="1818" spans="1:13" x14ac:dyDescent="0.3">
      <c r="A1818" s="6">
        <f>+'[1]VENTAS(RESUMEN GLOBAL)'!L1818</f>
        <v>0</v>
      </c>
      <c r="B1818" s="6">
        <f>+'[1]VENTAS(RESUMEN GLOBAL)'!M1818</f>
        <v>0</v>
      </c>
      <c r="C1818">
        <f>+'[1]VENTAS(RESUMEN GLOBAL)'!B1818</f>
        <v>0</v>
      </c>
      <c r="D1818" t="e">
        <f>INDEX('[1]CÓDIGOS DE PRODUCTO'!$D$3:$D$1000,MATCH(C1818,'[1]CÓDIGOS DE PRODUCTO'!$A$3:$A$1000,0))</f>
        <v>#N/A</v>
      </c>
      <c r="E1818">
        <f>VLOOKUP(C1818,'[1]CÓDIGOS DE PRODUCTO'!$A$4:$B$156,2,FALSE)</f>
        <v>0</v>
      </c>
      <c r="F1818">
        <f>INDEX('[1]CÓDIGOS DE PRODUCTO'!$C$3:$C$1000,MATCH(C1818,'[1]CÓDIGOS DE PRODUCTO'!$A$3:$A$1000,0))</f>
        <v>0</v>
      </c>
      <c r="G1818">
        <f>+'[1]VENTAS(RESUMEN GLOBAL)'!D1818-'[1]VENTAS(RESUMEN GLOBAL)'!E1818</f>
        <v>0</v>
      </c>
      <c r="H1818" s="9">
        <f>+'[1]VENTAS(RESUMEN GLOBAL)'!K1818</f>
        <v>0</v>
      </c>
      <c r="I1818" s="8">
        <f>+G1818*'[1]VENTAS(RESUMEN GLOBAL)'!F1818</f>
        <v>0</v>
      </c>
      <c r="J1818" s="8">
        <f>'[1]VENTAS(RESUMEN GLOBAL)'!G1818*(1-'[1]VENTAS(RESUMEN GLOBAL)'!H1818)</f>
        <v>0</v>
      </c>
      <c r="K1818" s="8">
        <f t="shared" si="28"/>
        <v>0</v>
      </c>
      <c r="L1818" s="8">
        <f>+'[1]VENTAS(RESUMEN GLOBAL)'!J1818</f>
        <v>0</v>
      </c>
      <c r="M1818" s="8">
        <f>+Tabla1[[#This Row],[utilidad x dia]]*7</f>
        <v>0</v>
      </c>
    </row>
    <row r="1819" spans="1:13" x14ac:dyDescent="0.3">
      <c r="A1819" s="6">
        <f>+'[1]VENTAS(RESUMEN GLOBAL)'!L1819</f>
        <v>0</v>
      </c>
      <c r="B1819" s="6">
        <f>+'[1]VENTAS(RESUMEN GLOBAL)'!M1819</f>
        <v>0</v>
      </c>
      <c r="C1819">
        <f>+'[1]VENTAS(RESUMEN GLOBAL)'!B1819</f>
        <v>0</v>
      </c>
      <c r="D1819" t="e">
        <f>INDEX('[1]CÓDIGOS DE PRODUCTO'!$D$3:$D$1000,MATCH(C1819,'[1]CÓDIGOS DE PRODUCTO'!$A$3:$A$1000,0))</f>
        <v>#N/A</v>
      </c>
      <c r="E1819">
        <f>VLOOKUP(C1819,'[1]CÓDIGOS DE PRODUCTO'!$A$4:$B$156,2,FALSE)</f>
        <v>0</v>
      </c>
      <c r="F1819">
        <f>INDEX('[1]CÓDIGOS DE PRODUCTO'!$C$3:$C$1000,MATCH(C1819,'[1]CÓDIGOS DE PRODUCTO'!$A$3:$A$1000,0))</f>
        <v>0</v>
      </c>
      <c r="G1819">
        <f>+'[1]VENTAS(RESUMEN GLOBAL)'!D1819-'[1]VENTAS(RESUMEN GLOBAL)'!E1819</f>
        <v>0</v>
      </c>
      <c r="H1819" s="9">
        <f>+'[1]VENTAS(RESUMEN GLOBAL)'!K1819</f>
        <v>0</v>
      </c>
      <c r="I1819" s="8">
        <f>+G1819*'[1]VENTAS(RESUMEN GLOBAL)'!F1819</f>
        <v>0</v>
      </c>
      <c r="J1819" s="8">
        <f>'[1]VENTAS(RESUMEN GLOBAL)'!G1819*(1-'[1]VENTAS(RESUMEN GLOBAL)'!H1819)</f>
        <v>0</v>
      </c>
      <c r="K1819" s="8">
        <f t="shared" si="28"/>
        <v>0</v>
      </c>
      <c r="L1819" s="8">
        <f>+'[1]VENTAS(RESUMEN GLOBAL)'!J1819</f>
        <v>0</v>
      </c>
      <c r="M1819" s="8">
        <f>+Tabla1[[#This Row],[utilidad x dia]]*7</f>
        <v>0</v>
      </c>
    </row>
    <row r="1820" spans="1:13" x14ac:dyDescent="0.3">
      <c r="A1820" s="6">
        <f>+'[1]VENTAS(RESUMEN GLOBAL)'!L1820</f>
        <v>0</v>
      </c>
      <c r="B1820" s="6">
        <f>+'[1]VENTAS(RESUMEN GLOBAL)'!M1820</f>
        <v>0</v>
      </c>
      <c r="C1820">
        <f>+'[1]VENTAS(RESUMEN GLOBAL)'!B1820</f>
        <v>0</v>
      </c>
      <c r="D1820" t="e">
        <f>INDEX('[1]CÓDIGOS DE PRODUCTO'!$D$3:$D$1000,MATCH(C1820,'[1]CÓDIGOS DE PRODUCTO'!$A$3:$A$1000,0))</f>
        <v>#N/A</v>
      </c>
      <c r="E1820">
        <f>VLOOKUP(C1820,'[1]CÓDIGOS DE PRODUCTO'!$A$4:$B$156,2,FALSE)</f>
        <v>0</v>
      </c>
      <c r="F1820">
        <f>INDEX('[1]CÓDIGOS DE PRODUCTO'!$C$3:$C$1000,MATCH(C1820,'[1]CÓDIGOS DE PRODUCTO'!$A$3:$A$1000,0))</f>
        <v>0</v>
      </c>
      <c r="G1820">
        <f>+'[1]VENTAS(RESUMEN GLOBAL)'!D1820-'[1]VENTAS(RESUMEN GLOBAL)'!E1820</f>
        <v>0</v>
      </c>
      <c r="H1820" s="9">
        <f>+'[1]VENTAS(RESUMEN GLOBAL)'!K1820</f>
        <v>0</v>
      </c>
      <c r="I1820" s="8">
        <f>+G1820*'[1]VENTAS(RESUMEN GLOBAL)'!F1820</f>
        <v>0</v>
      </c>
      <c r="J1820" s="8">
        <f>'[1]VENTAS(RESUMEN GLOBAL)'!G1820*(1-'[1]VENTAS(RESUMEN GLOBAL)'!H1820)</f>
        <v>0</v>
      </c>
      <c r="K1820" s="8">
        <f t="shared" si="28"/>
        <v>0</v>
      </c>
      <c r="L1820" s="8">
        <f>+'[1]VENTAS(RESUMEN GLOBAL)'!J1820</f>
        <v>0</v>
      </c>
      <c r="M1820" s="8">
        <f>+Tabla1[[#This Row],[utilidad x dia]]*7</f>
        <v>0</v>
      </c>
    </row>
    <row r="1821" spans="1:13" x14ac:dyDescent="0.3">
      <c r="A1821" s="6">
        <f>+'[1]VENTAS(RESUMEN GLOBAL)'!L1821</f>
        <v>0</v>
      </c>
      <c r="B1821" s="6">
        <f>+'[1]VENTAS(RESUMEN GLOBAL)'!M1821</f>
        <v>0</v>
      </c>
      <c r="C1821">
        <f>+'[1]VENTAS(RESUMEN GLOBAL)'!B1821</f>
        <v>0</v>
      </c>
      <c r="D1821" t="e">
        <f>INDEX('[1]CÓDIGOS DE PRODUCTO'!$D$3:$D$1000,MATCH(C1821,'[1]CÓDIGOS DE PRODUCTO'!$A$3:$A$1000,0))</f>
        <v>#N/A</v>
      </c>
      <c r="E1821">
        <f>VLOOKUP(C1821,'[1]CÓDIGOS DE PRODUCTO'!$A$4:$B$156,2,FALSE)</f>
        <v>0</v>
      </c>
      <c r="F1821">
        <f>INDEX('[1]CÓDIGOS DE PRODUCTO'!$C$3:$C$1000,MATCH(C1821,'[1]CÓDIGOS DE PRODUCTO'!$A$3:$A$1000,0))</f>
        <v>0</v>
      </c>
      <c r="G1821">
        <f>+'[1]VENTAS(RESUMEN GLOBAL)'!D1821-'[1]VENTAS(RESUMEN GLOBAL)'!E1821</f>
        <v>0</v>
      </c>
      <c r="H1821" s="9">
        <f>+'[1]VENTAS(RESUMEN GLOBAL)'!K1821</f>
        <v>0</v>
      </c>
      <c r="I1821" s="8">
        <f>+G1821*'[1]VENTAS(RESUMEN GLOBAL)'!F1821</f>
        <v>0</v>
      </c>
      <c r="J1821" s="8">
        <f>'[1]VENTAS(RESUMEN GLOBAL)'!G1821*(1-'[1]VENTAS(RESUMEN GLOBAL)'!H1821)</f>
        <v>0</v>
      </c>
      <c r="K1821" s="8">
        <f t="shared" si="28"/>
        <v>0</v>
      </c>
      <c r="L1821" s="8">
        <f>+'[1]VENTAS(RESUMEN GLOBAL)'!J1821</f>
        <v>0</v>
      </c>
      <c r="M1821" s="8">
        <f>+Tabla1[[#This Row],[utilidad x dia]]*7</f>
        <v>0</v>
      </c>
    </row>
    <row r="1822" spans="1:13" x14ac:dyDescent="0.3">
      <c r="A1822" s="6">
        <f>+'[1]VENTAS(RESUMEN GLOBAL)'!L1822</f>
        <v>0</v>
      </c>
      <c r="B1822" s="6">
        <f>+'[1]VENTAS(RESUMEN GLOBAL)'!M1822</f>
        <v>0</v>
      </c>
      <c r="C1822">
        <f>+'[1]VENTAS(RESUMEN GLOBAL)'!B1822</f>
        <v>0</v>
      </c>
      <c r="D1822" t="e">
        <f>INDEX('[1]CÓDIGOS DE PRODUCTO'!$D$3:$D$1000,MATCH(C1822,'[1]CÓDIGOS DE PRODUCTO'!$A$3:$A$1000,0))</f>
        <v>#N/A</v>
      </c>
      <c r="E1822">
        <f>VLOOKUP(C1822,'[1]CÓDIGOS DE PRODUCTO'!$A$4:$B$156,2,FALSE)</f>
        <v>0</v>
      </c>
      <c r="F1822">
        <f>INDEX('[1]CÓDIGOS DE PRODUCTO'!$C$3:$C$1000,MATCH(C1822,'[1]CÓDIGOS DE PRODUCTO'!$A$3:$A$1000,0))</f>
        <v>0</v>
      </c>
      <c r="G1822">
        <f>+'[1]VENTAS(RESUMEN GLOBAL)'!D1822-'[1]VENTAS(RESUMEN GLOBAL)'!E1822</f>
        <v>0</v>
      </c>
      <c r="H1822" s="9">
        <f>+'[1]VENTAS(RESUMEN GLOBAL)'!K1822</f>
        <v>0</v>
      </c>
      <c r="I1822" s="8">
        <f>+G1822*'[1]VENTAS(RESUMEN GLOBAL)'!F1822</f>
        <v>0</v>
      </c>
      <c r="J1822" s="8">
        <f>'[1]VENTAS(RESUMEN GLOBAL)'!G1822*(1-'[1]VENTAS(RESUMEN GLOBAL)'!H1822)</f>
        <v>0</v>
      </c>
      <c r="K1822" s="8">
        <f t="shared" si="28"/>
        <v>0</v>
      </c>
      <c r="L1822" s="8">
        <f>+'[1]VENTAS(RESUMEN GLOBAL)'!J1822</f>
        <v>0</v>
      </c>
      <c r="M1822" s="8">
        <f>+Tabla1[[#This Row],[utilidad x dia]]*7</f>
        <v>0</v>
      </c>
    </row>
    <row r="1823" spans="1:13" x14ac:dyDescent="0.3">
      <c r="A1823" s="6">
        <f>+'[1]VENTAS(RESUMEN GLOBAL)'!L1823</f>
        <v>0</v>
      </c>
      <c r="B1823" s="6">
        <f>+'[1]VENTAS(RESUMEN GLOBAL)'!M1823</f>
        <v>0</v>
      </c>
      <c r="C1823">
        <f>+'[1]VENTAS(RESUMEN GLOBAL)'!B1823</f>
        <v>0</v>
      </c>
      <c r="D1823" t="e">
        <f>INDEX('[1]CÓDIGOS DE PRODUCTO'!$D$3:$D$1000,MATCH(C1823,'[1]CÓDIGOS DE PRODUCTO'!$A$3:$A$1000,0))</f>
        <v>#N/A</v>
      </c>
      <c r="E1823">
        <f>VLOOKUP(C1823,'[1]CÓDIGOS DE PRODUCTO'!$A$4:$B$156,2,FALSE)</f>
        <v>0</v>
      </c>
      <c r="F1823">
        <f>INDEX('[1]CÓDIGOS DE PRODUCTO'!$C$3:$C$1000,MATCH(C1823,'[1]CÓDIGOS DE PRODUCTO'!$A$3:$A$1000,0))</f>
        <v>0</v>
      </c>
      <c r="G1823">
        <f>+'[1]VENTAS(RESUMEN GLOBAL)'!D1823-'[1]VENTAS(RESUMEN GLOBAL)'!E1823</f>
        <v>0</v>
      </c>
      <c r="H1823" s="9">
        <f>+'[1]VENTAS(RESUMEN GLOBAL)'!K1823</f>
        <v>0</v>
      </c>
      <c r="I1823" s="8">
        <f>+G1823*'[1]VENTAS(RESUMEN GLOBAL)'!F1823</f>
        <v>0</v>
      </c>
      <c r="J1823" s="8">
        <f>'[1]VENTAS(RESUMEN GLOBAL)'!G1823*(1-'[1]VENTAS(RESUMEN GLOBAL)'!H1823)</f>
        <v>0</v>
      </c>
      <c r="K1823" s="8">
        <f t="shared" si="28"/>
        <v>0</v>
      </c>
      <c r="L1823" s="8">
        <f>+'[1]VENTAS(RESUMEN GLOBAL)'!J1823</f>
        <v>0</v>
      </c>
      <c r="M1823" s="8">
        <f>+Tabla1[[#This Row],[utilidad x dia]]*7</f>
        <v>0</v>
      </c>
    </row>
    <row r="1824" spans="1:13" x14ac:dyDescent="0.3">
      <c r="A1824" s="6">
        <f>+'[1]VENTAS(RESUMEN GLOBAL)'!L1824</f>
        <v>0</v>
      </c>
      <c r="B1824" s="6">
        <f>+'[1]VENTAS(RESUMEN GLOBAL)'!M1824</f>
        <v>0</v>
      </c>
      <c r="C1824">
        <f>+'[1]VENTAS(RESUMEN GLOBAL)'!B1824</f>
        <v>0</v>
      </c>
      <c r="D1824" t="e">
        <f>INDEX('[1]CÓDIGOS DE PRODUCTO'!$D$3:$D$1000,MATCH(C1824,'[1]CÓDIGOS DE PRODUCTO'!$A$3:$A$1000,0))</f>
        <v>#N/A</v>
      </c>
      <c r="E1824">
        <f>VLOOKUP(C1824,'[1]CÓDIGOS DE PRODUCTO'!$A$4:$B$156,2,FALSE)</f>
        <v>0</v>
      </c>
      <c r="F1824">
        <f>INDEX('[1]CÓDIGOS DE PRODUCTO'!$C$3:$C$1000,MATCH(C1824,'[1]CÓDIGOS DE PRODUCTO'!$A$3:$A$1000,0))</f>
        <v>0</v>
      </c>
      <c r="G1824">
        <f>+'[1]VENTAS(RESUMEN GLOBAL)'!D1824-'[1]VENTAS(RESUMEN GLOBAL)'!E1824</f>
        <v>0</v>
      </c>
      <c r="H1824" s="9">
        <f>+'[1]VENTAS(RESUMEN GLOBAL)'!K1824</f>
        <v>0</v>
      </c>
      <c r="I1824" s="8">
        <f>+G1824*'[1]VENTAS(RESUMEN GLOBAL)'!F1824</f>
        <v>0</v>
      </c>
      <c r="J1824" s="8">
        <f>'[1]VENTAS(RESUMEN GLOBAL)'!G1824*(1-'[1]VENTAS(RESUMEN GLOBAL)'!H1824)</f>
        <v>0</v>
      </c>
      <c r="K1824" s="8">
        <f t="shared" si="28"/>
        <v>0</v>
      </c>
      <c r="L1824" s="8">
        <f>+'[1]VENTAS(RESUMEN GLOBAL)'!J1824</f>
        <v>0</v>
      </c>
      <c r="M1824" s="8">
        <f>+Tabla1[[#This Row],[utilidad x dia]]*7</f>
        <v>0</v>
      </c>
    </row>
    <row r="1825" spans="1:13" x14ac:dyDescent="0.3">
      <c r="A1825" s="6">
        <f>+'[1]VENTAS(RESUMEN GLOBAL)'!L1825</f>
        <v>0</v>
      </c>
      <c r="B1825" s="6">
        <f>+'[1]VENTAS(RESUMEN GLOBAL)'!M1825</f>
        <v>0</v>
      </c>
      <c r="C1825">
        <f>+'[1]VENTAS(RESUMEN GLOBAL)'!B1825</f>
        <v>0</v>
      </c>
      <c r="D1825" t="e">
        <f>INDEX('[1]CÓDIGOS DE PRODUCTO'!$D$3:$D$1000,MATCH(C1825,'[1]CÓDIGOS DE PRODUCTO'!$A$3:$A$1000,0))</f>
        <v>#N/A</v>
      </c>
      <c r="E1825">
        <f>VLOOKUP(C1825,'[1]CÓDIGOS DE PRODUCTO'!$A$4:$B$156,2,FALSE)</f>
        <v>0</v>
      </c>
      <c r="F1825">
        <f>INDEX('[1]CÓDIGOS DE PRODUCTO'!$C$3:$C$1000,MATCH(C1825,'[1]CÓDIGOS DE PRODUCTO'!$A$3:$A$1000,0))</f>
        <v>0</v>
      </c>
      <c r="G1825">
        <f>+'[1]VENTAS(RESUMEN GLOBAL)'!D1825-'[1]VENTAS(RESUMEN GLOBAL)'!E1825</f>
        <v>0</v>
      </c>
      <c r="H1825" s="9">
        <f>+'[1]VENTAS(RESUMEN GLOBAL)'!K1825</f>
        <v>0</v>
      </c>
      <c r="I1825" s="8">
        <f>+G1825*'[1]VENTAS(RESUMEN GLOBAL)'!F1825</f>
        <v>0</v>
      </c>
      <c r="J1825" s="8">
        <f>'[1]VENTAS(RESUMEN GLOBAL)'!G1825*(1-'[1]VENTAS(RESUMEN GLOBAL)'!H1825)</f>
        <v>0</v>
      </c>
      <c r="K1825" s="8">
        <f t="shared" si="28"/>
        <v>0</v>
      </c>
      <c r="L1825" s="8">
        <f>+'[1]VENTAS(RESUMEN GLOBAL)'!J1825</f>
        <v>0</v>
      </c>
      <c r="M1825" s="8">
        <f>+Tabla1[[#This Row],[utilidad x dia]]*7</f>
        <v>0</v>
      </c>
    </row>
    <row r="1826" spans="1:13" x14ac:dyDescent="0.3">
      <c r="A1826" s="6">
        <f>+'[1]VENTAS(RESUMEN GLOBAL)'!L1826</f>
        <v>0</v>
      </c>
      <c r="B1826" s="6">
        <f>+'[1]VENTAS(RESUMEN GLOBAL)'!M1826</f>
        <v>0</v>
      </c>
      <c r="C1826">
        <f>+'[1]VENTAS(RESUMEN GLOBAL)'!B1826</f>
        <v>0</v>
      </c>
      <c r="D1826" t="e">
        <f>INDEX('[1]CÓDIGOS DE PRODUCTO'!$D$3:$D$1000,MATCH(C1826,'[1]CÓDIGOS DE PRODUCTO'!$A$3:$A$1000,0))</f>
        <v>#N/A</v>
      </c>
      <c r="E1826">
        <f>VLOOKUP(C1826,'[1]CÓDIGOS DE PRODUCTO'!$A$4:$B$156,2,FALSE)</f>
        <v>0</v>
      </c>
      <c r="F1826">
        <f>INDEX('[1]CÓDIGOS DE PRODUCTO'!$C$3:$C$1000,MATCH(C1826,'[1]CÓDIGOS DE PRODUCTO'!$A$3:$A$1000,0))</f>
        <v>0</v>
      </c>
      <c r="G1826">
        <f>+'[1]VENTAS(RESUMEN GLOBAL)'!D1826-'[1]VENTAS(RESUMEN GLOBAL)'!E1826</f>
        <v>0</v>
      </c>
      <c r="H1826" s="9">
        <f>+'[1]VENTAS(RESUMEN GLOBAL)'!K1826</f>
        <v>0</v>
      </c>
      <c r="I1826" s="8">
        <f>+G1826*'[1]VENTAS(RESUMEN GLOBAL)'!F1826</f>
        <v>0</v>
      </c>
      <c r="J1826" s="8">
        <f>'[1]VENTAS(RESUMEN GLOBAL)'!G1826*(1-'[1]VENTAS(RESUMEN GLOBAL)'!H1826)</f>
        <v>0</v>
      </c>
      <c r="K1826" s="8">
        <f t="shared" si="28"/>
        <v>0</v>
      </c>
      <c r="L1826" s="8">
        <f>+'[1]VENTAS(RESUMEN GLOBAL)'!J1826</f>
        <v>0</v>
      </c>
      <c r="M1826" s="8">
        <f>+Tabla1[[#This Row],[utilidad x dia]]*7</f>
        <v>0</v>
      </c>
    </row>
    <row r="1827" spans="1:13" x14ac:dyDescent="0.3">
      <c r="A1827" s="6">
        <f>+'[1]VENTAS(RESUMEN GLOBAL)'!L1827</f>
        <v>0</v>
      </c>
      <c r="B1827" s="6">
        <f>+'[1]VENTAS(RESUMEN GLOBAL)'!M1827</f>
        <v>0</v>
      </c>
      <c r="C1827">
        <f>+'[1]VENTAS(RESUMEN GLOBAL)'!B1827</f>
        <v>0</v>
      </c>
      <c r="D1827" t="e">
        <f>INDEX('[1]CÓDIGOS DE PRODUCTO'!$D$3:$D$1000,MATCH(C1827,'[1]CÓDIGOS DE PRODUCTO'!$A$3:$A$1000,0))</f>
        <v>#N/A</v>
      </c>
      <c r="E1827">
        <f>VLOOKUP(C1827,'[1]CÓDIGOS DE PRODUCTO'!$A$4:$B$156,2,FALSE)</f>
        <v>0</v>
      </c>
      <c r="F1827">
        <f>INDEX('[1]CÓDIGOS DE PRODUCTO'!$C$3:$C$1000,MATCH(C1827,'[1]CÓDIGOS DE PRODUCTO'!$A$3:$A$1000,0))</f>
        <v>0</v>
      </c>
      <c r="G1827">
        <f>+'[1]VENTAS(RESUMEN GLOBAL)'!D1827-'[1]VENTAS(RESUMEN GLOBAL)'!E1827</f>
        <v>0</v>
      </c>
      <c r="H1827" s="9">
        <f>+'[1]VENTAS(RESUMEN GLOBAL)'!K1827</f>
        <v>0</v>
      </c>
      <c r="I1827" s="8">
        <f>+G1827*'[1]VENTAS(RESUMEN GLOBAL)'!F1827</f>
        <v>0</v>
      </c>
      <c r="J1827" s="8">
        <f>'[1]VENTAS(RESUMEN GLOBAL)'!G1827*(1-'[1]VENTAS(RESUMEN GLOBAL)'!H1827)</f>
        <v>0</v>
      </c>
      <c r="K1827" s="8">
        <f t="shared" si="28"/>
        <v>0</v>
      </c>
      <c r="L1827" s="8">
        <f>+'[1]VENTAS(RESUMEN GLOBAL)'!J1827</f>
        <v>0</v>
      </c>
      <c r="M1827" s="8">
        <f>+Tabla1[[#This Row],[utilidad x dia]]*7</f>
        <v>0</v>
      </c>
    </row>
    <row r="1828" spans="1:13" x14ac:dyDescent="0.3">
      <c r="A1828" s="6">
        <f>+'[1]VENTAS(RESUMEN GLOBAL)'!L1828</f>
        <v>0</v>
      </c>
      <c r="B1828" s="6">
        <f>+'[1]VENTAS(RESUMEN GLOBAL)'!M1828</f>
        <v>0</v>
      </c>
      <c r="C1828">
        <f>+'[1]VENTAS(RESUMEN GLOBAL)'!B1828</f>
        <v>0</v>
      </c>
      <c r="D1828" t="e">
        <f>INDEX('[1]CÓDIGOS DE PRODUCTO'!$D$3:$D$1000,MATCH(C1828,'[1]CÓDIGOS DE PRODUCTO'!$A$3:$A$1000,0))</f>
        <v>#N/A</v>
      </c>
      <c r="E1828">
        <f>VLOOKUP(C1828,'[1]CÓDIGOS DE PRODUCTO'!$A$4:$B$156,2,FALSE)</f>
        <v>0</v>
      </c>
      <c r="F1828">
        <f>INDEX('[1]CÓDIGOS DE PRODUCTO'!$C$3:$C$1000,MATCH(C1828,'[1]CÓDIGOS DE PRODUCTO'!$A$3:$A$1000,0))</f>
        <v>0</v>
      </c>
      <c r="G1828">
        <f>+'[1]VENTAS(RESUMEN GLOBAL)'!D1828-'[1]VENTAS(RESUMEN GLOBAL)'!E1828</f>
        <v>0</v>
      </c>
      <c r="H1828" s="9">
        <f>+'[1]VENTAS(RESUMEN GLOBAL)'!K1828</f>
        <v>0</v>
      </c>
      <c r="I1828" s="8">
        <f>+G1828*'[1]VENTAS(RESUMEN GLOBAL)'!F1828</f>
        <v>0</v>
      </c>
      <c r="J1828" s="8">
        <f>'[1]VENTAS(RESUMEN GLOBAL)'!G1828*(1-'[1]VENTAS(RESUMEN GLOBAL)'!H1828)</f>
        <v>0</v>
      </c>
      <c r="K1828" s="8">
        <f t="shared" si="28"/>
        <v>0</v>
      </c>
      <c r="L1828" s="8">
        <f>+'[1]VENTAS(RESUMEN GLOBAL)'!J1828</f>
        <v>0</v>
      </c>
      <c r="M1828" s="8">
        <f>+Tabla1[[#This Row],[utilidad x dia]]*7</f>
        <v>0</v>
      </c>
    </row>
    <row r="1829" spans="1:13" x14ac:dyDescent="0.3">
      <c r="A1829" s="6">
        <f>+'[1]VENTAS(RESUMEN GLOBAL)'!L1829</f>
        <v>0</v>
      </c>
      <c r="B1829" s="6">
        <f>+'[1]VENTAS(RESUMEN GLOBAL)'!M1829</f>
        <v>0</v>
      </c>
      <c r="C1829">
        <f>+'[1]VENTAS(RESUMEN GLOBAL)'!B1829</f>
        <v>0</v>
      </c>
      <c r="D1829" t="e">
        <f>INDEX('[1]CÓDIGOS DE PRODUCTO'!$D$3:$D$1000,MATCH(C1829,'[1]CÓDIGOS DE PRODUCTO'!$A$3:$A$1000,0))</f>
        <v>#N/A</v>
      </c>
      <c r="E1829">
        <f>VLOOKUP(C1829,'[1]CÓDIGOS DE PRODUCTO'!$A$4:$B$156,2,FALSE)</f>
        <v>0</v>
      </c>
      <c r="F1829">
        <f>INDEX('[1]CÓDIGOS DE PRODUCTO'!$C$3:$C$1000,MATCH(C1829,'[1]CÓDIGOS DE PRODUCTO'!$A$3:$A$1000,0))</f>
        <v>0</v>
      </c>
      <c r="G1829">
        <f>+'[1]VENTAS(RESUMEN GLOBAL)'!D1829-'[1]VENTAS(RESUMEN GLOBAL)'!E1829</f>
        <v>0</v>
      </c>
      <c r="H1829" s="9">
        <f>+'[1]VENTAS(RESUMEN GLOBAL)'!K1829</f>
        <v>0</v>
      </c>
      <c r="I1829" s="8">
        <f>+G1829*'[1]VENTAS(RESUMEN GLOBAL)'!F1829</f>
        <v>0</v>
      </c>
      <c r="J1829" s="8">
        <f>'[1]VENTAS(RESUMEN GLOBAL)'!G1829*(1-'[1]VENTAS(RESUMEN GLOBAL)'!H1829)</f>
        <v>0</v>
      </c>
      <c r="K1829" s="8">
        <f t="shared" si="28"/>
        <v>0</v>
      </c>
      <c r="L1829" s="8">
        <f>+'[1]VENTAS(RESUMEN GLOBAL)'!J1829</f>
        <v>0</v>
      </c>
      <c r="M1829" s="8">
        <f>+Tabla1[[#This Row],[utilidad x dia]]*7</f>
        <v>0</v>
      </c>
    </row>
    <row r="1830" spans="1:13" x14ac:dyDescent="0.3">
      <c r="A1830" s="6">
        <f>+'[1]VENTAS(RESUMEN GLOBAL)'!L1830</f>
        <v>0</v>
      </c>
      <c r="B1830" s="6">
        <f>+'[1]VENTAS(RESUMEN GLOBAL)'!M1830</f>
        <v>0</v>
      </c>
      <c r="C1830">
        <f>+'[1]VENTAS(RESUMEN GLOBAL)'!B1830</f>
        <v>0</v>
      </c>
      <c r="D1830" t="e">
        <f>INDEX('[1]CÓDIGOS DE PRODUCTO'!$D$3:$D$1000,MATCH(C1830,'[1]CÓDIGOS DE PRODUCTO'!$A$3:$A$1000,0))</f>
        <v>#N/A</v>
      </c>
      <c r="E1830">
        <f>VLOOKUP(C1830,'[1]CÓDIGOS DE PRODUCTO'!$A$4:$B$156,2,FALSE)</f>
        <v>0</v>
      </c>
      <c r="F1830">
        <f>INDEX('[1]CÓDIGOS DE PRODUCTO'!$C$3:$C$1000,MATCH(C1830,'[1]CÓDIGOS DE PRODUCTO'!$A$3:$A$1000,0))</f>
        <v>0</v>
      </c>
      <c r="G1830">
        <f>+'[1]VENTAS(RESUMEN GLOBAL)'!D1830-'[1]VENTAS(RESUMEN GLOBAL)'!E1830</f>
        <v>0</v>
      </c>
      <c r="H1830" s="9">
        <f>+'[1]VENTAS(RESUMEN GLOBAL)'!K1830</f>
        <v>0</v>
      </c>
      <c r="I1830" s="8">
        <f>+G1830*'[1]VENTAS(RESUMEN GLOBAL)'!F1830</f>
        <v>0</v>
      </c>
      <c r="J1830" s="8">
        <f>'[1]VENTAS(RESUMEN GLOBAL)'!G1830*(1-'[1]VENTAS(RESUMEN GLOBAL)'!H1830)</f>
        <v>0</v>
      </c>
      <c r="K1830" s="8">
        <f t="shared" si="28"/>
        <v>0</v>
      </c>
      <c r="L1830" s="8">
        <f>+'[1]VENTAS(RESUMEN GLOBAL)'!J1830</f>
        <v>0</v>
      </c>
      <c r="M1830" s="8">
        <f>+Tabla1[[#This Row],[utilidad x dia]]*7</f>
        <v>0</v>
      </c>
    </row>
    <row r="1831" spans="1:13" x14ac:dyDescent="0.3">
      <c r="A1831" s="6">
        <f>+'[1]VENTAS(RESUMEN GLOBAL)'!L1831</f>
        <v>0</v>
      </c>
      <c r="B1831" s="6">
        <f>+'[1]VENTAS(RESUMEN GLOBAL)'!M1831</f>
        <v>0</v>
      </c>
      <c r="C1831">
        <f>+'[1]VENTAS(RESUMEN GLOBAL)'!B1831</f>
        <v>0</v>
      </c>
      <c r="D1831" t="e">
        <f>INDEX('[1]CÓDIGOS DE PRODUCTO'!$D$3:$D$1000,MATCH(C1831,'[1]CÓDIGOS DE PRODUCTO'!$A$3:$A$1000,0))</f>
        <v>#N/A</v>
      </c>
      <c r="E1831">
        <f>VLOOKUP(C1831,'[1]CÓDIGOS DE PRODUCTO'!$A$4:$B$156,2,FALSE)</f>
        <v>0</v>
      </c>
      <c r="F1831">
        <f>INDEX('[1]CÓDIGOS DE PRODUCTO'!$C$3:$C$1000,MATCH(C1831,'[1]CÓDIGOS DE PRODUCTO'!$A$3:$A$1000,0))</f>
        <v>0</v>
      </c>
      <c r="G1831">
        <f>+'[1]VENTAS(RESUMEN GLOBAL)'!D1831-'[1]VENTAS(RESUMEN GLOBAL)'!E1831</f>
        <v>0</v>
      </c>
      <c r="H1831" s="9">
        <f>+'[1]VENTAS(RESUMEN GLOBAL)'!K1831</f>
        <v>0</v>
      </c>
      <c r="I1831" s="8">
        <f>+G1831*'[1]VENTAS(RESUMEN GLOBAL)'!F1831</f>
        <v>0</v>
      </c>
      <c r="J1831" s="8">
        <f>'[1]VENTAS(RESUMEN GLOBAL)'!G1831*(1-'[1]VENTAS(RESUMEN GLOBAL)'!H1831)</f>
        <v>0</v>
      </c>
      <c r="K1831" s="8">
        <f t="shared" si="28"/>
        <v>0</v>
      </c>
      <c r="L1831" s="8">
        <f>+'[1]VENTAS(RESUMEN GLOBAL)'!J1831</f>
        <v>0</v>
      </c>
      <c r="M1831" s="8">
        <f>+Tabla1[[#This Row],[utilidad x dia]]*7</f>
        <v>0</v>
      </c>
    </row>
    <row r="1832" spans="1:13" x14ac:dyDescent="0.3">
      <c r="A1832" s="6">
        <f>+'[1]VENTAS(RESUMEN GLOBAL)'!L1832</f>
        <v>0</v>
      </c>
      <c r="B1832" s="6">
        <f>+'[1]VENTAS(RESUMEN GLOBAL)'!M1832</f>
        <v>0</v>
      </c>
      <c r="C1832">
        <f>+'[1]VENTAS(RESUMEN GLOBAL)'!B1832</f>
        <v>0</v>
      </c>
      <c r="D1832" t="e">
        <f>INDEX('[1]CÓDIGOS DE PRODUCTO'!$D$3:$D$1000,MATCH(C1832,'[1]CÓDIGOS DE PRODUCTO'!$A$3:$A$1000,0))</f>
        <v>#N/A</v>
      </c>
      <c r="E1832">
        <f>VLOOKUP(C1832,'[1]CÓDIGOS DE PRODUCTO'!$A$4:$B$156,2,FALSE)</f>
        <v>0</v>
      </c>
      <c r="F1832">
        <f>INDEX('[1]CÓDIGOS DE PRODUCTO'!$C$3:$C$1000,MATCH(C1832,'[1]CÓDIGOS DE PRODUCTO'!$A$3:$A$1000,0))</f>
        <v>0</v>
      </c>
      <c r="G1832">
        <f>+'[1]VENTAS(RESUMEN GLOBAL)'!D1832-'[1]VENTAS(RESUMEN GLOBAL)'!E1832</f>
        <v>0</v>
      </c>
      <c r="H1832" s="9">
        <f>+'[1]VENTAS(RESUMEN GLOBAL)'!K1832</f>
        <v>0</v>
      </c>
      <c r="I1832" s="8">
        <f>+G1832*'[1]VENTAS(RESUMEN GLOBAL)'!F1832</f>
        <v>0</v>
      </c>
      <c r="J1832" s="8">
        <f>'[1]VENTAS(RESUMEN GLOBAL)'!G1832*(1-'[1]VENTAS(RESUMEN GLOBAL)'!H1832)</f>
        <v>0</v>
      </c>
      <c r="K1832" s="8">
        <f t="shared" si="28"/>
        <v>0</v>
      </c>
      <c r="L1832" s="8">
        <f>+'[1]VENTAS(RESUMEN GLOBAL)'!J1832</f>
        <v>0</v>
      </c>
      <c r="M1832" s="8">
        <f>+Tabla1[[#This Row],[utilidad x dia]]*7</f>
        <v>0</v>
      </c>
    </row>
    <row r="1833" spans="1:13" x14ac:dyDescent="0.3">
      <c r="A1833" s="6">
        <f>+'[1]VENTAS(RESUMEN GLOBAL)'!L1833</f>
        <v>0</v>
      </c>
      <c r="B1833" s="6">
        <f>+'[1]VENTAS(RESUMEN GLOBAL)'!M1833</f>
        <v>0</v>
      </c>
      <c r="C1833">
        <f>+'[1]VENTAS(RESUMEN GLOBAL)'!B1833</f>
        <v>0</v>
      </c>
      <c r="D1833" t="e">
        <f>INDEX('[1]CÓDIGOS DE PRODUCTO'!$D$3:$D$1000,MATCH(C1833,'[1]CÓDIGOS DE PRODUCTO'!$A$3:$A$1000,0))</f>
        <v>#N/A</v>
      </c>
      <c r="E1833">
        <f>VLOOKUP(C1833,'[1]CÓDIGOS DE PRODUCTO'!$A$4:$B$156,2,FALSE)</f>
        <v>0</v>
      </c>
      <c r="F1833">
        <f>INDEX('[1]CÓDIGOS DE PRODUCTO'!$C$3:$C$1000,MATCH(C1833,'[1]CÓDIGOS DE PRODUCTO'!$A$3:$A$1000,0))</f>
        <v>0</v>
      </c>
      <c r="G1833">
        <f>+'[1]VENTAS(RESUMEN GLOBAL)'!D1833-'[1]VENTAS(RESUMEN GLOBAL)'!E1833</f>
        <v>0</v>
      </c>
      <c r="H1833" s="9">
        <f>+'[1]VENTAS(RESUMEN GLOBAL)'!K1833</f>
        <v>0</v>
      </c>
      <c r="I1833" s="8">
        <f>+G1833*'[1]VENTAS(RESUMEN GLOBAL)'!F1833</f>
        <v>0</v>
      </c>
      <c r="J1833" s="8">
        <f>'[1]VENTAS(RESUMEN GLOBAL)'!G1833*(1-'[1]VENTAS(RESUMEN GLOBAL)'!H1833)</f>
        <v>0</v>
      </c>
      <c r="K1833" s="8">
        <f t="shared" si="28"/>
        <v>0</v>
      </c>
      <c r="L1833" s="8">
        <f>+'[1]VENTAS(RESUMEN GLOBAL)'!J1833</f>
        <v>0</v>
      </c>
      <c r="M1833" s="8">
        <f>+Tabla1[[#This Row],[utilidad x dia]]*7</f>
        <v>0</v>
      </c>
    </row>
    <row r="1834" spans="1:13" x14ac:dyDescent="0.3">
      <c r="A1834" s="6">
        <f>+'[1]VENTAS(RESUMEN GLOBAL)'!L1834</f>
        <v>0</v>
      </c>
      <c r="B1834" s="6">
        <f>+'[1]VENTAS(RESUMEN GLOBAL)'!M1834</f>
        <v>0</v>
      </c>
      <c r="C1834">
        <f>+'[1]VENTAS(RESUMEN GLOBAL)'!B1834</f>
        <v>0</v>
      </c>
      <c r="D1834" t="e">
        <f>INDEX('[1]CÓDIGOS DE PRODUCTO'!$D$3:$D$1000,MATCH(C1834,'[1]CÓDIGOS DE PRODUCTO'!$A$3:$A$1000,0))</f>
        <v>#N/A</v>
      </c>
      <c r="E1834">
        <f>VLOOKUP(C1834,'[1]CÓDIGOS DE PRODUCTO'!$A$4:$B$156,2,FALSE)</f>
        <v>0</v>
      </c>
      <c r="F1834">
        <f>INDEX('[1]CÓDIGOS DE PRODUCTO'!$C$3:$C$1000,MATCH(C1834,'[1]CÓDIGOS DE PRODUCTO'!$A$3:$A$1000,0))</f>
        <v>0</v>
      </c>
      <c r="G1834">
        <f>+'[1]VENTAS(RESUMEN GLOBAL)'!D1834-'[1]VENTAS(RESUMEN GLOBAL)'!E1834</f>
        <v>0</v>
      </c>
      <c r="H1834" s="9">
        <f>+'[1]VENTAS(RESUMEN GLOBAL)'!K1834</f>
        <v>0</v>
      </c>
      <c r="I1834" s="8">
        <f>+G1834*'[1]VENTAS(RESUMEN GLOBAL)'!F1834</f>
        <v>0</v>
      </c>
      <c r="J1834" s="8">
        <f>'[1]VENTAS(RESUMEN GLOBAL)'!G1834*(1-'[1]VENTAS(RESUMEN GLOBAL)'!H1834)</f>
        <v>0</v>
      </c>
      <c r="K1834" s="8">
        <f t="shared" si="28"/>
        <v>0</v>
      </c>
      <c r="L1834" s="8">
        <f>+'[1]VENTAS(RESUMEN GLOBAL)'!J1834</f>
        <v>0</v>
      </c>
      <c r="M1834" s="8">
        <f>+Tabla1[[#This Row],[utilidad x dia]]*7</f>
        <v>0</v>
      </c>
    </row>
    <row r="1835" spans="1:13" x14ac:dyDescent="0.3">
      <c r="A1835" s="6">
        <f>+'[1]VENTAS(RESUMEN GLOBAL)'!L1835</f>
        <v>0</v>
      </c>
      <c r="B1835" s="6">
        <f>+'[1]VENTAS(RESUMEN GLOBAL)'!M1835</f>
        <v>0</v>
      </c>
      <c r="C1835">
        <f>+'[1]VENTAS(RESUMEN GLOBAL)'!B1835</f>
        <v>0</v>
      </c>
      <c r="D1835" t="e">
        <f>INDEX('[1]CÓDIGOS DE PRODUCTO'!$D$3:$D$1000,MATCH(C1835,'[1]CÓDIGOS DE PRODUCTO'!$A$3:$A$1000,0))</f>
        <v>#N/A</v>
      </c>
      <c r="E1835">
        <f>VLOOKUP(C1835,'[1]CÓDIGOS DE PRODUCTO'!$A$4:$B$156,2,FALSE)</f>
        <v>0</v>
      </c>
      <c r="F1835">
        <f>INDEX('[1]CÓDIGOS DE PRODUCTO'!$C$3:$C$1000,MATCH(C1835,'[1]CÓDIGOS DE PRODUCTO'!$A$3:$A$1000,0))</f>
        <v>0</v>
      </c>
      <c r="G1835">
        <f>+'[1]VENTAS(RESUMEN GLOBAL)'!D1835-'[1]VENTAS(RESUMEN GLOBAL)'!E1835</f>
        <v>0</v>
      </c>
      <c r="H1835" s="9">
        <f>+'[1]VENTAS(RESUMEN GLOBAL)'!K1835</f>
        <v>0</v>
      </c>
      <c r="I1835" s="8">
        <f>+G1835*'[1]VENTAS(RESUMEN GLOBAL)'!F1835</f>
        <v>0</v>
      </c>
      <c r="J1835" s="8">
        <f>'[1]VENTAS(RESUMEN GLOBAL)'!G1835*(1-'[1]VENTAS(RESUMEN GLOBAL)'!H1835)</f>
        <v>0</v>
      </c>
      <c r="K1835" s="8">
        <f t="shared" si="28"/>
        <v>0</v>
      </c>
      <c r="L1835" s="8">
        <f>+'[1]VENTAS(RESUMEN GLOBAL)'!J1835</f>
        <v>0</v>
      </c>
      <c r="M1835" s="8">
        <f>+Tabla1[[#This Row],[utilidad x dia]]*7</f>
        <v>0</v>
      </c>
    </row>
    <row r="1836" spans="1:13" x14ac:dyDescent="0.3">
      <c r="A1836" s="6">
        <f>+'[1]VENTAS(RESUMEN GLOBAL)'!L1836</f>
        <v>0</v>
      </c>
      <c r="B1836" s="6">
        <f>+'[1]VENTAS(RESUMEN GLOBAL)'!M1836</f>
        <v>0</v>
      </c>
      <c r="C1836">
        <f>+'[1]VENTAS(RESUMEN GLOBAL)'!B1836</f>
        <v>0</v>
      </c>
      <c r="D1836" t="e">
        <f>INDEX('[1]CÓDIGOS DE PRODUCTO'!$D$3:$D$1000,MATCH(C1836,'[1]CÓDIGOS DE PRODUCTO'!$A$3:$A$1000,0))</f>
        <v>#N/A</v>
      </c>
      <c r="E1836">
        <f>VLOOKUP(C1836,'[1]CÓDIGOS DE PRODUCTO'!$A$4:$B$156,2,FALSE)</f>
        <v>0</v>
      </c>
      <c r="F1836">
        <f>INDEX('[1]CÓDIGOS DE PRODUCTO'!$C$3:$C$1000,MATCH(C1836,'[1]CÓDIGOS DE PRODUCTO'!$A$3:$A$1000,0))</f>
        <v>0</v>
      </c>
      <c r="G1836">
        <f>+'[1]VENTAS(RESUMEN GLOBAL)'!D1836-'[1]VENTAS(RESUMEN GLOBAL)'!E1836</f>
        <v>0</v>
      </c>
      <c r="H1836" s="9">
        <f>+'[1]VENTAS(RESUMEN GLOBAL)'!K1836</f>
        <v>0</v>
      </c>
      <c r="I1836" s="8">
        <f>+G1836*'[1]VENTAS(RESUMEN GLOBAL)'!F1836</f>
        <v>0</v>
      </c>
      <c r="J1836" s="8">
        <f>'[1]VENTAS(RESUMEN GLOBAL)'!G1836*(1-'[1]VENTAS(RESUMEN GLOBAL)'!H1836)</f>
        <v>0</v>
      </c>
      <c r="K1836" s="8">
        <f t="shared" si="28"/>
        <v>0</v>
      </c>
      <c r="L1836" s="8">
        <f>+'[1]VENTAS(RESUMEN GLOBAL)'!J1836</f>
        <v>0</v>
      </c>
      <c r="M1836" s="8">
        <f>+Tabla1[[#This Row],[utilidad x dia]]*7</f>
        <v>0</v>
      </c>
    </row>
    <row r="1837" spans="1:13" x14ac:dyDescent="0.3">
      <c r="A1837" s="6">
        <f>+'[1]VENTAS(RESUMEN GLOBAL)'!L1837</f>
        <v>0</v>
      </c>
      <c r="B1837" s="6">
        <f>+'[1]VENTAS(RESUMEN GLOBAL)'!M1837</f>
        <v>0</v>
      </c>
      <c r="C1837">
        <f>+'[1]VENTAS(RESUMEN GLOBAL)'!B1837</f>
        <v>0</v>
      </c>
      <c r="D1837" t="e">
        <f>INDEX('[1]CÓDIGOS DE PRODUCTO'!$D$3:$D$1000,MATCH(C1837,'[1]CÓDIGOS DE PRODUCTO'!$A$3:$A$1000,0))</f>
        <v>#N/A</v>
      </c>
      <c r="E1837">
        <f>VLOOKUP(C1837,'[1]CÓDIGOS DE PRODUCTO'!$A$4:$B$156,2,FALSE)</f>
        <v>0</v>
      </c>
      <c r="F1837">
        <f>INDEX('[1]CÓDIGOS DE PRODUCTO'!$C$3:$C$1000,MATCH(C1837,'[1]CÓDIGOS DE PRODUCTO'!$A$3:$A$1000,0))</f>
        <v>0</v>
      </c>
      <c r="G1837">
        <f>+'[1]VENTAS(RESUMEN GLOBAL)'!D1837-'[1]VENTAS(RESUMEN GLOBAL)'!E1837</f>
        <v>0</v>
      </c>
      <c r="H1837" s="9">
        <f>+'[1]VENTAS(RESUMEN GLOBAL)'!K1837</f>
        <v>0</v>
      </c>
      <c r="I1837" s="8">
        <f>+G1837*'[1]VENTAS(RESUMEN GLOBAL)'!F1837</f>
        <v>0</v>
      </c>
      <c r="J1837" s="8">
        <f>'[1]VENTAS(RESUMEN GLOBAL)'!G1837*(1-'[1]VENTAS(RESUMEN GLOBAL)'!H1837)</f>
        <v>0</v>
      </c>
      <c r="K1837" s="8">
        <f t="shared" si="28"/>
        <v>0</v>
      </c>
      <c r="L1837" s="8">
        <f>+'[1]VENTAS(RESUMEN GLOBAL)'!J1837</f>
        <v>0</v>
      </c>
      <c r="M1837" s="8">
        <f>+Tabla1[[#This Row],[utilidad x dia]]*7</f>
        <v>0</v>
      </c>
    </row>
    <row r="1838" spans="1:13" x14ac:dyDescent="0.3">
      <c r="A1838" s="6">
        <f>+'[1]VENTAS(RESUMEN GLOBAL)'!L1838</f>
        <v>0</v>
      </c>
      <c r="B1838" s="6">
        <f>+'[1]VENTAS(RESUMEN GLOBAL)'!M1838</f>
        <v>0</v>
      </c>
      <c r="C1838">
        <f>+'[1]VENTAS(RESUMEN GLOBAL)'!B1838</f>
        <v>0</v>
      </c>
      <c r="D1838" t="e">
        <f>INDEX('[1]CÓDIGOS DE PRODUCTO'!$D$3:$D$1000,MATCH(C1838,'[1]CÓDIGOS DE PRODUCTO'!$A$3:$A$1000,0))</f>
        <v>#N/A</v>
      </c>
      <c r="E1838">
        <f>VLOOKUP(C1838,'[1]CÓDIGOS DE PRODUCTO'!$A$4:$B$156,2,FALSE)</f>
        <v>0</v>
      </c>
      <c r="F1838">
        <f>INDEX('[1]CÓDIGOS DE PRODUCTO'!$C$3:$C$1000,MATCH(C1838,'[1]CÓDIGOS DE PRODUCTO'!$A$3:$A$1000,0))</f>
        <v>0</v>
      </c>
      <c r="G1838">
        <f>+'[1]VENTAS(RESUMEN GLOBAL)'!D1838-'[1]VENTAS(RESUMEN GLOBAL)'!E1838</f>
        <v>0</v>
      </c>
      <c r="H1838" s="9">
        <f>+'[1]VENTAS(RESUMEN GLOBAL)'!K1838</f>
        <v>0</v>
      </c>
      <c r="I1838" s="8">
        <f>+G1838*'[1]VENTAS(RESUMEN GLOBAL)'!F1838</f>
        <v>0</v>
      </c>
      <c r="J1838" s="8">
        <f>'[1]VENTAS(RESUMEN GLOBAL)'!G1838*(1-'[1]VENTAS(RESUMEN GLOBAL)'!H1838)</f>
        <v>0</v>
      </c>
      <c r="K1838" s="8">
        <f t="shared" si="28"/>
        <v>0</v>
      </c>
      <c r="L1838" s="8">
        <f>+'[1]VENTAS(RESUMEN GLOBAL)'!J1838</f>
        <v>0</v>
      </c>
      <c r="M1838" s="8">
        <f>+Tabla1[[#This Row],[utilidad x dia]]*7</f>
        <v>0</v>
      </c>
    </row>
    <row r="1839" spans="1:13" x14ac:dyDescent="0.3">
      <c r="A1839" s="6">
        <f>+'[1]VENTAS(RESUMEN GLOBAL)'!L1839</f>
        <v>0</v>
      </c>
      <c r="B1839" s="6">
        <f>+'[1]VENTAS(RESUMEN GLOBAL)'!M1839</f>
        <v>0</v>
      </c>
      <c r="C1839">
        <f>+'[1]VENTAS(RESUMEN GLOBAL)'!B1839</f>
        <v>0</v>
      </c>
      <c r="D1839" t="e">
        <f>INDEX('[1]CÓDIGOS DE PRODUCTO'!$D$3:$D$1000,MATCH(C1839,'[1]CÓDIGOS DE PRODUCTO'!$A$3:$A$1000,0))</f>
        <v>#N/A</v>
      </c>
      <c r="E1839">
        <f>VLOOKUP(C1839,'[1]CÓDIGOS DE PRODUCTO'!$A$4:$B$156,2,FALSE)</f>
        <v>0</v>
      </c>
      <c r="F1839">
        <f>INDEX('[1]CÓDIGOS DE PRODUCTO'!$C$3:$C$1000,MATCH(C1839,'[1]CÓDIGOS DE PRODUCTO'!$A$3:$A$1000,0))</f>
        <v>0</v>
      </c>
      <c r="G1839">
        <f>+'[1]VENTAS(RESUMEN GLOBAL)'!D1839-'[1]VENTAS(RESUMEN GLOBAL)'!E1839</f>
        <v>0</v>
      </c>
      <c r="H1839" s="9">
        <f>+'[1]VENTAS(RESUMEN GLOBAL)'!K1839</f>
        <v>0</v>
      </c>
      <c r="I1839" s="8">
        <f>+G1839*'[1]VENTAS(RESUMEN GLOBAL)'!F1839</f>
        <v>0</v>
      </c>
      <c r="J1839" s="8">
        <f>'[1]VENTAS(RESUMEN GLOBAL)'!G1839*(1-'[1]VENTAS(RESUMEN GLOBAL)'!H1839)</f>
        <v>0</v>
      </c>
      <c r="K1839" s="8">
        <f t="shared" si="28"/>
        <v>0</v>
      </c>
      <c r="L1839" s="8">
        <f>+'[1]VENTAS(RESUMEN GLOBAL)'!J1839</f>
        <v>0</v>
      </c>
      <c r="M1839" s="8">
        <f>+Tabla1[[#This Row],[utilidad x dia]]*7</f>
        <v>0</v>
      </c>
    </row>
    <row r="1840" spans="1:13" x14ac:dyDescent="0.3">
      <c r="A1840" s="6">
        <f>+'[1]VENTAS(RESUMEN GLOBAL)'!L1840</f>
        <v>0</v>
      </c>
      <c r="B1840" s="6">
        <f>+'[1]VENTAS(RESUMEN GLOBAL)'!M1840</f>
        <v>0</v>
      </c>
      <c r="C1840">
        <f>+'[1]VENTAS(RESUMEN GLOBAL)'!B1840</f>
        <v>0</v>
      </c>
      <c r="D1840" t="e">
        <f>INDEX('[1]CÓDIGOS DE PRODUCTO'!$D$3:$D$1000,MATCH(C1840,'[1]CÓDIGOS DE PRODUCTO'!$A$3:$A$1000,0))</f>
        <v>#N/A</v>
      </c>
      <c r="E1840">
        <f>VLOOKUP(C1840,'[1]CÓDIGOS DE PRODUCTO'!$A$4:$B$156,2,FALSE)</f>
        <v>0</v>
      </c>
      <c r="F1840">
        <f>INDEX('[1]CÓDIGOS DE PRODUCTO'!$C$3:$C$1000,MATCH(C1840,'[1]CÓDIGOS DE PRODUCTO'!$A$3:$A$1000,0))</f>
        <v>0</v>
      </c>
      <c r="G1840">
        <f>+'[1]VENTAS(RESUMEN GLOBAL)'!D1840-'[1]VENTAS(RESUMEN GLOBAL)'!E1840</f>
        <v>0</v>
      </c>
      <c r="H1840" s="9">
        <f>+'[1]VENTAS(RESUMEN GLOBAL)'!K1840</f>
        <v>0</v>
      </c>
      <c r="I1840" s="8">
        <f>+G1840*'[1]VENTAS(RESUMEN GLOBAL)'!F1840</f>
        <v>0</v>
      </c>
      <c r="J1840" s="8">
        <f>'[1]VENTAS(RESUMEN GLOBAL)'!G1840*(1-'[1]VENTAS(RESUMEN GLOBAL)'!H1840)</f>
        <v>0</v>
      </c>
      <c r="K1840" s="8">
        <f t="shared" si="28"/>
        <v>0</v>
      </c>
      <c r="L1840" s="8">
        <f>+'[1]VENTAS(RESUMEN GLOBAL)'!J1840</f>
        <v>0</v>
      </c>
      <c r="M1840" s="8">
        <f>+Tabla1[[#This Row],[utilidad x dia]]*7</f>
        <v>0</v>
      </c>
    </row>
    <row r="1841" spans="1:13" x14ac:dyDescent="0.3">
      <c r="A1841" s="6">
        <f>+'[1]VENTAS(RESUMEN GLOBAL)'!L1841</f>
        <v>0</v>
      </c>
      <c r="B1841" s="6">
        <f>+'[1]VENTAS(RESUMEN GLOBAL)'!M1841</f>
        <v>0</v>
      </c>
      <c r="C1841">
        <f>+'[1]VENTAS(RESUMEN GLOBAL)'!B1841</f>
        <v>0</v>
      </c>
      <c r="D1841" t="e">
        <f>INDEX('[1]CÓDIGOS DE PRODUCTO'!$D$3:$D$1000,MATCH(C1841,'[1]CÓDIGOS DE PRODUCTO'!$A$3:$A$1000,0))</f>
        <v>#N/A</v>
      </c>
      <c r="E1841">
        <f>VLOOKUP(C1841,'[1]CÓDIGOS DE PRODUCTO'!$A$4:$B$156,2,FALSE)</f>
        <v>0</v>
      </c>
      <c r="F1841">
        <f>INDEX('[1]CÓDIGOS DE PRODUCTO'!$C$3:$C$1000,MATCH(C1841,'[1]CÓDIGOS DE PRODUCTO'!$A$3:$A$1000,0))</f>
        <v>0</v>
      </c>
      <c r="G1841">
        <f>+'[1]VENTAS(RESUMEN GLOBAL)'!D1841-'[1]VENTAS(RESUMEN GLOBAL)'!E1841</f>
        <v>0</v>
      </c>
      <c r="H1841" s="9">
        <f>+'[1]VENTAS(RESUMEN GLOBAL)'!K1841</f>
        <v>0</v>
      </c>
      <c r="I1841" s="8">
        <f>+G1841*'[1]VENTAS(RESUMEN GLOBAL)'!F1841</f>
        <v>0</v>
      </c>
      <c r="J1841" s="8">
        <f>'[1]VENTAS(RESUMEN GLOBAL)'!G1841*(1-'[1]VENTAS(RESUMEN GLOBAL)'!H1841)</f>
        <v>0</v>
      </c>
      <c r="K1841" s="8">
        <f t="shared" si="28"/>
        <v>0</v>
      </c>
      <c r="L1841" s="8">
        <f>+'[1]VENTAS(RESUMEN GLOBAL)'!J1841</f>
        <v>0</v>
      </c>
      <c r="M1841" s="8">
        <f>+Tabla1[[#This Row],[utilidad x dia]]*7</f>
        <v>0</v>
      </c>
    </row>
    <row r="1842" spans="1:13" x14ac:dyDescent="0.3">
      <c r="A1842" s="6">
        <f>+'[1]VENTAS(RESUMEN GLOBAL)'!L1842</f>
        <v>0</v>
      </c>
      <c r="B1842" s="6">
        <f>+'[1]VENTAS(RESUMEN GLOBAL)'!M1842</f>
        <v>0</v>
      </c>
      <c r="C1842">
        <f>+'[1]VENTAS(RESUMEN GLOBAL)'!B1842</f>
        <v>0</v>
      </c>
      <c r="D1842" t="e">
        <f>INDEX('[1]CÓDIGOS DE PRODUCTO'!$D$3:$D$1000,MATCH(C1842,'[1]CÓDIGOS DE PRODUCTO'!$A$3:$A$1000,0))</f>
        <v>#N/A</v>
      </c>
      <c r="E1842">
        <f>VLOOKUP(C1842,'[1]CÓDIGOS DE PRODUCTO'!$A$4:$B$156,2,FALSE)</f>
        <v>0</v>
      </c>
      <c r="F1842">
        <f>INDEX('[1]CÓDIGOS DE PRODUCTO'!$C$3:$C$1000,MATCH(C1842,'[1]CÓDIGOS DE PRODUCTO'!$A$3:$A$1000,0))</f>
        <v>0</v>
      </c>
      <c r="G1842">
        <f>+'[1]VENTAS(RESUMEN GLOBAL)'!D1842-'[1]VENTAS(RESUMEN GLOBAL)'!E1842</f>
        <v>0</v>
      </c>
      <c r="H1842" s="9">
        <f>+'[1]VENTAS(RESUMEN GLOBAL)'!K1842</f>
        <v>0</v>
      </c>
      <c r="I1842" s="8">
        <f>+G1842*'[1]VENTAS(RESUMEN GLOBAL)'!F1842</f>
        <v>0</v>
      </c>
      <c r="J1842" s="8">
        <f>'[1]VENTAS(RESUMEN GLOBAL)'!G1842*(1-'[1]VENTAS(RESUMEN GLOBAL)'!H1842)</f>
        <v>0</v>
      </c>
      <c r="K1842" s="8">
        <f t="shared" si="28"/>
        <v>0</v>
      </c>
      <c r="L1842" s="8">
        <f>+'[1]VENTAS(RESUMEN GLOBAL)'!J1842</f>
        <v>0</v>
      </c>
      <c r="M1842" s="8">
        <f>+Tabla1[[#This Row],[utilidad x dia]]*7</f>
        <v>0</v>
      </c>
    </row>
    <row r="1843" spans="1:13" x14ac:dyDescent="0.3">
      <c r="A1843" s="6">
        <f>+'[1]VENTAS(RESUMEN GLOBAL)'!L1843</f>
        <v>0</v>
      </c>
      <c r="B1843" s="6">
        <f>+'[1]VENTAS(RESUMEN GLOBAL)'!M1843</f>
        <v>0</v>
      </c>
      <c r="C1843">
        <f>+'[1]VENTAS(RESUMEN GLOBAL)'!B1843</f>
        <v>0</v>
      </c>
      <c r="D1843" t="e">
        <f>INDEX('[1]CÓDIGOS DE PRODUCTO'!$D$3:$D$1000,MATCH(C1843,'[1]CÓDIGOS DE PRODUCTO'!$A$3:$A$1000,0))</f>
        <v>#N/A</v>
      </c>
      <c r="E1843">
        <f>VLOOKUP(C1843,'[1]CÓDIGOS DE PRODUCTO'!$A$4:$B$156,2,FALSE)</f>
        <v>0</v>
      </c>
      <c r="F1843">
        <f>INDEX('[1]CÓDIGOS DE PRODUCTO'!$C$3:$C$1000,MATCH(C1843,'[1]CÓDIGOS DE PRODUCTO'!$A$3:$A$1000,0))</f>
        <v>0</v>
      </c>
      <c r="G1843">
        <f>+'[1]VENTAS(RESUMEN GLOBAL)'!D1843-'[1]VENTAS(RESUMEN GLOBAL)'!E1843</f>
        <v>0</v>
      </c>
      <c r="H1843" s="9">
        <f>+'[1]VENTAS(RESUMEN GLOBAL)'!K1843</f>
        <v>0</v>
      </c>
      <c r="I1843" s="8">
        <f>+G1843*'[1]VENTAS(RESUMEN GLOBAL)'!F1843</f>
        <v>0</v>
      </c>
      <c r="J1843" s="8">
        <f>'[1]VENTAS(RESUMEN GLOBAL)'!G1843*(1-'[1]VENTAS(RESUMEN GLOBAL)'!H1843)</f>
        <v>0</v>
      </c>
      <c r="K1843" s="8">
        <f t="shared" si="28"/>
        <v>0</v>
      </c>
      <c r="L1843" s="8">
        <f>+'[1]VENTAS(RESUMEN GLOBAL)'!J1843</f>
        <v>0</v>
      </c>
      <c r="M1843" s="8">
        <f>+Tabla1[[#This Row],[utilidad x dia]]*7</f>
        <v>0</v>
      </c>
    </row>
    <row r="1844" spans="1:13" x14ac:dyDescent="0.3">
      <c r="A1844" s="6">
        <f>+'[1]VENTAS(RESUMEN GLOBAL)'!L1844</f>
        <v>0</v>
      </c>
      <c r="B1844" s="6">
        <f>+'[1]VENTAS(RESUMEN GLOBAL)'!M1844</f>
        <v>0</v>
      </c>
      <c r="C1844">
        <f>+'[1]VENTAS(RESUMEN GLOBAL)'!B1844</f>
        <v>0</v>
      </c>
      <c r="D1844" t="e">
        <f>INDEX('[1]CÓDIGOS DE PRODUCTO'!$D$3:$D$1000,MATCH(C1844,'[1]CÓDIGOS DE PRODUCTO'!$A$3:$A$1000,0))</f>
        <v>#N/A</v>
      </c>
      <c r="E1844">
        <f>VLOOKUP(C1844,'[1]CÓDIGOS DE PRODUCTO'!$A$4:$B$156,2,FALSE)</f>
        <v>0</v>
      </c>
      <c r="F1844">
        <f>INDEX('[1]CÓDIGOS DE PRODUCTO'!$C$3:$C$1000,MATCH(C1844,'[1]CÓDIGOS DE PRODUCTO'!$A$3:$A$1000,0))</f>
        <v>0</v>
      </c>
      <c r="G1844">
        <f>+'[1]VENTAS(RESUMEN GLOBAL)'!D1844-'[1]VENTAS(RESUMEN GLOBAL)'!E1844</f>
        <v>0</v>
      </c>
      <c r="H1844" s="9">
        <f>+'[1]VENTAS(RESUMEN GLOBAL)'!K1844</f>
        <v>0</v>
      </c>
      <c r="I1844" s="8">
        <f>+G1844*'[1]VENTAS(RESUMEN GLOBAL)'!F1844</f>
        <v>0</v>
      </c>
      <c r="J1844" s="8">
        <f>'[1]VENTAS(RESUMEN GLOBAL)'!G1844*(1-'[1]VENTAS(RESUMEN GLOBAL)'!H1844)</f>
        <v>0</v>
      </c>
      <c r="K1844" s="8">
        <f t="shared" si="28"/>
        <v>0</v>
      </c>
      <c r="L1844" s="8">
        <f>+'[1]VENTAS(RESUMEN GLOBAL)'!J1844</f>
        <v>0</v>
      </c>
      <c r="M1844" s="8">
        <f>+Tabla1[[#This Row],[utilidad x dia]]*7</f>
        <v>0</v>
      </c>
    </row>
    <row r="1845" spans="1:13" x14ac:dyDescent="0.3">
      <c r="A1845" s="6">
        <f>+'[1]VENTAS(RESUMEN GLOBAL)'!L1845</f>
        <v>0</v>
      </c>
      <c r="B1845" s="6">
        <f>+'[1]VENTAS(RESUMEN GLOBAL)'!M1845</f>
        <v>0</v>
      </c>
      <c r="C1845">
        <f>+'[1]VENTAS(RESUMEN GLOBAL)'!B1845</f>
        <v>0</v>
      </c>
      <c r="D1845" t="e">
        <f>INDEX('[1]CÓDIGOS DE PRODUCTO'!$D$3:$D$1000,MATCH(C1845,'[1]CÓDIGOS DE PRODUCTO'!$A$3:$A$1000,0))</f>
        <v>#N/A</v>
      </c>
      <c r="E1845">
        <f>VLOOKUP(C1845,'[1]CÓDIGOS DE PRODUCTO'!$A$4:$B$156,2,FALSE)</f>
        <v>0</v>
      </c>
      <c r="F1845">
        <f>INDEX('[1]CÓDIGOS DE PRODUCTO'!$C$3:$C$1000,MATCH(C1845,'[1]CÓDIGOS DE PRODUCTO'!$A$3:$A$1000,0))</f>
        <v>0</v>
      </c>
      <c r="G1845">
        <f>+'[1]VENTAS(RESUMEN GLOBAL)'!D1845-'[1]VENTAS(RESUMEN GLOBAL)'!E1845</f>
        <v>0</v>
      </c>
      <c r="H1845" s="9">
        <f>+'[1]VENTAS(RESUMEN GLOBAL)'!K1845</f>
        <v>0</v>
      </c>
      <c r="I1845" s="8">
        <f>+G1845*'[1]VENTAS(RESUMEN GLOBAL)'!F1845</f>
        <v>0</v>
      </c>
      <c r="J1845" s="8">
        <f>'[1]VENTAS(RESUMEN GLOBAL)'!G1845*(1-'[1]VENTAS(RESUMEN GLOBAL)'!H1845)</f>
        <v>0</v>
      </c>
      <c r="K1845" s="8">
        <f t="shared" si="28"/>
        <v>0</v>
      </c>
      <c r="L1845" s="8">
        <f>+'[1]VENTAS(RESUMEN GLOBAL)'!J1845</f>
        <v>0</v>
      </c>
      <c r="M1845" s="8">
        <f>+Tabla1[[#This Row],[utilidad x dia]]*7</f>
        <v>0</v>
      </c>
    </row>
    <row r="1846" spans="1:13" x14ac:dyDescent="0.3">
      <c r="A1846" s="6">
        <f>+'[1]VENTAS(RESUMEN GLOBAL)'!L1846</f>
        <v>0</v>
      </c>
      <c r="B1846" s="6">
        <f>+'[1]VENTAS(RESUMEN GLOBAL)'!M1846</f>
        <v>0</v>
      </c>
      <c r="C1846">
        <f>+'[1]VENTAS(RESUMEN GLOBAL)'!B1846</f>
        <v>0</v>
      </c>
      <c r="D1846" t="e">
        <f>INDEX('[1]CÓDIGOS DE PRODUCTO'!$D$3:$D$1000,MATCH(C1846,'[1]CÓDIGOS DE PRODUCTO'!$A$3:$A$1000,0))</f>
        <v>#N/A</v>
      </c>
      <c r="E1846">
        <f>VLOOKUP(C1846,'[1]CÓDIGOS DE PRODUCTO'!$A$4:$B$156,2,FALSE)</f>
        <v>0</v>
      </c>
      <c r="F1846">
        <f>INDEX('[1]CÓDIGOS DE PRODUCTO'!$C$3:$C$1000,MATCH(C1846,'[1]CÓDIGOS DE PRODUCTO'!$A$3:$A$1000,0))</f>
        <v>0</v>
      </c>
      <c r="G1846">
        <f>+'[1]VENTAS(RESUMEN GLOBAL)'!D1846-'[1]VENTAS(RESUMEN GLOBAL)'!E1846</f>
        <v>0</v>
      </c>
      <c r="H1846" s="9">
        <f>+'[1]VENTAS(RESUMEN GLOBAL)'!K1846</f>
        <v>0</v>
      </c>
      <c r="I1846" s="8">
        <f>+G1846*'[1]VENTAS(RESUMEN GLOBAL)'!F1846</f>
        <v>0</v>
      </c>
      <c r="J1846" s="8">
        <f>'[1]VENTAS(RESUMEN GLOBAL)'!G1846*(1-'[1]VENTAS(RESUMEN GLOBAL)'!H1846)</f>
        <v>0</v>
      </c>
      <c r="K1846" s="8">
        <f t="shared" si="28"/>
        <v>0</v>
      </c>
      <c r="L1846" s="8">
        <f>+'[1]VENTAS(RESUMEN GLOBAL)'!J1846</f>
        <v>0</v>
      </c>
      <c r="M1846" s="8">
        <f>+Tabla1[[#This Row],[utilidad x dia]]*7</f>
        <v>0</v>
      </c>
    </row>
    <row r="1847" spans="1:13" x14ac:dyDescent="0.3">
      <c r="A1847" s="6">
        <f>+'[1]VENTAS(RESUMEN GLOBAL)'!L1847</f>
        <v>0</v>
      </c>
      <c r="B1847" s="6">
        <f>+'[1]VENTAS(RESUMEN GLOBAL)'!M1847</f>
        <v>0</v>
      </c>
      <c r="C1847">
        <f>+'[1]VENTAS(RESUMEN GLOBAL)'!B1847</f>
        <v>0</v>
      </c>
      <c r="D1847" t="e">
        <f>INDEX('[1]CÓDIGOS DE PRODUCTO'!$D$3:$D$1000,MATCH(C1847,'[1]CÓDIGOS DE PRODUCTO'!$A$3:$A$1000,0))</f>
        <v>#N/A</v>
      </c>
      <c r="E1847">
        <f>VLOOKUP(C1847,'[1]CÓDIGOS DE PRODUCTO'!$A$4:$B$156,2,FALSE)</f>
        <v>0</v>
      </c>
      <c r="F1847">
        <f>INDEX('[1]CÓDIGOS DE PRODUCTO'!$C$3:$C$1000,MATCH(C1847,'[1]CÓDIGOS DE PRODUCTO'!$A$3:$A$1000,0))</f>
        <v>0</v>
      </c>
      <c r="G1847">
        <f>+'[1]VENTAS(RESUMEN GLOBAL)'!D1847-'[1]VENTAS(RESUMEN GLOBAL)'!E1847</f>
        <v>0</v>
      </c>
      <c r="H1847" s="9">
        <f>+'[1]VENTAS(RESUMEN GLOBAL)'!K1847</f>
        <v>0</v>
      </c>
      <c r="I1847" s="8">
        <f>+G1847*'[1]VENTAS(RESUMEN GLOBAL)'!F1847</f>
        <v>0</v>
      </c>
      <c r="J1847" s="8">
        <f>'[1]VENTAS(RESUMEN GLOBAL)'!G1847*(1-'[1]VENTAS(RESUMEN GLOBAL)'!H1847)</f>
        <v>0</v>
      </c>
      <c r="K1847" s="8">
        <f t="shared" si="28"/>
        <v>0</v>
      </c>
      <c r="L1847" s="8">
        <f>+'[1]VENTAS(RESUMEN GLOBAL)'!J1847</f>
        <v>0</v>
      </c>
      <c r="M1847" s="8">
        <f>+Tabla1[[#This Row],[utilidad x dia]]*7</f>
        <v>0</v>
      </c>
    </row>
    <row r="1848" spans="1:13" x14ac:dyDescent="0.3">
      <c r="A1848" s="6">
        <f>+'[1]VENTAS(RESUMEN GLOBAL)'!L1848</f>
        <v>0</v>
      </c>
      <c r="B1848" s="6">
        <f>+'[1]VENTAS(RESUMEN GLOBAL)'!M1848</f>
        <v>0</v>
      </c>
      <c r="C1848">
        <f>+'[1]VENTAS(RESUMEN GLOBAL)'!B1848</f>
        <v>0</v>
      </c>
      <c r="D1848" t="e">
        <f>INDEX('[1]CÓDIGOS DE PRODUCTO'!$D$3:$D$1000,MATCH(C1848,'[1]CÓDIGOS DE PRODUCTO'!$A$3:$A$1000,0))</f>
        <v>#N/A</v>
      </c>
      <c r="E1848">
        <f>VLOOKUP(C1848,'[1]CÓDIGOS DE PRODUCTO'!$A$4:$B$156,2,FALSE)</f>
        <v>0</v>
      </c>
      <c r="F1848">
        <f>INDEX('[1]CÓDIGOS DE PRODUCTO'!$C$3:$C$1000,MATCH(C1848,'[1]CÓDIGOS DE PRODUCTO'!$A$3:$A$1000,0))</f>
        <v>0</v>
      </c>
      <c r="G1848">
        <f>+'[1]VENTAS(RESUMEN GLOBAL)'!D1848-'[1]VENTAS(RESUMEN GLOBAL)'!E1848</f>
        <v>0</v>
      </c>
      <c r="H1848" s="9">
        <f>+'[1]VENTAS(RESUMEN GLOBAL)'!K1848</f>
        <v>0</v>
      </c>
      <c r="I1848" s="8">
        <f>+G1848*'[1]VENTAS(RESUMEN GLOBAL)'!F1848</f>
        <v>0</v>
      </c>
      <c r="J1848" s="8">
        <f>'[1]VENTAS(RESUMEN GLOBAL)'!G1848*(1-'[1]VENTAS(RESUMEN GLOBAL)'!H1848)</f>
        <v>0</v>
      </c>
      <c r="K1848" s="8">
        <f t="shared" si="28"/>
        <v>0</v>
      </c>
      <c r="L1848" s="8">
        <f>+'[1]VENTAS(RESUMEN GLOBAL)'!J1848</f>
        <v>0</v>
      </c>
      <c r="M1848" s="8">
        <f>+Tabla1[[#This Row],[utilidad x dia]]*7</f>
        <v>0</v>
      </c>
    </row>
    <row r="1849" spans="1:13" x14ac:dyDescent="0.3">
      <c r="A1849" s="6">
        <f>+'[1]VENTAS(RESUMEN GLOBAL)'!L1849</f>
        <v>0</v>
      </c>
      <c r="B1849" s="6">
        <f>+'[1]VENTAS(RESUMEN GLOBAL)'!M1849</f>
        <v>0</v>
      </c>
      <c r="C1849">
        <f>+'[1]VENTAS(RESUMEN GLOBAL)'!B1849</f>
        <v>0</v>
      </c>
      <c r="D1849" t="e">
        <f>INDEX('[1]CÓDIGOS DE PRODUCTO'!$D$3:$D$1000,MATCH(C1849,'[1]CÓDIGOS DE PRODUCTO'!$A$3:$A$1000,0))</f>
        <v>#N/A</v>
      </c>
      <c r="E1849">
        <f>VLOOKUP(C1849,'[1]CÓDIGOS DE PRODUCTO'!$A$4:$B$156,2,FALSE)</f>
        <v>0</v>
      </c>
      <c r="F1849">
        <f>INDEX('[1]CÓDIGOS DE PRODUCTO'!$C$3:$C$1000,MATCH(C1849,'[1]CÓDIGOS DE PRODUCTO'!$A$3:$A$1000,0))</f>
        <v>0</v>
      </c>
      <c r="G1849">
        <f>+'[1]VENTAS(RESUMEN GLOBAL)'!D1849-'[1]VENTAS(RESUMEN GLOBAL)'!E1849</f>
        <v>0</v>
      </c>
      <c r="H1849" s="9">
        <f>+'[1]VENTAS(RESUMEN GLOBAL)'!K1849</f>
        <v>0</v>
      </c>
      <c r="I1849" s="8">
        <f>+G1849*'[1]VENTAS(RESUMEN GLOBAL)'!F1849</f>
        <v>0</v>
      </c>
      <c r="J1849" s="8">
        <f>'[1]VENTAS(RESUMEN GLOBAL)'!G1849*(1-'[1]VENTAS(RESUMEN GLOBAL)'!H1849)</f>
        <v>0</v>
      </c>
      <c r="K1849" s="8">
        <f t="shared" si="28"/>
        <v>0</v>
      </c>
      <c r="L1849" s="8">
        <f>+'[1]VENTAS(RESUMEN GLOBAL)'!J1849</f>
        <v>0</v>
      </c>
      <c r="M1849" s="8">
        <f>+Tabla1[[#This Row],[utilidad x dia]]*7</f>
        <v>0</v>
      </c>
    </row>
    <row r="1850" spans="1:13" x14ac:dyDescent="0.3">
      <c r="A1850" s="6">
        <f>+'[1]VENTAS(RESUMEN GLOBAL)'!L1850</f>
        <v>0</v>
      </c>
      <c r="B1850" s="6">
        <f>+'[1]VENTAS(RESUMEN GLOBAL)'!M1850</f>
        <v>0</v>
      </c>
      <c r="C1850">
        <f>+'[1]VENTAS(RESUMEN GLOBAL)'!B1850</f>
        <v>0</v>
      </c>
      <c r="D1850" t="e">
        <f>INDEX('[1]CÓDIGOS DE PRODUCTO'!$D$3:$D$1000,MATCH(C1850,'[1]CÓDIGOS DE PRODUCTO'!$A$3:$A$1000,0))</f>
        <v>#N/A</v>
      </c>
      <c r="E1850">
        <f>VLOOKUP(C1850,'[1]CÓDIGOS DE PRODUCTO'!$A$4:$B$156,2,FALSE)</f>
        <v>0</v>
      </c>
      <c r="F1850">
        <f>INDEX('[1]CÓDIGOS DE PRODUCTO'!$C$3:$C$1000,MATCH(C1850,'[1]CÓDIGOS DE PRODUCTO'!$A$3:$A$1000,0))</f>
        <v>0</v>
      </c>
      <c r="G1850">
        <f>+'[1]VENTAS(RESUMEN GLOBAL)'!D1850-'[1]VENTAS(RESUMEN GLOBAL)'!E1850</f>
        <v>0</v>
      </c>
      <c r="H1850" s="9">
        <f>+'[1]VENTAS(RESUMEN GLOBAL)'!K1850</f>
        <v>0</v>
      </c>
      <c r="I1850" s="8">
        <f>+G1850*'[1]VENTAS(RESUMEN GLOBAL)'!F1850</f>
        <v>0</v>
      </c>
      <c r="J1850" s="8">
        <f>'[1]VENTAS(RESUMEN GLOBAL)'!G1850*(1-'[1]VENTAS(RESUMEN GLOBAL)'!H1850)</f>
        <v>0</v>
      </c>
      <c r="K1850" s="8">
        <f t="shared" si="28"/>
        <v>0</v>
      </c>
      <c r="L1850" s="8">
        <f>+'[1]VENTAS(RESUMEN GLOBAL)'!J1850</f>
        <v>0</v>
      </c>
      <c r="M1850" s="8">
        <f>+Tabla1[[#This Row],[utilidad x dia]]*7</f>
        <v>0</v>
      </c>
    </row>
    <row r="1851" spans="1:13" x14ac:dyDescent="0.3">
      <c r="A1851" s="6">
        <f>+'[1]VENTAS(RESUMEN GLOBAL)'!L1851</f>
        <v>0</v>
      </c>
      <c r="B1851" s="6">
        <f>+'[1]VENTAS(RESUMEN GLOBAL)'!M1851</f>
        <v>0</v>
      </c>
      <c r="C1851">
        <f>+'[1]VENTAS(RESUMEN GLOBAL)'!B1851</f>
        <v>0</v>
      </c>
      <c r="D1851" t="e">
        <f>INDEX('[1]CÓDIGOS DE PRODUCTO'!$D$3:$D$1000,MATCH(C1851,'[1]CÓDIGOS DE PRODUCTO'!$A$3:$A$1000,0))</f>
        <v>#N/A</v>
      </c>
      <c r="E1851">
        <f>VLOOKUP(C1851,'[1]CÓDIGOS DE PRODUCTO'!$A$4:$B$156,2,FALSE)</f>
        <v>0</v>
      </c>
      <c r="F1851">
        <f>INDEX('[1]CÓDIGOS DE PRODUCTO'!$C$3:$C$1000,MATCH(C1851,'[1]CÓDIGOS DE PRODUCTO'!$A$3:$A$1000,0))</f>
        <v>0</v>
      </c>
      <c r="G1851">
        <f>+'[1]VENTAS(RESUMEN GLOBAL)'!D1851-'[1]VENTAS(RESUMEN GLOBAL)'!E1851</f>
        <v>0</v>
      </c>
      <c r="H1851" s="9">
        <f>+'[1]VENTAS(RESUMEN GLOBAL)'!K1851</f>
        <v>0</v>
      </c>
      <c r="I1851" s="8">
        <f>+G1851*'[1]VENTAS(RESUMEN GLOBAL)'!F1851</f>
        <v>0</v>
      </c>
      <c r="J1851" s="8">
        <f>'[1]VENTAS(RESUMEN GLOBAL)'!G1851*(1-'[1]VENTAS(RESUMEN GLOBAL)'!H1851)</f>
        <v>0</v>
      </c>
      <c r="K1851" s="8">
        <f t="shared" si="28"/>
        <v>0</v>
      </c>
      <c r="L1851" s="8">
        <f>+'[1]VENTAS(RESUMEN GLOBAL)'!J1851</f>
        <v>0</v>
      </c>
      <c r="M1851" s="8">
        <f>+Tabla1[[#This Row],[utilidad x dia]]*7</f>
        <v>0</v>
      </c>
    </row>
    <row r="1852" spans="1:13" x14ac:dyDescent="0.3">
      <c r="A1852" s="6">
        <f>+'[1]VENTAS(RESUMEN GLOBAL)'!L1852</f>
        <v>0</v>
      </c>
      <c r="B1852" s="6">
        <f>+'[1]VENTAS(RESUMEN GLOBAL)'!M1852</f>
        <v>0</v>
      </c>
      <c r="C1852">
        <f>+'[1]VENTAS(RESUMEN GLOBAL)'!B1852</f>
        <v>0</v>
      </c>
      <c r="D1852" t="e">
        <f>INDEX('[1]CÓDIGOS DE PRODUCTO'!$D$3:$D$1000,MATCH(C1852,'[1]CÓDIGOS DE PRODUCTO'!$A$3:$A$1000,0))</f>
        <v>#N/A</v>
      </c>
      <c r="E1852">
        <f>VLOOKUP(C1852,'[1]CÓDIGOS DE PRODUCTO'!$A$4:$B$156,2,FALSE)</f>
        <v>0</v>
      </c>
      <c r="F1852">
        <f>INDEX('[1]CÓDIGOS DE PRODUCTO'!$C$3:$C$1000,MATCH(C1852,'[1]CÓDIGOS DE PRODUCTO'!$A$3:$A$1000,0))</f>
        <v>0</v>
      </c>
      <c r="G1852">
        <f>+'[1]VENTAS(RESUMEN GLOBAL)'!D1852-'[1]VENTAS(RESUMEN GLOBAL)'!E1852</f>
        <v>0</v>
      </c>
      <c r="H1852" s="9">
        <f>+'[1]VENTAS(RESUMEN GLOBAL)'!K1852</f>
        <v>0</v>
      </c>
      <c r="I1852" s="8">
        <f>+G1852*'[1]VENTAS(RESUMEN GLOBAL)'!F1852</f>
        <v>0</v>
      </c>
      <c r="J1852" s="8">
        <f>'[1]VENTAS(RESUMEN GLOBAL)'!G1852*(1-'[1]VENTAS(RESUMEN GLOBAL)'!H1852)</f>
        <v>0</v>
      </c>
      <c r="K1852" s="8">
        <f t="shared" si="28"/>
        <v>0</v>
      </c>
      <c r="L1852" s="8">
        <f>+'[1]VENTAS(RESUMEN GLOBAL)'!J1852</f>
        <v>0</v>
      </c>
      <c r="M1852" s="8">
        <f>+Tabla1[[#This Row],[utilidad x dia]]*7</f>
        <v>0</v>
      </c>
    </row>
    <row r="1853" spans="1:13" x14ac:dyDescent="0.3">
      <c r="A1853" s="6">
        <f>+'[1]VENTAS(RESUMEN GLOBAL)'!L1853</f>
        <v>0</v>
      </c>
      <c r="B1853" s="6">
        <f>+'[1]VENTAS(RESUMEN GLOBAL)'!M1853</f>
        <v>0</v>
      </c>
      <c r="C1853">
        <f>+'[1]VENTAS(RESUMEN GLOBAL)'!B1853</f>
        <v>0</v>
      </c>
      <c r="D1853" t="e">
        <f>INDEX('[1]CÓDIGOS DE PRODUCTO'!$D$3:$D$1000,MATCH(C1853,'[1]CÓDIGOS DE PRODUCTO'!$A$3:$A$1000,0))</f>
        <v>#N/A</v>
      </c>
      <c r="E1853">
        <f>VLOOKUP(C1853,'[1]CÓDIGOS DE PRODUCTO'!$A$4:$B$156,2,FALSE)</f>
        <v>0</v>
      </c>
      <c r="F1853">
        <f>INDEX('[1]CÓDIGOS DE PRODUCTO'!$C$3:$C$1000,MATCH(C1853,'[1]CÓDIGOS DE PRODUCTO'!$A$3:$A$1000,0))</f>
        <v>0</v>
      </c>
      <c r="G1853">
        <f>+'[1]VENTAS(RESUMEN GLOBAL)'!D1853-'[1]VENTAS(RESUMEN GLOBAL)'!E1853</f>
        <v>0</v>
      </c>
      <c r="H1853" s="9">
        <f>+'[1]VENTAS(RESUMEN GLOBAL)'!K1853</f>
        <v>0</v>
      </c>
      <c r="I1853" s="8">
        <f>+G1853*'[1]VENTAS(RESUMEN GLOBAL)'!F1853</f>
        <v>0</v>
      </c>
      <c r="J1853" s="8">
        <f>'[1]VENTAS(RESUMEN GLOBAL)'!G1853*(1-'[1]VENTAS(RESUMEN GLOBAL)'!H1853)</f>
        <v>0</v>
      </c>
      <c r="K1853" s="8">
        <f t="shared" si="28"/>
        <v>0</v>
      </c>
      <c r="L1853" s="8">
        <f>+'[1]VENTAS(RESUMEN GLOBAL)'!J1853</f>
        <v>0</v>
      </c>
      <c r="M1853" s="8">
        <f>+Tabla1[[#This Row],[utilidad x dia]]*7</f>
        <v>0</v>
      </c>
    </row>
    <row r="1854" spans="1:13" x14ac:dyDescent="0.3">
      <c r="A1854" s="6">
        <f>+'[1]VENTAS(RESUMEN GLOBAL)'!L1854</f>
        <v>0</v>
      </c>
      <c r="B1854" s="6">
        <f>+'[1]VENTAS(RESUMEN GLOBAL)'!M1854</f>
        <v>0</v>
      </c>
      <c r="C1854">
        <f>+'[1]VENTAS(RESUMEN GLOBAL)'!B1854</f>
        <v>0</v>
      </c>
      <c r="D1854" t="e">
        <f>INDEX('[1]CÓDIGOS DE PRODUCTO'!$D$3:$D$1000,MATCH(C1854,'[1]CÓDIGOS DE PRODUCTO'!$A$3:$A$1000,0))</f>
        <v>#N/A</v>
      </c>
      <c r="E1854">
        <f>VLOOKUP(C1854,'[1]CÓDIGOS DE PRODUCTO'!$A$4:$B$156,2,FALSE)</f>
        <v>0</v>
      </c>
      <c r="F1854">
        <f>INDEX('[1]CÓDIGOS DE PRODUCTO'!$C$3:$C$1000,MATCH(C1854,'[1]CÓDIGOS DE PRODUCTO'!$A$3:$A$1000,0))</f>
        <v>0</v>
      </c>
      <c r="G1854">
        <f>+'[1]VENTAS(RESUMEN GLOBAL)'!D1854-'[1]VENTAS(RESUMEN GLOBAL)'!E1854</f>
        <v>0</v>
      </c>
      <c r="H1854" s="9">
        <f>+'[1]VENTAS(RESUMEN GLOBAL)'!K1854</f>
        <v>0</v>
      </c>
      <c r="I1854" s="8">
        <f>+G1854*'[1]VENTAS(RESUMEN GLOBAL)'!F1854</f>
        <v>0</v>
      </c>
      <c r="J1854" s="8">
        <f>'[1]VENTAS(RESUMEN GLOBAL)'!G1854*(1-'[1]VENTAS(RESUMEN GLOBAL)'!H1854)</f>
        <v>0</v>
      </c>
      <c r="K1854" s="8">
        <f t="shared" si="28"/>
        <v>0</v>
      </c>
      <c r="L1854" s="8">
        <f>+'[1]VENTAS(RESUMEN GLOBAL)'!J1854</f>
        <v>0</v>
      </c>
      <c r="M1854" s="8">
        <f>+Tabla1[[#This Row],[utilidad x dia]]*7</f>
        <v>0</v>
      </c>
    </row>
    <row r="1855" spans="1:13" x14ac:dyDescent="0.3">
      <c r="A1855" s="6">
        <f>+'[1]VENTAS(RESUMEN GLOBAL)'!L1855</f>
        <v>0</v>
      </c>
      <c r="B1855" s="6">
        <f>+'[1]VENTAS(RESUMEN GLOBAL)'!M1855</f>
        <v>0</v>
      </c>
      <c r="C1855">
        <f>+'[1]VENTAS(RESUMEN GLOBAL)'!B1855</f>
        <v>0</v>
      </c>
      <c r="D1855" t="e">
        <f>INDEX('[1]CÓDIGOS DE PRODUCTO'!$D$3:$D$1000,MATCH(C1855,'[1]CÓDIGOS DE PRODUCTO'!$A$3:$A$1000,0))</f>
        <v>#N/A</v>
      </c>
      <c r="E1855">
        <f>VLOOKUP(C1855,'[1]CÓDIGOS DE PRODUCTO'!$A$4:$B$156,2,FALSE)</f>
        <v>0</v>
      </c>
      <c r="F1855">
        <f>INDEX('[1]CÓDIGOS DE PRODUCTO'!$C$3:$C$1000,MATCH(C1855,'[1]CÓDIGOS DE PRODUCTO'!$A$3:$A$1000,0))</f>
        <v>0</v>
      </c>
      <c r="G1855">
        <f>+'[1]VENTAS(RESUMEN GLOBAL)'!D1855-'[1]VENTAS(RESUMEN GLOBAL)'!E1855</f>
        <v>0</v>
      </c>
      <c r="H1855" s="9">
        <f>+'[1]VENTAS(RESUMEN GLOBAL)'!K1855</f>
        <v>0</v>
      </c>
      <c r="I1855" s="8">
        <f>+G1855*'[1]VENTAS(RESUMEN GLOBAL)'!F1855</f>
        <v>0</v>
      </c>
      <c r="J1855" s="8">
        <f>'[1]VENTAS(RESUMEN GLOBAL)'!G1855*(1-'[1]VENTAS(RESUMEN GLOBAL)'!H1855)</f>
        <v>0</v>
      </c>
      <c r="K1855" s="8">
        <f t="shared" si="28"/>
        <v>0</v>
      </c>
      <c r="L1855" s="8">
        <f>+'[1]VENTAS(RESUMEN GLOBAL)'!J1855</f>
        <v>0</v>
      </c>
      <c r="M1855" s="8">
        <f>+Tabla1[[#This Row],[utilidad x dia]]*7</f>
        <v>0</v>
      </c>
    </row>
    <row r="1856" spans="1:13" x14ac:dyDescent="0.3">
      <c r="A1856" s="6">
        <f>+'[1]VENTAS(RESUMEN GLOBAL)'!L1856</f>
        <v>0</v>
      </c>
      <c r="B1856" s="6">
        <f>+'[1]VENTAS(RESUMEN GLOBAL)'!M1856</f>
        <v>0</v>
      </c>
      <c r="C1856">
        <f>+'[1]VENTAS(RESUMEN GLOBAL)'!B1856</f>
        <v>0</v>
      </c>
      <c r="D1856" t="e">
        <f>INDEX('[1]CÓDIGOS DE PRODUCTO'!$D$3:$D$1000,MATCH(C1856,'[1]CÓDIGOS DE PRODUCTO'!$A$3:$A$1000,0))</f>
        <v>#N/A</v>
      </c>
      <c r="E1856">
        <f>VLOOKUP(C1856,'[1]CÓDIGOS DE PRODUCTO'!$A$4:$B$156,2,FALSE)</f>
        <v>0</v>
      </c>
      <c r="F1856">
        <f>INDEX('[1]CÓDIGOS DE PRODUCTO'!$C$3:$C$1000,MATCH(C1856,'[1]CÓDIGOS DE PRODUCTO'!$A$3:$A$1000,0))</f>
        <v>0</v>
      </c>
      <c r="G1856">
        <f>+'[1]VENTAS(RESUMEN GLOBAL)'!D1856-'[1]VENTAS(RESUMEN GLOBAL)'!E1856</f>
        <v>0</v>
      </c>
      <c r="H1856" s="9">
        <f>+'[1]VENTAS(RESUMEN GLOBAL)'!K1856</f>
        <v>0</v>
      </c>
      <c r="I1856" s="8">
        <f>+G1856*'[1]VENTAS(RESUMEN GLOBAL)'!F1856</f>
        <v>0</v>
      </c>
      <c r="J1856" s="8">
        <f>'[1]VENTAS(RESUMEN GLOBAL)'!G1856*(1-'[1]VENTAS(RESUMEN GLOBAL)'!H1856)</f>
        <v>0</v>
      </c>
      <c r="K1856" s="8">
        <f t="shared" si="28"/>
        <v>0</v>
      </c>
      <c r="L1856" s="8">
        <f>+'[1]VENTAS(RESUMEN GLOBAL)'!J1856</f>
        <v>0</v>
      </c>
      <c r="M1856" s="8">
        <f>+Tabla1[[#This Row],[utilidad x dia]]*7</f>
        <v>0</v>
      </c>
    </row>
    <row r="1857" spans="1:13" x14ac:dyDescent="0.3">
      <c r="A1857" s="6">
        <f>+'[1]VENTAS(RESUMEN GLOBAL)'!L1857</f>
        <v>0</v>
      </c>
      <c r="B1857" s="6">
        <f>+'[1]VENTAS(RESUMEN GLOBAL)'!M1857</f>
        <v>0</v>
      </c>
      <c r="C1857">
        <f>+'[1]VENTAS(RESUMEN GLOBAL)'!B1857</f>
        <v>0</v>
      </c>
      <c r="D1857" t="e">
        <f>INDEX('[1]CÓDIGOS DE PRODUCTO'!$D$3:$D$1000,MATCH(C1857,'[1]CÓDIGOS DE PRODUCTO'!$A$3:$A$1000,0))</f>
        <v>#N/A</v>
      </c>
      <c r="E1857">
        <f>VLOOKUP(C1857,'[1]CÓDIGOS DE PRODUCTO'!$A$4:$B$156,2,FALSE)</f>
        <v>0</v>
      </c>
      <c r="F1857">
        <f>INDEX('[1]CÓDIGOS DE PRODUCTO'!$C$3:$C$1000,MATCH(C1857,'[1]CÓDIGOS DE PRODUCTO'!$A$3:$A$1000,0))</f>
        <v>0</v>
      </c>
      <c r="G1857">
        <f>+'[1]VENTAS(RESUMEN GLOBAL)'!D1857-'[1]VENTAS(RESUMEN GLOBAL)'!E1857</f>
        <v>0</v>
      </c>
      <c r="H1857" s="9">
        <f>+'[1]VENTAS(RESUMEN GLOBAL)'!K1857</f>
        <v>0</v>
      </c>
      <c r="I1857" s="8">
        <f>+G1857*'[1]VENTAS(RESUMEN GLOBAL)'!F1857</f>
        <v>0</v>
      </c>
      <c r="J1857" s="8">
        <f>'[1]VENTAS(RESUMEN GLOBAL)'!G1857*(1-'[1]VENTAS(RESUMEN GLOBAL)'!H1857)</f>
        <v>0</v>
      </c>
      <c r="K1857" s="8">
        <f t="shared" si="28"/>
        <v>0</v>
      </c>
      <c r="L1857" s="8">
        <f>+'[1]VENTAS(RESUMEN GLOBAL)'!J1857</f>
        <v>0</v>
      </c>
      <c r="M1857" s="8">
        <f>+Tabla1[[#This Row],[utilidad x dia]]*7</f>
        <v>0</v>
      </c>
    </row>
    <row r="1858" spans="1:13" x14ac:dyDescent="0.3">
      <c r="A1858" s="6">
        <f>+'[1]VENTAS(RESUMEN GLOBAL)'!L1858</f>
        <v>0</v>
      </c>
      <c r="B1858" s="6">
        <f>+'[1]VENTAS(RESUMEN GLOBAL)'!M1858</f>
        <v>0</v>
      </c>
      <c r="C1858">
        <f>+'[1]VENTAS(RESUMEN GLOBAL)'!B1858</f>
        <v>0</v>
      </c>
      <c r="D1858" t="e">
        <f>INDEX('[1]CÓDIGOS DE PRODUCTO'!$D$3:$D$1000,MATCH(C1858,'[1]CÓDIGOS DE PRODUCTO'!$A$3:$A$1000,0))</f>
        <v>#N/A</v>
      </c>
      <c r="E1858">
        <f>VLOOKUP(C1858,'[1]CÓDIGOS DE PRODUCTO'!$A$4:$B$156,2,FALSE)</f>
        <v>0</v>
      </c>
      <c r="F1858">
        <f>INDEX('[1]CÓDIGOS DE PRODUCTO'!$C$3:$C$1000,MATCH(C1858,'[1]CÓDIGOS DE PRODUCTO'!$A$3:$A$1000,0))</f>
        <v>0</v>
      </c>
      <c r="G1858">
        <f>+'[1]VENTAS(RESUMEN GLOBAL)'!D1858-'[1]VENTAS(RESUMEN GLOBAL)'!E1858</f>
        <v>0</v>
      </c>
      <c r="H1858" s="9">
        <f>+'[1]VENTAS(RESUMEN GLOBAL)'!K1858</f>
        <v>0</v>
      </c>
      <c r="I1858" s="8">
        <f>+G1858*'[1]VENTAS(RESUMEN GLOBAL)'!F1858</f>
        <v>0</v>
      </c>
      <c r="J1858" s="8">
        <f>'[1]VENTAS(RESUMEN GLOBAL)'!G1858*(1-'[1]VENTAS(RESUMEN GLOBAL)'!H1858)</f>
        <v>0</v>
      </c>
      <c r="K1858" s="8">
        <f t="shared" si="28"/>
        <v>0</v>
      </c>
      <c r="L1858" s="8">
        <f>+'[1]VENTAS(RESUMEN GLOBAL)'!J1858</f>
        <v>0</v>
      </c>
      <c r="M1858" s="8">
        <f>+Tabla1[[#This Row],[utilidad x dia]]*7</f>
        <v>0</v>
      </c>
    </row>
    <row r="1859" spans="1:13" x14ac:dyDescent="0.3">
      <c r="A1859" s="6">
        <f>+'[1]VENTAS(RESUMEN GLOBAL)'!L1859</f>
        <v>0</v>
      </c>
      <c r="B1859" s="6">
        <f>+'[1]VENTAS(RESUMEN GLOBAL)'!M1859</f>
        <v>0</v>
      </c>
      <c r="C1859">
        <f>+'[1]VENTAS(RESUMEN GLOBAL)'!B1859</f>
        <v>0</v>
      </c>
      <c r="D1859" t="e">
        <f>INDEX('[1]CÓDIGOS DE PRODUCTO'!$D$3:$D$1000,MATCH(C1859,'[1]CÓDIGOS DE PRODUCTO'!$A$3:$A$1000,0))</f>
        <v>#N/A</v>
      </c>
      <c r="E1859">
        <f>VLOOKUP(C1859,'[1]CÓDIGOS DE PRODUCTO'!$A$4:$B$156,2,FALSE)</f>
        <v>0</v>
      </c>
      <c r="F1859">
        <f>INDEX('[1]CÓDIGOS DE PRODUCTO'!$C$3:$C$1000,MATCH(C1859,'[1]CÓDIGOS DE PRODUCTO'!$A$3:$A$1000,0))</f>
        <v>0</v>
      </c>
      <c r="G1859">
        <f>+'[1]VENTAS(RESUMEN GLOBAL)'!D1859-'[1]VENTAS(RESUMEN GLOBAL)'!E1859</f>
        <v>0</v>
      </c>
      <c r="H1859" s="9">
        <f>+'[1]VENTAS(RESUMEN GLOBAL)'!K1859</f>
        <v>0</v>
      </c>
      <c r="I1859" s="8">
        <f>+G1859*'[1]VENTAS(RESUMEN GLOBAL)'!F1859</f>
        <v>0</v>
      </c>
      <c r="J1859" s="8">
        <f>'[1]VENTAS(RESUMEN GLOBAL)'!G1859*(1-'[1]VENTAS(RESUMEN GLOBAL)'!H1859)</f>
        <v>0</v>
      </c>
      <c r="K1859" s="8">
        <f t="shared" ref="K1859:K1922" si="29">+I1859-J1859</f>
        <v>0</v>
      </c>
      <c r="L1859" s="8">
        <f>+'[1]VENTAS(RESUMEN GLOBAL)'!J1859</f>
        <v>0</v>
      </c>
      <c r="M1859" s="8">
        <f>+Tabla1[[#This Row],[utilidad x dia]]*7</f>
        <v>0</v>
      </c>
    </row>
    <row r="1860" spans="1:13" x14ac:dyDescent="0.3">
      <c r="A1860" s="6">
        <f>+'[1]VENTAS(RESUMEN GLOBAL)'!L1860</f>
        <v>0</v>
      </c>
      <c r="B1860" s="6">
        <f>+'[1]VENTAS(RESUMEN GLOBAL)'!M1860</f>
        <v>0</v>
      </c>
      <c r="C1860">
        <f>+'[1]VENTAS(RESUMEN GLOBAL)'!B1860</f>
        <v>0</v>
      </c>
      <c r="D1860" t="e">
        <f>INDEX('[1]CÓDIGOS DE PRODUCTO'!$D$3:$D$1000,MATCH(C1860,'[1]CÓDIGOS DE PRODUCTO'!$A$3:$A$1000,0))</f>
        <v>#N/A</v>
      </c>
      <c r="E1860">
        <f>VLOOKUP(C1860,'[1]CÓDIGOS DE PRODUCTO'!$A$4:$B$156,2,FALSE)</f>
        <v>0</v>
      </c>
      <c r="F1860">
        <f>INDEX('[1]CÓDIGOS DE PRODUCTO'!$C$3:$C$1000,MATCH(C1860,'[1]CÓDIGOS DE PRODUCTO'!$A$3:$A$1000,0))</f>
        <v>0</v>
      </c>
      <c r="G1860">
        <f>+'[1]VENTAS(RESUMEN GLOBAL)'!D1860-'[1]VENTAS(RESUMEN GLOBAL)'!E1860</f>
        <v>0</v>
      </c>
      <c r="H1860" s="9">
        <f>+'[1]VENTAS(RESUMEN GLOBAL)'!K1860</f>
        <v>0</v>
      </c>
      <c r="I1860" s="8">
        <f>+G1860*'[1]VENTAS(RESUMEN GLOBAL)'!F1860</f>
        <v>0</v>
      </c>
      <c r="J1860" s="8">
        <f>'[1]VENTAS(RESUMEN GLOBAL)'!G1860*(1-'[1]VENTAS(RESUMEN GLOBAL)'!H1860)</f>
        <v>0</v>
      </c>
      <c r="K1860" s="8">
        <f t="shared" si="29"/>
        <v>0</v>
      </c>
      <c r="L1860" s="8">
        <f>+'[1]VENTAS(RESUMEN GLOBAL)'!J1860</f>
        <v>0</v>
      </c>
      <c r="M1860" s="8">
        <f>+Tabla1[[#This Row],[utilidad x dia]]*7</f>
        <v>0</v>
      </c>
    </row>
    <row r="1861" spans="1:13" x14ac:dyDescent="0.3">
      <c r="A1861" s="6">
        <f>+'[1]VENTAS(RESUMEN GLOBAL)'!L1861</f>
        <v>0</v>
      </c>
      <c r="B1861" s="6">
        <f>+'[1]VENTAS(RESUMEN GLOBAL)'!M1861</f>
        <v>0</v>
      </c>
      <c r="C1861">
        <f>+'[1]VENTAS(RESUMEN GLOBAL)'!B1861</f>
        <v>0</v>
      </c>
      <c r="D1861" t="e">
        <f>INDEX('[1]CÓDIGOS DE PRODUCTO'!$D$3:$D$1000,MATCH(C1861,'[1]CÓDIGOS DE PRODUCTO'!$A$3:$A$1000,0))</f>
        <v>#N/A</v>
      </c>
      <c r="E1861">
        <f>VLOOKUP(C1861,'[1]CÓDIGOS DE PRODUCTO'!$A$4:$B$156,2,FALSE)</f>
        <v>0</v>
      </c>
      <c r="F1861">
        <f>INDEX('[1]CÓDIGOS DE PRODUCTO'!$C$3:$C$1000,MATCH(C1861,'[1]CÓDIGOS DE PRODUCTO'!$A$3:$A$1000,0))</f>
        <v>0</v>
      </c>
      <c r="G1861">
        <f>+'[1]VENTAS(RESUMEN GLOBAL)'!D1861-'[1]VENTAS(RESUMEN GLOBAL)'!E1861</f>
        <v>0</v>
      </c>
      <c r="H1861" s="9">
        <f>+'[1]VENTAS(RESUMEN GLOBAL)'!K1861</f>
        <v>0</v>
      </c>
      <c r="I1861" s="8">
        <f>+G1861*'[1]VENTAS(RESUMEN GLOBAL)'!F1861</f>
        <v>0</v>
      </c>
      <c r="J1861" s="8">
        <f>'[1]VENTAS(RESUMEN GLOBAL)'!G1861*(1-'[1]VENTAS(RESUMEN GLOBAL)'!H1861)</f>
        <v>0</v>
      </c>
      <c r="K1861" s="8">
        <f t="shared" si="29"/>
        <v>0</v>
      </c>
      <c r="L1861" s="8">
        <f>+'[1]VENTAS(RESUMEN GLOBAL)'!J1861</f>
        <v>0</v>
      </c>
      <c r="M1861" s="8">
        <f>+Tabla1[[#This Row],[utilidad x dia]]*7</f>
        <v>0</v>
      </c>
    </row>
    <row r="1862" spans="1:13" x14ac:dyDescent="0.3">
      <c r="A1862" s="6">
        <f>+'[1]VENTAS(RESUMEN GLOBAL)'!L1862</f>
        <v>0</v>
      </c>
      <c r="B1862" s="6">
        <f>+'[1]VENTAS(RESUMEN GLOBAL)'!M1862</f>
        <v>0</v>
      </c>
      <c r="C1862">
        <f>+'[1]VENTAS(RESUMEN GLOBAL)'!B1862</f>
        <v>0</v>
      </c>
      <c r="D1862" t="e">
        <f>INDEX('[1]CÓDIGOS DE PRODUCTO'!$D$3:$D$1000,MATCH(C1862,'[1]CÓDIGOS DE PRODUCTO'!$A$3:$A$1000,0))</f>
        <v>#N/A</v>
      </c>
      <c r="E1862">
        <f>VLOOKUP(C1862,'[1]CÓDIGOS DE PRODUCTO'!$A$4:$B$156,2,FALSE)</f>
        <v>0</v>
      </c>
      <c r="F1862">
        <f>INDEX('[1]CÓDIGOS DE PRODUCTO'!$C$3:$C$1000,MATCH(C1862,'[1]CÓDIGOS DE PRODUCTO'!$A$3:$A$1000,0))</f>
        <v>0</v>
      </c>
      <c r="G1862">
        <f>+'[1]VENTAS(RESUMEN GLOBAL)'!D1862-'[1]VENTAS(RESUMEN GLOBAL)'!E1862</f>
        <v>0</v>
      </c>
      <c r="H1862" s="9">
        <f>+'[1]VENTAS(RESUMEN GLOBAL)'!K1862</f>
        <v>0</v>
      </c>
      <c r="I1862" s="8">
        <f>+G1862*'[1]VENTAS(RESUMEN GLOBAL)'!F1862</f>
        <v>0</v>
      </c>
      <c r="J1862" s="8">
        <f>'[1]VENTAS(RESUMEN GLOBAL)'!G1862*(1-'[1]VENTAS(RESUMEN GLOBAL)'!H1862)</f>
        <v>0</v>
      </c>
      <c r="K1862" s="8">
        <f t="shared" si="29"/>
        <v>0</v>
      </c>
      <c r="L1862" s="8">
        <f>+'[1]VENTAS(RESUMEN GLOBAL)'!J1862</f>
        <v>0</v>
      </c>
      <c r="M1862" s="8">
        <f>+Tabla1[[#This Row],[utilidad x dia]]*7</f>
        <v>0</v>
      </c>
    </row>
    <row r="1863" spans="1:13" x14ac:dyDescent="0.3">
      <c r="A1863" s="6">
        <f>+'[1]VENTAS(RESUMEN GLOBAL)'!L1863</f>
        <v>0</v>
      </c>
      <c r="B1863" s="6">
        <f>+'[1]VENTAS(RESUMEN GLOBAL)'!M1863</f>
        <v>0</v>
      </c>
      <c r="C1863">
        <f>+'[1]VENTAS(RESUMEN GLOBAL)'!B1863</f>
        <v>0</v>
      </c>
      <c r="D1863" t="e">
        <f>INDEX('[1]CÓDIGOS DE PRODUCTO'!$D$3:$D$1000,MATCH(C1863,'[1]CÓDIGOS DE PRODUCTO'!$A$3:$A$1000,0))</f>
        <v>#N/A</v>
      </c>
      <c r="E1863">
        <f>VLOOKUP(C1863,'[1]CÓDIGOS DE PRODUCTO'!$A$4:$B$156,2,FALSE)</f>
        <v>0</v>
      </c>
      <c r="F1863">
        <f>INDEX('[1]CÓDIGOS DE PRODUCTO'!$C$3:$C$1000,MATCH(C1863,'[1]CÓDIGOS DE PRODUCTO'!$A$3:$A$1000,0))</f>
        <v>0</v>
      </c>
      <c r="G1863">
        <f>+'[1]VENTAS(RESUMEN GLOBAL)'!D1863-'[1]VENTAS(RESUMEN GLOBAL)'!E1863</f>
        <v>0</v>
      </c>
      <c r="H1863" s="9">
        <f>+'[1]VENTAS(RESUMEN GLOBAL)'!K1863</f>
        <v>0</v>
      </c>
      <c r="I1863" s="8">
        <f>+G1863*'[1]VENTAS(RESUMEN GLOBAL)'!F1863</f>
        <v>0</v>
      </c>
      <c r="J1863" s="8">
        <f>'[1]VENTAS(RESUMEN GLOBAL)'!G1863*(1-'[1]VENTAS(RESUMEN GLOBAL)'!H1863)</f>
        <v>0</v>
      </c>
      <c r="K1863" s="8">
        <f t="shared" si="29"/>
        <v>0</v>
      </c>
      <c r="L1863" s="8">
        <f>+'[1]VENTAS(RESUMEN GLOBAL)'!J1863</f>
        <v>0</v>
      </c>
      <c r="M1863" s="8">
        <f>+Tabla1[[#This Row],[utilidad x dia]]*7</f>
        <v>0</v>
      </c>
    </row>
    <row r="1864" spans="1:13" x14ac:dyDescent="0.3">
      <c r="A1864" s="6">
        <f>+'[1]VENTAS(RESUMEN GLOBAL)'!L1864</f>
        <v>0</v>
      </c>
      <c r="B1864" s="6">
        <f>+'[1]VENTAS(RESUMEN GLOBAL)'!M1864</f>
        <v>0</v>
      </c>
      <c r="C1864">
        <f>+'[1]VENTAS(RESUMEN GLOBAL)'!B1864</f>
        <v>0</v>
      </c>
      <c r="D1864" t="e">
        <f>INDEX('[1]CÓDIGOS DE PRODUCTO'!$D$3:$D$1000,MATCH(C1864,'[1]CÓDIGOS DE PRODUCTO'!$A$3:$A$1000,0))</f>
        <v>#N/A</v>
      </c>
      <c r="E1864">
        <f>VLOOKUP(C1864,'[1]CÓDIGOS DE PRODUCTO'!$A$4:$B$156,2,FALSE)</f>
        <v>0</v>
      </c>
      <c r="F1864">
        <f>INDEX('[1]CÓDIGOS DE PRODUCTO'!$C$3:$C$1000,MATCH(C1864,'[1]CÓDIGOS DE PRODUCTO'!$A$3:$A$1000,0))</f>
        <v>0</v>
      </c>
      <c r="G1864">
        <f>+'[1]VENTAS(RESUMEN GLOBAL)'!D1864-'[1]VENTAS(RESUMEN GLOBAL)'!E1864</f>
        <v>0</v>
      </c>
      <c r="H1864" s="9">
        <f>+'[1]VENTAS(RESUMEN GLOBAL)'!K1864</f>
        <v>0</v>
      </c>
      <c r="I1864" s="8">
        <f>+G1864*'[1]VENTAS(RESUMEN GLOBAL)'!F1864</f>
        <v>0</v>
      </c>
      <c r="J1864" s="8">
        <f>'[1]VENTAS(RESUMEN GLOBAL)'!G1864*(1-'[1]VENTAS(RESUMEN GLOBAL)'!H1864)</f>
        <v>0</v>
      </c>
      <c r="K1864" s="8">
        <f t="shared" si="29"/>
        <v>0</v>
      </c>
      <c r="L1864" s="8">
        <f>+'[1]VENTAS(RESUMEN GLOBAL)'!J1864</f>
        <v>0</v>
      </c>
      <c r="M1864" s="8">
        <f>+Tabla1[[#This Row],[utilidad x dia]]*7</f>
        <v>0</v>
      </c>
    </row>
    <row r="1865" spans="1:13" x14ac:dyDescent="0.3">
      <c r="A1865" s="6">
        <f>+'[1]VENTAS(RESUMEN GLOBAL)'!L1865</f>
        <v>0</v>
      </c>
      <c r="B1865" s="6">
        <f>+'[1]VENTAS(RESUMEN GLOBAL)'!M1865</f>
        <v>0</v>
      </c>
      <c r="C1865">
        <f>+'[1]VENTAS(RESUMEN GLOBAL)'!B1865</f>
        <v>0</v>
      </c>
      <c r="D1865" t="e">
        <f>INDEX('[1]CÓDIGOS DE PRODUCTO'!$D$3:$D$1000,MATCH(C1865,'[1]CÓDIGOS DE PRODUCTO'!$A$3:$A$1000,0))</f>
        <v>#N/A</v>
      </c>
      <c r="E1865">
        <f>VLOOKUP(C1865,'[1]CÓDIGOS DE PRODUCTO'!$A$4:$B$156,2,FALSE)</f>
        <v>0</v>
      </c>
      <c r="F1865">
        <f>INDEX('[1]CÓDIGOS DE PRODUCTO'!$C$3:$C$1000,MATCH(C1865,'[1]CÓDIGOS DE PRODUCTO'!$A$3:$A$1000,0))</f>
        <v>0</v>
      </c>
      <c r="G1865">
        <f>+'[1]VENTAS(RESUMEN GLOBAL)'!D1865-'[1]VENTAS(RESUMEN GLOBAL)'!E1865</f>
        <v>0</v>
      </c>
      <c r="H1865" s="9">
        <f>+'[1]VENTAS(RESUMEN GLOBAL)'!K1865</f>
        <v>0</v>
      </c>
      <c r="I1865" s="8">
        <f>+G1865*'[1]VENTAS(RESUMEN GLOBAL)'!F1865</f>
        <v>0</v>
      </c>
      <c r="J1865" s="8">
        <f>'[1]VENTAS(RESUMEN GLOBAL)'!G1865*(1-'[1]VENTAS(RESUMEN GLOBAL)'!H1865)</f>
        <v>0</v>
      </c>
      <c r="K1865" s="8">
        <f t="shared" si="29"/>
        <v>0</v>
      </c>
      <c r="L1865" s="8">
        <f>+'[1]VENTAS(RESUMEN GLOBAL)'!J1865</f>
        <v>0</v>
      </c>
      <c r="M1865" s="8">
        <f>+Tabla1[[#This Row],[utilidad x dia]]*7</f>
        <v>0</v>
      </c>
    </row>
    <row r="1866" spans="1:13" x14ac:dyDescent="0.3">
      <c r="A1866" s="6">
        <f>+'[1]VENTAS(RESUMEN GLOBAL)'!L1866</f>
        <v>0</v>
      </c>
      <c r="B1866" s="6">
        <f>+'[1]VENTAS(RESUMEN GLOBAL)'!M1866</f>
        <v>0</v>
      </c>
      <c r="C1866">
        <f>+'[1]VENTAS(RESUMEN GLOBAL)'!B1866</f>
        <v>0</v>
      </c>
      <c r="D1866" t="e">
        <f>INDEX('[1]CÓDIGOS DE PRODUCTO'!$D$3:$D$1000,MATCH(C1866,'[1]CÓDIGOS DE PRODUCTO'!$A$3:$A$1000,0))</f>
        <v>#N/A</v>
      </c>
      <c r="E1866">
        <f>VLOOKUP(C1866,'[1]CÓDIGOS DE PRODUCTO'!$A$4:$B$156,2,FALSE)</f>
        <v>0</v>
      </c>
      <c r="F1866">
        <f>INDEX('[1]CÓDIGOS DE PRODUCTO'!$C$3:$C$1000,MATCH(C1866,'[1]CÓDIGOS DE PRODUCTO'!$A$3:$A$1000,0))</f>
        <v>0</v>
      </c>
      <c r="G1866">
        <f>+'[1]VENTAS(RESUMEN GLOBAL)'!D1866-'[1]VENTAS(RESUMEN GLOBAL)'!E1866</f>
        <v>0</v>
      </c>
      <c r="H1866" s="9">
        <f>+'[1]VENTAS(RESUMEN GLOBAL)'!K1866</f>
        <v>0</v>
      </c>
      <c r="I1866" s="8">
        <f>+G1866*'[1]VENTAS(RESUMEN GLOBAL)'!F1866</f>
        <v>0</v>
      </c>
      <c r="J1866" s="8">
        <f>'[1]VENTAS(RESUMEN GLOBAL)'!G1866*(1-'[1]VENTAS(RESUMEN GLOBAL)'!H1866)</f>
        <v>0</v>
      </c>
      <c r="K1866" s="8">
        <f t="shared" si="29"/>
        <v>0</v>
      </c>
      <c r="L1866" s="8">
        <f>+'[1]VENTAS(RESUMEN GLOBAL)'!J1866</f>
        <v>0</v>
      </c>
      <c r="M1866" s="8">
        <f>+Tabla1[[#This Row],[utilidad x dia]]*7</f>
        <v>0</v>
      </c>
    </row>
    <row r="1867" spans="1:13" x14ac:dyDescent="0.3">
      <c r="A1867" s="6">
        <f>+'[1]VENTAS(RESUMEN GLOBAL)'!L1867</f>
        <v>0</v>
      </c>
      <c r="B1867" s="6">
        <f>+'[1]VENTAS(RESUMEN GLOBAL)'!M1867</f>
        <v>0</v>
      </c>
      <c r="C1867">
        <f>+'[1]VENTAS(RESUMEN GLOBAL)'!B1867</f>
        <v>0</v>
      </c>
      <c r="D1867" t="e">
        <f>INDEX('[1]CÓDIGOS DE PRODUCTO'!$D$3:$D$1000,MATCH(C1867,'[1]CÓDIGOS DE PRODUCTO'!$A$3:$A$1000,0))</f>
        <v>#N/A</v>
      </c>
      <c r="E1867">
        <f>VLOOKUP(C1867,'[1]CÓDIGOS DE PRODUCTO'!$A$4:$B$156,2,FALSE)</f>
        <v>0</v>
      </c>
      <c r="F1867">
        <f>INDEX('[1]CÓDIGOS DE PRODUCTO'!$C$3:$C$1000,MATCH(C1867,'[1]CÓDIGOS DE PRODUCTO'!$A$3:$A$1000,0))</f>
        <v>0</v>
      </c>
      <c r="G1867">
        <f>+'[1]VENTAS(RESUMEN GLOBAL)'!D1867-'[1]VENTAS(RESUMEN GLOBAL)'!E1867</f>
        <v>0</v>
      </c>
      <c r="H1867" s="9">
        <f>+'[1]VENTAS(RESUMEN GLOBAL)'!K1867</f>
        <v>0</v>
      </c>
      <c r="I1867" s="8">
        <f>+G1867*'[1]VENTAS(RESUMEN GLOBAL)'!F1867</f>
        <v>0</v>
      </c>
      <c r="J1867" s="8">
        <f>'[1]VENTAS(RESUMEN GLOBAL)'!G1867*(1-'[1]VENTAS(RESUMEN GLOBAL)'!H1867)</f>
        <v>0</v>
      </c>
      <c r="K1867" s="8">
        <f t="shared" si="29"/>
        <v>0</v>
      </c>
      <c r="L1867" s="8">
        <f>+'[1]VENTAS(RESUMEN GLOBAL)'!J1867</f>
        <v>0</v>
      </c>
      <c r="M1867" s="8">
        <f>+Tabla1[[#This Row],[utilidad x dia]]*7</f>
        <v>0</v>
      </c>
    </row>
    <row r="1868" spans="1:13" x14ac:dyDescent="0.3">
      <c r="A1868" s="6">
        <f>+'[1]VENTAS(RESUMEN GLOBAL)'!L1868</f>
        <v>0</v>
      </c>
      <c r="B1868" s="6">
        <f>+'[1]VENTAS(RESUMEN GLOBAL)'!M1868</f>
        <v>0</v>
      </c>
      <c r="C1868">
        <f>+'[1]VENTAS(RESUMEN GLOBAL)'!B1868</f>
        <v>0</v>
      </c>
      <c r="D1868" t="e">
        <f>INDEX('[1]CÓDIGOS DE PRODUCTO'!$D$3:$D$1000,MATCH(C1868,'[1]CÓDIGOS DE PRODUCTO'!$A$3:$A$1000,0))</f>
        <v>#N/A</v>
      </c>
      <c r="E1868">
        <f>VLOOKUP(C1868,'[1]CÓDIGOS DE PRODUCTO'!$A$4:$B$156,2,FALSE)</f>
        <v>0</v>
      </c>
      <c r="F1868">
        <f>INDEX('[1]CÓDIGOS DE PRODUCTO'!$C$3:$C$1000,MATCH(C1868,'[1]CÓDIGOS DE PRODUCTO'!$A$3:$A$1000,0))</f>
        <v>0</v>
      </c>
      <c r="G1868">
        <f>+'[1]VENTAS(RESUMEN GLOBAL)'!D1868-'[1]VENTAS(RESUMEN GLOBAL)'!E1868</f>
        <v>0</v>
      </c>
      <c r="H1868" s="9">
        <f>+'[1]VENTAS(RESUMEN GLOBAL)'!K1868</f>
        <v>0</v>
      </c>
      <c r="I1868" s="8">
        <f>+G1868*'[1]VENTAS(RESUMEN GLOBAL)'!F1868</f>
        <v>0</v>
      </c>
      <c r="J1868" s="8">
        <f>'[1]VENTAS(RESUMEN GLOBAL)'!G1868*(1-'[1]VENTAS(RESUMEN GLOBAL)'!H1868)</f>
        <v>0</v>
      </c>
      <c r="K1868" s="8">
        <f t="shared" si="29"/>
        <v>0</v>
      </c>
      <c r="L1868" s="8">
        <f>+'[1]VENTAS(RESUMEN GLOBAL)'!J1868</f>
        <v>0</v>
      </c>
      <c r="M1868" s="8">
        <f>+Tabla1[[#This Row],[utilidad x dia]]*7</f>
        <v>0</v>
      </c>
    </row>
    <row r="1869" spans="1:13" x14ac:dyDescent="0.3">
      <c r="A1869" s="6">
        <f>+'[1]VENTAS(RESUMEN GLOBAL)'!L1869</f>
        <v>0</v>
      </c>
      <c r="B1869" s="6">
        <f>+'[1]VENTAS(RESUMEN GLOBAL)'!M1869</f>
        <v>0</v>
      </c>
      <c r="C1869">
        <f>+'[1]VENTAS(RESUMEN GLOBAL)'!B1869</f>
        <v>0</v>
      </c>
      <c r="D1869" t="e">
        <f>INDEX('[1]CÓDIGOS DE PRODUCTO'!$D$3:$D$1000,MATCH(C1869,'[1]CÓDIGOS DE PRODUCTO'!$A$3:$A$1000,0))</f>
        <v>#N/A</v>
      </c>
      <c r="E1869">
        <f>VLOOKUP(C1869,'[1]CÓDIGOS DE PRODUCTO'!$A$4:$B$156,2,FALSE)</f>
        <v>0</v>
      </c>
      <c r="F1869">
        <f>INDEX('[1]CÓDIGOS DE PRODUCTO'!$C$3:$C$1000,MATCH(C1869,'[1]CÓDIGOS DE PRODUCTO'!$A$3:$A$1000,0))</f>
        <v>0</v>
      </c>
      <c r="G1869">
        <f>+'[1]VENTAS(RESUMEN GLOBAL)'!D1869-'[1]VENTAS(RESUMEN GLOBAL)'!E1869</f>
        <v>0</v>
      </c>
      <c r="H1869" s="9">
        <f>+'[1]VENTAS(RESUMEN GLOBAL)'!K1869</f>
        <v>0</v>
      </c>
      <c r="I1869" s="8">
        <f>+G1869*'[1]VENTAS(RESUMEN GLOBAL)'!F1869</f>
        <v>0</v>
      </c>
      <c r="J1869" s="8">
        <f>'[1]VENTAS(RESUMEN GLOBAL)'!G1869*(1-'[1]VENTAS(RESUMEN GLOBAL)'!H1869)</f>
        <v>0</v>
      </c>
      <c r="K1869" s="8">
        <f t="shared" si="29"/>
        <v>0</v>
      </c>
      <c r="L1869" s="8">
        <f>+'[1]VENTAS(RESUMEN GLOBAL)'!J1869</f>
        <v>0</v>
      </c>
      <c r="M1869" s="8">
        <f>+Tabla1[[#This Row],[utilidad x dia]]*7</f>
        <v>0</v>
      </c>
    </row>
    <row r="1870" spans="1:13" x14ac:dyDescent="0.3">
      <c r="A1870" s="6">
        <f>+'[1]VENTAS(RESUMEN GLOBAL)'!L1870</f>
        <v>0</v>
      </c>
      <c r="B1870" s="6">
        <f>+'[1]VENTAS(RESUMEN GLOBAL)'!M1870</f>
        <v>0</v>
      </c>
      <c r="C1870">
        <f>+'[1]VENTAS(RESUMEN GLOBAL)'!B1870</f>
        <v>0</v>
      </c>
      <c r="D1870" t="e">
        <f>INDEX('[1]CÓDIGOS DE PRODUCTO'!$D$3:$D$1000,MATCH(C1870,'[1]CÓDIGOS DE PRODUCTO'!$A$3:$A$1000,0))</f>
        <v>#N/A</v>
      </c>
      <c r="E1870">
        <f>VLOOKUP(C1870,'[1]CÓDIGOS DE PRODUCTO'!$A$4:$B$156,2,FALSE)</f>
        <v>0</v>
      </c>
      <c r="F1870">
        <f>INDEX('[1]CÓDIGOS DE PRODUCTO'!$C$3:$C$1000,MATCH(C1870,'[1]CÓDIGOS DE PRODUCTO'!$A$3:$A$1000,0))</f>
        <v>0</v>
      </c>
      <c r="G1870">
        <f>+'[1]VENTAS(RESUMEN GLOBAL)'!D1870-'[1]VENTAS(RESUMEN GLOBAL)'!E1870</f>
        <v>0</v>
      </c>
      <c r="H1870" s="9">
        <f>+'[1]VENTAS(RESUMEN GLOBAL)'!K1870</f>
        <v>0</v>
      </c>
      <c r="I1870" s="8">
        <f>+G1870*'[1]VENTAS(RESUMEN GLOBAL)'!F1870</f>
        <v>0</v>
      </c>
      <c r="J1870" s="8">
        <f>'[1]VENTAS(RESUMEN GLOBAL)'!G1870*(1-'[1]VENTAS(RESUMEN GLOBAL)'!H1870)</f>
        <v>0</v>
      </c>
      <c r="K1870" s="8">
        <f t="shared" si="29"/>
        <v>0</v>
      </c>
      <c r="L1870" s="8">
        <f>+'[1]VENTAS(RESUMEN GLOBAL)'!J1870</f>
        <v>0</v>
      </c>
      <c r="M1870" s="8">
        <f>+Tabla1[[#This Row],[utilidad x dia]]*7</f>
        <v>0</v>
      </c>
    </row>
    <row r="1871" spans="1:13" x14ac:dyDescent="0.3">
      <c r="A1871" s="6">
        <f>+'[1]VENTAS(RESUMEN GLOBAL)'!L1871</f>
        <v>0</v>
      </c>
      <c r="B1871" s="6">
        <f>+'[1]VENTAS(RESUMEN GLOBAL)'!M1871</f>
        <v>0</v>
      </c>
      <c r="C1871">
        <f>+'[1]VENTAS(RESUMEN GLOBAL)'!B1871</f>
        <v>0</v>
      </c>
      <c r="D1871" t="e">
        <f>INDEX('[1]CÓDIGOS DE PRODUCTO'!$D$3:$D$1000,MATCH(C1871,'[1]CÓDIGOS DE PRODUCTO'!$A$3:$A$1000,0))</f>
        <v>#N/A</v>
      </c>
      <c r="E1871">
        <f>VLOOKUP(C1871,'[1]CÓDIGOS DE PRODUCTO'!$A$4:$B$156,2,FALSE)</f>
        <v>0</v>
      </c>
      <c r="F1871">
        <f>INDEX('[1]CÓDIGOS DE PRODUCTO'!$C$3:$C$1000,MATCH(C1871,'[1]CÓDIGOS DE PRODUCTO'!$A$3:$A$1000,0))</f>
        <v>0</v>
      </c>
      <c r="G1871">
        <f>+'[1]VENTAS(RESUMEN GLOBAL)'!D1871-'[1]VENTAS(RESUMEN GLOBAL)'!E1871</f>
        <v>0</v>
      </c>
      <c r="H1871" s="9">
        <f>+'[1]VENTAS(RESUMEN GLOBAL)'!K1871</f>
        <v>0</v>
      </c>
      <c r="I1871" s="8">
        <f>+G1871*'[1]VENTAS(RESUMEN GLOBAL)'!F1871</f>
        <v>0</v>
      </c>
      <c r="J1871" s="8">
        <f>'[1]VENTAS(RESUMEN GLOBAL)'!G1871*(1-'[1]VENTAS(RESUMEN GLOBAL)'!H1871)</f>
        <v>0</v>
      </c>
      <c r="K1871" s="8">
        <f t="shared" si="29"/>
        <v>0</v>
      </c>
      <c r="L1871" s="8">
        <f>+'[1]VENTAS(RESUMEN GLOBAL)'!J1871</f>
        <v>0</v>
      </c>
      <c r="M1871" s="8">
        <f>+Tabla1[[#This Row],[utilidad x dia]]*7</f>
        <v>0</v>
      </c>
    </row>
    <row r="1872" spans="1:13" x14ac:dyDescent="0.3">
      <c r="A1872" s="6">
        <f>+'[1]VENTAS(RESUMEN GLOBAL)'!L1872</f>
        <v>0</v>
      </c>
      <c r="B1872" s="6">
        <f>+'[1]VENTAS(RESUMEN GLOBAL)'!M1872</f>
        <v>0</v>
      </c>
      <c r="C1872">
        <f>+'[1]VENTAS(RESUMEN GLOBAL)'!B1872</f>
        <v>0</v>
      </c>
      <c r="D1872" t="e">
        <f>INDEX('[1]CÓDIGOS DE PRODUCTO'!$D$3:$D$1000,MATCH(C1872,'[1]CÓDIGOS DE PRODUCTO'!$A$3:$A$1000,0))</f>
        <v>#N/A</v>
      </c>
      <c r="E1872">
        <f>VLOOKUP(C1872,'[1]CÓDIGOS DE PRODUCTO'!$A$4:$B$156,2,FALSE)</f>
        <v>0</v>
      </c>
      <c r="F1872">
        <f>INDEX('[1]CÓDIGOS DE PRODUCTO'!$C$3:$C$1000,MATCH(C1872,'[1]CÓDIGOS DE PRODUCTO'!$A$3:$A$1000,0))</f>
        <v>0</v>
      </c>
      <c r="G1872">
        <f>+'[1]VENTAS(RESUMEN GLOBAL)'!D1872-'[1]VENTAS(RESUMEN GLOBAL)'!E1872</f>
        <v>0</v>
      </c>
      <c r="H1872" s="9">
        <f>+'[1]VENTAS(RESUMEN GLOBAL)'!K1872</f>
        <v>0</v>
      </c>
      <c r="I1872" s="8">
        <f>+G1872*'[1]VENTAS(RESUMEN GLOBAL)'!F1872</f>
        <v>0</v>
      </c>
      <c r="J1872" s="8">
        <f>'[1]VENTAS(RESUMEN GLOBAL)'!G1872*(1-'[1]VENTAS(RESUMEN GLOBAL)'!H1872)</f>
        <v>0</v>
      </c>
      <c r="K1872" s="8">
        <f t="shared" si="29"/>
        <v>0</v>
      </c>
      <c r="L1872" s="8">
        <f>+'[1]VENTAS(RESUMEN GLOBAL)'!J1872</f>
        <v>0</v>
      </c>
      <c r="M1872" s="8">
        <f>+Tabla1[[#This Row],[utilidad x dia]]*7</f>
        <v>0</v>
      </c>
    </row>
    <row r="1873" spans="1:13" x14ac:dyDescent="0.3">
      <c r="A1873" s="6">
        <f>+'[1]VENTAS(RESUMEN GLOBAL)'!L1873</f>
        <v>0</v>
      </c>
      <c r="B1873" s="6">
        <f>+'[1]VENTAS(RESUMEN GLOBAL)'!M1873</f>
        <v>0</v>
      </c>
      <c r="C1873">
        <f>+'[1]VENTAS(RESUMEN GLOBAL)'!B1873</f>
        <v>0</v>
      </c>
      <c r="D1873" t="e">
        <f>INDEX('[1]CÓDIGOS DE PRODUCTO'!$D$3:$D$1000,MATCH(C1873,'[1]CÓDIGOS DE PRODUCTO'!$A$3:$A$1000,0))</f>
        <v>#N/A</v>
      </c>
      <c r="E1873">
        <f>VLOOKUP(C1873,'[1]CÓDIGOS DE PRODUCTO'!$A$4:$B$156,2,FALSE)</f>
        <v>0</v>
      </c>
      <c r="F1873">
        <f>INDEX('[1]CÓDIGOS DE PRODUCTO'!$C$3:$C$1000,MATCH(C1873,'[1]CÓDIGOS DE PRODUCTO'!$A$3:$A$1000,0))</f>
        <v>0</v>
      </c>
      <c r="G1873">
        <f>+'[1]VENTAS(RESUMEN GLOBAL)'!D1873-'[1]VENTAS(RESUMEN GLOBAL)'!E1873</f>
        <v>0</v>
      </c>
      <c r="H1873" s="9">
        <f>+'[1]VENTAS(RESUMEN GLOBAL)'!K1873</f>
        <v>0</v>
      </c>
      <c r="I1873" s="8">
        <f>+G1873*'[1]VENTAS(RESUMEN GLOBAL)'!F1873</f>
        <v>0</v>
      </c>
      <c r="J1873" s="8">
        <f>'[1]VENTAS(RESUMEN GLOBAL)'!G1873*(1-'[1]VENTAS(RESUMEN GLOBAL)'!H1873)</f>
        <v>0</v>
      </c>
      <c r="K1873" s="8">
        <f t="shared" si="29"/>
        <v>0</v>
      </c>
      <c r="L1873" s="8">
        <f>+'[1]VENTAS(RESUMEN GLOBAL)'!J1873</f>
        <v>0</v>
      </c>
      <c r="M1873" s="8">
        <f>+Tabla1[[#This Row],[utilidad x dia]]*7</f>
        <v>0</v>
      </c>
    </row>
    <row r="1874" spans="1:13" x14ac:dyDescent="0.3">
      <c r="A1874" s="6">
        <f>+'[1]VENTAS(RESUMEN GLOBAL)'!L1874</f>
        <v>0</v>
      </c>
      <c r="B1874" s="6">
        <f>+'[1]VENTAS(RESUMEN GLOBAL)'!M1874</f>
        <v>0</v>
      </c>
      <c r="C1874">
        <f>+'[1]VENTAS(RESUMEN GLOBAL)'!B1874</f>
        <v>0</v>
      </c>
      <c r="D1874" t="e">
        <f>INDEX('[1]CÓDIGOS DE PRODUCTO'!$D$3:$D$1000,MATCH(C1874,'[1]CÓDIGOS DE PRODUCTO'!$A$3:$A$1000,0))</f>
        <v>#N/A</v>
      </c>
      <c r="E1874">
        <f>VLOOKUP(C1874,'[1]CÓDIGOS DE PRODUCTO'!$A$4:$B$156,2,FALSE)</f>
        <v>0</v>
      </c>
      <c r="F1874">
        <f>INDEX('[1]CÓDIGOS DE PRODUCTO'!$C$3:$C$1000,MATCH(C1874,'[1]CÓDIGOS DE PRODUCTO'!$A$3:$A$1000,0))</f>
        <v>0</v>
      </c>
      <c r="G1874">
        <f>+'[1]VENTAS(RESUMEN GLOBAL)'!D1874-'[1]VENTAS(RESUMEN GLOBAL)'!E1874</f>
        <v>0</v>
      </c>
      <c r="H1874" s="9">
        <f>+'[1]VENTAS(RESUMEN GLOBAL)'!K1874</f>
        <v>0</v>
      </c>
      <c r="I1874" s="8">
        <f>+G1874*'[1]VENTAS(RESUMEN GLOBAL)'!F1874</f>
        <v>0</v>
      </c>
      <c r="J1874" s="8">
        <f>'[1]VENTAS(RESUMEN GLOBAL)'!G1874*(1-'[1]VENTAS(RESUMEN GLOBAL)'!H1874)</f>
        <v>0</v>
      </c>
      <c r="K1874" s="8">
        <f t="shared" si="29"/>
        <v>0</v>
      </c>
      <c r="L1874" s="8">
        <f>+'[1]VENTAS(RESUMEN GLOBAL)'!J1874</f>
        <v>0</v>
      </c>
      <c r="M1874" s="8">
        <f>+Tabla1[[#This Row],[utilidad x dia]]*7</f>
        <v>0</v>
      </c>
    </row>
    <row r="1875" spans="1:13" x14ac:dyDescent="0.3">
      <c r="A1875" s="6">
        <f>+'[1]VENTAS(RESUMEN GLOBAL)'!L1875</f>
        <v>0</v>
      </c>
      <c r="B1875" s="6">
        <f>+'[1]VENTAS(RESUMEN GLOBAL)'!M1875</f>
        <v>0</v>
      </c>
      <c r="C1875">
        <f>+'[1]VENTAS(RESUMEN GLOBAL)'!B1875</f>
        <v>0</v>
      </c>
      <c r="D1875" t="e">
        <f>INDEX('[1]CÓDIGOS DE PRODUCTO'!$D$3:$D$1000,MATCH(C1875,'[1]CÓDIGOS DE PRODUCTO'!$A$3:$A$1000,0))</f>
        <v>#N/A</v>
      </c>
      <c r="E1875">
        <f>VLOOKUP(C1875,'[1]CÓDIGOS DE PRODUCTO'!$A$4:$B$156,2,FALSE)</f>
        <v>0</v>
      </c>
      <c r="F1875">
        <f>INDEX('[1]CÓDIGOS DE PRODUCTO'!$C$3:$C$1000,MATCH(C1875,'[1]CÓDIGOS DE PRODUCTO'!$A$3:$A$1000,0))</f>
        <v>0</v>
      </c>
      <c r="G1875">
        <f>+'[1]VENTAS(RESUMEN GLOBAL)'!D1875-'[1]VENTAS(RESUMEN GLOBAL)'!E1875</f>
        <v>0</v>
      </c>
      <c r="H1875" s="9">
        <f>+'[1]VENTAS(RESUMEN GLOBAL)'!K1875</f>
        <v>0</v>
      </c>
      <c r="I1875" s="8">
        <f>+G1875*'[1]VENTAS(RESUMEN GLOBAL)'!F1875</f>
        <v>0</v>
      </c>
      <c r="J1875" s="8">
        <f>'[1]VENTAS(RESUMEN GLOBAL)'!G1875*(1-'[1]VENTAS(RESUMEN GLOBAL)'!H1875)</f>
        <v>0</v>
      </c>
      <c r="K1875" s="8">
        <f t="shared" si="29"/>
        <v>0</v>
      </c>
      <c r="L1875" s="8">
        <f>+'[1]VENTAS(RESUMEN GLOBAL)'!J1875</f>
        <v>0</v>
      </c>
      <c r="M1875" s="8">
        <f>+Tabla1[[#This Row],[utilidad x dia]]*7</f>
        <v>0</v>
      </c>
    </row>
    <row r="1876" spans="1:13" x14ac:dyDescent="0.3">
      <c r="A1876" s="6">
        <f>+'[1]VENTAS(RESUMEN GLOBAL)'!L1876</f>
        <v>0</v>
      </c>
      <c r="B1876" s="6">
        <f>+'[1]VENTAS(RESUMEN GLOBAL)'!M1876</f>
        <v>0</v>
      </c>
      <c r="C1876">
        <f>+'[1]VENTAS(RESUMEN GLOBAL)'!B1876</f>
        <v>0</v>
      </c>
      <c r="D1876" t="e">
        <f>INDEX('[1]CÓDIGOS DE PRODUCTO'!$D$3:$D$1000,MATCH(C1876,'[1]CÓDIGOS DE PRODUCTO'!$A$3:$A$1000,0))</f>
        <v>#N/A</v>
      </c>
      <c r="E1876">
        <f>VLOOKUP(C1876,'[1]CÓDIGOS DE PRODUCTO'!$A$4:$B$156,2,FALSE)</f>
        <v>0</v>
      </c>
      <c r="F1876">
        <f>INDEX('[1]CÓDIGOS DE PRODUCTO'!$C$3:$C$1000,MATCH(C1876,'[1]CÓDIGOS DE PRODUCTO'!$A$3:$A$1000,0))</f>
        <v>0</v>
      </c>
      <c r="G1876">
        <f>+'[1]VENTAS(RESUMEN GLOBAL)'!D1876-'[1]VENTAS(RESUMEN GLOBAL)'!E1876</f>
        <v>0</v>
      </c>
      <c r="H1876" s="9">
        <f>+'[1]VENTAS(RESUMEN GLOBAL)'!K1876</f>
        <v>0</v>
      </c>
      <c r="I1876" s="8">
        <f>+G1876*'[1]VENTAS(RESUMEN GLOBAL)'!F1876</f>
        <v>0</v>
      </c>
      <c r="J1876" s="8">
        <f>'[1]VENTAS(RESUMEN GLOBAL)'!G1876*(1-'[1]VENTAS(RESUMEN GLOBAL)'!H1876)</f>
        <v>0</v>
      </c>
      <c r="K1876" s="8">
        <f t="shared" si="29"/>
        <v>0</v>
      </c>
      <c r="L1876" s="8">
        <f>+'[1]VENTAS(RESUMEN GLOBAL)'!J1876</f>
        <v>0</v>
      </c>
      <c r="M1876" s="8">
        <f>+Tabla1[[#This Row],[utilidad x dia]]*7</f>
        <v>0</v>
      </c>
    </row>
    <row r="1877" spans="1:13" x14ac:dyDescent="0.3">
      <c r="A1877" s="6">
        <f>+'[1]VENTAS(RESUMEN GLOBAL)'!L1877</f>
        <v>0</v>
      </c>
      <c r="B1877" s="6">
        <f>+'[1]VENTAS(RESUMEN GLOBAL)'!M1877</f>
        <v>0</v>
      </c>
      <c r="C1877">
        <f>+'[1]VENTAS(RESUMEN GLOBAL)'!B1877</f>
        <v>0</v>
      </c>
      <c r="D1877" t="e">
        <f>INDEX('[1]CÓDIGOS DE PRODUCTO'!$D$3:$D$1000,MATCH(C1877,'[1]CÓDIGOS DE PRODUCTO'!$A$3:$A$1000,0))</f>
        <v>#N/A</v>
      </c>
      <c r="E1877">
        <f>VLOOKUP(C1877,'[1]CÓDIGOS DE PRODUCTO'!$A$4:$B$156,2,FALSE)</f>
        <v>0</v>
      </c>
      <c r="F1877">
        <f>INDEX('[1]CÓDIGOS DE PRODUCTO'!$C$3:$C$1000,MATCH(C1877,'[1]CÓDIGOS DE PRODUCTO'!$A$3:$A$1000,0))</f>
        <v>0</v>
      </c>
      <c r="G1877">
        <f>+'[1]VENTAS(RESUMEN GLOBAL)'!D1877-'[1]VENTAS(RESUMEN GLOBAL)'!E1877</f>
        <v>0</v>
      </c>
      <c r="H1877" s="9">
        <f>+'[1]VENTAS(RESUMEN GLOBAL)'!K1877</f>
        <v>0</v>
      </c>
      <c r="I1877" s="8">
        <f>+G1877*'[1]VENTAS(RESUMEN GLOBAL)'!F1877</f>
        <v>0</v>
      </c>
      <c r="J1877" s="8">
        <f>'[1]VENTAS(RESUMEN GLOBAL)'!G1877*(1-'[1]VENTAS(RESUMEN GLOBAL)'!H1877)</f>
        <v>0</v>
      </c>
      <c r="K1877" s="8">
        <f t="shared" si="29"/>
        <v>0</v>
      </c>
      <c r="L1877" s="8">
        <f>+'[1]VENTAS(RESUMEN GLOBAL)'!J1877</f>
        <v>0</v>
      </c>
      <c r="M1877" s="8">
        <f>+Tabla1[[#This Row],[utilidad x dia]]*7</f>
        <v>0</v>
      </c>
    </row>
    <row r="1878" spans="1:13" x14ac:dyDescent="0.3">
      <c r="A1878" s="6">
        <f>+'[1]VENTAS(RESUMEN GLOBAL)'!L1878</f>
        <v>0</v>
      </c>
      <c r="B1878" s="6">
        <f>+'[1]VENTAS(RESUMEN GLOBAL)'!M1878</f>
        <v>0</v>
      </c>
      <c r="C1878">
        <f>+'[1]VENTAS(RESUMEN GLOBAL)'!B1878</f>
        <v>0</v>
      </c>
      <c r="D1878" t="e">
        <f>INDEX('[1]CÓDIGOS DE PRODUCTO'!$D$3:$D$1000,MATCH(C1878,'[1]CÓDIGOS DE PRODUCTO'!$A$3:$A$1000,0))</f>
        <v>#N/A</v>
      </c>
      <c r="E1878">
        <f>VLOOKUP(C1878,'[1]CÓDIGOS DE PRODUCTO'!$A$4:$B$156,2,FALSE)</f>
        <v>0</v>
      </c>
      <c r="F1878">
        <f>INDEX('[1]CÓDIGOS DE PRODUCTO'!$C$3:$C$1000,MATCH(C1878,'[1]CÓDIGOS DE PRODUCTO'!$A$3:$A$1000,0))</f>
        <v>0</v>
      </c>
      <c r="G1878">
        <f>+'[1]VENTAS(RESUMEN GLOBAL)'!D1878-'[1]VENTAS(RESUMEN GLOBAL)'!E1878</f>
        <v>0</v>
      </c>
      <c r="H1878" s="9">
        <f>+'[1]VENTAS(RESUMEN GLOBAL)'!K1878</f>
        <v>0</v>
      </c>
      <c r="I1878" s="8">
        <f>+G1878*'[1]VENTAS(RESUMEN GLOBAL)'!F1878</f>
        <v>0</v>
      </c>
      <c r="J1878" s="8">
        <f>'[1]VENTAS(RESUMEN GLOBAL)'!G1878*(1-'[1]VENTAS(RESUMEN GLOBAL)'!H1878)</f>
        <v>0</v>
      </c>
      <c r="K1878" s="8">
        <f t="shared" si="29"/>
        <v>0</v>
      </c>
      <c r="L1878" s="8">
        <f>+'[1]VENTAS(RESUMEN GLOBAL)'!J1878</f>
        <v>0</v>
      </c>
      <c r="M1878" s="8">
        <f>+Tabla1[[#This Row],[utilidad x dia]]*7</f>
        <v>0</v>
      </c>
    </row>
    <row r="1879" spans="1:13" x14ac:dyDescent="0.3">
      <c r="A1879" s="6">
        <f>+'[1]VENTAS(RESUMEN GLOBAL)'!L1879</f>
        <v>0</v>
      </c>
      <c r="B1879" s="6">
        <f>+'[1]VENTAS(RESUMEN GLOBAL)'!M1879</f>
        <v>0</v>
      </c>
      <c r="C1879">
        <f>+'[1]VENTAS(RESUMEN GLOBAL)'!B1879</f>
        <v>0</v>
      </c>
      <c r="D1879" t="e">
        <f>INDEX('[1]CÓDIGOS DE PRODUCTO'!$D$3:$D$1000,MATCH(C1879,'[1]CÓDIGOS DE PRODUCTO'!$A$3:$A$1000,0))</f>
        <v>#N/A</v>
      </c>
      <c r="E1879">
        <f>VLOOKUP(C1879,'[1]CÓDIGOS DE PRODUCTO'!$A$4:$B$156,2,FALSE)</f>
        <v>0</v>
      </c>
      <c r="F1879">
        <f>INDEX('[1]CÓDIGOS DE PRODUCTO'!$C$3:$C$1000,MATCH(C1879,'[1]CÓDIGOS DE PRODUCTO'!$A$3:$A$1000,0))</f>
        <v>0</v>
      </c>
      <c r="G1879">
        <f>+'[1]VENTAS(RESUMEN GLOBAL)'!D1879-'[1]VENTAS(RESUMEN GLOBAL)'!E1879</f>
        <v>0</v>
      </c>
      <c r="H1879" s="9">
        <f>+'[1]VENTAS(RESUMEN GLOBAL)'!K1879</f>
        <v>0</v>
      </c>
      <c r="I1879" s="8">
        <f>+G1879*'[1]VENTAS(RESUMEN GLOBAL)'!F1879</f>
        <v>0</v>
      </c>
      <c r="J1879" s="8">
        <f>'[1]VENTAS(RESUMEN GLOBAL)'!G1879*(1-'[1]VENTAS(RESUMEN GLOBAL)'!H1879)</f>
        <v>0</v>
      </c>
      <c r="K1879" s="8">
        <f t="shared" si="29"/>
        <v>0</v>
      </c>
      <c r="L1879" s="8">
        <f>+'[1]VENTAS(RESUMEN GLOBAL)'!J1879</f>
        <v>0</v>
      </c>
      <c r="M1879" s="8">
        <f>+Tabla1[[#This Row],[utilidad x dia]]*7</f>
        <v>0</v>
      </c>
    </row>
    <row r="1880" spans="1:13" x14ac:dyDescent="0.3">
      <c r="A1880" s="6">
        <f>+'[1]VENTAS(RESUMEN GLOBAL)'!L1880</f>
        <v>0</v>
      </c>
      <c r="B1880" s="6">
        <f>+'[1]VENTAS(RESUMEN GLOBAL)'!M1880</f>
        <v>0</v>
      </c>
      <c r="C1880">
        <f>+'[1]VENTAS(RESUMEN GLOBAL)'!B1880</f>
        <v>0</v>
      </c>
      <c r="D1880" t="e">
        <f>INDEX('[1]CÓDIGOS DE PRODUCTO'!$D$3:$D$1000,MATCH(C1880,'[1]CÓDIGOS DE PRODUCTO'!$A$3:$A$1000,0))</f>
        <v>#N/A</v>
      </c>
      <c r="E1880">
        <f>VLOOKUP(C1880,'[1]CÓDIGOS DE PRODUCTO'!$A$4:$B$156,2,FALSE)</f>
        <v>0</v>
      </c>
      <c r="F1880">
        <f>INDEX('[1]CÓDIGOS DE PRODUCTO'!$C$3:$C$1000,MATCH(C1880,'[1]CÓDIGOS DE PRODUCTO'!$A$3:$A$1000,0))</f>
        <v>0</v>
      </c>
      <c r="G1880">
        <f>+'[1]VENTAS(RESUMEN GLOBAL)'!D1880-'[1]VENTAS(RESUMEN GLOBAL)'!E1880</f>
        <v>0</v>
      </c>
      <c r="H1880" s="9">
        <f>+'[1]VENTAS(RESUMEN GLOBAL)'!K1880</f>
        <v>0</v>
      </c>
      <c r="I1880" s="8">
        <f>+G1880*'[1]VENTAS(RESUMEN GLOBAL)'!F1880</f>
        <v>0</v>
      </c>
      <c r="J1880" s="8">
        <f>'[1]VENTAS(RESUMEN GLOBAL)'!G1880*(1-'[1]VENTAS(RESUMEN GLOBAL)'!H1880)</f>
        <v>0</v>
      </c>
      <c r="K1880" s="8">
        <f t="shared" si="29"/>
        <v>0</v>
      </c>
      <c r="L1880" s="8">
        <f>+'[1]VENTAS(RESUMEN GLOBAL)'!J1880</f>
        <v>0</v>
      </c>
      <c r="M1880" s="8">
        <f>+Tabla1[[#This Row],[utilidad x dia]]*7</f>
        <v>0</v>
      </c>
    </row>
    <row r="1881" spans="1:13" x14ac:dyDescent="0.3">
      <c r="A1881" s="6">
        <f>+'[1]VENTAS(RESUMEN GLOBAL)'!L1881</f>
        <v>0</v>
      </c>
      <c r="B1881" s="6">
        <f>+'[1]VENTAS(RESUMEN GLOBAL)'!M1881</f>
        <v>0</v>
      </c>
      <c r="C1881">
        <f>+'[1]VENTAS(RESUMEN GLOBAL)'!B1881</f>
        <v>0</v>
      </c>
      <c r="D1881" t="e">
        <f>INDEX('[1]CÓDIGOS DE PRODUCTO'!$D$3:$D$1000,MATCH(C1881,'[1]CÓDIGOS DE PRODUCTO'!$A$3:$A$1000,0))</f>
        <v>#N/A</v>
      </c>
      <c r="E1881">
        <f>VLOOKUP(C1881,'[1]CÓDIGOS DE PRODUCTO'!$A$4:$B$156,2,FALSE)</f>
        <v>0</v>
      </c>
      <c r="F1881">
        <f>INDEX('[1]CÓDIGOS DE PRODUCTO'!$C$3:$C$1000,MATCH(C1881,'[1]CÓDIGOS DE PRODUCTO'!$A$3:$A$1000,0))</f>
        <v>0</v>
      </c>
      <c r="G1881">
        <f>+'[1]VENTAS(RESUMEN GLOBAL)'!D1881-'[1]VENTAS(RESUMEN GLOBAL)'!E1881</f>
        <v>0</v>
      </c>
      <c r="H1881" s="9">
        <f>+'[1]VENTAS(RESUMEN GLOBAL)'!K1881</f>
        <v>0</v>
      </c>
      <c r="I1881" s="8">
        <f>+G1881*'[1]VENTAS(RESUMEN GLOBAL)'!F1881</f>
        <v>0</v>
      </c>
      <c r="J1881" s="8">
        <f>'[1]VENTAS(RESUMEN GLOBAL)'!G1881*(1-'[1]VENTAS(RESUMEN GLOBAL)'!H1881)</f>
        <v>0</v>
      </c>
      <c r="K1881" s="8">
        <f t="shared" si="29"/>
        <v>0</v>
      </c>
      <c r="L1881" s="8">
        <f>+'[1]VENTAS(RESUMEN GLOBAL)'!J1881</f>
        <v>0</v>
      </c>
      <c r="M1881" s="8">
        <f>+Tabla1[[#This Row],[utilidad x dia]]*7</f>
        <v>0</v>
      </c>
    </row>
    <row r="1882" spans="1:13" x14ac:dyDescent="0.3">
      <c r="A1882" s="6">
        <f>+'[1]VENTAS(RESUMEN GLOBAL)'!L1882</f>
        <v>0</v>
      </c>
      <c r="B1882" s="6">
        <f>+'[1]VENTAS(RESUMEN GLOBAL)'!M1882</f>
        <v>0</v>
      </c>
      <c r="C1882">
        <f>+'[1]VENTAS(RESUMEN GLOBAL)'!B1882</f>
        <v>0</v>
      </c>
      <c r="D1882" t="e">
        <f>INDEX('[1]CÓDIGOS DE PRODUCTO'!$D$3:$D$1000,MATCH(C1882,'[1]CÓDIGOS DE PRODUCTO'!$A$3:$A$1000,0))</f>
        <v>#N/A</v>
      </c>
      <c r="E1882">
        <f>VLOOKUP(C1882,'[1]CÓDIGOS DE PRODUCTO'!$A$4:$B$156,2,FALSE)</f>
        <v>0</v>
      </c>
      <c r="F1882">
        <f>INDEX('[1]CÓDIGOS DE PRODUCTO'!$C$3:$C$1000,MATCH(C1882,'[1]CÓDIGOS DE PRODUCTO'!$A$3:$A$1000,0))</f>
        <v>0</v>
      </c>
      <c r="G1882">
        <f>+'[1]VENTAS(RESUMEN GLOBAL)'!D1882-'[1]VENTAS(RESUMEN GLOBAL)'!E1882</f>
        <v>0</v>
      </c>
      <c r="H1882" s="9">
        <f>+'[1]VENTAS(RESUMEN GLOBAL)'!K1882</f>
        <v>0</v>
      </c>
      <c r="I1882" s="8">
        <f>+G1882*'[1]VENTAS(RESUMEN GLOBAL)'!F1882</f>
        <v>0</v>
      </c>
      <c r="J1882" s="8">
        <f>'[1]VENTAS(RESUMEN GLOBAL)'!G1882*(1-'[1]VENTAS(RESUMEN GLOBAL)'!H1882)</f>
        <v>0</v>
      </c>
      <c r="K1882" s="8">
        <f t="shared" si="29"/>
        <v>0</v>
      </c>
      <c r="L1882" s="8">
        <f>+'[1]VENTAS(RESUMEN GLOBAL)'!J1882</f>
        <v>0</v>
      </c>
      <c r="M1882" s="8">
        <f>+Tabla1[[#This Row],[utilidad x dia]]*7</f>
        <v>0</v>
      </c>
    </row>
    <row r="1883" spans="1:13" x14ac:dyDescent="0.3">
      <c r="A1883" s="6">
        <f>+'[1]VENTAS(RESUMEN GLOBAL)'!L1883</f>
        <v>0</v>
      </c>
      <c r="B1883" s="6">
        <f>+'[1]VENTAS(RESUMEN GLOBAL)'!M1883</f>
        <v>0</v>
      </c>
      <c r="C1883">
        <f>+'[1]VENTAS(RESUMEN GLOBAL)'!B1883</f>
        <v>0</v>
      </c>
      <c r="D1883" t="e">
        <f>INDEX('[1]CÓDIGOS DE PRODUCTO'!$D$3:$D$1000,MATCH(C1883,'[1]CÓDIGOS DE PRODUCTO'!$A$3:$A$1000,0))</f>
        <v>#N/A</v>
      </c>
      <c r="E1883">
        <f>VLOOKUP(C1883,'[1]CÓDIGOS DE PRODUCTO'!$A$4:$B$156,2,FALSE)</f>
        <v>0</v>
      </c>
      <c r="F1883">
        <f>INDEX('[1]CÓDIGOS DE PRODUCTO'!$C$3:$C$1000,MATCH(C1883,'[1]CÓDIGOS DE PRODUCTO'!$A$3:$A$1000,0))</f>
        <v>0</v>
      </c>
      <c r="G1883">
        <f>+'[1]VENTAS(RESUMEN GLOBAL)'!D1883-'[1]VENTAS(RESUMEN GLOBAL)'!E1883</f>
        <v>0</v>
      </c>
      <c r="H1883" s="9">
        <f>+'[1]VENTAS(RESUMEN GLOBAL)'!K1883</f>
        <v>0</v>
      </c>
      <c r="I1883" s="8">
        <f>+G1883*'[1]VENTAS(RESUMEN GLOBAL)'!F1883</f>
        <v>0</v>
      </c>
      <c r="J1883" s="8">
        <f>'[1]VENTAS(RESUMEN GLOBAL)'!G1883*(1-'[1]VENTAS(RESUMEN GLOBAL)'!H1883)</f>
        <v>0</v>
      </c>
      <c r="K1883" s="8">
        <f t="shared" si="29"/>
        <v>0</v>
      </c>
      <c r="L1883" s="8">
        <f>+'[1]VENTAS(RESUMEN GLOBAL)'!J1883</f>
        <v>0</v>
      </c>
      <c r="M1883" s="8">
        <f>+Tabla1[[#This Row],[utilidad x dia]]*7</f>
        <v>0</v>
      </c>
    </row>
    <row r="1884" spans="1:13" x14ac:dyDescent="0.3">
      <c r="A1884" s="6">
        <f>+'[1]VENTAS(RESUMEN GLOBAL)'!L1884</f>
        <v>0</v>
      </c>
      <c r="B1884" s="6">
        <f>+'[1]VENTAS(RESUMEN GLOBAL)'!M1884</f>
        <v>0</v>
      </c>
      <c r="C1884">
        <f>+'[1]VENTAS(RESUMEN GLOBAL)'!B1884</f>
        <v>0</v>
      </c>
      <c r="D1884" t="e">
        <f>INDEX('[1]CÓDIGOS DE PRODUCTO'!$D$3:$D$1000,MATCH(C1884,'[1]CÓDIGOS DE PRODUCTO'!$A$3:$A$1000,0))</f>
        <v>#N/A</v>
      </c>
      <c r="E1884">
        <f>VLOOKUP(C1884,'[1]CÓDIGOS DE PRODUCTO'!$A$4:$B$156,2,FALSE)</f>
        <v>0</v>
      </c>
      <c r="F1884">
        <f>INDEX('[1]CÓDIGOS DE PRODUCTO'!$C$3:$C$1000,MATCH(C1884,'[1]CÓDIGOS DE PRODUCTO'!$A$3:$A$1000,0))</f>
        <v>0</v>
      </c>
      <c r="G1884">
        <f>+'[1]VENTAS(RESUMEN GLOBAL)'!D1884-'[1]VENTAS(RESUMEN GLOBAL)'!E1884</f>
        <v>0</v>
      </c>
      <c r="H1884" s="9">
        <f>+'[1]VENTAS(RESUMEN GLOBAL)'!K1884</f>
        <v>0</v>
      </c>
      <c r="I1884" s="8">
        <f>+G1884*'[1]VENTAS(RESUMEN GLOBAL)'!F1884</f>
        <v>0</v>
      </c>
      <c r="J1884" s="8">
        <f>'[1]VENTAS(RESUMEN GLOBAL)'!G1884*(1-'[1]VENTAS(RESUMEN GLOBAL)'!H1884)</f>
        <v>0</v>
      </c>
      <c r="K1884" s="8">
        <f t="shared" si="29"/>
        <v>0</v>
      </c>
      <c r="L1884" s="8">
        <f>+'[1]VENTAS(RESUMEN GLOBAL)'!J1884</f>
        <v>0</v>
      </c>
      <c r="M1884" s="8">
        <f>+Tabla1[[#This Row],[utilidad x dia]]*7</f>
        <v>0</v>
      </c>
    </row>
    <row r="1885" spans="1:13" x14ac:dyDescent="0.3">
      <c r="A1885" s="6">
        <f>+'[1]VENTAS(RESUMEN GLOBAL)'!L1885</f>
        <v>0</v>
      </c>
      <c r="B1885" s="6">
        <f>+'[1]VENTAS(RESUMEN GLOBAL)'!M1885</f>
        <v>0</v>
      </c>
      <c r="C1885">
        <f>+'[1]VENTAS(RESUMEN GLOBAL)'!B1885</f>
        <v>0</v>
      </c>
      <c r="D1885" t="e">
        <f>INDEX('[1]CÓDIGOS DE PRODUCTO'!$D$3:$D$1000,MATCH(C1885,'[1]CÓDIGOS DE PRODUCTO'!$A$3:$A$1000,0))</f>
        <v>#N/A</v>
      </c>
      <c r="E1885">
        <f>VLOOKUP(C1885,'[1]CÓDIGOS DE PRODUCTO'!$A$4:$B$156,2,FALSE)</f>
        <v>0</v>
      </c>
      <c r="F1885">
        <f>INDEX('[1]CÓDIGOS DE PRODUCTO'!$C$3:$C$1000,MATCH(C1885,'[1]CÓDIGOS DE PRODUCTO'!$A$3:$A$1000,0))</f>
        <v>0</v>
      </c>
      <c r="G1885">
        <f>+'[1]VENTAS(RESUMEN GLOBAL)'!D1885-'[1]VENTAS(RESUMEN GLOBAL)'!E1885</f>
        <v>0</v>
      </c>
      <c r="H1885" s="9">
        <f>+'[1]VENTAS(RESUMEN GLOBAL)'!K1885</f>
        <v>0</v>
      </c>
      <c r="I1885" s="8">
        <f>+G1885*'[1]VENTAS(RESUMEN GLOBAL)'!F1885</f>
        <v>0</v>
      </c>
      <c r="J1885" s="8">
        <f>'[1]VENTAS(RESUMEN GLOBAL)'!G1885*(1-'[1]VENTAS(RESUMEN GLOBAL)'!H1885)</f>
        <v>0</v>
      </c>
      <c r="K1885" s="8">
        <f t="shared" si="29"/>
        <v>0</v>
      </c>
      <c r="L1885" s="8">
        <f>+'[1]VENTAS(RESUMEN GLOBAL)'!J1885</f>
        <v>0</v>
      </c>
      <c r="M1885" s="8">
        <f>+Tabla1[[#This Row],[utilidad x dia]]*7</f>
        <v>0</v>
      </c>
    </row>
    <row r="1886" spans="1:13" x14ac:dyDescent="0.3">
      <c r="A1886" s="6">
        <f>+'[1]VENTAS(RESUMEN GLOBAL)'!L1886</f>
        <v>0</v>
      </c>
      <c r="B1886" s="6">
        <f>+'[1]VENTAS(RESUMEN GLOBAL)'!M1886</f>
        <v>0</v>
      </c>
      <c r="C1886">
        <f>+'[1]VENTAS(RESUMEN GLOBAL)'!B1886</f>
        <v>0</v>
      </c>
      <c r="D1886" t="e">
        <f>INDEX('[1]CÓDIGOS DE PRODUCTO'!$D$3:$D$1000,MATCH(C1886,'[1]CÓDIGOS DE PRODUCTO'!$A$3:$A$1000,0))</f>
        <v>#N/A</v>
      </c>
      <c r="E1886">
        <f>VLOOKUP(C1886,'[1]CÓDIGOS DE PRODUCTO'!$A$4:$B$156,2,FALSE)</f>
        <v>0</v>
      </c>
      <c r="F1886">
        <f>INDEX('[1]CÓDIGOS DE PRODUCTO'!$C$3:$C$1000,MATCH(C1886,'[1]CÓDIGOS DE PRODUCTO'!$A$3:$A$1000,0))</f>
        <v>0</v>
      </c>
      <c r="G1886">
        <f>+'[1]VENTAS(RESUMEN GLOBAL)'!D1886-'[1]VENTAS(RESUMEN GLOBAL)'!E1886</f>
        <v>0</v>
      </c>
      <c r="H1886" s="9">
        <f>+'[1]VENTAS(RESUMEN GLOBAL)'!K1886</f>
        <v>0</v>
      </c>
      <c r="I1886" s="8">
        <f>+G1886*'[1]VENTAS(RESUMEN GLOBAL)'!F1886</f>
        <v>0</v>
      </c>
      <c r="J1886" s="8">
        <f>'[1]VENTAS(RESUMEN GLOBAL)'!G1886*(1-'[1]VENTAS(RESUMEN GLOBAL)'!H1886)</f>
        <v>0</v>
      </c>
      <c r="K1886" s="8">
        <f t="shared" si="29"/>
        <v>0</v>
      </c>
      <c r="L1886" s="8">
        <f>+'[1]VENTAS(RESUMEN GLOBAL)'!J1886</f>
        <v>0</v>
      </c>
      <c r="M1886" s="8">
        <f>+Tabla1[[#This Row],[utilidad x dia]]*7</f>
        <v>0</v>
      </c>
    </row>
    <row r="1887" spans="1:13" x14ac:dyDescent="0.3">
      <c r="A1887" s="6">
        <f>+'[1]VENTAS(RESUMEN GLOBAL)'!L1887</f>
        <v>0</v>
      </c>
      <c r="B1887" s="6">
        <f>+'[1]VENTAS(RESUMEN GLOBAL)'!M1887</f>
        <v>0</v>
      </c>
      <c r="C1887">
        <f>+'[1]VENTAS(RESUMEN GLOBAL)'!B1887</f>
        <v>0</v>
      </c>
      <c r="D1887" t="e">
        <f>INDEX('[1]CÓDIGOS DE PRODUCTO'!$D$3:$D$1000,MATCH(C1887,'[1]CÓDIGOS DE PRODUCTO'!$A$3:$A$1000,0))</f>
        <v>#N/A</v>
      </c>
      <c r="E1887">
        <f>VLOOKUP(C1887,'[1]CÓDIGOS DE PRODUCTO'!$A$4:$B$156,2,FALSE)</f>
        <v>0</v>
      </c>
      <c r="F1887">
        <f>INDEX('[1]CÓDIGOS DE PRODUCTO'!$C$3:$C$1000,MATCH(C1887,'[1]CÓDIGOS DE PRODUCTO'!$A$3:$A$1000,0))</f>
        <v>0</v>
      </c>
      <c r="G1887">
        <f>+'[1]VENTAS(RESUMEN GLOBAL)'!D1887-'[1]VENTAS(RESUMEN GLOBAL)'!E1887</f>
        <v>0</v>
      </c>
      <c r="H1887" s="9">
        <f>+'[1]VENTAS(RESUMEN GLOBAL)'!K1887</f>
        <v>0</v>
      </c>
      <c r="I1887" s="8">
        <f>+G1887*'[1]VENTAS(RESUMEN GLOBAL)'!F1887</f>
        <v>0</v>
      </c>
      <c r="J1887" s="8">
        <f>'[1]VENTAS(RESUMEN GLOBAL)'!G1887*(1-'[1]VENTAS(RESUMEN GLOBAL)'!H1887)</f>
        <v>0</v>
      </c>
      <c r="K1887" s="8">
        <f t="shared" si="29"/>
        <v>0</v>
      </c>
      <c r="L1887" s="8">
        <f>+'[1]VENTAS(RESUMEN GLOBAL)'!J1887</f>
        <v>0</v>
      </c>
      <c r="M1887" s="8">
        <f>+Tabla1[[#This Row],[utilidad x dia]]*7</f>
        <v>0</v>
      </c>
    </row>
    <row r="1888" spans="1:13" x14ac:dyDescent="0.3">
      <c r="A1888" s="6">
        <f>+'[1]VENTAS(RESUMEN GLOBAL)'!L1888</f>
        <v>0</v>
      </c>
      <c r="B1888" s="6">
        <f>+'[1]VENTAS(RESUMEN GLOBAL)'!M1888</f>
        <v>0</v>
      </c>
      <c r="C1888">
        <f>+'[1]VENTAS(RESUMEN GLOBAL)'!B1888</f>
        <v>0</v>
      </c>
      <c r="D1888" t="e">
        <f>INDEX('[1]CÓDIGOS DE PRODUCTO'!$D$3:$D$1000,MATCH(C1888,'[1]CÓDIGOS DE PRODUCTO'!$A$3:$A$1000,0))</f>
        <v>#N/A</v>
      </c>
      <c r="E1888">
        <f>VLOOKUP(C1888,'[1]CÓDIGOS DE PRODUCTO'!$A$4:$B$156,2,FALSE)</f>
        <v>0</v>
      </c>
      <c r="F1888">
        <f>INDEX('[1]CÓDIGOS DE PRODUCTO'!$C$3:$C$1000,MATCH(C1888,'[1]CÓDIGOS DE PRODUCTO'!$A$3:$A$1000,0))</f>
        <v>0</v>
      </c>
      <c r="G1888">
        <f>+'[1]VENTAS(RESUMEN GLOBAL)'!D1888-'[1]VENTAS(RESUMEN GLOBAL)'!E1888</f>
        <v>0</v>
      </c>
      <c r="H1888" s="9">
        <f>+'[1]VENTAS(RESUMEN GLOBAL)'!K1888</f>
        <v>0</v>
      </c>
      <c r="I1888" s="8">
        <f>+G1888*'[1]VENTAS(RESUMEN GLOBAL)'!F1888</f>
        <v>0</v>
      </c>
      <c r="J1888" s="8">
        <f>'[1]VENTAS(RESUMEN GLOBAL)'!G1888*(1-'[1]VENTAS(RESUMEN GLOBAL)'!H1888)</f>
        <v>0</v>
      </c>
      <c r="K1888" s="8">
        <f t="shared" si="29"/>
        <v>0</v>
      </c>
      <c r="L1888" s="8">
        <f>+'[1]VENTAS(RESUMEN GLOBAL)'!J1888</f>
        <v>0</v>
      </c>
      <c r="M1888" s="8">
        <f>+Tabla1[[#This Row],[utilidad x dia]]*7</f>
        <v>0</v>
      </c>
    </row>
    <row r="1889" spans="1:13" x14ac:dyDescent="0.3">
      <c r="A1889" s="6">
        <f>+'[1]VENTAS(RESUMEN GLOBAL)'!L1889</f>
        <v>0</v>
      </c>
      <c r="B1889" s="6">
        <f>+'[1]VENTAS(RESUMEN GLOBAL)'!M1889</f>
        <v>0</v>
      </c>
      <c r="C1889">
        <f>+'[1]VENTAS(RESUMEN GLOBAL)'!B1889</f>
        <v>0</v>
      </c>
      <c r="D1889" t="e">
        <f>INDEX('[1]CÓDIGOS DE PRODUCTO'!$D$3:$D$1000,MATCH(C1889,'[1]CÓDIGOS DE PRODUCTO'!$A$3:$A$1000,0))</f>
        <v>#N/A</v>
      </c>
      <c r="E1889">
        <f>VLOOKUP(C1889,'[1]CÓDIGOS DE PRODUCTO'!$A$4:$B$156,2,FALSE)</f>
        <v>0</v>
      </c>
      <c r="F1889">
        <f>INDEX('[1]CÓDIGOS DE PRODUCTO'!$C$3:$C$1000,MATCH(C1889,'[1]CÓDIGOS DE PRODUCTO'!$A$3:$A$1000,0))</f>
        <v>0</v>
      </c>
      <c r="G1889">
        <f>+'[1]VENTAS(RESUMEN GLOBAL)'!D1889-'[1]VENTAS(RESUMEN GLOBAL)'!E1889</f>
        <v>0</v>
      </c>
      <c r="H1889" s="9">
        <f>+'[1]VENTAS(RESUMEN GLOBAL)'!K1889</f>
        <v>0</v>
      </c>
      <c r="I1889" s="8">
        <f>+G1889*'[1]VENTAS(RESUMEN GLOBAL)'!F1889</f>
        <v>0</v>
      </c>
      <c r="J1889" s="8">
        <f>'[1]VENTAS(RESUMEN GLOBAL)'!G1889*(1-'[1]VENTAS(RESUMEN GLOBAL)'!H1889)</f>
        <v>0</v>
      </c>
      <c r="K1889" s="8">
        <f t="shared" si="29"/>
        <v>0</v>
      </c>
      <c r="L1889" s="8">
        <f>+'[1]VENTAS(RESUMEN GLOBAL)'!J1889</f>
        <v>0</v>
      </c>
      <c r="M1889" s="8">
        <f>+Tabla1[[#This Row],[utilidad x dia]]*7</f>
        <v>0</v>
      </c>
    </row>
    <row r="1890" spans="1:13" x14ac:dyDescent="0.3">
      <c r="A1890" s="6">
        <f>+'[1]VENTAS(RESUMEN GLOBAL)'!L1890</f>
        <v>0</v>
      </c>
      <c r="B1890" s="6">
        <f>+'[1]VENTAS(RESUMEN GLOBAL)'!M1890</f>
        <v>0</v>
      </c>
      <c r="C1890">
        <f>+'[1]VENTAS(RESUMEN GLOBAL)'!B1890</f>
        <v>0</v>
      </c>
      <c r="D1890" t="e">
        <f>INDEX('[1]CÓDIGOS DE PRODUCTO'!$D$3:$D$1000,MATCH(C1890,'[1]CÓDIGOS DE PRODUCTO'!$A$3:$A$1000,0))</f>
        <v>#N/A</v>
      </c>
      <c r="E1890">
        <f>VLOOKUP(C1890,'[1]CÓDIGOS DE PRODUCTO'!$A$4:$B$156,2,FALSE)</f>
        <v>0</v>
      </c>
      <c r="F1890">
        <f>INDEX('[1]CÓDIGOS DE PRODUCTO'!$C$3:$C$1000,MATCH(C1890,'[1]CÓDIGOS DE PRODUCTO'!$A$3:$A$1000,0))</f>
        <v>0</v>
      </c>
      <c r="G1890">
        <f>+'[1]VENTAS(RESUMEN GLOBAL)'!D1890-'[1]VENTAS(RESUMEN GLOBAL)'!E1890</f>
        <v>0</v>
      </c>
      <c r="H1890" s="9">
        <f>+'[1]VENTAS(RESUMEN GLOBAL)'!K1890</f>
        <v>0</v>
      </c>
      <c r="I1890" s="8">
        <f>+G1890*'[1]VENTAS(RESUMEN GLOBAL)'!F1890</f>
        <v>0</v>
      </c>
      <c r="J1890" s="8">
        <f>'[1]VENTAS(RESUMEN GLOBAL)'!G1890*(1-'[1]VENTAS(RESUMEN GLOBAL)'!H1890)</f>
        <v>0</v>
      </c>
      <c r="K1890" s="8">
        <f t="shared" si="29"/>
        <v>0</v>
      </c>
      <c r="L1890" s="8">
        <f>+'[1]VENTAS(RESUMEN GLOBAL)'!J1890</f>
        <v>0</v>
      </c>
      <c r="M1890" s="8">
        <f>+Tabla1[[#This Row],[utilidad x dia]]*7</f>
        <v>0</v>
      </c>
    </row>
    <row r="1891" spans="1:13" x14ac:dyDescent="0.3">
      <c r="A1891" s="6">
        <f>+'[1]VENTAS(RESUMEN GLOBAL)'!L1891</f>
        <v>0</v>
      </c>
      <c r="B1891" s="6">
        <f>+'[1]VENTAS(RESUMEN GLOBAL)'!M1891</f>
        <v>0</v>
      </c>
      <c r="C1891">
        <f>+'[1]VENTAS(RESUMEN GLOBAL)'!B1891</f>
        <v>0</v>
      </c>
      <c r="D1891" t="e">
        <f>INDEX('[1]CÓDIGOS DE PRODUCTO'!$D$3:$D$1000,MATCH(C1891,'[1]CÓDIGOS DE PRODUCTO'!$A$3:$A$1000,0))</f>
        <v>#N/A</v>
      </c>
      <c r="E1891">
        <f>VLOOKUP(C1891,'[1]CÓDIGOS DE PRODUCTO'!$A$4:$B$156,2,FALSE)</f>
        <v>0</v>
      </c>
      <c r="F1891">
        <f>INDEX('[1]CÓDIGOS DE PRODUCTO'!$C$3:$C$1000,MATCH(C1891,'[1]CÓDIGOS DE PRODUCTO'!$A$3:$A$1000,0))</f>
        <v>0</v>
      </c>
      <c r="G1891">
        <f>+'[1]VENTAS(RESUMEN GLOBAL)'!D1891-'[1]VENTAS(RESUMEN GLOBAL)'!E1891</f>
        <v>0</v>
      </c>
      <c r="H1891" s="9">
        <f>+'[1]VENTAS(RESUMEN GLOBAL)'!K1891</f>
        <v>0</v>
      </c>
      <c r="I1891" s="8">
        <f>+G1891*'[1]VENTAS(RESUMEN GLOBAL)'!F1891</f>
        <v>0</v>
      </c>
      <c r="J1891" s="8">
        <f>'[1]VENTAS(RESUMEN GLOBAL)'!G1891*(1-'[1]VENTAS(RESUMEN GLOBAL)'!H1891)</f>
        <v>0</v>
      </c>
      <c r="K1891" s="8">
        <f t="shared" si="29"/>
        <v>0</v>
      </c>
      <c r="L1891" s="8">
        <f>+'[1]VENTAS(RESUMEN GLOBAL)'!J1891</f>
        <v>0</v>
      </c>
      <c r="M1891" s="8">
        <f>+Tabla1[[#This Row],[utilidad x dia]]*7</f>
        <v>0</v>
      </c>
    </row>
    <row r="1892" spans="1:13" x14ac:dyDescent="0.3">
      <c r="A1892" s="6">
        <f>+'[1]VENTAS(RESUMEN GLOBAL)'!L1892</f>
        <v>0</v>
      </c>
      <c r="B1892" s="6">
        <f>+'[1]VENTAS(RESUMEN GLOBAL)'!M1892</f>
        <v>0</v>
      </c>
      <c r="C1892">
        <f>+'[1]VENTAS(RESUMEN GLOBAL)'!B1892</f>
        <v>0</v>
      </c>
      <c r="D1892" t="e">
        <f>INDEX('[1]CÓDIGOS DE PRODUCTO'!$D$3:$D$1000,MATCH(C1892,'[1]CÓDIGOS DE PRODUCTO'!$A$3:$A$1000,0))</f>
        <v>#N/A</v>
      </c>
      <c r="E1892">
        <f>VLOOKUP(C1892,'[1]CÓDIGOS DE PRODUCTO'!$A$4:$B$156,2,FALSE)</f>
        <v>0</v>
      </c>
      <c r="F1892">
        <f>INDEX('[1]CÓDIGOS DE PRODUCTO'!$C$3:$C$1000,MATCH(C1892,'[1]CÓDIGOS DE PRODUCTO'!$A$3:$A$1000,0))</f>
        <v>0</v>
      </c>
      <c r="G1892">
        <f>+'[1]VENTAS(RESUMEN GLOBAL)'!D1892-'[1]VENTAS(RESUMEN GLOBAL)'!E1892</f>
        <v>0</v>
      </c>
      <c r="H1892" s="9">
        <f>+'[1]VENTAS(RESUMEN GLOBAL)'!K1892</f>
        <v>0</v>
      </c>
      <c r="I1892" s="8">
        <f>+G1892*'[1]VENTAS(RESUMEN GLOBAL)'!F1892</f>
        <v>0</v>
      </c>
      <c r="J1892" s="8">
        <f>'[1]VENTAS(RESUMEN GLOBAL)'!G1892*(1-'[1]VENTAS(RESUMEN GLOBAL)'!H1892)</f>
        <v>0</v>
      </c>
      <c r="K1892" s="8">
        <f t="shared" si="29"/>
        <v>0</v>
      </c>
      <c r="L1892" s="8">
        <f>+'[1]VENTAS(RESUMEN GLOBAL)'!J1892</f>
        <v>0</v>
      </c>
      <c r="M1892" s="8">
        <f>+Tabla1[[#This Row],[utilidad x dia]]*7</f>
        <v>0</v>
      </c>
    </row>
    <row r="1893" spans="1:13" x14ac:dyDescent="0.3">
      <c r="A1893" s="6">
        <f>+'[1]VENTAS(RESUMEN GLOBAL)'!L1893</f>
        <v>0</v>
      </c>
      <c r="B1893" s="6">
        <f>+'[1]VENTAS(RESUMEN GLOBAL)'!M1893</f>
        <v>0</v>
      </c>
      <c r="C1893">
        <f>+'[1]VENTAS(RESUMEN GLOBAL)'!B1893</f>
        <v>0</v>
      </c>
      <c r="D1893" t="e">
        <f>INDEX('[1]CÓDIGOS DE PRODUCTO'!$D$3:$D$1000,MATCH(C1893,'[1]CÓDIGOS DE PRODUCTO'!$A$3:$A$1000,0))</f>
        <v>#N/A</v>
      </c>
      <c r="E1893">
        <f>VLOOKUP(C1893,'[1]CÓDIGOS DE PRODUCTO'!$A$4:$B$156,2,FALSE)</f>
        <v>0</v>
      </c>
      <c r="F1893">
        <f>INDEX('[1]CÓDIGOS DE PRODUCTO'!$C$3:$C$1000,MATCH(C1893,'[1]CÓDIGOS DE PRODUCTO'!$A$3:$A$1000,0))</f>
        <v>0</v>
      </c>
      <c r="G1893">
        <f>+'[1]VENTAS(RESUMEN GLOBAL)'!D1893-'[1]VENTAS(RESUMEN GLOBAL)'!E1893</f>
        <v>0</v>
      </c>
      <c r="H1893" s="9">
        <f>+'[1]VENTAS(RESUMEN GLOBAL)'!K1893</f>
        <v>0</v>
      </c>
      <c r="I1893" s="8">
        <f>+G1893*'[1]VENTAS(RESUMEN GLOBAL)'!F1893</f>
        <v>0</v>
      </c>
      <c r="J1893" s="8">
        <f>'[1]VENTAS(RESUMEN GLOBAL)'!G1893*(1-'[1]VENTAS(RESUMEN GLOBAL)'!H1893)</f>
        <v>0</v>
      </c>
      <c r="K1893" s="8">
        <f t="shared" si="29"/>
        <v>0</v>
      </c>
      <c r="L1893" s="8">
        <f>+'[1]VENTAS(RESUMEN GLOBAL)'!J1893</f>
        <v>0</v>
      </c>
      <c r="M1893" s="8">
        <f>+Tabla1[[#This Row],[utilidad x dia]]*7</f>
        <v>0</v>
      </c>
    </row>
    <row r="1894" spans="1:13" x14ac:dyDescent="0.3">
      <c r="A1894" s="6">
        <f>+'[1]VENTAS(RESUMEN GLOBAL)'!L1894</f>
        <v>0</v>
      </c>
      <c r="B1894" s="6">
        <f>+'[1]VENTAS(RESUMEN GLOBAL)'!M1894</f>
        <v>0</v>
      </c>
      <c r="C1894">
        <f>+'[1]VENTAS(RESUMEN GLOBAL)'!B1894</f>
        <v>0</v>
      </c>
      <c r="D1894" t="e">
        <f>INDEX('[1]CÓDIGOS DE PRODUCTO'!$D$3:$D$1000,MATCH(C1894,'[1]CÓDIGOS DE PRODUCTO'!$A$3:$A$1000,0))</f>
        <v>#N/A</v>
      </c>
      <c r="E1894">
        <f>VLOOKUP(C1894,'[1]CÓDIGOS DE PRODUCTO'!$A$4:$B$156,2,FALSE)</f>
        <v>0</v>
      </c>
      <c r="F1894">
        <f>INDEX('[1]CÓDIGOS DE PRODUCTO'!$C$3:$C$1000,MATCH(C1894,'[1]CÓDIGOS DE PRODUCTO'!$A$3:$A$1000,0))</f>
        <v>0</v>
      </c>
      <c r="G1894">
        <f>+'[1]VENTAS(RESUMEN GLOBAL)'!D1894-'[1]VENTAS(RESUMEN GLOBAL)'!E1894</f>
        <v>0</v>
      </c>
      <c r="H1894" s="9">
        <f>+'[1]VENTAS(RESUMEN GLOBAL)'!K1894</f>
        <v>0</v>
      </c>
      <c r="I1894" s="8">
        <f>+G1894*'[1]VENTAS(RESUMEN GLOBAL)'!F1894</f>
        <v>0</v>
      </c>
      <c r="J1894" s="8">
        <f>'[1]VENTAS(RESUMEN GLOBAL)'!G1894*(1-'[1]VENTAS(RESUMEN GLOBAL)'!H1894)</f>
        <v>0</v>
      </c>
      <c r="K1894" s="8">
        <f t="shared" si="29"/>
        <v>0</v>
      </c>
      <c r="L1894" s="8">
        <f>+'[1]VENTAS(RESUMEN GLOBAL)'!J1894</f>
        <v>0</v>
      </c>
      <c r="M1894" s="8">
        <f>+Tabla1[[#This Row],[utilidad x dia]]*7</f>
        <v>0</v>
      </c>
    </row>
    <row r="1895" spans="1:13" x14ac:dyDescent="0.3">
      <c r="A1895" s="6">
        <f>+'[1]VENTAS(RESUMEN GLOBAL)'!L1895</f>
        <v>0</v>
      </c>
      <c r="B1895" s="6">
        <f>+'[1]VENTAS(RESUMEN GLOBAL)'!M1895</f>
        <v>0</v>
      </c>
      <c r="C1895">
        <f>+'[1]VENTAS(RESUMEN GLOBAL)'!B1895</f>
        <v>0</v>
      </c>
      <c r="D1895" t="e">
        <f>INDEX('[1]CÓDIGOS DE PRODUCTO'!$D$3:$D$1000,MATCH(C1895,'[1]CÓDIGOS DE PRODUCTO'!$A$3:$A$1000,0))</f>
        <v>#N/A</v>
      </c>
      <c r="E1895">
        <f>VLOOKUP(C1895,'[1]CÓDIGOS DE PRODUCTO'!$A$4:$B$156,2,FALSE)</f>
        <v>0</v>
      </c>
      <c r="F1895">
        <f>INDEX('[1]CÓDIGOS DE PRODUCTO'!$C$3:$C$1000,MATCH(C1895,'[1]CÓDIGOS DE PRODUCTO'!$A$3:$A$1000,0))</f>
        <v>0</v>
      </c>
      <c r="G1895">
        <f>+'[1]VENTAS(RESUMEN GLOBAL)'!D1895-'[1]VENTAS(RESUMEN GLOBAL)'!E1895</f>
        <v>0</v>
      </c>
      <c r="H1895" s="9">
        <f>+'[1]VENTAS(RESUMEN GLOBAL)'!K1895</f>
        <v>0</v>
      </c>
      <c r="I1895" s="8">
        <f>+G1895*'[1]VENTAS(RESUMEN GLOBAL)'!F1895</f>
        <v>0</v>
      </c>
      <c r="J1895" s="8">
        <f>'[1]VENTAS(RESUMEN GLOBAL)'!G1895*(1-'[1]VENTAS(RESUMEN GLOBAL)'!H1895)</f>
        <v>0</v>
      </c>
      <c r="K1895" s="8">
        <f t="shared" si="29"/>
        <v>0</v>
      </c>
      <c r="L1895" s="8">
        <f>+'[1]VENTAS(RESUMEN GLOBAL)'!J1895</f>
        <v>0</v>
      </c>
      <c r="M1895" s="8">
        <f>+Tabla1[[#This Row],[utilidad x dia]]*7</f>
        <v>0</v>
      </c>
    </row>
    <row r="1896" spans="1:13" x14ac:dyDescent="0.3">
      <c r="A1896" s="6">
        <f>+'[1]VENTAS(RESUMEN GLOBAL)'!L1896</f>
        <v>0</v>
      </c>
      <c r="B1896" s="6">
        <f>+'[1]VENTAS(RESUMEN GLOBAL)'!M1896</f>
        <v>0</v>
      </c>
      <c r="C1896">
        <f>+'[1]VENTAS(RESUMEN GLOBAL)'!B1896</f>
        <v>0</v>
      </c>
      <c r="D1896" t="e">
        <f>INDEX('[1]CÓDIGOS DE PRODUCTO'!$D$3:$D$1000,MATCH(C1896,'[1]CÓDIGOS DE PRODUCTO'!$A$3:$A$1000,0))</f>
        <v>#N/A</v>
      </c>
      <c r="E1896">
        <f>VLOOKUP(C1896,'[1]CÓDIGOS DE PRODUCTO'!$A$4:$B$156,2,FALSE)</f>
        <v>0</v>
      </c>
      <c r="F1896">
        <f>INDEX('[1]CÓDIGOS DE PRODUCTO'!$C$3:$C$1000,MATCH(C1896,'[1]CÓDIGOS DE PRODUCTO'!$A$3:$A$1000,0))</f>
        <v>0</v>
      </c>
      <c r="G1896">
        <f>+'[1]VENTAS(RESUMEN GLOBAL)'!D1896-'[1]VENTAS(RESUMEN GLOBAL)'!E1896</f>
        <v>0</v>
      </c>
      <c r="H1896" s="9">
        <f>+'[1]VENTAS(RESUMEN GLOBAL)'!K1896</f>
        <v>0</v>
      </c>
      <c r="I1896" s="8">
        <f>+G1896*'[1]VENTAS(RESUMEN GLOBAL)'!F1896</f>
        <v>0</v>
      </c>
      <c r="J1896" s="8">
        <f>'[1]VENTAS(RESUMEN GLOBAL)'!G1896*(1-'[1]VENTAS(RESUMEN GLOBAL)'!H1896)</f>
        <v>0</v>
      </c>
      <c r="K1896" s="8">
        <f t="shared" si="29"/>
        <v>0</v>
      </c>
      <c r="L1896" s="8">
        <f>+'[1]VENTAS(RESUMEN GLOBAL)'!J1896</f>
        <v>0</v>
      </c>
      <c r="M1896" s="8">
        <f>+Tabla1[[#This Row],[utilidad x dia]]*7</f>
        <v>0</v>
      </c>
    </row>
    <row r="1897" spans="1:13" x14ac:dyDescent="0.3">
      <c r="A1897" s="6">
        <f>+'[1]VENTAS(RESUMEN GLOBAL)'!L1897</f>
        <v>0</v>
      </c>
      <c r="B1897" s="6">
        <f>+'[1]VENTAS(RESUMEN GLOBAL)'!M1897</f>
        <v>0</v>
      </c>
      <c r="C1897">
        <f>+'[1]VENTAS(RESUMEN GLOBAL)'!B1897</f>
        <v>0</v>
      </c>
      <c r="D1897" t="e">
        <f>INDEX('[1]CÓDIGOS DE PRODUCTO'!$D$3:$D$1000,MATCH(C1897,'[1]CÓDIGOS DE PRODUCTO'!$A$3:$A$1000,0))</f>
        <v>#N/A</v>
      </c>
      <c r="E1897">
        <f>VLOOKUP(C1897,'[1]CÓDIGOS DE PRODUCTO'!$A$4:$B$156,2,FALSE)</f>
        <v>0</v>
      </c>
      <c r="F1897">
        <f>INDEX('[1]CÓDIGOS DE PRODUCTO'!$C$3:$C$1000,MATCH(C1897,'[1]CÓDIGOS DE PRODUCTO'!$A$3:$A$1000,0))</f>
        <v>0</v>
      </c>
      <c r="G1897">
        <f>+'[1]VENTAS(RESUMEN GLOBAL)'!D1897-'[1]VENTAS(RESUMEN GLOBAL)'!E1897</f>
        <v>0</v>
      </c>
      <c r="H1897" s="9">
        <f>+'[1]VENTAS(RESUMEN GLOBAL)'!K1897</f>
        <v>0</v>
      </c>
      <c r="I1897" s="8">
        <f>+G1897*'[1]VENTAS(RESUMEN GLOBAL)'!F1897</f>
        <v>0</v>
      </c>
      <c r="J1897" s="8">
        <f>'[1]VENTAS(RESUMEN GLOBAL)'!G1897*(1-'[1]VENTAS(RESUMEN GLOBAL)'!H1897)</f>
        <v>0</v>
      </c>
      <c r="K1897" s="8">
        <f t="shared" si="29"/>
        <v>0</v>
      </c>
      <c r="L1897" s="8">
        <f>+'[1]VENTAS(RESUMEN GLOBAL)'!J1897</f>
        <v>0</v>
      </c>
      <c r="M1897" s="8">
        <f>+Tabla1[[#This Row],[utilidad x dia]]*7</f>
        <v>0</v>
      </c>
    </row>
    <row r="1898" spans="1:13" x14ac:dyDescent="0.3">
      <c r="A1898" s="6">
        <f>+'[1]VENTAS(RESUMEN GLOBAL)'!L1898</f>
        <v>0</v>
      </c>
      <c r="B1898" s="6">
        <f>+'[1]VENTAS(RESUMEN GLOBAL)'!M1898</f>
        <v>0</v>
      </c>
      <c r="C1898">
        <f>+'[1]VENTAS(RESUMEN GLOBAL)'!B1898</f>
        <v>0</v>
      </c>
      <c r="D1898" t="e">
        <f>INDEX('[1]CÓDIGOS DE PRODUCTO'!$D$3:$D$1000,MATCH(C1898,'[1]CÓDIGOS DE PRODUCTO'!$A$3:$A$1000,0))</f>
        <v>#N/A</v>
      </c>
      <c r="E1898">
        <f>VLOOKUP(C1898,'[1]CÓDIGOS DE PRODUCTO'!$A$4:$B$156,2,FALSE)</f>
        <v>0</v>
      </c>
      <c r="F1898">
        <f>INDEX('[1]CÓDIGOS DE PRODUCTO'!$C$3:$C$1000,MATCH(C1898,'[1]CÓDIGOS DE PRODUCTO'!$A$3:$A$1000,0))</f>
        <v>0</v>
      </c>
      <c r="G1898">
        <f>+'[1]VENTAS(RESUMEN GLOBAL)'!D1898-'[1]VENTAS(RESUMEN GLOBAL)'!E1898</f>
        <v>0</v>
      </c>
      <c r="H1898" s="9">
        <f>+'[1]VENTAS(RESUMEN GLOBAL)'!K1898</f>
        <v>0</v>
      </c>
      <c r="I1898" s="8">
        <f>+G1898*'[1]VENTAS(RESUMEN GLOBAL)'!F1898</f>
        <v>0</v>
      </c>
      <c r="J1898" s="8">
        <f>'[1]VENTAS(RESUMEN GLOBAL)'!G1898*(1-'[1]VENTAS(RESUMEN GLOBAL)'!H1898)</f>
        <v>0</v>
      </c>
      <c r="K1898" s="8">
        <f t="shared" si="29"/>
        <v>0</v>
      </c>
      <c r="L1898" s="8">
        <f>+'[1]VENTAS(RESUMEN GLOBAL)'!J1898</f>
        <v>0</v>
      </c>
      <c r="M1898" s="8">
        <f>+Tabla1[[#This Row],[utilidad x dia]]*7</f>
        <v>0</v>
      </c>
    </row>
    <row r="1899" spans="1:13" x14ac:dyDescent="0.3">
      <c r="A1899" s="6">
        <f>+'[1]VENTAS(RESUMEN GLOBAL)'!L1899</f>
        <v>0</v>
      </c>
      <c r="B1899" s="6">
        <f>+'[1]VENTAS(RESUMEN GLOBAL)'!M1899</f>
        <v>0</v>
      </c>
      <c r="C1899">
        <f>+'[1]VENTAS(RESUMEN GLOBAL)'!B1899</f>
        <v>0</v>
      </c>
      <c r="D1899" t="e">
        <f>INDEX('[1]CÓDIGOS DE PRODUCTO'!$D$3:$D$1000,MATCH(C1899,'[1]CÓDIGOS DE PRODUCTO'!$A$3:$A$1000,0))</f>
        <v>#N/A</v>
      </c>
      <c r="E1899">
        <f>VLOOKUP(C1899,'[1]CÓDIGOS DE PRODUCTO'!$A$4:$B$156,2,FALSE)</f>
        <v>0</v>
      </c>
      <c r="F1899">
        <f>INDEX('[1]CÓDIGOS DE PRODUCTO'!$C$3:$C$1000,MATCH(C1899,'[1]CÓDIGOS DE PRODUCTO'!$A$3:$A$1000,0))</f>
        <v>0</v>
      </c>
      <c r="G1899">
        <f>+'[1]VENTAS(RESUMEN GLOBAL)'!D1899-'[1]VENTAS(RESUMEN GLOBAL)'!E1899</f>
        <v>0</v>
      </c>
      <c r="H1899" s="9">
        <f>+'[1]VENTAS(RESUMEN GLOBAL)'!K1899</f>
        <v>0</v>
      </c>
      <c r="I1899" s="8">
        <f>+G1899*'[1]VENTAS(RESUMEN GLOBAL)'!F1899</f>
        <v>0</v>
      </c>
      <c r="J1899" s="8">
        <f>'[1]VENTAS(RESUMEN GLOBAL)'!G1899*(1-'[1]VENTAS(RESUMEN GLOBAL)'!H1899)</f>
        <v>0</v>
      </c>
      <c r="K1899" s="8">
        <f t="shared" si="29"/>
        <v>0</v>
      </c>
      <c r="L1899" s="8">
        <f>+'[1]VENTAS(RESUMEN GLOBAL)'!J1899</f>
        <v>0</v>
      </c>
      <c r="M1899" s="8">
        <f>+Tabla1[[#This Row],[utilidad x dia]]*7</f>
        <v>0</v>
      </c>
    </row>
    <row r="1900" spans="1:13" x14ac:dyDescent="0.3">
      <c r="A1900" s="6">
        <f>+'[1]VENTAS(RESUMEN GLOBAL)'!L1900</f>
        <v>0</v>
      </c>
      <c r="B1900" s="6">
        <f>+'[1]VENTAS(RESUMEN GLOBAL)'!M1900</f>
        <v>0</v>
      </c>
      <c r="C1900">
        <f>+'[1]VENTAS(RESUMEN GLOBAL)'!B1900</f>
        <v>0</v>
      </c>
      <c r="D1900" t="e">
        <f>INDEX('[1]CÓDIGOS DE PRODUCTO'!$D$3:$D$1000,MATCH(C1900,'[1]CÓDIGOS DE PRODUCTO'!$A$3:$A$1000,0))</f>
        <v>#N/A</v>
      </c>
      <c r="E1900">
        <f>VLOOKUP(C1900,'[1]CÓDIGOS DE PRODUCTO'!$A$4:$B$156,2,FALSE)</f>
        <v>0</v>
      </c>
      <c r="F1900">
        <f>INDEX('[1]CÓDIGOS DE PRODUCTO'!$C$3:$C$1000,MATCH(C1900,'[1]CÓDIGOS DE PRODUCTO'!$A$3:$A$1000,0))</f>
        <v>0</v>
      </c>
      <c r="G1900">
        <f>+'[1]VENTAS(RESUMEN GLOBAL)'!D1900-'[1]VENTAS(RESUMEN GLOBAL)'!E1900</f>
        <v>0</v>
      </c>
      <c r="H1900" s="9">
        <f>+'[1]VENTAS(RESUMEN GLOBAL)'!K1900</f>
        <v>0</v>
      </c>
      <c r="I1900" s="8">
        <f>+G1900*'[1]VENTAS(RESUMEN GLOBAL)'!F1900</f>
        <v>0</v>
      </c>
      <c r="J1900" s="8">
        <f>'[1]VENTAS(RESUMEN GLOBAL)'!G1900*(1-'[1]VENTAS(RESUMEN GLOBAL)'!H1900)</f>
        <v>0</v>
      </c>
      <c r="K1900" s="8">
        <f t="shared" si="29"/>
        <v>0</v>
      </c>
      <c r="L1900" s="8">
        <f>+'[1]VENTAS(RESUMEN GLOBAL)'!J1900</f>
        <v>0</v>
      </c>
      <c r="M1900" s="8">
        <f>+Tabla1[[#This Row],[utilidad x dia]]*7</f>
        <v>0</v>
      </c>
    </row>
    <row r="1901" spans="1:13" x14ac:dyDescent="0.3">
      <c r="A1901" s="6">
        <f>+'[1]VENTAS(RESUMEN GLOBAL)'!L1901</f>
        <v>0</v>
      </c>
      <c r="B1901" s="6">
        <f>+'[1]VENTAS(RESUMEN GLOBAL)'!M1901</f>
        <v>0</v>
      </c>
      <c r="C1901">
        <f>+'[1]VENTAS(RESUMEN GLOBAL)'!B1901</f>
        <v>0</v>
      </c>
      <c r="D1901" t="e">
        <f>INDEX('[1]CÓDIGOS DE PRODUCTO'!$D$3:$D$1000,MATCH(C1901,'[1]CÓDIGOS DE PRODUCTO'!$A$3:$A$1000,0))</f>
        <v>#N/A</v>
      </c>
      <c r="E1901">
        <f>VLOOKUP(C1901,'[1]CÓDIGOS DE PRODUCTO'!$A$4:$B$156,2,FALSE)</f>
        <v>0</v>
      </c>
      <c r="F1901">
        <f>INDEX('[1]CÓDIGOS DE PRODUCTO'!$C$3:$C$1000,MATCH(C1901,'[1]CÓDIGOS DE PRODUCTO'!$A$3:$A$1000,0))</f>
        <v>0</v>
      </c>
      <c r="G1901">
        <f>+'[1]VENTAS(RESUMEN GLOBAL)'!D1901-'[1]VENTAS(RESUMEN GLOBAL)'!E1901</f>
        <v>0</v>
      </c>
      <c r="H1901" s="9">
        <f>+'[1]VENTAS(RESUMEN GLOBAL)'!K1901</f>
        <v>0</v>
      </c>
      <c r="I1901" s="8">
        <f>+G1901*'[1]VENTAS(RESUMEN GLOBAL)'!F1901</f>
        <v>0</v>
      </c>
      <c r="J1901" s="8">
        <f>'[1]VENTAS(RESUMEN GLOBAL)'!G1901*(1-'[1]VENTAS(RESUMEN GLOBAL)'!H1901)</f>
        <v>0</v>
      </c>
      <c r="K1901" s="8">
        <f t="shared" si="29"/>
        <v>0</v>
      </c>
      <c r="L1901" s="8">
        <f>+'[1]VENTAS(RESUMEN GLOBAL)'!J1901</f>
        <v>0</v>
      </c>
      <c r="M1901" s="8">
        <f>+Tabla1[[#This Row],[utilidad x dia]]*7</f>
        <v>0</v>
      </c>
    </row>
    <row r="1902" spans="1:13" x14ac:dyDescent="0.3">
      <c r="A1902" s="6">
        <f>+'[1]VENTAS(RESUMEN GLOBAL)'!L1902</f>
        <v>0</v>
      </c>
      <c r="B1902" s="6">
        <f>+'[1]VENTAS(RESUMEN GLOBAL)'!M1902</f>
        <v>0</v>
      </c>
      <c r="C1902">
        <f>+'[1]VENTAS(RESUMEN GLOBAL)'!B1902</f>
        <v>0</v>
      </c>
      <c r="D1902" t="e">
        <f>INDEX('[1]CÓDIGOS DE PRODUCTO'!$D$3:$D$1000,MATCH(C1902,'[1]CÓDIGOS DE PRODUCTO'!$A$3:$A$1000,0))</f>
        <v>#N/A</v>
      </c>
      <c r="E1902">
        <f>VLOOKUP(C1902,'[1]CÓDIGOS DE PRODUCTO'!$A$4:$B$156,2,FALSE)</f>
        <v>0</v>
      </c>
      <c r="F1902">
        <f>INDEX('[1]CÓDIGOS DE PRODUCTO'!$C$3:$C$1000,MATCH(C1902,'[1]CÓDIGOS DE PRODUCTO'!$A$3:$A$1000,0))</f>
        <v>0</v>
      </c>
      <c r="G1902">
        <f>+'[1]VENTAS(RESUMEN GLOBAL)'!D1902-'[1]VENTAS(RESUMEN GLOBAL)'!E1902</f>
        <v>0</v>
      </c>
      <c r="H1902" s="9">
        <f>+'[1]VENTAS(RESUMEN GLOBAL)'!K1902</f>
        <v>0</v>
      </c>
      <c r="I1902" s="8">
        <f>+G1902*'[1]VENTAS(RESUMEN GLOBAL)'!F1902</f>
        <v>0</v>
      </c>
      <c r="J1902" s="8">
        <f>'[1]VENTAS(RESUMEN GLOBAL)'!G1902*(1-'[1]VENTAS(RESUMEN GLOBAL)'!H1902)</f>
        <v>0</v>
      </c>
      <c r="K1902" s="8">
        <f t="shared" si="29"/>
        <v>0</v>
      </c>
      <c r="L1902" s="8">
        <f>+'[1]VENTAS(RESUMEN GLOBAL)'!J1902</f>
        <v>0</v>
      </c>
      <c r="M1902" s="8">
        <f>+Tabla1[[#This Row],[utilidad x dia]]*7</f>
        <v>0</v>
      </c>
    </row>
    <row r="1903" spans="1:13" x14ac:dyDescent="0.3">
      <c r="A1903" s="6">
        <f>+'[1]VENTAS(RESUMEN GLOBAL)'!L1903</f>
        <v>0</v>
      </c>
      <c r="B1903" s="6">
        <f>+'[1]VENTAS(RESUMEN GLOBAL)'!M1903</f>
        <v>0</v>
      </c>
      <c r="C1903">
        <f>+'[1]VENTAS(RESUMEN GLOBAL)'!B1903</f>
        <v>0</v>
      </c>
      <c r="D1903" t="e">
        <f>INDEX('[1]CÓDIGOS DE PRODUCTO'!$D$3:$D$1000,MATCH(C1903,'[1]CÓDIGOS DE PRODUCTO'!$A$3:$A$1000,0))</f>
        <v>#N/A</v>
      </c>
      <c r="E1903">
        <f>VLOOKUP(C1903,'[1]CÓDIGOS DE PRODUCTO'!$A$4:$B$156,2,FALSE)</f>
        <v>0</v>
      </c>
      <c r="F1903">
        <f>INDEX('[1]CÓDIGOS DE PRODUCTO'!$C$3:$C$1000,MATCH(C1903,'[1]CÓDIGOS DE PRODUCTO'!$A$3:$A$1000,0))</f>
        <v>0</v>
      </c>
      <c r="G1903">
        <f>+'[1]VENTAS(RESUMEN GLOBAL)'!D1903-'[1]VENTAS(RESUMEN GLOBAL)'!E1903</f>
        <v>0</v>
      </c>
      <c r="H1903" s="9">
        <f>+'[1]VENTAS(RESUMEN GLOBAL)'!K1903</f>
        <v>0</v>
      </c>
      <c r="I1903" s="8">
        <f>+G1903*'[1]VENTAS(RESUMEN GLOBAL)'!F1903</f>
        <v>0</v>
      </c>
      <c r="J1903" s="8">
        <f>'[1]VENTAS(RESUMEN GLOBAL)'!G1903*(1-'[1]VENTAS(RESUMEN GLOBAL)'!H1903)</f>
        <v>0</v>
      </c>
      <c r="K1903" s="8">
        <f t="shared" si="29"/>
        <v>0</v>
      </c>
      <c r="L1903" s="8">
        <f>+'[1]VENTAS(RESUMEN GLOBAL)'!J1903</f>
        <v>0</v>
      </c>
      <c r="M1903" s="8">
        <f>+Tabla1[[#This Row],[utilidad x dia]]*7</f>
        <v>0</v>
      </c>
    </row>
    <row r="1904" spans="1:13" x14ac:dyDescent="0.3">
      <c r="A1904" s="6">
        <f>+'[1]VENTAS(RESUMEN GLOBAL)'!L1904</f>
        <v>0</v>
      </c>
      <c r="B1904" s="6">
        <f>+'[1]VENTAS(RESUMEN GLOBAL)'!M1904</f>
        <v>0</v>
      </c>
      <c r="C1904">
        <f>+'[1]VENTAS(RESUMEN GLOBAL)'!B1904</f>
        <v>0</v>
      </c>
      <c r="D1904" t="e">
        <f>INDEX('[1]CÓDIGOS DE PRODUCTO'!$D$3:$D$1000,MATCH(C1904,'[1]CÓDIGOS DE PRODUCTO'!$A$3:$A$1000,0))</f>
        <v>#N/A</v>
      </c>
      <c r="E1904">
        <f>VLOOKUP(C1904,'[1]CÓDIGOS DE PRODUCTO'!$A$4:$B$156,2,FALSE)</f>
        <v>0</v>
      </c>
      <c r="F1904">
        <f>INDEX('[1]CÓDIGOS DE PRODUCTO'!$C$3:$C$1000,MATCH(C1904,'[1]CÓDIGOS DE PRODUCTO'!$A$3:$A$1000,0))</f>
        <v>0</v>
      </c>
      <c r="G1904">
        <f>+'[1]VENTAS(RESUMEN GLOBAL)'!D1904-'[1]VENTAS(RESUMEN GLOBAL)'!E1904</f>
        <v>0</v>
      </c>
      <c r="H1904" s="9">
        <f>+'[1]VENTAS(RESUMEN GLOBAL)'!K1904</f>
        <v>0</v>
      </c>
      <c r="I1904" s="8">
        <f>+G1904*'[1]VENTAS(RESUMEN GLOBAL)'!F1904</f>
        <v>0</v>
      </c>
      <c r="J1904" s="8">
        <f>'[1]VENTAS(RESUMEN GLOBAL)'!G1904*(1-'[1]VENTAS(RESUMEN GLOBAL)'!H1904)</f>
        <v>0</v>
      </c>
      <c r="K1904" s="8">
        <f t="shared" si="29"/>
        <v>0</v>
      </c>
      <c r="L1904" s="8">
        <f>+'[1]VENTAS(RESUMEN GLOBAL)'!J1904</f>
        <v>0</v>
      </c>
      <c r="M1904" s="8">
        <f>+Tabla1[[#This Row],[utilidad x dia]]*7</f>
        <v>0</v>
      </c>
    </row>
    <row r="1905" spans="1:13" x14ac:dyDescent="0.3">
      <c r="A1905" s="6">
        <f>+'[1]VENTAS(RESUMEN GLOBAL)'!L1905</f>
        <v>0</v>
      </c>
      <c r="B1905" s="6">
        <f>+'[1]VENTAS(RESUMEN GLOBAL)'!M1905</f>
        <v>0</v>
      </c>
      <c r="C1905">
        <f>+'[1]VENTAS(RESUMEN GLOBAL)'!B1905</f>
        <v>0</v>
      </c>
      <c r="D1905" t="e">
        <f>INDEX('[1]CÓDIGOS DE PRODUCTO'!$D$3:$D$1000,MATCH(C1905,'[1]CÓDIGOS DE PRODUCTO'!$A$3:$A$1000,0))</f>
        <v>#N/A</v>
      </c>
      <c r="E1905">
        <f>VLOOKUP(C1905,'[1]CÓDIGOS DE PRODUCTO'!$A$4:$B$156,2,FALSE)</f>
        <v>0</v>
      </c>
      <c r="F1905">
        <f>INDEX('[1]CÓDIGOS DE PRODUCTO'!$C$3:$C$1000,MATCH(C1905,'[1]CÓDIGOS DE PRODUCTO'!$A$3:$A$1000,0))</f>
        <v>0</v>
      </c>
      <c r="G1905">
        <f>+'[1]VENTAS(RESUMEN GLOBAL)'!D1905-'[1]VENTAS(RESUMEN GLOBAL)'!E1905</f>
        <v>0</v>
      </c>
      <c r="H1905" s="9">
        <f>+'[1]VENTAS(RESUMEN GLOBAL)'!K1905</f>
        <v>0</v>
      </c>
      <c r="I1905" s="8">
        <f>+G1905*'[1]VENTAS(RESUMEN GLOBAL)'!F1905</f>
        <v>0</v>
      </c>
      <c r="J1905" s="8">
        <f>'[1]VENTAS(RESUMEN GLOBAL)'!G1905*(1-'[1]VENTAS(RESUMEN GLOBAL)'!H1905)</f>
        <v>0</v>
      </c>
      <c r="K1905" s="8">
        <f t="shared" si="29"/>
        <v>0</v>
      </c>
      <c r="L1905" s="8">
        <f>+'[1]VENTAS(RESUMEN GLOBAL)'!J1905</f>
        <v>0</v>
      </c>
      <c r="M1905" s="8">
        <f>+Tabla1[[#This Row],[utilidad x dia]]*7</f>
        <v>0</v>
      </c>
    </row>
    <row r="1906" spans="1:13" x14ac:dyDescent="0.3">
      <c r="A1906" s="6">
        <f>+'[1]VENTAS(RESUMEN GLOBAL)'!L1906</f>
        <v>0</v>
      </c>
      <c r="B1906" s="6">
        <f>+'[1]VENTAS(RESUMEN GLOBAL)'!M1906</f>
        <v>0</v>
      </c>
      <c r="C1906">
        <f>+'[1]VENTAS(RESUMEN GLOBAL)'!B1906</f>
        <v>0</v>
      </c>
      <c r="D1906" t="e">
        <f>INDEX('[1]CÓDIGOS DE PRODUCTO'!$D$3:$D$1000,MATCH(C1906,'[1]CÓDIGOS DE PRODUCTO'!$A$3:$A$1000,0))</f>
        <v>#N/A</v>
      </c>
      <c r="E1906">
        <f>VLOOKUP(C1906,'[1]CÓDIGOS DE PRODUCTO'!$A$4:$B$156,2,FALSE)</f>
        <v>0</v>
      </c>
      <c r="F1906">
        <f>INDEX('[1]CÓDIGOS DE PRODUCTO'!$C$3:$C$1000,MATCH(C1906,'[1]CÓDIGOS DE PRODUCTO'!$A$3:$A$1000,0))</f>
        <v>0</v>
      </c>
      <c r="G1906">
        <f>+'[1]VENTAS(RESUMEN GLOBAL)'!D1906-'[1]VENTAS(RESUMEN GLOBAL)'!E1906</f>
        <v>0</v>
      </c>
      <c r="H1906" s="9">
        <f>+'[1]VENTAS(RESUMEN GLOBAL)'!K1906</f>
        <v>0</v>
      </c>
      <c r="I1906" s="8">
        <f>+G1906*'[1]VENTAS(RESUMEN GLOBAL)'!F1906</f>
        <v>0</v>
      </c>
      <c r="J1906" s="8">
        <f>'[1]VENTAS(RESUMEN GLOBAL)'!G1906*(1-'[1]VENTAS(RESUMEN GLOBAL)'!H1906)</f>
        <v>0</v>
      </c>
      <c r="K1906" s="8">
        <f t="shared" si="29"/>
        <v>0</v>
      </c>
      <c r="L1906" s="8">
        <f>+'[1]VENTAS(RESUMEN GLOBAL)'!J1906</f>
        <v>0</v>
      </c>
      <c r="M1906" s="8">
        <f>+Tabla1[[#This Row],[utilidad x dia]]*7</f>
        <v>0</v>
      </c>
    </row>
    <row r="1907" spans="1:13" x14ac:dyDescent="0.3">
      <c r="A1907" s="6">
        <f>+'[1]VENTAS(RESUMEN GLOBAL)'!L1907</f>
        <v>0</v>
      </c>
      <c r="B1907" s="6">
        <f>+'[1]VENTAS(RESUMEN GLOBAL)'!M1907</f>
        <v>0</v>
      </c>
      <c r="C1907">
        <f>+'[1]VENTAS(RESUMEN GLOBAL)'!B1907</f>
        <v>0</v>
      </c>
      <c r="D1907" t="e">
        <f>INDEX('[1]CÓDIGOS DE PRODUCTO'!$D$3:$D$1000,MATCH(C1907,'[1]CÓDIGOS DE PRODUCTO'!$A$3:$A$1000,0))</f>
        <v>#N/A</v>
      </c>
      <c r="E1907">
        <f>VLOOKUP(C1907,'[1]CÓDIGOS DE PRODUCTO'!$A$4:$B$156,2,FALSE)</f>
        <v>0</v>
      </c>
      <c r="F1907">
        <f>INDEX('[1]CÓDIGOS DE PRODUCTO'!$C$3:$C$1000,MATCH(C1907,'[1]CÓDIGOS DE PRODUCTO'!$A$3:$A$1000,0))</f>
        <v>0</v>
      </c>
      <c r="G1907">
        <f>+'[1]VENTAS(RESUMEN GLOBAL)'!D1907-'[1]VENTAS(RESUMEN GLOBAL)'!E1907</f>
        <v>0</v>
      </c>
      <c r="H1907" s="9">
        <f>+'[1]VENTAS(RESUMEN GLOBAL)'!K1907</f>
        <v>0</v>
      </c>
      <c r="I1907" s="8">
        <f>+G1907*'[1]VENTAS(RESUMEN GLOBAL)'!F1907</f>
        <v>0</v>
      </c>
      <c r="J1907" s="8">
        <f>'[1]VENTAS(RESUMEN GLOBAL)'!G1907*(1-'[1]VENTAS(RESUMEN GLOBAL)'!H1907)</f>
        <v>0</v>
      </c>
      <c r="K1907" s="8">
        <f t="shared" si="29"/>
        <v>0</v>
      </c>
      <c r="L1907" s="8">
        <f>+'[1]VENTAS(RESUMEN GLOBAL)'!J1907</f>
        <v>0</v>
      </c>
      <c r="M1907" s="8">
        <f>+Tabla1[[#This Row],[utilidad x dia]]*7</f>
        <v>0</v>
      </c>
    </row>
    <row r="1908" spans="1:13" x14ac:dyDescent="0.3">
      <c r="A1908" s="6">
        <f>+'[1]VENTAS(RESUMEN GLOBAL)'!L1908</f>
        <v>0</v>
      </c>
      <c r="B1908" s="6">
        <f>+'[1]VENTAS(RESUMEN GLOBAL)'!M1908</f>
        <v>0</v>
      </c>
      <c r="C1908">
        <f>+'[1]VENTAS(RESUMEN GLOBAL)'!B1908</f>
        <v>0</v>
      </c>
      <c r="D1908" t="e">
        <f>INDEX('[1]CÓDIGOS DE PRODUCTO'!$D$3:$D$1000,MATCH(C1908,'[1]CÓDIGOS DE PRODUCTO'!$A$3:$A$1000,0))</f>
        <v>#N/A</v>
      </c>
      <c r="E1908">
        <f>VLOOKUP(C1908,'[1]CÓDIGOS DE PRODUCTO'!$A$4:$B$156,2,FALSE)</f>
        <v>0</v>
      </c>
      <c r="F1908">
        <f>INDEX('[1]CÓDIGOS DE PRODUCTO'!$C$3:$C$1000,MATCH(C1908,'[1]CÓDIGOS DE PRODUCTO'!$A$3:$A$1000,0))</f>
        <v>0</v>
      </c>
      <c r="G1908">
        <f>+'[1]VENTAS(RESUMEN GLOBAL)'!D1908-'[1]VENTAS(RESUMEN GLOBAL)'!E1908</f>
        <v>0</v>
      </c>
      <c r="H1908" s="9">
        <f>+'[1]VENTAS(RESUMEN GLOBAL)'!K1908</f>
        <v>0</v>
      </c>
      <c r="I1908" s="8">
        <f>+G1908*'[1]VENTAS(RESUMEN GLOBAL)'!F1908</f>
        <v>0</v>
      </c>
      <c r="J1908" s="8">
        <f>'[1]VENTAS(RESUMEN GLOBAL)'!G1908*(1-'[1]VENTAS(RESUMEN GLOBAL)'!H1908)</f>
        <v>0</v>
      </c>
      <c r="K1908" s="8">
        <f t="shared" si="29"/>
        <v>0</v>
      </c>
      <c r="L1908" s="8">
        <f>+'[1]VENTAS(RESUMEN GLOBAL)'!J1908</f>
        <v>0</v>
      </c>
      <c r="M1908" s="8">
        <f>+Tabla1[[#This Row],[utilidad x dia]]*7</f>
        <v>0</v>
      </c>
    </row>
    <row r="1909" spans="1:13" x14ac:dyDescent="0.3">
      <c r="A1909" s="6">
        <f>+'[1]VENTAS(RESUMEN GLOBAL)'!L1909</f>
        <v>0</v>
      </c>
      <c r="B1909" s="6">
        <f>+'[1]VENTAS(RESUMEN GLOBAL)'!M1909</f>
        <v>0</v>
      </c>
      <c r="C1909">
        <f>+'[1]VENTAS(RESUMEN GLOBAL)'!B1909</f>
        <v>0</v>
      </c>
      <c r="D1909" t="e">
        <f>INDEX('[1]CÓDIGOS DE PRODUCTO'!$D$3:$D$1000,MATCH(C1909,'[1]CÓDIGOS DE PRODUCTO'!$A$3:$A$1000,0))</f>
        <v>#N/A</v>
      </c>
      <c r="E1909">
        <f>VLOOKUP(C1909,'[1]CÓDIGOS DE PRODUCTO'!$A$4:$B$156,2,FALSE)</f>
        <v>0</v>
      </c>
      <c r="F1909">
        <f>INDEX('[1]CÓDIGOS DE PRODUCTO'!$C$3:$C$1000,MATCH(C1909,'[1]CÓDIGOS DE PRODUCTO'!$A$3:$A$1000,0))</f>
        <v>0</v>
      </c>
      <c r="G1909">
        <f>+'[1]VENTAS(RESUMEN GLOBAL)'!D1909-'[1]VENTAS(RESUMEN GLOBAL)'!E1909</f>
        <v>0</v>
      </c>
      <c r="H1909" s="9">
        <f>+'[1]VENTAS(RESUMEN GLOBAL)'!K1909</f>
        <v>0</v>
      </c>
      <c r="I1909" s="8">
        <f>+G1909*'[1]VENTAS(RESUMEN GLOBAL)'!F1909</f>
        <v>0</v>
      </c>
      <c r="J1909" s="8">
        <f>'[1]VENTAS(RESUMEN GLOBAL)'!G1909*(1-'[1]VENTAS(RESUMEN GLOBAL)'!H1909)</f>
        <v>0</v>
      </c>
      <c r="K1909" s="8">
        <f t="shared" si="29"/>
        <v>0</v>
      </c>
      <c r="L1909" s="8">
        <f>+'[1]VENTAS(RESUMEN GLOBAL)'!J1909</f>
        <v>0</v>
      </c>
      <c r="M1909" s="8">
        <f>+Tabla1[[#This Row],[utilidad x dia]]*7</f>
        <v>0</v>
      </c>
    </row>
    <row r="1910" spans="1:13" x14ac:dyDescent="0.3">
      <c r="A1910" s="6">
        <f>+'[1]VENTAS(RESUMEN GLOBAL)'!L1910</f>
        <v>0</v>
      </c>
      <c r="B1910" s="6">
        <f>+'[1]VENTAS(RESUMEN GLOBAL)'!M1910</f>
        <v>0</v>
      </c>
      <c r="C1910">
        <f>+'[1]VENTAS(RESUMEN GLOBAL)'!B1910</f>
        <v>0</v>
      </c>
      <c r="D1910" t="e">
        <f>INDEX('[1]CÓDIGOS DE PRODUCTO'!$D$3:$D$1000,MATCH(C1910,'[1]CÓDIGOS DE PRODUCTO'!$A$3:$A$1000,0))</f>
        <v>#N/A</v>
      </c>
      <c r="E1910">
        <f>VLOOKUP(C1910,'[1]CÓDIGOS DE PRODUCTO'!$A$4:$B$156,2,FALSE)</f>
        <v>0</v>
      </c>
      <c r="F1910">
        <f>INDEX('[1]CÓDIGOS DE PRODUCTO'!$C$3:$C$1000,MATCH(C1910,'[1]CÓDIGOS DE PRODUCTO'!$A$3:$A$1000,0))</f>
        <v>0</v>
      </c>
      <c r="G1910">
        <f>+'[1]VENTAS(RESUMEN GLOBAL)'!D1910-'[1]VENTAS(RESUMEN GLOBAL)'!E1910</f>
        <v>0</v>
      </c>
      <c r="H1910" s="9">
        <f>+'[1]VENTAS(RESUMEN GLOBAL)'!K1910</f>
        <v>0</v>
      </c>
      <c r="I1910" s="8">
        <f>+G1910*'[1]VENTAS(RESUMEN GLOBAL)'!F1910</f>
        <v>0</v>
      </c>
      <c r="J1910" s="8">
        <f>'[1]VENTAS(RESUMEN GLOBAL)'!G1910*(1-'[1]VENTAS(RESUMEN GLOBAL)'!H1910)</f>
        <v>0</v>
      </c>
      <c r="K1910" s="8">
        <f t="shared" si="29"/>
        <v>0</v>
      </c>
      <c r="L1910" s="8">
        <f>+'[1]VENTAS(RESUMEN GLOBAL)'!J1910</f>
        <v>0</v>
      </c>
      <c r="M1910" s="8">
        <f>+Tabla1[[#This Row],[utilidad x dia]]*7</f>
        <v>0</v>
      </c>
    </row>
    <row r="1911" spans="1:13" x14ac:dyDescent="0.3">
      <c r="A1911" s="6">
        <f>+'[1]VENTAS(RESUMEN GLOBAL)'!L1911</f>
        <v>0</v>
      </c>
      <c r="B1911" s="6">
        <f>+'[1]VENTAS(RESUMEN GLOBAL)'!M1911</f>
        <v>0</v>
      </c>
      <c r="C1911">
        <f>+'[1]VENTAS(RESUMEN GLOBAL)'!B1911</f>
        <v>0</v>
      </c>
      <c r="D1911" t="e">
        <f>INDEX('[1]CÓDIGOS DE PRODUCTO'!$D$3:$D$1000,MATCH(C1911,'[1]CÓDIGOS DE PRODUCTO'!$A$3:$A$1000,0))</f>
        <v>#N/A</v>
      </c>
      <c r="E1911">
        <f>VLOOKUP(C1911,'[1]CÓDIGOS DE PRODUCTO'!$A$4:$B$156,2,FALSE)</f>
        <v>0</v>
      </c>
      <c r="F1911">
        <f>INDEX('[1]CÓDIGOS DE PRODUCTO'!$C$3:$C$1000,MATCH(C1911,'[1]CÓDIGOS DE PRODUCTO'!$A$3:$A$1000,0))</f>
        <v>0</v>
      </c>
      <c r="G1911">
        <f>+'[1]VENTAS(RESUMEN GLOBAL)'!D1911-'[1]VENTAS(RESUMEN GLOBAL)'!E1911</f>
        <v>0</v>
      </c>
      <c r="H1911" s="9">
        <f>+'[1]VENTAS(RESUMEN GLOBAL)'!K1911</f>
        <v>0</v>
      </c>
      <c r="I1911" s="8">
        <f>+G1911*'[1]VENTAS(RESUMEN GLOBAL)'!F1911</f>
        <v>0</v>
      </c>
      <c r="J1911" s="8">
        <f>'[1]VENTAS(RESUMEN GLOBAL)'!G1911*(1-'[1]VENTAS(RESUMEN GLOBAL)'!H1911)</f>
        <v>0</v>
      </c>
      <c r="K1911" s="8">
        <f t="shared" si="29"/>
        <v>0</v>
      </c>
      <c r="L1911" s="8">
        <f>+'[1]VENTAS(RESUMEN GLOBAL)'!J1911</f>
        <v>0</v>
      </c>
      <c r="M1911" s="8">
        <f>+Tabla1[[#This Row],[utilidad x dia]]*7</f>
        <v>0</v>
      </c>
    </row>
    <row r="1912" spans="1:13" x14ac:dyDescent="0.3">
      <c r="A1912" s="6">
        <f>+'[1]VENTAS(RESUMEN GLOBAL)'!L1912</f>
        <v>0</v>
      </c>
      <c r="B1912" s="6">
        <f>+'[1]VENTAS(RESUMEN GLOBAL)'!M1912</f>
        <v>0</v>
      </c>
      <c r="C1912">
        <f>+'[1]VENTAS(RESUMEN GLOBAL)'!B1912</f>
        <v>0</v>
      </c>
      <c r="D1912" t="e">
        <f>INDEX('[1]CÓDIGOS DE PRODUCTO'!$D$3:$D$1000,MATCH(C1912,'[1]CÓDIGOS DE PRODUCTO'!$A$3:$A$1000,0))</f>
        <v>#N/A</v>
      </c>
      <c r="E1912">
        <f>VLOOKUP(C1912,'[1]CÓDIGOS DE PRODUCTO'!$A$4:$B$156,2,FALSE)</f>
        <v>0</v>
      </c>
      <c r="F1912">
        <f>INDEX('[1]CÓDIGOS DE PRODUCTO'!$C$3:$C$1000,MATCH(C1912,'[1]CÓDIGOS DE PRODUCTO'!$A$3:$A$1000,0))</f>
        <v>0</v>
      </c>
      <c r="G1912">
        <f>+'[1]VENTAS(RESUMEN GLOBAL)'!D1912-'[1]VENTAS(RESUMEN GLOBAL)'!E1912</f>
        <v>0</v>
      </c>
      <c r="H1912" s="9">
        <f>+'[1]VENTAS(RESUMEN GLOBAL)'!K1912</f>
        <v>0</v>
      </c>
      <c r="I1912" s="8">
        <f>+G1912*'[1]VENTAS(RESUMEN GLOBAL)'!F1912</f>
        <v>0</v>
      </c>
      <c r="J1912" s="8">
        <f>'[1]VENTAS(RESUMEN GLOBAL)'!G1912*(1-'[1]VENTAS(RESUMEN GLOBAL)'!H1912)</f>
        <v>0</v>
      </c>
      <c r="K1912" s="8">
        <f t="shared" si="29"/>
        <v>0</v>
      </c>
      <c r="L1912" s="8">
        <f>+'[1]VENTAS(RESUMEN GLOBAL)'!J1912</f>
        <v>0</v>
      </c>
      <c r="M1912" s="8">
        <f>+Tabla1[[#This Row],[utilidad x dia]]*7</f>
        <v>0</v>
      </c>
    </row>
    <row r="1913" spans="1:13" x14ac:dyDescent="0.3">
      <c r="A1913" s="6">
        <f>+'[1]VENTAS(RESUMEN GLOBAL)'!L1913</f>
        <v>0</v>
      </c>
      <c r="B1913" s="6">
        <f>+'[1]VENTAS(RESUMEN GLOBAL)'!M1913</f>
        <v>0</v>
      </c>
      <c r="C1913">
        <f>+'[1]VENTAS(RESUMEN GLOBAL)'!B1913</f>
        <v>0</v>
      </c>
      <c r="D1913" t="e">
        <f>INDEX('[1]CÓDIGOS DE PRODUCTO'!$D$3:$D$1000,MATCH(C1913,'[1]CÓDIGOS DE PRODUCTO'!$A$3:$A$1000,0))</f>
        <v>#N/A</v>
      </c>
      <c r="E1913">
        <f>VLOOKUP(C1913,'[1]CÓDIGOS DE PRODUCTO'!$A$4:$B$156,2,FALSE)</f>
        <v>0</v>
      </c>
      <c r="F1913">
        <f>INDEX('[1]CÓDIGOS DE PRODUCTO'!$C$3:$C$1000,MATCH(C1913,'[1]CÓDIGOS DE PRODUCTO'!$A$3:$A$1000,0))</f>
        <v>0</v>
      </c>
      <c r="G1913">
        <f>+'[1]VENTAS(RESUMEN GLOBAL)'!D1913-'[1]VENTAS(RESUMEN GLOBAL)'!E1913</f>
        <v>0</v>
      </c>
      <c r="H1913" s="9">
        <f>+'[1]VENTAS(RESUMEN GLOBAL)'!K1913</f>
        <v>0</v>
      </c>
      <c r="I1913" s="8">
        <f>+G1913*'[1]VENTAS(RESUMEN GLOBAL)'!F1913</f>
        <v>0</v>
      </c>
      <c r="J1913" s="8">
        <f>'[1]VENTAS(RESUMEN GLOBAL)'!G1913*(1-'[1]VENTAS(RESUMEN GLOBAL)'!H1913)</f>
        <v>0</v>
      </c>
      <c r="K1913" s="8">
        <f t="shared" si="29"/>
        <v>0</v>
      </c>
      <c r="L1913" s="8">
        <f>+'[1]VENTAS(RESUMEN GLOBAL)'!J1913</f>
        <v>0</v>
      </c>
      <c r="M1913" s="8">
        <f>+Tabla1[[#This Row],[utilidad x dia]]*7</f>
        <v>0</v>
      </c>
    </row>
    <row r="1914" spans="1:13" x14ac:dyDescent="0.3">
      <c r="A1914" s="6">
        <f>+'[1]VENTAS(RESUMEN GLOBAL)'!L1914</f>
        <v>0</v>
      </c>
      <c r="B1914" s="6">
        <f>+'[1]VENTAS(RESUMEN GLOBAL)'!M1914</f>
        <v>0</v>
      </c>
      <c r="C1914">
        <f>+'[1]VENTAS(RESUMEN GLOBAL)'!B1914</f>
        <v>0</v>
      </c>
      <c r="D1914" t="e">
        <f>INDEX('[1]CÓDIGOS DE PRODUCTO'!$D$3:$D$1000,MATCH(C1914,'[1]CÓDIGOS DE PRODUCTO'!$A$3:$A$1000,0))</f>
        <v>#N/A</v>
      </c>
      <c r="E1914">
        <f>VLOOKUP(C1914,'[1]CÓDIGOS DE PRODUCTO'!$A$4:$B$156,2,FALSE)</f>
        <v>0</v>
      </c>
      <c r="F1914">
        <f>INDEX('[1]CÓDIGOS DE PRODUCTO'!$C$3:$C$1000,MATCH(C1914,'[1]CÓDIGOS DE PRODUCTO'!$A$3:$A$1000,0))</f>
        <v>0</v>
      </c>
      <c r="G1914">
        <f>+'[1]VENTAS(RESUMEN GLOBAL)'!D1914-'[1]VENTAS(RESUMEN GLOBAL)'!E1914</f>
        <v>0</v>
      </c>
      <c r="H1914" s="9">
        <f>+'[1]VENTAS(RESUMEN GLOBAL)'!K1914</f>
        <v>0</v>
      </c>
      <c r="I1914" s="8">
        <f>+G1914*'[1]VENTAS(RESUMEN GLOBAL)'!F1914</f>
        <v>0</v>
      </c>
      <c r="J1914" s="8">
        <f>'[1]VENTAS(RESUMEN GLOBAL)'!G1914*(1-'[1]VENTAS(RESUMEN GLOBAL)'!H1914)</f>
        <v>0</v>
      </c>
      <c r="K1914" s="8">
        <f t="shared" si="29"/>
        <v>0</v>
      </c>
      <c r="L1914" s="8">
        <f>+'[1]VENTAS(RESUMEN GLOBAL)'!J1914</f>
        <v>0</v>
      </c>
      <c r="M1914" s="8">
        <f>+Tabla1[[#This Row],[utilidad x dia]]*7</f>
        <v>0</v>
      </c>
    </row>
    <row r="1915" spans="1:13" x14ac:dyDescent="0.3">
      <c r="A1915" s="6">
        <f>+'[1]VENTAS(RESUMEN GLOBAL)'!L1915</f>
        <v>0</v>
      </c>
      <c r="B1915" s="6">
        <f>+'[1]VENTAS(RESUMEN GLOBAL)'!M1915</f>
        <v>0</v>
      </c>
      <c r="C1915">
        <f>+'[1]VENTAS(RESUMEN GLOBAL)'!B1915</f>
        <v>0</v>
      </c>
      <c r="D1915" t="e">
        <f>INDEX('[1]CÓDIGOS DE PRODUCTO'!$D$3:$D$1000,MATCH(C1915,'[1]CÓDIGOS DE PRODUCTO'!$A$3:$A$1000,0))</f>
        <v>#N/A</v>
      </c>
      <c r="E1915">
        <f>VLOOKUP(C1915,'[1]CÓDIGOS DE PRODUCTO'!$A$4:$B$156,2,FALSE)</f>
        <v>0</v>
      </c>
      <c r="F1915">
        <f>INDEX('[1]CÓDIGOS DE PRODUCTO'!$C$3:$C$1000,MATCH(C1915,'[1]CÓDIGOS DE PRODUCTO'!$A$3:$A$1000,0))</f>
        <v>0</v>
      </c>
      <c r="G1915">
        <f>+'[1]VENTAS(RESUMEN GLOBAL)'!D1915-'[1]VENTAS(RESUMEN GLOBAL)'!E1915</f>
        <v>0</v>
      </c>
      <c r="H1915" s="9">
        <f>+'[1]VENTAS(RESUMEN GLOBAL)'!K1915</f>
        <v>0</v>
      </c>
      <c r="I1915" s="8">
        <f>+G1915*'[1]VENTAS(RESUMEN GLOBAL)'!F1915</f>
        <v>0</v>
      </c>
      <c r="J1915" s="8">
        <f>'[1]VENTAS(RESUMEN GLOBAL)'!G1915*(1-'[1]VENTAS(RESUMEN GLOBAL)'!H1915)</f>
        <v>0</v>
      </c>
      <c r="K1915" s="8">
        <f t="shared" si="29"/>
        <v>0</v>
      </c>
      <c r="L1915" s="8">
        <f>+'[1]VENTAS(RESUMEN GLOBAL)'!J1915</f>
        <v>0</v>
      </c>
      <c r="M1915" s="8">
        <f>+Tabla1[[#This Row],[utilidad x dia]]*7</f>
        <v>0</v>
      </c>
    </row>
    <row r="1916" spans="1:13" x14ac:dyDescent="0.3">
      <c r="A1916" s="6">
        <f>+'[1]VENTAS(RESUMEN GLOBAL)'!L1916</f>
        <v>0</v>
      </c>
      <c r="B1916" s="6">
        <f>+'[1]VENTAS(RESUMEN GLOBAL)'!M1916</f>
        <v>0</v>
      </c>
      <c r="C1916">
        <f>+'[1]VENTAS(RESUMEN GLOBAL)'!B1916</f>
        <v>0</v>
      </c>
      <c r="D1916" t="e">
        <f>INDEX('[1]CÓDIGOS DE PRODUCTO'!$D$3:$D$1000,MATCH(C1916,'[1]CÓDIGOS DE PRODUCTO'!$A$3:$A$1000,0))</f>
        <v>#N/A</v>
      </c>
      <c r="E1916">
        <f>VLOOKUP(C1916,'[1]CÓDIGOS DE PRODUCTO'!$A$4:$B$156,2,FALSE)</f>
        <v>0</v>
      </c>
      <c r="F1916">
        <f>INDEX('[1]CÓDIGOS DE PRODUCTO'!$C$3:$C$1000,MATCH(C1916,'[1]CÓDIGOS DE PRODUCTO'!$A$3:$A$1000,0))</f>
        <v>0</v>
      </c>
      <c r="G1916">
        <f>+'[1]VENTAS(RESUMEN GLOBAL)'!D1916-'[1]VENTAS(RESUMEN GLOBAL)'!E1916</f>
        <v>0</v>
      </c>
      <c r="H1916" s="9">
        <f>+'[1]VENTAS(RESUMEN GLOBAL)'!K1916</f>
        <v>0</v>
      </c>
      <c r="I1916" s="8">
        <f>+G1916*'[1]VENTAS(RESUMEN GLOBAL)'!F1916</f>
        <v>0</v>
      </c>
      <c r="J1916" s="8">
        <f>'[1]VENTAS(RESUMEN GLOBAL)'!G1916*(1-'[1]VENTAS(RESUMEN GLOBAL)'!H1916)</f>
        <v>0</v>
      </c>
      <c r="K1916" s="8">
        <f t="shared" si="29"/>
        <v>0</v>
      </c>
      <c r="L1916" s="8">
        <f>+'[1]VENTAS(RESUMEN GLOBAL)'!J1916</f>
        <v>0</v>
      </c>
      <c r="M1916" s="8">
        <f>+Tabla1[[#This Row],[utilidad x dia]]*7</f>
        <v>0</v>
      </c>
    </row>
    <row r="1917" spans="1:13" x14ac:dyDescent="0.3">
      <c r="A1917" s="6">
        <f>+'[1]VENTAS(RESUMEN GLOBAL)'!L1917</f>
        <v>0</v>
      </c>
      <c r="B1917" s="6">
        <f>+'[1]VENTAS(RESUMEN GLOBAL)'!M1917</f>
        <v>0</v>
      </c>
      <c r="C1917">
        <f>+'[1]VENTAS(RESUMEN GLOBAL)'!B1917</f>
        <v>0</v>
      </c>
      <c r="D1917" t="e">
        <f>INDEX('[1]CÓDIGOS DE PRODUCTO'!$D$3:$D$1000,MATCH(C1917,'[1]CÓDIGOS DE PRODUCTO'!$A$3:$A$1000,0))</f>
        <v>#N/A</v>
      </c>
      <c r="E1917">
        <f>VLOOKUP(C1917,'[1]CÓDIGOS DE PRODUCTO'!$A$4:$B$156,2,FALSE)</f>
        <v>0</v>
      </c>
      <c r="F1917">
        <f>INDEX('[1]CÓDIGOS DE PRODUCTO'!$C$3:$C$1000,MATCH(C1917,'[1]CÓDIGOS DE PRODUCTO'!$A$3:$A$1000,0))</f>
        <v>0</v>
      </c>
      <c r="G1917">
        <f>+'[1]VENTAS(RESUMEN GLOBAL)'!D1917-'[1]VENTAS(RESUMEN GLOBAL)'!E1917</f>
        <v>0</v>
      </c>
      <c r="H1917" s="9">
        <f>+'[1]VENTAS(RESUMEN GLOBAL)'!K1917</f>
        <v>0</v>
      </c>
      <c r="I1917" s="8">
        <f>+G1917*'[1]VENTAS(RESUMEN GLOBAL)'!F1917</f>
        <v>0</v>
      </c>
      <c r="J1917" s="8">
        <f>'[1]VENTAS(RESUMEN GLOBAL)'!G1917*(1-'[1]VENTAS(RESUMEN GLOBAL)'!H1917)</f>
        <v>0</v>
      </c>
      <c r="K1917" s="8">
        <f t="shared" si="29"/>
        <v>0</v>
      </c>
      <c r="L1917" s="8">
        <f>+'[1]VENTAS(RESUMEN GLOBAL)'!J1917</f>
        <v>0</v>
      </c>
      <c r="M1917" s="8">
        <f>+Tabla1[[#This Row],[utilidad x dia]]*7</f>
        <v>0</v>
      </c>
    </row>
    <row r="1918" spans="1:13" x14ac:dyDescent="0.3">
      <c r="A1918" s="6">
        <f>+'[1]VENTAS(RESUMEN GLOBAL)'!L1918</f>
        <v>0</v>
      </c>
      <c r="B1918" s="6">
        <f>+'[1]VENTAS(RESUMEN GLOBAL)'!M1918</f>
        <v>0</v>
      </c>
      <c r="C1918">
        <f>+'[1]VENTAS(RESUMEN GLOBAL)'!B1918</f>
        <v>0</v>
      </c>
      <c r="D1918" t="e">
        <f>INDEX('[1]CÓDIGOS DE PRODUCTO'!$D$3:$D$1000,MATCH(C1918,'[1]CÓDIGOS DE PRODUCTO'!$A$3:$A$1000,0))</f>
        <v>#N/A</v>
      </c>
      <c r="E1918">
        <f>VLOOKUP(C1918,'[1]CÓDIGOS DE PRODUCTO'!$A$4:$B$156,2,FALSE)</f>
        <v>0</v>
      </c>
      <c r="F1918">
        <f>INDEX('[1]CÓDIGOS DE PRODUCTO'!$C$3:$C$1000,MATCH(C1918,'[1]CÓDIGOS DE PRODUCTO'!$A$3:$A$1000,0))</f>
        <v>0</v>
      </c>
      <c r="G1918">
        <f>+'[1]VENTAS(RESUMEN GLOBAL)'!D1918-'[1]VENTAS(RESUMEN GLOBAL)'!E1918</f>
        <v>0</v>
      </c>
      <c r="H1918" s="9">
        <f>+'[1]VENTAS(RESUMEN GLOBAL)'!K1918</f>
        <v>0</v>
      </c>
      <c r="I1918" s="8">
        <f>+G1918*'[1]VENTAS(RESUMEN GLOBAL)'!F1918</f>
        <v>0</v>
      </c>
      <c r="J1918" s="8">
        <f>'[1]VENTAS(RESUMEN GLOBAL)'!G1918*(1-'[1]VENTAS(RESUMEN GLOBAL)'!H1918)</f>
        <v>0</v>
      </c>
      <c r="K1918" s="8">
        <f t="shared" si="29"/>
        <v>0</v>
      </c>
      <c r="L1918" s="8">
        <f>+'[1]VENTAS(RESUMEN GLOBAL)'!J1918</f>
        <v>0</v>
      </c>
      <c r="M1918" s="8">
        <f>+Tabla1[[#This Row],[utilidad x dia]]*7</f>
        <v>0</v>
      </c>
    </row>
    <row r="1919" spans="1:13" x14ac:dyDescent="0.3">
      <c r="A1919" s="6">
        <f>+'[1]VENTAS(RESUMEN GLOBAL)'!L1919</f>
        <v>0</v>
      </c>
      <c r="B1919" s="6">
        <f>+'[1]VENTAS(RESUMEN GLOBAL)'!M1919</f>
        <v>0</v>
      </c>
      <c r="C1919">
        <f>+'[1]VENTAS(RESUMEN GLOBAL)'!B1919</f>
        <v>0</v>
      </c>
      <c r="D1919" t="e">
        <f>INDEX('[1]CÓDIGOS DE PRODUCTO'!$D$3:$D$1000,MATCH(C1919,'[1]CÓDIGOS DE PRODUCTO'!$A$3:$A$1000,0))</f>
        <v>#N/A</v>
      </c>
      <c r="E1919">
        <f>VLOOKUP(C1919,'[1]CÓDIGOS DE PRODUCTO'!$A$4:$B$156,2,FALSE)</f>
        <v>0</v>
      </c>
      <c r="F1919">
        <f>INDEX('[1]CÓDIGOS DE PRODUCTO'!$C$3:$C$1000,MATCH(C1919,'[1]CÓDIGOS DE PRODUCTO'!$A$3:$A$1000,0))</f>
        <v>0</v>
      </c>
      <c r="G1919">
        <f>+'[1]VENTAS(RESUMEN GLOBAL)'!D1919-'[1]VENTAS(RESUMEN GLOBAL)'!E1919</f>
        <v>0</v>
      </c>
      <c r="H1919" s="9">
        <f>+'[1]VENTAS(RESUMEN GLOBAL)'!K1919</f>
        <v>0</v>
      </c>
      <c r="I1919" s="8">
        <f>+G1919*'[1]VENTAS(RESUMEN GLOBAL)'!F1919</f>
        <v>0</v>
      </c>
      <c r="J1919" s="8">
        <f>'[1]VENTAS(RESUMEN GLOBAL)'!G1919*(1-'[1]VENTAS(RESUMEN GLOBAL)'!H1919)</f>
        <v>0</v>
      </c>
      <c r="K1919" s="8">
        <f t="shared" si="29"/>
        <v>0</v>
      </c>
      <c r="L1919" s="8">
        <f>+'[1]VENTAS(RESUMEN GLOBAL)'!J1919</f>
        <v>0</v>
      </c>
      <c r="M1919" s="8">
        <f>+Tabla1[[#This Row],[utilidad x dia]]*7</f>
        <v>0</v>
      </c>
    </row>
    <row r="1920" spans="1:13" x14ac:dyDescent="0.3">
      <c r="A1920" s="6">
        <f>+'[1]VENTAS(RESUMEN GLOBAL)'!L1920</f>
        <v>0</v>
      </c>
      <c r="B1920" s="6">
        <f>+'[1]VENTAS(RESUMEN GLOBAL)'!M1920</f>
        <v>0</v>
      </c>
      <c r="C1920">
        <f>+'[1]VENTAS(RESUMEN GLOBAL)'!B1920</f>
        <v>0</v>
      </c>
      <c r="D1920" t="e">
        <f>INDEX('[1]CÓDIGOS DE PRODUCTO'!$D$3:$D$1000,MATCH(C1920,'[1]CÓDIGOS DE PRODUCTO'!$A$3:$A$1000,0))</f>
        <v>#N/A</v>
      </c>
      <c r="E1920">
        <f>VLOOKUP(C1920,'[1]CÓDIGOS DE PRODUCTO'!$A$4:$B$156,2,FALSE)</f>
        <v>0</v>
      </c>
      <c r="F1920">
        <f>INDEX('[1]CÓDIGOS DE PRODUCTO'!$C$3:$C$1000,MATCH(C1920,'[1]CÓDIGOS DE PRODUCTO'!$A$3:$A$1000,0))</f>
        <v>0</v>
      </c>
      <c r="G1920">
        <f>+'[1]VENTAS(RESUMEN GLOBAL)'!D1920-'[1]VENTAS(RESUMEN GLOBAL)'!E1920</f>
        <v>0</v>
      </c>
      <c r="H1920" s="9">
        <f>+'[1]VENTAS(RESUMEN GLOBAL)'!K1920</f>
        <v>0</v>
      </c>
      <c r="I1920" s="8">
        <f>+G1920*'[1]VENTAS(RESUMEN GLOBAL)'!F1920</f>
        <v>0</v>
      </c>
      <c r="J1920" s="8">
        <f>'[1]VENTAS(RESUMEN GLOBAL)'!G1920*(1-'[1]VENTAS(RESUMEN GLOBAL)'!H1920)</f>
        <v>0</v>
      </c>
      <c r="K1920" s="8">
        <f t="shared" si="29"/>
        <v>0</v>
      </c>
      <c r="L1920" s="8">
        <f>+'[1]VENTAS(RESUMEN GLOBAL)'!J1920</f>
        <v>0</v>
      </c>
      <c r="M1920" s="8">
        <f>+Tabla1[[#This Row],[utilidad x dia]]*7</f>
        <v>0</v>
      </c>
    </row>
    <row r="1921" spans="1:13" x14ac:dyDescent="0.3">
      <c r="A1921" s="6">
        <f>+'[1]VENTAS(RESUMEN GLOBAL)'!L1921</f>
        <v>0</v>
      </c>
      <c r="B1921" s="6">
        <f>+'[1]VENTAS(RESUMEN GLOBAL)'!M1921</f>
        <v>0</v>
      </c>
      <c r="C1921">
        <f>+'[1]VENTAS(RESUMEN GLOBAL)'!B1921</f>
        <v>0</v>
      </c>
      <c r="D1921" t="e">
        <f>INDEX('[1]CÓDIGOS DE PRODUCTO'!$D$3:$D$1000,MATCH(C1921,'[1]CÓDIGOS DE PRODUCTO'!$A$3:$A$1000,0))</f>
        <v>#N/A</v>
      </c>
      <c r="E1921">
        <f>VLOOKUP(C1921,'[1]CÓDIGOS DE PRODUCTO'!$A$4:$B$156,2,FALSE)</f>
        <v>0</v>
      </c>
      <c r="F1921">
        <f>INDEX('[1]CÓDIGOS DE PRODUCTO'!$C$3:$C$1000,MATCH(C1921,'[1]CÓDIGOS DE PRODUCTO'!$A$3:$A$1000,0))</f>
        <v>0</v>
      </c>
      <c r="G1921">
        <f>+'[1]VENTAS(RESUMEN GLOBAL)'!D1921-'[1]VENTAS(RESUMEN GLOBAL)'!E1921</f>
        <v>0</v>
      </c>
      <c r="H1921" s="9">
        <f>+'[1]VENTAS(RESUMEN GLOBAL)'!K1921</f>
        <v>0</v>
      </c>
      <c r="I1921" s="8">
        <f>+G1921*'[1]VENTAS(RESUMEN GLOBAL)'!F1921</f>
        <v>0</v>
      </c>
      <c r="J1921" s="8">
        <f>'[1]VENTAS(RESUMEN GLOBAL)'!G1921*(1-'[1]VENTAS(RESUMEN GLOBAL)'!H1921)</f>
        <v>0</v>
      </c>
      <c r="K1921" s="8">
        <f t="shared" si="29"/>
        <v>0</v>
      </c>
      <c r="L1921" s="8">
        <f>+'[1]VENTAS(RESUMEN GLOBAL)'!J1921</f>
        <v>0</v>
      </c>
      <c r="M1921" s="8">
        <f>+Tabla1[[#This Row],[utilidad x dia]]*7</f>
        <v>0</v>
      </c>
    </row>
    <row r="1922" spans="1:13" x14ac:dyDescent="0.3">
      <c r="A1922" s="6">
        <f>+'[1]VENTAS(RESUMEN GLOBAL)'!L1922</f>
        <v>0</v>
      </c>
      <c r="B1922" s="6">
        <f>+'[1]VENTAS(RESUMEN GLOBAL)'!M1922</f>
        <v>0</v>
      </c>
      <c r="C1922">
        <f>+'[1]VENTAS(RESUMEN GLOBAL)'!B1922</f>
        <v>0</v>
      </c>
      <c r="D1922" t="e">
        <f>INDEX('[1]CÓDIGOS DE PRODUCTO'!$D$3:$D$1000,MATCH(C1922,'[1]CÓDIGOS DE PRODUCTO'!$A$3:$A$1000,0))</f>
        <v>#N/A</v>
      </c>
      <c r="E1922">
        <f>VLOOKUP(C1922,'[1]CÓDIGOS DE PRODUCTO'!$A$4:$B$156,2,FALSE)</f>
        <v>0</v>
      </c>
      <c r="F1922">
        <f>INDEX('[1]CÓDIGOS DE PRODUCTO'!$C$3:$C$1000,MATCH(C1922,'[1]CÓDIGOS DE PRODUCTO'!$A$3:$A$1000,0))</f>
        <v>0</v>
      </c>
      <c r="G1922">
        <f>+'[1]VENTAS(RESUMEN GLOBAL)'!D1922-'[1]VENTAS(RESUMEN GLOBAL)'!E1922</f>
        <v>0</v>
      </c>
      <c r="H1922" s="9">
        <f>+'[1]VENTAS(RESUMEN GLOBAL)'!K1922</f>
        <v>0</v>
      </c>
      <c r="I1922" s="8">
        <f>+G1922*'[1]VENTAS(RESUMEN GLOBAL)'!F1922</f>
        <v>0</v>
      </c>
      <c r="J1922" s="8">
        <f>'[1]VENTAS(RESUMEN GLOBAL)'!G1922*(1-'[1]VENTAS(RESUMEN GLOBAL)'!H1922)</f>
        <v>0</v>
      </c>
      <c r="K1922" s="8">
        <f t="shared" si="29"/>
        <v>0</v>
      </c>
      <c r="L1922" s="8">
        <f>+'[1]VENTAS(RESUMEN GLOBAL)'!J1922</f>
        <v>0</v>
      </c>
      <c r="M1922" s="8">
        <f>+Tabla1[[#This Row],[utilidad x dia]]*7</f>
        <v>0</v>
      </c>
    </row>
    <row r="1923" spans="1:13" x14ac:dyDescent="0.3">
      <c r="A1923" s="6">
        <f>+'[1]VENTAS(RESUMEN GLOBAL)'!L1923</f>
        <v>0</v>
      </c>
      <c r="B1923" s="6">
        <f>+'[1]VENTAS(RESUMEN GLOBAL)'!M1923</f>
        <v>0</v>
      </c>
      <c r="C1923">
        <f>+'[1]VENTAS(RESUMEN GLOBAL)'!B1923</f>
        <v>0</v>
      </c>
      <c r="D1923" t="e">
        <f>INDEX('[1]CÓDIGOS DE PRODUCTO'!$D$3:$D$1000,MATCH(C1923,'[1]CÓDIGOS DE PRODUCTO'!$A$3:$A$1000,0))</f>
        <v>#N/A</v>
      </c>
      <c r="E1923">
        <f>VLOOKUP(C1923,'[1]CÓDIGOS DE PRODUCTO'!$A$4:$B$156,2,FALSE)</f>
        <v>0</v>
      </c>
      <c r="F1923">
        <f>INDEX('[1]CÓDIGOS DE PRODUCTO'!$C$3:$C$1000,MATCH(C1923,'[1]CÓDIGOS DE PRODUCTO'!$A$3:$A$1000,0))</f>
        <v>0</v>
      </c>
      <c r="G1923">
        <f>+'[1]VENTAS(RESUMEN GLOBAL)'!D1923-'[1]VENTAS(RESUMEN GLOBAL)'!E1923</f>
        <v>0</v>
      </c>
      <c r="H1923" s="9">
        <f>+'[1]VENTAS(RESUMEN GLOBAL)'!K1923</f>
        <v>0</v>
      </c>
      <c r="I1923" s="8">
        <f>+G1923*'[1]VENTAS(RESUMEN GLOBAL)'!F1923</f>
        <v>0</v>
      </c>
      <c r="J1923" s="8">
        <f>'[1]VENTAS(RESUMEN GLOBAL)'!G1923*(1-'[1]VENTAS(RESUMEN GLOBAL)'!H1923)</f>
        <v>0</v>
      </c>
      <c r="K1923" s="8">
        <f t="shared" ref="K1923:K1986" si="30">+I1923-J1923</f>
        <v>0</v>
      </c>
      <c r="L1923" s="8">
        <f>+'[1]VENTAS(RESUMEN GLOBAL)'!J1923</f>
        <v>0</v>
      </c>
      <c r="M1923" s="8">
        <f>+Tabla1[[#This Row],[utilidad x dia]]*7</f>
        <v>0</v>
      </c>
    </row>
    <row r="1924" spans="1:13" x14ac:dyDescent="0.3">
      <c r="A1924" s="6">
        <f>+'[1]VENTAS(RESUMEN GLOBAL)'!L1924</f>
        <v>0</v>
      </c>
      <c r="B1924" s="6">
        <f>+'[1]VENTAS(RESUMEN GLOBAL)'!M1924</f>
        <v>0</v>
      </c>
      <c r="C1924">
        <f>+'[1]VENTAS(RESUMEN GLOBAL)'!B1924</f>
        <v>0</v>
      </c>
      <c r="D1924" t="e">
        <f>INDEX('[1]CÓDIGOS DE PRODUCTO'!$D$3:$D$1000,MATCH(C1924,'[1]CÓDIGOS DE PRODUCTO'!$A$3:$A$1000,0))</f>
        <v>#N/A</v>
      </c>
      <c r="E1924">
        <f>VLOOKUP(C1924,'[1]CÓDIGOS DE PRODUCTO'!$A$4:$B$156,2,FALSE)</f>
        <v>0</v>
      </c>
      <c r="F1924">
        <f>INDEX('[1]CÓDIGOS DE PRODUCTO'!$C$3:$C$1000,MATCH(C1924,'[1]CÓDIGOS DE PRODUCTO'!$A$3:$A$1000,0))</f>
        <v>0</v>
      </c>
      <c r="G1924">
        <f>+'[1]VENTAS(RESUMEN GLOBAL)'!D1924-'[1]VENTAS(RESUMEN GLOBAL)'!E1924</f>
        <v>0</v>
      </c>
      <c r="H1924" s="9">
        <f>+'[1]VENTAS(RESUMEN GLOBAL)'!K1924</f>
        <v>0</v>
      </c>
      <c r="I1924" s="8">
        <f>+G1924*'[1]VENTAS(RESUMEN GLOBAL)'!F1924</f>
        <v>0</v>
      </c>
      <c r="J1924" s="8">
        <f>'[1]VENTAS(RESUMEN GLOBAL)'!G1924*(1-'[1]VENTAS(RESUMEN GLOBAL)'!H1924)</f>
        <v>0</v>
      </c>
      <c r="K1924" s="8">
        <f t="shared" si="30"/>
        <v>0</v>
      </c>
      <c r="L1924" s="8">
        <f>+'[1]VENTAS(RESUMEN GLOBAL)'!J1924</f>
        <v>0</v>
      </c>
      <c r="M1924" s="8">
        <f>+Tabla1[[#This Row],[utilidad x dia]]*7</f>
        <v>0</v>
      </c>
    </row>
    <row r="1925" spans="1:13" x14ac:dyDescent="0.3">
      <c r="A1925" s="6">
        <f>+'[1]VENTAS(RESUMEN GLOBAL)'!L1925</f>
        <v>0</v>
      </c>
      <c r="B1925" s="6">
        <f>+'[1]VENTAS(RESUMEN GLOBAL)'!M1925</f>
        <v>0</v>
      </c>
      <c r="C1925">
        <f>+'[1]VENTAS(RESUMEN GLOBAL)'!B1925</f>
        <v>0</v>
      </c>
      <c r="D1925" t="e">
        <f>INDEX('[1]CÓDIGOS DE PRODUCTO'!$D$3:$D$1000,MATCH(C1925,'[1]CÓDIGOS DE PRODUCTO'!$A$3:$A$1000,0))</f>
        <v>#N/A</v>
      </c>
      <c r="E1925">
        <f>VLOOKUP(C1925,'[1]CÓDIGOS DE PRODUCTO'!$A$4:$B$156,2,FALSE)</f>
        <v>0</v>
      </c>
      <c r="F1925">
        <f>INDEX('[1]CÓDIGOS DE PRODUCTO'!$C$3:$C$1000,MATCH(C1925,'[1]CÓDIGOS DE PRODUCTO'!$A$3:$A$1000,0))</f>
        <v>0</v>
      </c>
      <c r="G1925">
        <f>+'[1]VENTAS(RESUMEN GLOBAL)'!D1925-'[1]VENTAS(RESUMEN GLOBAL)'!E1925</f>
        <v>0</v>
      </c>
      <c r="H1925" s="9">
        <f>+'[1]VENTAS(RESUMEN GLOBAL)'!K1925</f>
        <v>0</v>
      </c>
      <c r="I1925" s="8">
        <f>+G1925*'[1]VENTAS(RESUMEN GLOBAL)'!F1925</f>
        <v>0</v>
      </c>
      <c r="J1925" s="8">
        <f>'[1]VENTAS(RESUMEN GLOBAL)'!G1925*(1-'[1]VENTAS(RESUMEN GLOBAL)'!H1925)</f>
        <v>0</v>
      </c>
      <c r="K1925" s="8">
        <f t="shared" si="30"/>
        <v>0</v>
      </c>
      <c r="L1925" s="8">
        <f>+'[1]VENTAS(RESUMEN GLOBAL)'!J1925</f>
        <v>0</v>
      </c>
      <c r="M1925" s="8">
        <f>+Tabla1[[#This Row],[utilidad x dia]]*7</f>
        <v>0</v>
      </c>
    </row>
    <row r="1926" spans="1:13" x14ac:dyDescent="0.3">
      <c r="A1926" s="6">
        <f>+'[1]VENTAS(RESUMEN GLOBAL)'!L1926</f>
        <v>0</v>
      </c>
      <c r="B1926" s="6">
        <f>+'[1]VENTAS(RESUMEN GLOBAL)'!M1926</f>
        <v>0</v>
      </c>
      <c r="C1926">
        <f>+'[1]VENTAS(RESUMEN GLOBAL)'!B1926</f>
        <v>0</v>
      </c>
      <c r="D1926" t="e">
        <f>INDEX('[1]CÓDIGOS DE PRODUCTO'!$D$3:$D$1000,MATCH(C1926,'[1]CÓDIGOS DE PRODUCTO'!$A$3:$A$1000,0))</f>
        <v>#N/A</v>
      </c>
      <c r="E1926">
        <f>VLOOKUP(C1926,'[1]CÓDIGOS DE PRODUCTO'!$A$4:$B$156,2,FALSE)</f>
        <v>0</v>
      </c>
      <c r="F1926">
        <f>INDEX('[1]CÓDIGOS DE PRODUCTO'!$C$3:$C$1000,MATCH(C1926,'[1]CÓDIGOS DE PRODUCTO'!$A$3:$A$1000,0))</f>
        <v>0</v>
      </c>
      <c r="G1926">
        <f>+'[1]VENTAS(RESUMEN GLOBAL)'!D1926-'[1]VENTAS(RESUMEN GLOBAL)'!E1926</f>
        <v>0</v>
      </c>
      <c r="H1926" s="9">
        <f>+'[1]VENTAS(RESUMEN GLOBAL)'!K1926</f>
        <v>0</v>
      </c>
      <c r="I1926" s="8">
        <f>+G1926*'[1]VENTAS(RESUMEN GLOBAL)'!F1926</f>
        <v>0</v>
      </c>
      <c r="J1926" s="8">
        <f>'[1]VENTAS(RESUMEN GLOBAL)'!G1926*(1-'[1]VENTAS(RESUMEN GLOBAL)'!H1926)</f>
        <v>0</v>
      </c>
      <c r="K1926" s="8">
        <f t="shared" si="30"/>
        <v>0</v>
      </c>
      <c r="L1926" s="8">
        <f>+'[1]VENTAS(RESUMEN GLOBAL)'!J1926</f>
        <v>0</v>
      </c>
      <c r="M1926" s="8">
        <f>+Tabla1[[#This Row],[utilidad x dia]]*7</f>
        <v>0</v>
      </c>
    </row>
    <row r="1927" spans="1:13" x14ac:dyDescent="0.3">
      <c r="A1927" s="6">
        <f>+'[1]VENTAS(RESUMEN GLOBAL)'!L1927</f>
        <v>0</v>
      </c>
      <c r="B1927" s="6">
        <f>+'[1]VENTAS(RESUMEN GLOBAL)'!M1927</f>
        <v>0</v>
      </c>
      <c r="C1927">
        <f>+'[1]VENTAS(RESUMEN GLOBAL)'!B1927</f>
        <v>0</v>
      </c>
      <c r="D1927" t="e">
        <f>INDEX('[1]CÓDIGOS DE PRODUCTO'!$D$3:$D$1000,MATCH(C1927,'[1]CÓDIGOS DE PRODUCTO'!$A$3:$A$1000,0))</f>
        <v>#N/A</v>
      </c>
      <c r="E1927">
        <f>VLOOKUP(C1927,'[1]CÓDIGOS DE PRODUCTO'!$A$4:$B$156,2,FALSE)</f>
        <v>0</v>
      </c>
      <c r="F1927">
        <f>INDEX('[1]CÓDIGOS DE PRODUCTO'!$C$3:$C$1000,MATCH(C1927,'[1]CÓDIGOS DE PRODUCTO'!$A$3:$A$1000,0))</f>
        <v>0</v>
      </c>
      <c r="G1927">
        <f>+'[1]VENTAS(RESUMEN GLOBAL)'!D1927-'[1]VENTAS(RESUMEN GLOBAL)'!E1927</f>
        <v>0</v>
      </c>
      <c r="H1927" s="9">
        <f>+'[1]VENTAS(RESUMEN GLOBAL)'!K1927</f>
        <v>0</v>
      </c>
      <c r="I1927" s="8">
        <f>+G1927*'[1]VENTAS(RESUMEN GLOBAL)'!F1927</f>
        <v>0</v>
      </c>
      <c r="J1927" s="8">
        <f>'[1]VENTAS(RESUMEN GLOBAL)'!G1927*(1-'[1]VENTAS(RESUMEN GLOBAL)'!H1927)</f>
        <v>0</v>
      </c>
      <c r="K1927" s="8">
        <f t="shared" si="30"/>
        <v>0</v>
      </c>
      <c r="L1927" s="8">
        <f>+'[1]VENTAS(RESUMEN GLOBAL)'!J1927</f>
        <v>0</v>
      </c>
      <c r="M1927" s="8">
        <f>+Tabla1[[#This Row],[utilidad x dia]]*7</f>
        <v>0</v>
      </c>
    </row>
    <row r="1928" spans="1:13" x14ac:dyDescent="0.3">
      <c r="A1928" s="6">
        <f>+'[1]VENTAS(RESUMEN GLOBAL)'!L1928</f>
        <v>0</v>
      </c>
      <c r="B1928" s="6">
        <f>+'[1]VENTAS(RESUMEN GLOBAL)'!M1928</f>
        <v>0</v>
      </c>
      <c r="C1928">
        <f>+'[1]VENTAS(RESUMEN GLOBAL)'!B1928</f>
        <v>0</v>
      </c>
      <c r="D1928" t="e">
        <f>INDEX('[1]CÓDIGOS DE PRODUCTO'!$D$3:$D$1000,MATCH(C1928,'[1]CÓDIGOS DE PRODUCTO'!$A$3:$A$1000,0))</f>
        <v>#N/A</v>
      </c>
      <c r="E1928">
        <f>VLOOKUP(C1928,'[1]CÓDIGOS DE PRODUCTO'!$A$4:$B$156,2,FALSE)</f>
        <v>0</v>
      </c>
      <c r="F1928">
        <f>INDEX('[1]CÓDIGOS DE PRODUCTO'!$C$3:$C$1000,MATCH(C1928,'[1]CÓDIGOS DE PRODUCTO'!$A$3:$A$1000,0))</f>
        <v>0</v>
      </c>
      <c r="G1928">
        <f>+'[1]VENTAS(RESUMEN GLOBAL)'!D1928-'[1]VENTAS(RESUMEN GLOBAL)'!E1928</f>
        <v>0</v>
      </c>
      <c r="H1928" s="9">
        <f>+'[1]VENTAS(RESUMEN GLOBAL)'!K1928</f>
        <v>0</v>
      </c>
      <c r="I1928" s="8">
        <f>+G1928*'[1]VENTAS(RESUMEN GLOBAL)'!F1928</f>
        <v>0</v>
      </c>
      <c r="J1928" s="8">
        <f>'[1]VENTAS(RESUMEN GLOBAL)'!G1928*(1-'[1]VENTAS(RESUMEN GLOBAL)'!H1928)</f>
        <v>0</v>
      </c>
      <c r="K1928" s="8">
        <f t="shared" si="30"/>
        <v>0</v>
      </c>
      <c r="L1928" s="8">
        <f>+'[1]VENTAS(RESUMEN GLOBAL)'!J1928</f>
        <v>0</v>
      </c>
      <c r="M1928" s="8">
        <f>+Tabla1[[#This Row],[utilidad x dia]]*7</f>
        <v>0</v>
      </c>
    </row>
    <row r="1929" spans="1:13" x14ac:dyDescent="0.3">
      <c r="A1929" s="6">
        <f>+'[1]VENTAS(RESUMEN GLOBAL)'!L1929</f>
        <v>0</v>
      </c>
      <c r="B1929" s="6">
        <f>+'[1]VENTAS(RESUMEN GLOBAL)'!M1929</f>
        <v>0</v>
      </c>
      <c r="C1929">
        <f>+'[1]VENTAS(RESUMEN GLOBAL)'!B1929</f>
        <v>0</v>
      </c>
      <c r="D1929" t="e">
        <f>INDEX('[1]CÓDIGOS DE PRODUCTO'!$D$3:$D$1000,MATCH(C1929,'[1]CÓDIGOS DE PRODUCTO'!$A$3:$A$1000,0))</f>
        <v>#N/A</v>
      </c>
      <c r="E1929">
        <f>VLOOKUP(C1929,'[1]CÓDIGOS DE PRODUCTO'!$A$4:$B$156,2,FALSE)</f>
        <v>0</v>
      </c>
      <c r="F1929">
        <f>INDEX('[1]CÓDIGOS DE PRODUCTO'!$C$3:$C$1000,MATCH(C1929,'[1]CÓDIGOS DE PRODUCTO'!$A$3:$A$1000,0))</f>
        <v>0</v>
      </c>
      <c r="G1929">
        <f>+'[1]VENTAS(RESUMEN GLOBAL)'!D1929-'[1]VENTAS(RESUMEN GLOBAL)'!E1929</f>
        <v>0</v>
      </c>
      <c r="H1929" s="9">
        <f>+'[1]VENTAS(RESUMEN GLOBAL)'!K1929</f>
        <v>0</v>
      </c>
      <c r="I1929" s="8">
        <f>+G1929*'[1]VENTAS(RESUMEN GLOBAL)'!F1929</f>
        <v>0</v>
      </c>
      <c r="J1929" s="8">
        <f>'[1]VENTAS(RESUMEN GLOBAL)'!G1929*(1-'[1]VENTAS(RESUMEN GLOBAL)'!H1929)</f>
        <v>0</v>
      </c>
      <c r="K1929" s="8">
        <f t="shared" si="30"/>
        <v>0</v>
      </c>
      <c r="L1929" s="8">
        <f>+'[1]VENTAS(RESUMEN GLOBAL)'!J1929</f>
        <v>0</v>
      </c>
      <c r="M1929" s="8">
        <f>+Tabla1[[#This Row],[utilidad x dia]]*7</f>
        <v>0</v>
      </c>
    </row>
    <row r="1930" spans="1:13" x14ac:dyDescent="0.3">
      <c r="A1930" s="6">
        <f>+'[1]VENTAS(RESUMEN GLOBAL)'!L1930</f>
        <v>0</v>
      </c>
      <c r="B1930" s="6">
        <f>+'[1]VENTAS(RESUMEN GLOBAL)'!M1930</f>
        <v>0</v>
      </c>
      <c r="C1930">
        <f>+'[1]VENTAS(RESUMEN GLOBAL)'!B1930</f>
        <v>0</v>
      </c>
      <c r="D1930" t="e">
        <f>INDEX('[1]CÓDIGOS DE PRODUCTO'!$D$3:$D$1000,MATCH(C1930,'[1]CÓDIGOS DE PRODUCTO'!$A$3:$A$1000,0))</f>
        <v>#N/A</v>
      </c>
      <c r="E1930">
        <f>VLOOKUP(C1930,'[1]CÓDIGOS DE PRODUCTO'!$A$4:$B$156,2,FALSE)</f>
        <v>0</v>
      </c>
      <c r="F1930">
        <f>INDEX('[1]CÓDIGOS DE PRODUCTO'!$C$3:$C$1000,MATCH(C1930,'[1]CÓDIGOS DE PRODUCTO'!$A$3:$A$1000,0))</f>
        <v>0</v>
      </c>
      <c r="G1930">
        <f>+'[1]VENTAS(RESUMEN GLOBAL)'!D1930-'[1]VENTAS(RESUMEN GLOBAL)'!E1930</f>
        <v>0</v>
      </c>
      <c r="H1930" s="9">
        <f>+'[1]VENTAS(RESUMEN GLOBAL)'!K1930</f>
        <v>0</v>
      </c>
      <c r="I1930" s="8">
        <f>+G1930*'[1]VENTAS(RESUMEN GLOBAL)'!F1930</f>
        <v>0</v>
      </c>
      <c r="J1930" s="8">
        <f>'[1]VENTAS(RESUMEN GLOBAL)'!G1930*(1-'[1]VENTAS(RESUMEN GLOBAL)'!H1930)</f>
        <v>0</v>
      </c>
      <c r="K1930" s="8">
        <f t="shared" si="30"/>
        <v>0</v>
      </c>
      <c r="L1930" s="8">
        <f>+'[1]VENTAS(RESUMEN GLOBAL)'!J1930</f>
        <v>0</v>
      </c>
      <c r="M1930" s="8">
        <f>+Tabla1[[#This Row],[utilidad x dia]]*7</f>
        <v>0</v>
      </c>
    </row>
    <row r="1931" spans="1:13" x14ac:dyDescent="0.3">
      <c r="A1931" s="6">
        <f>+'[1]VENTAS(RESUMEN GLOBAL)'!L1931</f>
        <v>0</v>
      </c>
      <c r="B1931" s="6">
        <f>+'[1]VENTAS(RESUMEN GLOBAL)'!M1931</f>
        <v>0</v>
      </c>
      <c r="C1931">
        <f>+'[1]VENTAS(RESUMEN GLOBAL)'!B1931</f>
        <v>0</v>
      </c>
      <c r="D1931" t="e">
        <f>INDEX('[1]CÓDIGOS DE PRODUCTO'!$D$3:$D$1000,MATCH(C1931,'[1]CÓDIGOS DE PRODUCTO'!$A$3:$A$1000,0))</f>
        <v>#N/A</v>
      </c>
      <c r="E1931">
        <f>VLOOKUP(C1931,'[1]CÓDIGOS DE PRODUCTO'!$A$4:$B$156,2,FALSE)</f>
        <v>0</v>
      </c>
      <c r="F1931">
        <f>INDEX('[1]CÓDIGOS DE PRODUCTO'!$C$3:$C$1000,MATCH(C1931,'[1]CÓDIGOS DE PRODUCTO'!$A$3:$A$1000,0))</f>
        <v>0</v>
      </c>
      <c r="G1931">
        <f>+'[1]VENTAS(RESUMEN GLOBAL)'!D1931-'[1]VENTAS(RESUMEN GLOBAL)'!E1931</f>
        <v>0</v>
      </c>
      <c r="H1931" s="9">
        <f>+'[1]VENTAS(RESUMEN GLOBAL)'!K1931</f>
        <v>0</v>
      </c>
      <c r="I1931" s="8">
        <f>+G1931*'[1]VENTAS(RESUMEN GLOBAL)'!F1931</f>
        <v>0</v>
      </c>
      <c r="J1931" s="8">
        <f>'[1]VENTAS(RESUMEN GLOBAL)'!G1931*(1-'[1]VENTAS(RESUMEN GLOBAL)'!H1931)</f>
        <v>0</v>
      </c>
      <c r="K1931" s="8">
        <f t="shared" si="30"/>
        <v>0</v>
      </c>
      <c r="L1931" s="8">
        <f>+'[1]VENTAS(RESUMEN GLOBAL)'!J1931</f>
        <v>0</v>
      </c>
      <c r="M1931" s="8">
        <f>+Tabla1[[#This Row],[utilidad x dia]]*7</f>
        <v>0</v>
      </c>
    </row>
    <row r="1932" spans="1:13" x14ac:dyDescent="0.3">
      <c r="A1932" s="6">
        <f>+'[1]VENTAS(RESUMEN GLOBAL)'!L1932</f>
        <v>0</v>
      </c>
      <c r="B1932" s="6">
        <f>+'[1]VENTAS(RESUMEN GLOBAL)'!M1932</f>
        <v>0</v>
      </c>
      <c r="C1932">
        <f>+'[1]VENTAS(RESUMEN GLOBAL)'!B1932</f>
        <v>0</v>
      </c>
      <c r="D1932" t="e">
        <f>INDEX('[1]CÓDIGOS DE PRODUCTO'!$D$3:$D$1000,MATCH(C1932,'[1]CÓDIGOS DE PRODUCTO'!$A$3:$A$1000,0))</f>
        <v>#N/A</v>
      </c>
      <c r="E1932">
        <f>VLOOKUP(C1932,'[1]CÓDIGOS DE PRODUCTO'!$A$4:$B$156,2,FALSE)</f>
        <v>0</v>
      </c>
      <c r="F1932">
        <f>INDEX('[1]CÓDIGOS DE PRODUCTO'!$C$3:$C$1000,MATCH(C1932,'[1]CÓDIGOS DE PRODUCTO'!$A$3:$A$1000,0))</f>
        <v>0</v>
      </c>
      <c r="G1932">
        <f>+'[1]VENTAS(RESUMEN GLOBAL)'!D1932-'[1]VENTAS(RESUMEN GLOBAL)'!E1932</f>
        <v>0</v>
      </c>
      <c r="H1932" s="9">
        <f>+'[1]VENTAS(RESUMEN GLOBAL)'!K1932</f>
        <v>0</v>
      </c>
      <c r="I1932" s="8">
        <f>+G1932*'[1]VENTAS(RESUMEN GLOBAL)'!F1932</f>
        <v>0</v>
      </c>
      <c r="J1932" s="8">
        <f>'[1]VENTAS(RESUMEN GLOBAL)'!G1932*(1-'[1]VENTAS(RESUMEN GLOBAL)'!H1932)</f>
        <v>0</v>
      </c>
      <c r="K1932" s="8">
        <f t="shared" si="30"/>
        <v>0</v>
      </c>
      <c r="L1932" s="8">
        <f>+'[1]VENTAS(RESUMEN GLOBAL)'!J1932</f>
        <v>0</v>
      </c>
      <c r="M1932" s="8">
        <f>+Tabla1[[#This Row],[utilidad x dia]]*7</f>
        <v>0</v>
      </c>
    </row>
    <row r="1933" spans="1:13" x14ac:dyDescent="0.3">
      <c r="A1933" s="6">
        <f>+'[1]VENTAS(RESUMEN GLOBAL)'!L1933</f>
        <v>0</v>
      </c>
      <c r="B1933" s="6">
        <f>+'[1]VENTAS(RESUMEN GLOBAL)'!M1933</f>
        <v>0</v>
      </c>
      <c r="C1933">
        <f>+'[1]VENTAS(RESUMEN GLOBAL)'!B1933</f>
        <v>0</v>
      </c>
      <c r="D1933" t="e">
        <f>INDEX('[1]CÓDIGOS DE PRODUCTO'!$D$3:$D$1000,MATCH(C1933,'[1]CÓDIGOS DE PRODUCTO'!$A$3:$A$1000,0))</f>
        <v>#N/A</v>
      </c>
      <c r="E1933">
        <f>VLOOKUP(C1933,'[1]CÓDIGOS DE PRODUCTO'!$A$4:$B$156,2,FALSE)</f>
        <v>0</v>
      </c>
      <c r="F1933">
        <f>INDEX('[1]CÓDIGOS DE PRODUCTO'!$C$3:$C$1000,MATCH(C1933,'[1]CÓDIGOS DE PRODUCTO'!$A$3:$A$1000,0))</f>
        <v>0</v>
      </c>
      <c r="G1933">
        <f>+'[1]VENTAS(RESUMEN GLOBAL)'!D1933-'[1]VENTAS(RESUMEN GLOBAL)'!E1933</f>
        <v>0</v>
      </c>
      <c r="H1933" s="9">
        <f>+'[1]VENTAS(RESUMEN GLOBAL)'!K1933</f>
        <v>0</v>
      </c>
      <c r="I1933" s="8">
        <f>+G1933*'[1]VENTAS(RESUMEN GLOBAL)'!F1933</f>
        <v>0</v>
      </c>
      <c r="J1933" s="8">
        <f>'[1]VENTAS(RESUMEN GLOBAL)'!G1933*(1-'[1]VENTAS(RESUMEN GLOBAL)'!H1933)</f>
        <v>0</v>
      </c>
      <c r="K1933" s="8">
        <f t="shared" si="30"/>
        <v>0</v>
      </c>
      <c r="L1933" s="8">
        <f>+'[1]VENTAS(RESUMEN GLOBAL)'!J1933</f>
        <v>0</v>
      </c>
      <c r="M1933" s="8">
        <f>+Tabla1[[#This Row],[utilidad x dia]]*7</f>
        <v>0</v>
      </c>
    </row>
    <row r="1934" spans="1:13" x14ac:dyDescent="0.3">
      <c r="A1934" s="6">
        <f>+'[1]VENTAS(RESUMEN GLOBAL)'!L1934</f>
        <v>0</v>
      </c>
      <c r="B1934" s="6">
        <f>+'[1]VENTAS(RESUMEN GLOBAL)'!M1934</f>
        <v>0</v>
      </c>
      <c r="C1934">
        <f>+'[1]VENTAS(RESUMEN GLOBAL)'!B1934</f>
        <v>0</v>
      </c>
      <c r="D1934" t="e">
        <f>INDEX('[1]CÓDIGOS DE PRODUCTO'!$D$3:$D$1000,MATCH(C1934,'[1]CÓDIGOS DE PRODUCTO'!$A$3:$A$1000,0))</f>
        <v>#N/A</v>
      </c>
      <c r="E1934">
        <f>VLOOKUP(C1934,'[1]CÓDIGOS DE PRODUCTO'!$A$4:$B$156,2,FALSE)</f>
        <v>0</v>
      </c>
      <c r="F1934">
        <f>INDEX('[1]CÓDIGOS DE PRODUCTO'!$C$3:$C$1000,MATCH(C1934,'[1]CÓDIGOS DE PRODUCTO'!$A$3:$A$1000,0))</f>
        <v>0</v>
      </c>
      <c r="G1934">
        <f>+'[1]VENTAS(RESUMEN GLOBAL)'!D1934-'[1]VENTAS(RESUMEN GLOBAL)'!E1934</f>
        <v>0</v>
      </c>
      <c r="H1934" s="9">
        <f>+'[1]VENTAS(RESUMEN GLOBAL)'!K1934</f>
        <v>0</v>
      </c>
      <c r="I1934" s="8">
        <f>+G1934*'[1]VENTAS(RESUMEN GLOBAL)'!F1934</f>
        <v>0</v>
      </c>
      <c r="J1934" s="8">
        <f>'[1]VENTAS(RESUMEN GLOBAL)'!G1934*(1-'[1]VENTAS(RESUMEN GLOBAL)'!H1934)</f>
        <v>0</v>
      </c>
      <c r="K1934" s="8">
        <f t="shared" si="30"/>
        <v>0</v>
      </c>
      <c r="L1934" s="8">
        <f>+'[1]VENTAS(RESUMEN GLOBAL)'!J1934</f>
        <v>0</v>
      </c>
      <c r="M1934" s="8">
        <f>+Tabla1[[#This Row],[utilidad x dia]]*7</f>
        <v>0</v>
      </c>
    </row>
    <row r="1935" spans="1:13" x14ac:dyDescent="0.3">
      <c r="A1935" s="6">
        <f>+'[1]VENTAS(RESUMEN GLOBAL)'!L1935</f>
        <v>0</v>
      </c>
      <c r="B1935" s="6">
        <f>+'[1]VENTAS(RESUMEN GLOBAL)'!M1935</f>
        <v>0</v>
      </c>
      <c r="C1935">
        <f>+'[1]VENTAS(RESUMEN GLOBAL)'!B1935</f>
        <v>0</v>
      </c>
      <c r="D1935" t="e">
        <f>INDEX('[1]CÓDIGOS DE PRODUCTO'!$D$3:$D$1000,MATCH(C1935,'[1]CÓDIGOS DE PRODUCTO'!$A$3:$A$1000,0))</f>
        <v>#N/A</v>
      </c>
      <c r="E1935">
        <f>VLOOKUP(C1935,'[1]CÓDIGOS DE PRODUCTO'!$A$4:$B$156,2,FALSE)</f>
        <v>0</v>
      </c>
      <c r="F1935">
        <f>INDEX('[1]CÓDIGOS DE PRODUCTO'!$C$3:$C$1000,MATCH(C1935,'[1]CÓDIGOS DE PRODUCTO'!$A$3:$A$1000,0))</f>
        <v>0</v>
      </c>
      <c r="G1935">
        <f>+'[1]VENTAS(RESUMEN GLOBAL)'!D1935-'[1]VENTAS(RESUMEN GLOBAL)'!E1935</f>
        <v>0</v>
      </c>
      <c r="H1935" s="9">
        <f>+'[1]VENTAS(RESUMEN GLOBAL)'!K1935</f>
        <v>0</v>
      </c>
      <c r="I1935" s="8">
        <f>+G1935*'[1]VENTAS(RESUMEN GLOBAL)'!F1935</f>
        <v>0</v>
      </c>
      <c r="J1935" s="8">
        <f>'[1]VENTAS(RESUMEN GLOBAL)'!G1935*(1-'[1]VENTAS(RESUMEN GLOBAL)'!H1935)</f>
        <v>0</v>
      </c>
      <c r="K1935" s="8">
        <f t="shared" si="30"/>
        <v>0</v>
      </c>
      <c r="L1935" s="8">
        <f>+'[1]VENTAS(RESUMEN GLOBAL)'!J1935</f>
        <v>0</v>
      </c>
      <c r="M1935" s="8">
        <f>+Tabla1[[#This Row],[utilidad x dia]]*7</f>
        <v>0</v>
      </c>
    </row>
    <row r="1936" spans="1:13" x14ac:dyDescent="0.3">
      <c r="A1936" s="6">
        <f>+'[1]VENTAS(RESUMEN GLOBAL)'!L1936</f>
        <v>0</v>
      </c>
      <c r="B1936" s="6">
        <f>+'[1]VENTAS(RESUMEN GLOBAL)'!M1936</f>
        <v>0</v>
      </c>
      <c r="C1936">
        <f>+'[1]VENTAS(RESUMEN GLOBAL)'!B1936</f>
        <v>0</v>
      </c>
      <c r="D1936" t="e">
        <f>INDEX('[1]CÓDIGOS DE PRODUCTO'!$D$3:$D$1000,MATCH(C1936,'[1]CÓDIGOS DE PRODUCTO'!$A$3:$A$1000,0))</f>
        <v>#N/A</v>
      </c>
      <c r="E1936">
        <f>VLOOKUP(C1936,'[1]CÓDIGOS DE PRODUCTO'!$A$4:$B$156,2,FALSE)</f>
        <v>0</v>
      </c>
      <c r="F1936">
        <f>INDEX('[1]CÓDIGOS DE PRODUCTO'!$C$3:$C$1000,MATCH(C1936,'[1]CÓDIGOS DE PRODUCTO'!$A$3:$A$1000,0))</f>
        <v>0</v>
      </c>
      <c r="G1936">
        <f>+'[1]VENTAS(RESUMEN GLOBAL)'!D1936-'[1]VENTAS(RESUMEN GLOBAL)'!E1936</f>
        <v>0</v>
      </c>
      <c r="H1936" s="9">
        <f>+'[1]VENTAS(RESUMEN GLOBAL)'!K1936</f>
        <v>0</v>
      </c>
      <c r="I1936" s="8">
        <f>+G1936*'[1]VENTAS(RESUMEN GLOBAL)'!F1936</f>
        <v>0</v>
      </c>
      <c r="J1936" s="8">
        <f>'[1]VENTAS(RESUMEN GLOBAL)'!G1936*(1-'[1]VENTAS(RESUMEN GLOBAL)'!H1936)</f>
        <v>0</v>
      </c>
      <c r="K1936" s="8">
        <f t="shared" si="30"/>
        <v>0</v>
      </c>
      <c r="L1936" s="8">
        <f>+'[1]VENTAS(RESUMEN GLOBAL)'!J1936</f>
        <v>0</v>
      </c>
      <c r="M1936" s="8">
        <f>+Tabla1[[#This Row],[utilidad x dia]]*7</f>
        <v>0</v>
      </c>
    </row>
    <row r="1937" spans="1:13" x14ac:dyDescent="0.3">
      <c r="A1937" s="6">
        <f>+'[1]VENTAS(RESUMEN GLOBAL)'!L1937</f>
        <v>0</v>
      </c>
      <c r="B1937" s="6">
        <f>+'[1]VENTAS(RESUMEN GLOBAL)'!M1937</f>
        <v>0</v>
      </c>
      <c r="C1937">
        <f>+'[1]VENTAS(RESUMEN GLOBAL)'!B1937</f>
        <v>0</v>
      </c>
      <c r="D1937" t="e">
        <f>INDEX('[1]CÓDIGOS DE PRODUCTO'!$D$3:$D$1000,MATCH(C1937,'[1]CÓDIGOS DE PRODUCTO'!$A$3:$A$1000,0))</f>
        <v>#N/A</v>
      </c>
      <c r="E1937">
        <f>VLOOKUP(C1937,'[1]CÓDIGOS DE PRODUCTO'!$A$4:$B$156,2,FALSE)</f>
        <v>0</v>
      </c>
      <c r="F1937">
        <f>INDEX('[1]CÓDIGOS DE PRODUCTO'!$C$3:$C$1000,MATCH(C1937,'[1]CÓDIGOS DE PRODUCTO'!$A$3:$A$1000,0))</f>
        <v>0</v>
      </c>
      <c r="G1937">
        <f>+'[1]VENTAS(RESUMEN GLOBAL)'!D1937-'[1]VENTAS(RESUMEN GLOBAL)'!E1937</f>
        <v>0</v>
      </c>
      <c r="H1937" s="9">
        <f>+'[1]VENTAS(RESUMEN GLOBAL)'!K1937</f>
        <v>0</v>
      </c>
      <c r="I1937" s="8">
        <f>+G1937*'[1]VENTAS(RESUMEN GLOBAL)'!F1937</f>
        <v>0</v>
      </c>
      <c r="J1937" s="8">
        <f>'[1]VENTAS(RESUMEN GLOBAL)'!G1937*(1-'[1]VENTAS(RESUMEN GLOBAL)'!H1937)</f>
        <v>0</v>
      </c>
      <c r="K1937" s="8">
        <f t="shared" si="30"/>
        <v>0</v>
      </c>
      <c r="L1937" s="8">
        <f>+'[1]VENTAS(RESUMEN GLOBAL)'!J1937</f>
        <v>0</v>
      </c>
      <c r="M1937" s="8">
        <f>+Tabla1[[#This Row],[utilidad x dia]]*7</f>
        <v>0</v>
      </c>
    </row>
    <row r="1938" spans="1:13" x14ac:dyDescent="0.3">
      <c r="A1938" s="6">
        <f>+'[1]VENTAS(RESUMEN GLOBAL)'!L1938</f>
        <v>0</v>
      </c>
      <c r="B1938" s="6">
        <f>+'[1]VENTAS(RESUMEN GLOBAL)'!M1938</f>
        <v>0</v>
      </c>
      <c r="C1938">
        <f>+'[1]VENTAS(RESUMEN GLOBAL)'!B1938</f>
        <v>0</v>
      </c>
      <c r="D1938" t="e">
        <f>INDEX('[1]CÓDIGOS DE PRODUCTO'!$D$3:$D$1000,MATCH(C1938,'[1]CÓDIGOS DE PRODUCTO'!$A$3:$A$1000,0))</f>
        <v>#N/A</v>
      </c>
      <c r="E1938">
        <f>VLOOKUP(C1938,'[1]CÓDIGOS DE PRODUCTO'!$A$4:$B$156,2,FALSE)</f>
        <v>0</v>
      </c>
      <c r="F1938">
        <f>INDEX('[1]CÓDIGOS DE PRODUCTO'!$C$3:$C$1000,MATCH(C1938,'[1]CÓDIGOS DE PRODUCTO'!$A$3:$A$1000,0))</f>
        <v>0</v>
      </c>
      <c r="G1938">
        <f>+'[1]VENTAS(RESUMEN GLOBAL)'!D1938-'[1]VENTAS(RESUMEN GLOBAL)'!E1938</f>
        <v>0</v>
      </c>
      <c r="H1938" s="9">
        <f>+'[1]VENTAS(RESUMEN GLOBAL)'!K1938</f>
        <v>0</v>
      </c>
      <c r="I1938" s="8">
        <f>+G1938*'[1]VENTAS(RESUMEN GLOBAL)'!F1938</f>
        <v>0</v>
      </c>
      <c r="J1938" s="8">
        <f>'[1]VENTAS(RESUMEN GLOBAL)'!G1938*(1-'[1]VENTAS(RESUMEN GLOBAL)'!H1938)</f>
        <v>0</v>
      </c>
      <c r="K1938" s="8">
        <f t="shared" si="30"/>
        <v>0</v>
      </c>
      <c r="L1938" s="8">
        <f>+'[1]VENTAS(RESUMEN GLOBAL)'!J1938</f>
        <v>0</v>
      </c>
      <c r="M1938" s="8">
        <f>+Tabla1[[#This Row],[utilidad x dia]]*7</f>
        <v>0</v>
      </c>
    </row>
    <row r="1939" spans="1:13" x14ac:dyDescent="0.3">
      <c r="A1939" s="6">
        <f>+'[1]VENTAS(RESUMEN GLOBAL)'!L1939</f>
        <v>0</v>
      </c>
      <c r="B1939" s="6">
        <f>+'[1]VENTAS(RESUMEN GLOBAL)'!M1939</f>
        <v>0</v>
      </c>
      <c r="C1939">
        <f>+'[1]VENTAS(RESUMEN GLOBAL)'!B1939</f>
        <v>0</v>
      </c>
      <c r="D1939" t="e">
        <f>INDEX('[1]CÓDIGOS DE PRODUCTO'!$D$3:$D$1000,MATCH(C1939,'[1]CÓDIGOS DE PRODUCTO'!$A$3:$A$1000,0))</f>
        <v>#N/A</v>
      </c>
      <c r="E1939">
        <f>VLOOKUP(C1939,'[1]CÓDIGOS DE PRODUCTO'!$A$4:$B$156,2,FALSE)</f>
        <v>0</v>
      </c>
      <c r="F1939">
        <f>INDEX('[1]CÓDIGOS DE PRODUCTO'!$C$3:$C$1000,MATCH(C1939,'[1]CÓDIGOS DE PRODUCTO'!$A$3:$A$1000,0))</f>
        <v>0</v>
      </c>
      <c r="G1939">
        <f>+'[1]VENTAS(RESUMEN GLOBAL)'!D1939-'[1]VENTAS(RESUMEN GLOBAL)'!E1939</f>
        <v>0</v>
      </c>
      <c r="H1939" s="9">
        <f>+'[1]VENTAS(RESUMEN GLOBAL)'!K1939</f>
        <v>0</v>
      </c>
      <c r="I1939" s="8">
        <f>+G1939*'[1]VENTAS(RESUMEN GLOBAL)'!F1939</f>
        <v>0</v>
      </c>
      <c r="J1939" s="8">
        <f>'[1]VENTAS(RESUMEN GLOBAL)'!G1939*(1-'[1]VENTAS(RESUMEN GLOBAL)'!H1939)</f>
        <v>0</v>
      </c>
      <c r="K1939" s="8">
        <f t="shared" si="30"/>
        <v>0</v>
      </c>
      <c r="L1939" s="8">
        <f>+'[1]VENTAS(RESUMEN GLOBAL)'!J1939</f>
        <v>0</v>
      </c>
      <c r="M1939" s="8">
        <f>+Tabla1[[#This Row],[utilidad x dia]]*7</f>
        <v>0</v>
      </c>
    </row>
    <row r="1940" spans="1:13" x14ac:dyDescent="0.3">
      <c r="A1940" s="6">
        <f>+'[1]VENTAS(RESUMEN GLOBAL)'!L1940</f>
        <v>0</v>
      </c>
      <c r="B1940" s="6">
        <f>+'[1]VENTAS(RESUMEN GLOBAL)'!M1940</f>
        <v>0</v>
      </c>
      <c r="C1940">
        <f>+'[1]VENTAS(RESUMEN GLOBAL)'!B1940</f>
        <v>0</v>
      </c>
      <c r="D1940" t="e">
        <f>INDEX('[1]CÓDIGOS DE PRODUCTO'!$D$3:$D$1000,MATCH(C1940,'[1]CÓDIGOS DE PRODUCTO'!$A$3:$A$1000,0))</f>
        <v>#N/A</v>
      </c>
      <c r="E1940">
        <f>VLOOKUP(C1940,'[1]CÓDIGOS DE PRODUCTO'!$A$4:$B$156,2,FALSE)</f>
        <v>0</v>
      </c>
      <c r="F1940">
        <f>INDEX('[1]CÓDIGOS DE PRODUCTO'!$C$3:$C$1000,MATCH(C1940,'[1]CÓDIGOS DE PRODUCTO'!$A$3:$A$1000,0))</f>
        <v>0</v>
      </c>
      <c r="G1940">
        <f>+'[1]VENTAS(RESUMEN GLOBAL)'!D1940-'[1]VENTAS(RESUMEN GLOBAL)'!E1940</f>
        <v>0</v>
      </c>
      <c r="H1940" s="9">
        <f>+'[1]VENTAS(RESUMEN GLOBAL)'!K1940</f>
        <v>0</v>
      </c>
      <c r="I1940" s="8">
        <f>+G1940*'[1]VENTAS(RESUMEN GLOBAL)'!F1940</f>
        <v>0</v>
      </c>
      <c r="J1940" s="8">
        <f>'[1]VENTAS(RESUMEN GLOBAL)'!G1940*(1-'[1]VENTAS(RESUMEN GLOBAL)'!H1940)</f>
        <v>0</v>
      </c>
      <c r="K1940" s="8">
        <f t="shared" si="30"/>
        <v>0</v>
      </c>
      <c r="L1940" s="8">
        <f>+'[1]VENTAS(RESUMEN GLOBAL)'!J1940</f>
        <v>0</v>
      </c>
      <c r="M1940" s="8">
        <f>+Tabla1[[#This Row],[utilidad x dia]]*7</f>
        <v>0</v>
      </c>
    </row>
    <row r="1941" spans="1:13" x14ac:dyDescent="0.3">
      <c r="A1941" s="6">
        <f>+'[1]VENTAS(RESUMEN GLOBAL)'!L1941</f>
        <v>0</v>
      </c>
      <c r="B1941" s="6">
        <f>+'[1]VENTAS(RESUMEN GLOBAL)'!M1941</f>
        <v>0</v>
      </c>
      <c r="C1941">
        <f>+'[1]VENTAS(RESUMEN GLOBAL)'!B1941</f>
        <v>0</v>
      </c>
      <c r="D1941" t="e">
        <f>INDEX('[1]CÓDIGOS DE PRODUCTO'!$D$3:$D$1000,MATCH(C1941,'[1]CÓDIGOS DE PRODUCTO'!$A$3:$A$1000,0))</f>
        <v>#N/A</v>
      </c>
      <c r="E1941">
        <f>VLOOKUP(C1941,'[1]CÓDIGOS DE PRODUCTO'!$A$4:$B$156,2,FALSE)</f>
        <v>0</v>
      </c>
      <c r="F1941">
        <f>INDEX('[1]CÓDIGOS DE PRODUCTO'!$C$3:$C$1000,MATCH(C1941,'[1]CÓDIGOS DE PRODUCTO'!$A$3:$A$1000,0))</f>
        <v>0</v>
      </c>
      <c r="G1941">
        <f>+'[1]VENTAS(RESUMEN GLOBAL)'!D1941-'[1]VENTAS(RESUMEN GLOBAL)'!E1941</f>
        <v>0</v>
      </c>
      <c r="H1941" s="9">
        <f>+'[1]VENTAS(RESUMEN GLOBAL)'!K1941</f>
        <v>0</v>
      </c>
      <c r="I1941" s="8">
        <f>+G1941*'[1]VENTAS(RESUMEN GLOBAL)'!F1941</f>
        <v>0</v>
      </c>
      <c r="J1941" s="8">
        <f>'[1]VENTAS(RESUMEN GLOBAL)'!G1941*(1-'[1]VENTAS(RESUMEN GLOBAL)'!H1941)</f>
        <v>0</v>
      </c>
      <c r="K1941" s="8">
        <f t="shared" si="30"/>
        <v>0</v>
      </c>
      <c r="L1941" s="8">
        <f>+'[1]VENTAS(RESUMEN GLOBAL)'!J1941</f>
        <v>0</v>
      </c>
      <c r="M1941" s="8">
        <f>+Tabla1[[#This Row],[utilidad x dia]]*7</f>
        <v>0</v>
      </c>
    </row>
    <row r="1942" spans="1:13" x14ac:dyDescent="0.3">
      <c r="A1942" s="6">
        <f>+'[1]VENTAS(RESUMEN GLOBAL)'!L1942</f>
        <v>0</v>
      </c>
      <c r="B1942" s="6">
        <f>+'[1]VENTAS(RESUMEN GLOBAL)'!M1942</f>
        <v>0</v>
      </c>
      <c r="C1942">
        <f>+'[1]VENTAS(RESUMEN GLOBAL)'!B1942</f>
        <v>0</v>
      </c>
      <c r="D1942" t="e">
        <f>INDEX('[1]CÓDIGOS DE PRODUCTO'!$D$3:$D$1000,MATCH(C1942,'[1]CÓDIGOS DE PRODUCTO'!$A$3:$A$1000,0))</f>
        <v>#N/A</v>
      </c>
      <c r="E1942">
        <f>VLOOKUP(C1942,'[1]CÓDIGOS DE PRODUCTO'!$A$4:$B$156,2,FALSE)</f>
        <v>0</v>
      </c>
      <c r="F1942">
        <f>INDEX('[1]CÓDIGOS DE PRODUCTO'!$C$3:$C$1000,MATCH(C1942,'[1]CÓDIGOS DE PRODUCTO'!$A$3:$A$1000,0))</f>
        <v>0</v>
      </c>
      <c r="G1942">
        <f>+'[1]VENTAS(RESUMEN GLOBAL)'!D1942-'[1]VENTAS(RESUMEN GLOBAL)'!E1942</f>
        <v>0</v>
      </c>
      <c r="H1942" s="9">
        <f>+'[1]VENTAS(RESUMEN GLOBAL)'!K1942</f>
        <v>0</v>
      </c>
      <c r="I1942" s="8">
        <f>+G1942*'[1]VENTAS(RESUMEN GLOBAL)'!F1942</f>
        <v>0</v>
      </c>
      <c r="J1942" s="8">
        <f>'[1]VENTAS(RESUMEN GLOBAL)'!G1942*(1-'[1]VENTAS(RESUMEN GLOBAL)'!H1942)</f>
        <v>0</v>
      </c>
      <c r="K1942" s="8">
        <f t="shared" si="30"/>
        <v>0</v>
      </c>
      <c r="L1942" s="8">
        <f>+'[1]VENTAS(RESUMEN GLOBAL)'!J1942</f>
        <v>0</v>
      </c>
      <c r="M1942" s="8">
        <f>+Tabla1[[#This Row],[utilidad x dia]]*7</f>
        <v>0</v>
      </c>
    </row>
    <row r="1943" spans="1:13" x14ac:dyDescent="0.3">
      <c r="A1943" s="6">
        <f>+'[1]VENTAS(RESUMEN GLOBAL)'!L1943</f>
        <v>0</v>
      </c>
      <c r="B1943" s="6">
        <f>+'[1]VENTAS(RESUMEN GLOBAL)'!M1943</f>
        <v>0</v>
      </c>
      <c r="C1943">
        <f>+'[1]VENTAS(RESUMEN GLOBAL)'!B1943</f>
        <v>0</v>
      </c>
      <c r="D1943" t="e">
        <f>INDEX('[1]CÓDIGOS DE PRODUCTO'!$D$3:$D$1000,MATCH(C1943,'[1]CÓDIGOS DE PRODUCTO'!$A$3:$A$1000,0))</f>
        <v>#N/A</v>
      </c>
      <c r="E1943">
        <f>VLOOKUP(C1943,'[1]CÓDIGOS DE PRODUCTO'!$A$4:$B$156,2,FALSE)</f>
        <v>0</v>
      </c>
      <c r="F1943">
        <f>INDEX('[1]CÓDIGOS DE PRODUCTO'!$C$3:$C$1000,MATCH(C1943,'[1]CÓDIGOS DE PRODUCTO'!$A$3:$A$1000,0))</f>
        <v>0</v>
      </c>
      <c r="G1943">
        <f>+'[1]VENTAS(RESUMEN GLOBAL)'!D1943-'[1]VENTAS(RESUMEN GLOBAL)'!E1943</f>
        <v>0</v>
      </c>
      <c r="H1943" s="9">
        <f>+'[1]VENTAS(RESUMEN GLOBAL)'!K1943</f>
        <v>0</v>
      </c>
      <c r="I1943" s="8">
        <f>+G1943*'[1]VENTAS(RESUMEN GLOBAL)'!F1943</f>
        <v>0</v>
      </c>
      <c r="J1943" s="8">
        <f>'[1]VENTAS(RESUMEN GLOBAL)'!G1943*(1-'[1]VENTAS(RESUMEN GLOBAL)'!H1943)</f>
        <v>0</v>
      </c>
      <c r="K1943" s="8">
        <f t="shared" si="30"/>
        <v>0</v>
      </c>
      <c r="L1943" s="8">
        <f>+'[1]VENTAS(RESUMEN GLOBAL)'!J1943</f>
        <v>0</v>
      </c>
      <c r="M1943" s="8">
        <f>+Tabla1[[#This Row],[utilidad x dia]]*7</f>
        <v>0</v>
      </c>
    </row>
    <row r="1944" spans="1:13" x14ac:dyDescent="0.3">
      <c r="A1944" s="6">
        <f>+'[1]VENTAS(RESUMEN GLOBAL)'!L1944</f>
        <v>0</v>
      </c>
      <c r="B1944" s="6">
        <f>+'[1]VENTAS(RESUMEN GLOBAL)'!M1944</f>
        <v>0</v>
      </c>
      <c r="C1944">
        <f>+'[1]VENTAS(RESUMEN GLOBAL)'!B1944</f>
        <v>0</v>
      </c>
      <c r="D1944" t="e">
        <f>INDEX('[1]CÓDIGOS DE PRODUCTO'!$D$3:$D$1000,MATCH(C1944,'[1]CÓDIGOS DE PRODUCTO'!$A$3:$A$1000,0))</f>
        <v>#N/A</v>
      </c>
      <c r="E1944">
        <f>VLOOKUP(C1944,'[1]CÓDIGOS DE PRODUCTO'!$A$4:$B$156,2,FALSE)</f>
        <v>0</v>
      </c>
      <c r="F1944">
        <f>INDEX('[1]CÓDIGOS DE PRODUCTO'!$C$3:$C$1000,MATCH(C1944,'[1]CÓDIGOS DE PRODUCTO'!$A$3:$A$1000,0))</f>
        <v>0</v>
      </c>
      <c r="G1944">
        <f>+'[1]VENTAS(RESUMEN GLOBAL)'!D1944-'[1]VENTAS(RESUMEN GLOBAL)'!E1944</f>
        <v>0</v>
      </c>
      <c r="H1944" s="9">
        <f>+'[1]VENTAS(RESUMEN GLOBAL)'!K1944</f>
        <v>0</v>
      </c>
      <c r="I1944" s="8">
        <f>+G1944*'[1]VENTAS(RESUMEN GLOBAL)'!F1944</f>
        <v>0</v>
      </c>
      <c r="J1944" s="8">
        <f>'[1]VENTAS(RESUMEN GLOBAL)'!G1944*(1-'[1]VENTAS(RESUMEN GLOBAL)'!H1944)</f>
        <v>0</v>
      </c>
      <c r="K1944" s="8">
        <f t="shared" si="30"/>
        <v>0</v>
      </c>
      <c r="L1944" s="8">
        <f>+'[1]VENTAS(RESUMEN GLOBAL)'!J1944</f>
        <v>0</v>
      </c>
      <c r="M1944" s="8">
        <f>+Tabla1[[#This Row],[utilidad x dia]]*7</f>
        <v>0</v>
      </c>
    </row>
    <row r="1945" spans="1:13" x14ac:dyDescent="0.3">
      <c r="A1945" s="6">
        <f>+'[1]VENTAS(RESUMEN GLOBAL)'!L1945</f>
        <v>0</v>
      </c>
      <c r="B1945" s="6">
        <f>+'[1]VENTAS(RESUMEN GLOBAL)'!M1945</f>
        <v>0</v>
      </c>
      <c r="C1945">
        <f>+'[1]VENTAS(RESUMEN GLOBAL)'!B1945</f>
        <v>0</v>
      </c>
      <c r="D1945" t="e">
        <f>INDEX('[1]CÓDIGOS DE PRODUCTO'!$D$3:$D$1000,MATCH(C1945,'[1]CÓDIGOS DE PRODUCTO'!$A$3:$A$1000,0))</f>
        <v>#N/A</v>
      </c>
      <c r="E1945">
        <f>VLOOKUP(C1945,'[1]CÓDIGOS DE PRODUCTO'!$A$4:$B$156,2,FALSE)</f>
        <v>0</v>
      </c>
      <c r="F1945">
        <f>INDEX('[1]CÓDIGOS DE PRODUCTO'!$C$3:$C$1000,MATCH(C1945,'[1]CÓDIGOS DE PRODUCTO'!$A$3:$A$1000,0))</f>
        <v>0</v>
      </c>
      <c r="G1945">
        <f>+'[1]VENTAS(RESUMEN GLOBAL)'!D1945-'[1]VENTAS(RESUMEN GLOBAL)'!E1945</f>
        <v>0</v>
      </c>
      <c r="H1945" s="9">
        <f>+'[1]VENTAS(RESUMEN GLOBAL)'!K1945</f>
        <v>0</v>
      </c>
      <c r="I1945" s="8">
        <f>+G1945*'[1]VENTAS(RESUMEN GLOBAL)'!F1945</f>
        <v>0</v>
      </c>
      <c r="J1945" s="8">
        <f>'[1]VENTAS(RESUMEN GLOBAL)'!G1945*(1-'[1]VENTAS(RESUMEN GLOBAL)'!H1945)</f>
        <v>0</v>
      </c>
      <c r="K1945" s="8">
        <f t="shared" si="30"/>
        <v>0</v>
      </c>
      <c r="L1945" s="8">
        <f>+'[1]VENTAS(RESUMEN GLOBAL)'!J1945</f>
        <v>0</v>
      </c>
      <c r="M1945" s="8">
        <f>+Tabla1[[#This Row],[utilidad x dia]]*7</f>
        <v>0</v>
      </c>
    </row>
    <row r="1946" spans="1:13" x14ac:dyDescent="0.3">
      <c r="A1946" s="6">
        <f>+'[1]VENTAS(RESUMEN GLOBAL)'!L1946</f>
        <v>0</v>
      </c>
      <c r="B1946" s="6">
        <f>+'[1]VENTAS(RESUMEN GLOBAL)'!M1946</f>
        <v>0</v>
      </c>
      <c r="C1946">
        <f>+'[1]VENTAS(RESUMEN GLOBAL)'!B1946</f>
        <v>0</v>
      </c>
      <c r="D1946" t="e">
        <f>INDEX('[1]CÓDIGOS DE PRODUCTO'!$D$3:$D$1000,MATCH(C1946,'[1]CÓDIGOS DE PRODUCTO'!$A$3:$A$1000,0))</f>
        <v>#N/A</v>
      </c>
      <c r="E1946">
        <f>VLOOKUP(C1946,'[1]CÓDIGOS DE PRODUCTO'!$A$4:$B$156,2,FALSE)</f>
        <v>0</v>
      </c>
      <c r="F1946">
        <f>INDEX('[1]CÓDIGOS DE PRODUCTO'!$C$3:$C$1000,MATCH(C1946,'[1]CÓDIGOS DE PRODUCTO'!$A$3:$A$1000,0))</f>
        <v>0</v>
      </c>
      <c r="G1946">
        <f>+'[1]VENTAS(RESUMEN GLOBAL)'!D1946-'[1]VENTAS(RESUMEN GLOBAL)'!E1946</f>
        <v>0</v>
      </c>
      <c r="H1946" s="9">
        <f>+'[1]VENTAS(RESUMEN GLOBAL)'!K1946</f>
        <v>0</v>
      </c>
      <c r="I1946" s="8">
        <f>+G1946*'[1]VENTAS(RESUMEN GLOBAL)'!F1946</f>
        <v>0</v>
      </c>
      <c r="J1946" s="8">
        <f>'[1]VENTAS(RESUMEN GLOBAL)'!G1946*(1-'[1]VENTAS(RESUMEN GLOBAL)'!H1946)</f>
        <v>0</v>
      </c>
      <c r="K1946" s="8">
        <f t="shared" si="30"/>
        <v>0</v>
      </c>
      <c r="L1946" s="8">
        <f>+'[1]VENTAS(RESUMEN GLOBAL)'!J1946</f>
        <v>0</v>
      </c>
      <c r="M1946" s="8">
        <f>+Tabla1[[#This Row],[utilidad x dia]]*7</f>
        <v>0</v>
      </c>
    </row>
    <row r="1947" spans="1:13" x14ac:dyDescent="0.3">
      <c r="A1947" s="6">
        <f>+'[1]VENTAS(RESUMEN GLOBAL)'!L1947</f>
        <v>0</v>
      </c>
      <c r="B1947" s="6">
        <f>+'[1]VENTAS(RESUMEN GLOBAL)'!M1947</f>
        <v>0</v>
      </c>
      <c r="C1947">
        <f>+'[1]VENTAS(RESUMEN GLOBAL)'!B1947</f>
        <v>0</v>
      </c>
      <c r="D1947" t="e">
        <f>INDEX('[1]CÓDIGOS DE PRODUCTO'!$D$3:$D$1000,MATCH(C1947,'[1]CÓDIGOS DE PRODUCTO'!$A$3:$A$1000,0))</f>
        <v>#N/A</v>
      </c>
      <c r="E1947">
        <f>VLOOKUP(C1947,'[1]CÓDIGOS DE PRODUCTO'!$A$4:$B$156,2,FALSE)</f>
        <v>0</v>
      </c>
      <c r="F1947">
        <f>INDEX('[1]CÓDIGOS DE PRODUCTO'!$C$3:$C$1000,MATCH(C1947,'[1]CÓDIGOS DE PRODUCTO'!$A$3:$A$1000,0))</f>
        <v>0</v>
      </c>
      <c r="G1947">
        <f>+'[1]VENTAS(RESUMEN GLOBAL)'!D1947-'[1]VENTAS(RESUMEN GLOBAL)'!E1947</f>
        <v>0</v>
      </c>
      <c r="H1947" s="9">
        <f>+'[1]VENTAS(RESUMEN GLOBAL)'!K1947</f>
        <v>0</v>
      </c>
      <c r="I1947" s="8">
        <f>+G1947*'[1]VENTAS(RESUMEN GLOBAL)'!F1947</f>
        <v>0</v>
      </c>
      <c r="J1947" s="8">
        <f>'[1]VENTAS(RESUMEN GLOBAL)'!G1947*(1-'[1]VENTAS(RESUMEN GLOBAL)'!H1947)</f>
        <v>0</v>
      </c>
      <c r="K1947" s="8">
        <f t="shared" si="30"/>
        <v>0</v>
      </c>
      <c r="L1947" s="8">
        <f>+'[1]VENTAS(RESUMEN GLOBAL)'!J1947</f>
        <v>0</v>
      </c>
      <c r="M1947" s="8">
        <f>+Tabla1[[#This Row],[utilidad x dia]]*7</f>
        <v>0</v>
      </c>
    </row>
    <row r="1948" spans="1:13" x14ac:dyDescent="0.3">
      <c r="A1948" s="6">
        <f>+'[1]VENTAS(RESUMEN GLOBAL)'!L1948</f>
        <v>0</v>
      </c>
      <c r="B1948" s="6">
        <f>+'[1]VENTAS(RESUMEN GLOBAL)'!M1948</f>
        <v>0</v>
      </c>
      <c r="C1948">
        <f>+'[1]VENTAS(RESUMEN GLOBAL)'!B1948</f>
        <v>0</v>
      </c>
      <c r="D1948" t="e">
        <f>INDEX('[1]CÓDIGOS DE PRODUCTO'!$D$3:$D$1000,MATCH(C1948,'[1]CÓDIGOS DE PRODUCTO'!$A$3:$A$1000,0))</f>
        <v>#N/A</v>
      </c>
      <c r="E1948">
        <f>VLOOKUP(C1948,'[1]CÓDIGOS DE PRODUCTO'!$A$4:$B$156,2,FALSE)</f>
        <v>0</v>
      </c>
      <c r="F1948">
        <f>INDEX('[1]CÓDIGOS DE PRODUCTO'!$C$3:$C$1000,MATCH(C1948,'[1]CÓDIGOS DE PRODUCTO'!$A$3:$A$1000,0))</f>
        <v>0</v>
      </c>
      <c r="G1948">
        <f>+'[1]VENTAS(RESUMEN GLOBAL)'!D1948-'[1]VENTAS(RESUMEN GLOBAL)'!E1948</f>
        <v>0</v>
      </c>
      <c r="H1948" s="9">
        <f>+'[1]VENTAS(RESUMEN GLOBAL)'!K1948</f>
        <v>0</v>
      </c>
      <c r="I1948" s="8">
        <f>+G1948*'[1]VENTAS(RESUMEN GLOBAL)'!F1948</f>
        <v>0</v>
      </c>
      <c r="J1948" s="8">
        <f>'[1]VENTAS(RESUMEN GLOBAL)'!G1948*(1-'[1]VENTAS(RESUMEN GLOBAL)'!H1948)</f>
        <v>0</v>
      </c>
      <c r="K1948" s="8">
        <f t="shared" si="30"/>
        <v>0</v>
      </c>
      <c r="L1948" s="8">
        <f>+'[1]VENTAS(RESUMEN GLOBAL)'!J1948</f>
        <v>0</v>
      </c>
      <c r="M1948" s="8">
        <f>+Tabla1[[#This Row],[utilidad x dia]]*7</f>
        <v>0</v>
      </c>
    </row>
    <row r="1949" spans="1:13" x14ac:dyDescent="0.3">
      <c r="A1949" s="6">
        <f>+'[1]VENTAS(RESUMEN GLOBAL)'!L1949</f>
        <v>0</v>
      </c>
      <c r="B1949" s="6">
        <f>+'[1]VENTAS(RESUMEN GLOBAL)'!M1949</f>
        <v>0</v>
      </c>
      <c r="C1949">
        <f>+'[1]VENTAS(RESUMEN GLOBAL)'!B1949</f>
        <v>0</v>
      </c>
      <c r="D1949" t="e">
        <f>INDEX('[1]CÓDIGOS DE PRODUCTO'!$D$3:$D$1000,MATCH(C1949,'[1]CÓDIGOS DE PRODUCTO'!$A$3:$A$1000,0))</f>
        <v>#N/A</v>
      </c>
      <c r="E1949">
        <f>VLOOKUP(C1949,'[1]CÓDIGOS DE PRODUCTO'!$A$4:$B$156,2,FALSE)</f>
        <v>0</v>
      </c>
      <c r="F1949">
        <f>INDEX('[1]CÓDIGOS DE PRODUCTO'!$C$3:$C$1000,MATCH(C1949,'[1]CÓDIGOS DE PRODUCTO'!$A$3:$A$1000,0))</f>
        <v>0</v>
      </c>
      <c r="G1949">
        <f>+'[1]VENTAS(RESUMEN GLOBAL)'!D1949-'[1]VENTAS(RESUMEN GLOBAL)'!E1949</f>
        <v>0</v>
      </c>
      <c r="H1949" s="9">
        <f>+'[1]VENTAS(RESUMEN GLOBAL)'!K1949</f>
        <v>0</v>
      </c>
      <c r="I1949" s="8">
        <f>+G1949*'[1]VENTAS(RESUMEN GLOBAL)'!F1949</f>
        <v>0</v>
      </c>
      <c r="J1949" s="8">
        <f>'[1]VENTAS(RESUMEN GLOBAL)'!G1949*(1-'[1]VENTAS(RESUMEN GLOBAL)'!H1949)</f>
        <v>0</v>
      </c>
      <c r="K1949" s="8">
        <f t="shared" si="30"/>
        <v>0</v>
      </c>
      <c r="L1949" s="8">
        <f>+'[1]VENTAS(RESUMEN GLOBAL)'!J1949</f>
        <v>0</v>
      </c>
      <c r="M1949" s="8">
        <f>+Tabla1[[#This Row],[utilidad x dia]]*7</f>
        <v>0</v>
      </c>
    </row>
    <row r="1950" spans="1:13" x14ac:dyDescent="0.3">
      <c r="A1950" s="6">
        <f>+'[1]VENTAS(RESUMEN GLOBAL)'!L1950</f>
        <v>0</v>
      </c>
      <c r="B1950" s="6">
        <f>+'[1]VENTAS(RESUMEN GLOBAL)'!M1950</f>
        <v>0</v>
      </c>
      <c r="C1950">
        <f>+'[1]VENTAS(RESUMEN GLOBAL)'!B1950</f>
        <v>0</v>
      </c>
      <c r="D1950" t="e">
        <f>INDEX('[1]CÓDIGOS DE PRODUCTO'!$D$3:$D$1000,MATCH(C1950,'[1]CÓDIGOS DE PRODUCTO'!$A$3:$A$1000,0))</f>
        <v>#N/A</v>
      </c>
      <c r="E1950">
        <f>VLOOKUP(C1950,'[1]CÓDIGOS DE PRODUCTO'!$A$4:$B$156,2,FALSE)</f>
        <v>0</v>
      </c>
      <c r="F1950">
        <f>INDEX('[1]CÓDIGOS DE PRODUCTO'!$C$3:$C$1000,MATCH(C1950,'[1]CÓDIGOS DE PRODUCTO'!$A$3:$A$1000,0))</f>
        <v>0</v>
      </c>
      <c r="G1950">
        <f>+'[1]VENTAS(RESUMEN GLOBAL)'!D1950-'[1]VENTAS(RESUMEN GLOBAL)'!E1950</f>
        <v>0</v>
      </c>
      <c r="H1950" s="9">
        <f>+'[1]VENTAS(RESUMEN GLOBAL)'!K1950</f>
        <v>0</v>
      </c>
      <c r="I1950" s="8">
        <f>+G1950*'[1]VENTAS(RESUMEN GLOBAL)'!F1950</f>
        <v>0</v>
      </c>
      <c r="J1950" s="8">
        <f>'[1]VENTAS(RESUMEN GLOBAL)'!G1950*(1-'[1]VENTAS(RESUMEN GLOBAL)'!H1950)</f>
        <v>0</v>
      </c>
      <c r="K1950" s="8">
        <f t="shared" si="30"/>
        <v>0</v>
      </c>
      <c r="L1950" s="8">
        <f>+'[1]VENTAS(RESUMEN GLOBAL)'!J1950</f>
        <v>0</v>
      </c>
      <c r="M1950" s="8">
        <f>+Tabla1[[#This Row],[utilidad x dia]]*7</f>
        <v>0</v>
      </c>
    </row>
    <row r="1951" spans="1:13" x14ac:dyDescent="0.3">
      <c r="A1951" s="6">
        <f>+'[1]VENTAS(RESUMEN GLOBAL)'!L1951</f>
        <v>0</v>
      </c>
      <c r="B1951" s="6">
        <f>+'[1]VENTAS(RESUMEN GLOBAL)'!M1951</f>
        <v>0</v>
      </c>
      <c r="C1951">
        <f>+'[1]VENTAS(RESUMEN GLOBAL)'!B1951</f>
        <v>0</v>
      </c>
      <c r="D1951" t="e">
        <f>INDEX('[1]CÓDIGOS DE PRODUCTO'!$D$3:$D$1000,MATCH(C1951,'[1]CÓDIGOS DE PRODUCTO'!$A$3:$A$1000,0))</f>
        <v>#N/A</v>
      </c>
      <c r="E1951">
        <f>VLOOKUP(C1951,'[1]CÓDIGOS DE PRODUCTO'!$A$4:$B$156,2,FALSE)</f>
        <v>0</v>
      </c>
      <c r="F1951">
        <f>INDEX('[1]CÓDIGOS DE PRODUCTO'!$C$3:$C$1000,MATCH(C1951,'[1]CÓDIGOS DE PRODUCTO'!$A$3:$A$1000,0))</f>
        <v>0</v>
      </c>
      <c r="G1951">
        <f>+'[1]VENTAS(RESUMEN GLOBAL)'!D1951-'[1]VENTAS(RESUMEN GLOBAL)'!E1951</f>
        <v>0</v>
      </c>
      <c r="H1951" s="9">
        <f>+'[1]VENTAS(RESUMEN GLOBAL)'!K1951</f>
        <v>0</v>
      </c>
      <c r="I1951" s="8">
        <f>+G1951*'[1]VENTAS(RESUMEN GLOBAL)'!F1951</f>
        <v>0</v>
      </c>
      <c r="J1951" s="8">
        <f>'[1]VENTAS(RESUMEN GLOBAL)'!G1951*(1-'[1]VENTAS(RESUMEN GLOBAL)'!H1951)</f>
        <v>0</v>
      </c>
      <c r="K1951" s="8">
        <f t="shared" si="30"/>
        <v>0</v>
      </c>
      <c r="L1951" s="8">
        <f>+'[1]VENTAS(RESUMEN GLOBAL)'!J1951</f>
        <v>0</v>
      </c>
      <c r="M1951" s="8">
        <f>+Tabla1[[#This Row],[utilidad x dia]]*7</f>
        <v>0</v>
      </c>
    </row>
    <row r="1952" spans="1:13" x14ac:dyDescent="0.3">
      <c r="A1952" s="6">
        <f>+'[1]VENTAS(RESUMEN GLOBAL)'!L1952</f>
        <v>0</v>
      </c>
      <c r="B1952" s="6">
        <f>+'[1]VENTAS(RESUMEN GLOBAL)'!M1952</f>
        <v>0</v>
      </c>
      <c r="C1952">
        <f>+'[1]VENTAS(RESUMEN GLOBAL)'!B1952</f>
        <v>0</v>
      </c>
      <c r="D1952" t="e">
        <f>INDEX('[1]CÓDIGOS DE PRODUCTO'!$D$3:$D$1000,MATCH(C1952,'[1]CÓDIGOS DE PRODUCTO'!$A$3:$A$1000,0))</f>
        <v>#N/A</v>
      </c>
      <c r="E1952">
        <f>VLOOKUP(C1952,'[1]CÓDIGOS DE PRODUCTO'!$A$4:$B$156,2,FALSE)</f>
        <v>0</v>
      </c>
      <c r="F1952">
        <f>INDEX('[1]CÓDIGOS DE PRODUCTO'!$C$3:$C$1000,MATCH(C1952,'[1]CÓDIGOS DE PRODUCTO'!$A$3:$A$1000,0))</f>
        <v>0</v>
      </c>
      <c r="G1952">
        <f>+'[1]VENTAS(RESUMEN GLOBAL)'!D1952-'[1]VENTAS(RESUMEN GLOBAL)'!E1952</f>
        <v>0</v>
      </c>
      <c r="H1952" s="9">
        <f>+'[1]VENTAS(RESUMEN GLOBAL)'!K1952</f>
        <v>0</v>
      </c>
      <c r="I1952" s="8">
        <f>+G1952*'[1]VENTAS(RESUMEN GLOBAL)'!F1952</f>
        <v>0</v>
      </c>
      <c r="J1952" s="8">
        <f>'[1]VENTAS(RESUMEN GLOBAL)'!G1952*(1-'[1]VENTAS(RESUMEN GLOBAL)'!H1952)</f>
        <v>0</v>
      </c>
      <c r="K1952" s="8">
        <f t="shared" si="30"/>
        <v>0</v>
      </c>
      <c r="L1952" s="8">
        <f>+'[1]VENTAS(RESUMEN GLOBAL)'!J1952</f>
        <v>0</v>
      </c>
      <c r="M1952" s="8">
        <f>+Tabla1[[#This Row],[utilidad x dia]]*7</f>
        <v>0</v>
      </c>
    </row>
    <row r="1953" spans="1:13" x14ac:dyDescent="0.3">
      <c r="A1953" s="6">
        <f>+'[1]VENTAS(RESUMEN GLOBAL)'!L1953</f>
        <v>0</v>
      </c>
      <c r="B1953" s="6">
        <f>+'[1]VENTAS(RESUMEN GLOBAL)'!M1953</f>
        <v>0</v>
      </c>
      <c r="C1953">
        <f>+'[1]VENTAS(RESUMEN GLOBAL)'!B1953</f>
        <v>0</v>
      </c>
      <c r="D1953" t="e">
        <f>INDEX('[1]CÓDIGOS DE PRODUCTO'!$D$3:$D$1000,MATCH(C1953,'[1]CÓDIGOS DE PRODUCTO'!$A$3:$A$1000,0))</f>
        <v>#N/A</v>
      </c>
      <c r="E1953">
        <f>VLOOKUP(C1953,'[1]CÓDIGOS DE PRODUCTO'!$A$4:$B$156,2,FALSE)</f>
        <v>0</v>
      </c>
      <c r="F1953">
        <f>INDEX('[1]CÓDIGOS DE PRODUCTO'!$C$3:$C$1000,MATCH(C1953,'[1]CÓDIGOS DE PRODUCTO'!$A$3:$A$1000,0))</f>
        <v>0</v>
      </c>
      <c r="G1953">
        <f>+'[1]VENTAS(RESUMEN GLOBAL)'!D1953-'[1]VENTAS(RESUMEN GLOBAL)'!E1953</f>
        <v>0</v>
      </c>
      <c r="H1953" s="9">
        <f>+'[1]VENTAS(RESUMEN GLOBAL)'!K1953</f>
        <v>0</v>
      </c>
      <c r="I1953" s="8">
        <f>+G1953*'[1]VENTAS(RESUMEN GLOBAL)'!F1953</f>
        <v>0</v>
      </c>
      <c r="J1953" s="8">
        <f>'[1]VENTAS(RESUMEN GLOBAL)'!G1953*(1-'[1]VENTAS(RESUMEN GLOBAL)'!H1953)</f>
        <v>0</v>
      </c>
      <c r="K1953" s="8">
        <f t="shared" si="30"/>
        <v>0</v>
      </c>
      <c r="L1953" s="8">
        <f>+'[1]VENTAS(RESUMEN GLOBAL)'!J1953</f>
        <v>0</v>
      </c>
      <c r="M1953" s="8">
        <f>+Tabla1[[#This Row],[utilidad x dia]]*7</f>
        <v>0</v>
      </c>
    </row>
    <row r="1954" spans="1:13" x14ac:dyDescent="0.3">
      <c r="A1954" s="6">
        <f>+'[1]VENTAS(RESUMEN GLOBAL)'!L1954</f>
        <v>0</v>
      </c>
      <c r="B1954" s="6">
        <f>+'[1]VENTAS(RESUMEN GLOBAL)'!M1954</f>
        <v>0</v>
      </c>
      <c r="C1954">
        <f>+'[1]VENTAS(RESUMEN GLOBAL)'!B1954</f>
        <v>0</v>
      </c>
      <c r="D1954" t="e">
        <f>INDEX('[1]CÓDIGOS DE PRODUCTO'!$D$3:$D$1000,MATCH(C1954,'[1]CÓDIGOS DE PRODUCTO'!$A$3:$A$1000,0))</f>
        <v>#N/A</v>
      </c>
      <c r="E1954">
        <f>VLOOKUP(C1954,'[1]CÓDIGOS DE PRODUCTO'!$A$4:$B$156,2,FALSE)</f>
        <v>0</v>
      </c>
      <c r="F1954">
        <f>INDEX('[1]CÓDIGOS DE PRODUCTO'!$C$3:$C$1000,MATCH(C1954,'[1]CÓDIGOS DE PRODUCTO'!$A$3:$A$1000,0))</f>
        <v>0</v>
      </c>
      <c r="G1954">
        <f>+'[1]VENTAS(RESUMEN GLOBAL)'!D1954-'[1]VENTAS(RESUMEN GLOBAL)'!E1954</f>
        <v>0</v>
      </c>
      <c r="H1954" s="9">
        <f>+'[1]VENTAS(RESUMEN GLOBAL)'!K1954</f>
        <v>0</v>
      </c>
      <c r="I1954" s="8">
        <f>+G1954*'[1]VENTAS(RESUMEN GLOBAL)'!F1954</f>
        <v>0</v>
      </c>
      <c r="J1954" s="8">
        <f>'[1]VENTAS(RESUMEN GLOBAL)'!G1954*(1-'[1]VENTAS(RESUMEN GLOBAL)'!H1954)</f>
        <v>0</v>
      </c>
      <c r="K1954" s="8">
        <f t="shared" si="30"/>
        <v>0</v>
      </c>
      <c r="L1954" s="8">
        <f>+'[1]VENTAS(RESUMEN GLOBAL)'!J1954</f>
        <v>0</v>
      </c>
      <c r="M1954" s="8">
        <f>+Tabla1[[#This Row],[utilidad x dia]]*7</f>
        <v>0</v>
      </c>
    </row>
    <row r="1955" spans="1:13" x14ac:dyDescent="0.3">
      <c r="A1955" s="6">
        <f>+'[1]VENTAS(RESUMEN GLOBAL)'!L1955</f>
        <v>0</v>
      </c>
      <c r="B1955" s="6">
        <f>+'[1]VENTAS(RESUMEN GLOBAL)'!M1955</f>
        <v>0</v>
      </c>
      <c r="C1955">
        <f>+'[1]VENTAS(RESUMEN GLOBAL)'!B1955</f>
        <v>0</v>
      </c>
      <c r="D1955" t="e">
        <f>INDEX('[1]CÓDIGOS DE PRODUCTO'!$D$3:$D$1000,MATCH(C1955,'[1]CÓDIGOS DE PRODUCTO'!$A$3:$A$1000,0))</f>
        <v>#N/A</v>
      </c>
      <c r="E1955">
        <f>VLOOKUP(C1955,'[1]CÓDIGOS DE PRODUCTO'!$A$4:$B$156,2,FALSE)</f>
        <v>0</v>
      </c>
      <c r="F1955">
        <f>INDEX('[1]CÓDIGOS DE PRODUCTO'!$C$3:$C$1000,MATCH(C1955,'[1]CÓDIGOS DE PRODUCTO'!$A$3:$A$1000,0))</f>
        <v>0</v>
      </c>
      <c r="G1955">
        <f>+'[1]VENTAS(RESUMEN GLOBAL)'!D1955-'[1]VENTAS(RESUMEN GLOBAL)'!E1955</f>
        <v>0</v>
      </c>
      <c r="H1955" s="9">
        <f>+'[1]VENTAS(RESUMEN GLOBAL)'!K1955</f>
        <v>0</v>
      </c>
      <c r="I1955" s="8">
        <f>+G1955*'[1]VENTAS(RESUMEN GLOBAL)'!F1955</f>
        <v>0</v>
      </c>
      <c r="J1955" s="8">
        <f>'[1]VENTAS(RESUMEN GLOBAL)'!G1955*(1-'[1]VENTAS(RESUMEN GLOBAL)'!H1955)</f>
        <v>0</v>
      </c>
      <c r="K1955" s="8">
        <f t="shared" si="30"/>
        <v>0</v>
      </c>
      <c r="L1955" s="8">
        <f>+'[1]VENTAS(RESUMEN GLOBAL)'!J1955</f>
        <v>0</v>
      </c>
      <c r="M1955" s="8">
        <f>+Tabla1[[#This Row],[utilidad x dia]]*7</f>
        <v>0</v>
      </c>
    </row>
    <row r="1956" spans="1:13" x14ac:dyDescent="0.3">
      <c r="A1956" s="6">
        <f>+'[1]VENTAS(RESUMEN GLOBAL)'!L1956</f>
        <v>0</v>
      </c>
      <c r="B1956" s="6">
        <f>+'[1]VENTAS(RESUMEN GLOBAL)'!M1956</f>
        <v>0</v>
      </c>
      <c r="C1956">
        <f>+'[1]VENTAS(RESUMEN GLOBAL)'!B1956</f>
        <v>0</v>
      </c>
      <c r="D1956" t="e">
        <f>INDEX('[1]CÓDIGOS DE PRODUCTO'!$D$3:$D$1000,MATCH(C1956,'[1]CÓDIGOS DE PRODUCTO'!$A$3:$A$1000,0))</f>
        <v>#N/A</v>
      </c>
      <c r="E1956">
        <f>VLOOKUP(C1956,'[1]CÓDIGOS DE PRODUCTO'!$A$4:$B$156,2,FALSE)</f>
        <v>0</v>
      </c>
      <c r="F1956">
        <f>INDEX('[1]CÓDIGOS DE PRODUCTO'!$C$3:$C$1000,MATCH(C1956,'[1]CÓDIGOS DE PRODUCTO'!$A$3:$A$1000,0))</f>
        <v>0</v>
      </c>
      <c r="G1956">
        <f>+'[1]VENTAS(RESUMEN GLOBAL)'!D1956-'[1]VENTAS(RESUMEN GLOBAL)'!E1956</f>
        <v>0</v>
      </c>
      <c r="H1956" s="9">
        <f>+'[1]VENTAS(RESUMEN GLOBAL)'!K1956</f>
        <v>0</v>
      </c>
      <c r="I1956" s="8">
        <f>+G1956*'[1]VENTAS(RESUMEN GLOBAL)'!F1956</f>
        <v>0</v>
      </c>
      <c r="J1956" s="8">
        <f>'[1]VENTAS(RESUMEN GLOBAL)'!G1956*(1-'[1]VENTAS(RESUMEN GLOBAL)'!H1956)</f>
        <v>0</v>
      </c>
      <c r="K1956" s="8">
        <f t="shared" si="30"/>
        <v>0</v>
      </c>
      <c r="L1956" s="8">
        <f>+'[1]VENTAS(RESUMEN GLOBAL)'!J1956</f>
        <v>0</v>
      </c>
      <c r="M1956" s="8">
        <f>+Tabla1[[#This Row],[utilidad x dia]]*7</f>
        <v>0</v>
      </c>
    </row>
    <row r="1957" spans="1:13" x14ac:dyDescent="0.3">
      <c r="A1957" s="6">
        <f>+'[1]VENTAS(RESUMEN GLOBAL)'!L1957</f>
        <v>0</v>
      </c>
      <c r="B1957" s="6">
        <f>+'[1]VENTAS(RESUMEN GLOBAL)'!M1957</f>
        <v>0</v>
      </c>
      <c r="C1957">
        <f>+'[1]VENTAS(RESUMEN GLOBAL)'!B1957</f>
        <v>0</v>
      </c>
      <c r="D1957" t="e">
        <f>INDEX('[1]CÓDIGOS DE PRODUCTO'!$D$3:$D$1000,MATCH(C1957,'[1]CÓDIGOS DE PRODUCTO'!$A$3:$A$1000,0))</f>
        <v>#N/A</v>
      </c>
      <c r="E1957">
        <f>VLOOKUP(C1957,'[1]CÓDIGOS DE PRODUCTO'!$A$4:$B$156,2,FALSE)</f>
        <v>0</v>
      </c>
      <c r="F1957">
        <f>INDEX('[1]CÓDIGOS DE PRODUCTO'!$C$3:$C$1000,MATCH(C1957,'[1]CÓDIGOS DE PRODUCTO'!$A$3:$A$1000,0))</f>
        <v>0</v>
      </c>
      <c r="G1957">
        <f>+'[1]VENTAS(RESUMEN GLOBAL)'!D1957-'[1]VENTAS(RESUMEN GLOBAL)'!E1957</f>
        <v>0</v>
      </c>
      <c r="H1957" s="9">
        <f>+'[1]VENTAS(RESUMEN GLOBAL)'!K1957</f>
        <v>0</v>
      </c>
      <c r="I1957" s="8">
        <f>+G1957*'[1]VENTAS(RESUMEN GLOBAL)'!F1957</f>
        <v>0</v>
      </c>
      <c r="J1957" s="8">
        <f>'[1]VENTAS(RESUMEN GLOBAL)'!G1957*(1-'[1]VENTAS(RESUMEN GLOBAL)'!H1957)</f>
        <v>0</v>
      </c>
      <c r="K1957" s="8">
        <f t="shared" si="30"/>
        <v>0</v>
      </c>
      <c r="L1957" s="8">
        <f>+'[1]VENTAS(RESUMEN GLOBAL)'!J1957</f>
        <v>0</v>
      </c>
      <c r="M1957" s="8">
        <f>+Tabla1[[#This Row],[utilidad x dia]]*7</f>
        <v>0</v>
      </c>
    </row>
    <row r="1958" spans="1:13" x14ac:dyDescent="0.3">
      <c r="A1958" s="6">
        <f>+'[1]VENTAS(RESUMEN GLOBAL)'!L1958</f>
        <v>0</v>
      </c>
      <c r="B1958" s="6">
        <f>+'[1]VENTAS(RESUMEN GLOBAL)'!M1958</f>
        <v>0</v>
      </c>
      <c r="C1958">
        <f>+'[1]VENTAS(RESUMEN GLOBAL)'!B1958</f>
        <v>0</v>
      </c>
      <c r="D1958" t="e">
        <f>INDEX('[1]CÓDIGOS DE PRODUCTO'!$D$3:$D$1000,MATCH(C1958,'[1]CÓDIGOS DE PRODUCTO'!$A$3:$A$1000,0))</f>
        <v>#N/A</v>
      </c>
      <c r="E1958">
        <f>VLOOKUP(C1958,'[1]CÓDIGOS DE PRODUCTO'!$A$4:$B$156,2,FALSE)</f>
        <v>0</v>
      </c>
      <c r="F1958">
        <f>INDEX('[1]CÓDIGOS DE PRODUCTO'!$C$3:$C$1000,MATCH(C1958,'[1]CÓDIGOS DE PRODUCTO'!$A$3:$A$1000,0))</f>
        <v>0</v>
      </c>
      <c r="G1958">
        <f>+'[1]VENTAS(RESUMEN GLOBAL)'!D1958-'[1]VENTAS(RESUMEN GLOBAL)'!E1958</f>
        <v>0</v>
      </c>
      <c r="H1958" s="9">
        <f>+'[1]VENTAS(RESUMEN GLOBAL)'!K1958</f>
        <v>0</v>
      </c>
      <c r="I1958" s="8">
        <f>+G1958*'[1]VENTAS(RESUMEN GLOBAL)'!F1958</f>
        <v>0</v>
      </c>
      <c r="J1958" s="8">
        <f>'[1]VENTAS(RESUMEN GLOBAL)'!G1958*(1-'[1]VENTAS(RESUMEN GLOBAL)'!H1958)</f>
        <v>0</v>
      </c>
      <c r="K1958" s="8">
        <f t="shared" si="30"/>
        <v>0</v>
      </c>
      <c r="L1958" s="8">
        <f>+'[1]VENTAS(RESUMEN GLOBAL)'!J1958</f>
        <v>0</v>
      </c>
      <c r="M1958" s="8">
        <f>+Tabla1[[#This Row],[utilidad x dia]]*7</f>
        <v>0</v>
      </c>
    </row>
    <row r="1959" spans="1:13" x14ac:dyDescent="0.3">
      <c r="A1959" s="6">
        <f>+'[1]VENTAS(RESUMEN GLOBAL)'!L1959</f>
        <v>0</v>
      </c>
      <c r="B1959" s="6">
        <f>+'[1]VENTAS(RESUMEN GLOBAL)'!M1959</f>
        <v>0</v>
      </c>
      <c r="C1959">
        <f>+'[1]VENTAS(RESUMEN GLOBAL)'!B1959</f>
        <v>0</v>
      </c>
      <c r="D1959" t="e">
        <f>INDEX('[1]CÓDIGOS DE PRODUCTO'!$D$3:$D$1000,MATCH(C1959,'[1]CÓDIGOS DE PRODUCTO'!$A$3:$A$1000,0))</f>
        <v>#N/A</v>
      </c>
      <c r="E1959">
        <f>VLOOKUP(C1959,'[1]CÓDIGOS DE PRODUCTO'!$A$4:$B$156,2,FALSE)</f>
        <v>0</v>
      </c>
      <c r="F1959">
        <f>INDEX('[1]CÓDIGOS DE PRODUCTO'!$C$3:$C$1000,MATCH(C1959,'[1]CÓDIGOS DE PRODUCTO'!$A$3:$A$1000,0))</f>
        <v>0</v>
      </c>
      <c r="G1959">
        <f>+'[1]VENTAS(RESUMEN GLOBAL)'!D1959-'[1]VENTAS(RESUMEN GLOBAL)'!E1959</f>
        <v>0</v>
      </c>
      <c r="H1959" s="9">
        <f>+'[1]VENTAS(RESUMEN GLOBAL)'!K1959</f>
        <v>0</v>
      </c>
      <c r="I1959" s="8">
        <f>+G1959*'[1]VENTAS(RESUMEN GLOBAL)'!F1959</f>
        <v>0</v>
      </c>
      <c r="J1959" s="8">
        <f>'[1]VENTAS(RESUMEN GLOBAL)'!G1959*(1-'[1]VENTAS(RESUMEN GLOBAL)'!H1959)</f>
        <v>0</v>
      </c>
      <c r="K1959" s="8">
        <f t="shared" si="30"/>
        <v>0</v>
      </c>
      <c r="L1959" s="8">
        <f>+'[1]VENTAS(RESUMEN GLOBAL)'!J1959</f>
        <v>0</v>
      </c>
      <c r="M1959" s="8">
        <f>+Tabla1[[#This Row],[utilidad x dia]]*7</f>
        <v>0</v>
      </c>
    </row>
    <row r="1960" spans="1:13" x14ac:dyDescent="0.3">
      <c r="A1960" s="6">
        <f>+'[1]VENTAS(RESUMEN GLOBAL)'!L1960</f>
        <v>0</v>
      </c>
      <c r="B1960" s="6">
        <f>+'[1]VENTAS(RESUMEN GLOBAL)'!M1960</f>
        <v>0</v>
      </c>
      <c r="C1960">
        <f>+'[1]VENTAS(RESUMEN GLOBAL)'!B1960</f>
        <v>0</v>
      </c>
      <c r="D1960" t="e">
        <f>INDEX('[1]CÓDIGOS DE PRODUCTO'!$D$3:$D$1000,MATCH(C1960,'[1]CÓDIGOS DE PRODUCTO'!$A$3:$A$1000,0))</f>
        <v>#N/A</v>
      </c>
      <c r="E1960">
        <f>VLOOKUP(C1960,'[1]CÓDIGOS DE PRODUCTO'!$A$4:$B$156,2,FALSE)</f>
        <v>0</v>
      </c>
      <c r="F1960">
        <f>INDEX('[1]CÓDIGOS DE PRODUCTO'!$C$3:$C$1000,MATCH(C1960,'[1]CÓDIGOS DE PRODUCTO'!$A$3:$A$1000,0))</f>
        <v>0</v>
      </c>
      <c r="G1960">
        <f>+'[1]VENTAS(RESUMEN GLOBAL)'!D1960-'[1]VENTAS(RESUMEN GLOBAL)'!E1960</f>
        <v>0</v>
      </c>
      <c r="H1960" s="9">
        <f>+'[1]VENTAS(RESUMEN GLOBAL)'!K1960</f>
        <v>0</v>
      </c>
      <c r="I1960" s="8">
        <f>+G1960*'[1]VENTAS(RESUMEN GLOBAL)'!F1960</f>
        <v>0</v>
      </c>
      <c r="J1960" s="8">
        <f>'[1]VENTAS(RESUMEN GLOBAL)'!G1960*(1-'[1]VENTAS(RESUMEN GLOBAL)'!H1960)</f>
        <v>0</v>
      </c>
      <c r="K1960" s="8">
        <f t="shared" si="30"/>
        <v>0</v>
      </c>
      <c r="L1960" s="8">
        <f>+'[1]VENTAS(RESUMEN GLOBAL)'!J1960</f>
        <v>0</v>
      </c>
      <c r="M1960" s="8">
        <f>+Tabla1[[#This Row],[utilidad x dia]]*7</f>
        <v>0</v>
      </c>
    </row>
    <row r="1961" spans="1:13" x14ac:dyDescent="0.3">
      <c r="A1961" s="6">
        <f>+'[1]VENTAS(RESUMEN GLOBAL)'!L1961</f>
        <v>0</v>
      </c>
      <c r="B1961" s="6">
        <f>+'[1]VENTAS(RESUMEN GLOBAL)'!M1961</f>
        <v>0</v>
      </c>
      <c r="C1961">
        <f>+'[1]VENTAS(RESUMEN GLOBAL)'!B1961</f>
        <v>0</v>
      </c>
      <c r="D1961" t="e">
        <f>INDEX('[1]CÓDIGOS DE PRODUCTO'!$D$3:$D$1000,MATCH(C1961,'[1]CÓDIGOS DE PRODUCTO'!$A$3:$A$1000,0))</f>
        <v>#N/A</v>
      </c>
      <c r="E1961">
        <f>VLOOKUP(C1961,'[1]CÓDIGOS DE PRODUCTO'!$A$4:$B$156,2,FALSE)</f>
        <v>0</v>
      </c>
      <c r="F1961">
        <f>INDEX('[1]CÓDIGOS DE PRODUCTO'!$C$3:$C$1000,MATCH(C1961,'[1]CÓDIGOS DE PRODUCTO'!$A$3:$A$1000,0))</f>
        <v>0</v>
      </c>
      <c r="G1961">
        <f>+'[1]VENTAS(RESUMEN GLOBAL)'!D1961-'[1]VENTAS(RESUMEN GLOBAL)'!E1961</f>
        <v>0</v>
      </c>
      <c r="H1961" s="9">
        <f>+'[1]VENTAS(RESUMEN GLOBAL)'!K1961</f>
        <v>0</v>
      </c>
      <c r="I1961" s="8">
        <f>+G1961*'[1]VENTAS(RESUMEN GLOBAL)'!F1961</f>
        <v>0</v>
      </c>
      <c r="J1961" s="8">
        <f>'[1]VENTAS(RESUMEN GLOBAL)'!G1961*(1-'[1]VENTAS(RESUMEN GLOBAL)'!H1961)</f>
        <v>0</v>
      </c>
      <c r="K1961" s="8">
        <f t="shared" si="30"/>
        <v>0</v>
      </c>
      <c r="L1961" s="8">
        <f>+'[1]VENTAS(RESUMEN GLOBAL)'!J1961</f>
        <v>0</v>
      </c>
      <c r="M1961" s="8">
        <f>+Tabla1[[#This Row],[utilidad x dia]]*7</f>
        <v>0</v>
      </c>
    </row>
    <row r="1962" spans="1:13" x14ac:dyDescent="0.3">
      <c r="A1962" s="6">
        <f>+'[1]VENTAS(RESUMEN GLOBAL)'!L1962</f>
        <v>0</v>
      </c>
      <c r="B1962" s="6">
        <f>+'[1]VENTAS(RESUMEN GLOBAL)'!M1962</f>
        <v>0</v>
      </c>
      <c r="C1962">
        <f>+'[1]VENTAS(RESUMEN GLOBAL)'!B1962</f>
        <v>0</v>
      </c>
      <c r="D1962" t="e">
        <f>INDEX('[1]CÓDIGOS DE PRODUCTO'!$D$3:$D$1000,MATCH(C1962,'[1]CÓDIGOS DE PRODUCTO'!$A$3:$A$1000,0))</f>
        <v>#N/A</v>
      </c>
      <c r="E1962">
        <f>VLOOKUP(C1962,'[1]CÓDIGOS DE PRODUCTO'!$A$4:$B$156,2,FALSE)</f>
        <v>0</v>
      </c>
      <c r="F1962">
        <f>INDEX('[1]CÓDIGOS DE PRODUCTO'!$C$3:$C$1000,MATCH(C1962,'[1]CÓDIGOS DE PRODUCTO'!$A$3:$A$1000,0))</f>
        <v>0</v>
      </c>
      <c r="G1962">
        <f>+'[1]VENTAS(RESUMEN GLOBAL)'!D1962-'[1]VENTAS(RESUMEN GLOBAL)'!E1962</f>
        <v>0</v>
      </c>
      <c r="H1962" s="9">
        <f>+'[1]VENTAS(RESUMEN GLOBAL)'!K1962</f>
        <v>0</v>
      </c>
      <c r="I1962" s="8">
        <f>+G1962*'[1]VENTAS(RESUMEN GLOBAL)'!F1962</f>
        <v>0</v>
      </c>
      <c r="J1962" s="8">
        <f>'[1]VENTAS(RESUMEN GLOBAL)'!G1962*(1-'[1]VENTAS(RESUMEN GLOBAL)'!H1962)</f>
        <v>0</v>
      </c>
      <c r="K1962" s="8">
        <f t="shared" si="30"/>
        <v>0</v>
      </c>
      <c r="L1962" s="8">
        <f>+'[1]VENTAS(RESUMEN GLOBAL)'!J1962</f>
        <v>0</v>
      </c>
      <c r="M1962" s="8">
        <f>+Tabla1[[#This Row],[utilidad x dia]]*7</f>
        <v>0</v>
      </c>
    </row>
    <row r="1963" spans="1:13" x14ac:dyDescent="0.3">
      <c r="A1963" s="6">
        <f>+'[1]VENTAS(RESUMEN GLOBAL)'!L1963</f>
        <v>0</v>
      </c>
      <c r="B1963" s="6">
        <f>+'[1]VENTAS(RESUMEN GLOBAL)'!M1963</f>
        <v>0</v>
      </c>
      <c r="C1963">
        <f>+'[1]VENTAS(RESUMEN GLOBAL)'!B1963</f>
        <v>0</v>
      </c>
      <c r="D1963" t="e">
        <f>INDEX('[1]CÓDIGOS DE PRODUCTO'!$D$3:$D$1000,MATCH(C1963,'[1]CÓDIGOS DE PRODUCTO'!$A$3:$A$1000,0))</f>
        <v>#N/A</v>
      </c>
      <c r="E1963">
        <f>VLOOKUP(C1963,'[1]CÓDIGOS DE PRODUCTO'!$A$4:$B$156,2,FALSE)</f>
        <v>0</v>
      </c>
      <c r="F1963">
        <f>INDEX('[1]CÓDIGOS DE PRODUCTO'!$C$3:$C$1000,MATCH(C1963,'[1]CÓDIGOS DE PRODUCTO'!$A$3:$A$1000,0))</f>
        <v>0</v>
      </c>
      <c r="G1963">
        <f>+'[1]VENTAS(RESUMEN GLOBAL)'!D1963-'[1]VENTAS(RESUMEN GLOBAL)'!E1963</f>
        <v>0</v>
      </c>
      <c r="H1963" s="9">
        <f>+'[1]VENTAS(RESUMEN GLOBAL)'!K1963</f>
        <v>0</v>
      </c>
      <c r="I1963" s="8">
        <f>+G1963*'[1]VENTAS(RESUMEN GLOBAL)'!F1963</f>
        <v>0</v>
      </c>
      <c r="J1963" s="8">
        <f>'[1]VENTAS(RESUMEN GLOBAL)'!G1963*(1-'[1]VENTAS(RESUMEN GLOBAL)'!H1963)</f>
        <v>0</v>
      </c>
      <c r="K1963" s="8">
        <f t="shared" si="30"/>
        <v>0</v>
      </c>
      <c r="L1963" s="8">
        <f>+'[1]VENTAS(RESUMEN GLOBAL)'!J1963</f>
        <v>0</v>
      </c>
      <c r="M1963" s="8">
        <f>+Tabla1[[#This Row],[utilidad x dia]]*7</f>
        <v>0</v>
      </c>
    </row>
    <row r="1964" spans="1:13" x14ac:dyDescent="0.3">
      <c r="A1964" s="6">
        <f>+'[1]VENTAS(RESUMEN GLOBAL)'!L1964</f>
        <v>0</v>
      </c>
      <c r="B1964" s="6">
        <f>+'[1]VENTAS(RESUMEN GLOBAL)'!M1964</f>
        <v>0</v>
      </c>
      <c r="C1964">
        <f>+'[1]VENTAS(RESUMEN GLOBAL)'!B1964</f>
        <v>0</v>
      </c>
      <c r="D1964" t="e">
        <f>INDEX('[1]CÓDIGOS DE PRODUCTO'!$D$3:$D$1000,MATCH(C1964,'[1]CÓDIGOS DE PRODUCTO'!$A$3:$A$1000,0))</f>
        <v>#N/A</v>
      </c>
      <c r="E1964">
        <f>VLOOKUP(C1964,'[1]CÓDIGOS DE PRODUCTO'!$A$4:$B$156,2,FALSE)</f>
        <v>0</v>
      </c>
      <c r="F1964">
        <f>INDEX('[1]CÓDIGOS DE PRODUCTO'!$C$3:$C$1000,MATCH(C1964,'[1]CÓDIGOS DE PRODUCTO'!$A$3:$A$1000,0))</f>
        <v>0</v>
      </c>
      <c r="G1964">
        <f>+'[1]VENTAS(RESUMEN GLOBAL)'!D1964-'[1]VENTAS(RESUMEN GLOBAL)'!E1964</f>
        <v>0</v>
      </c>
      <c r="H1964" s="9">
        <f>+'[1]VENTAS(RESUMEN GLOBAL)'!K1964</f>
        <v>0</v>
      </c>
      <c r="I1964" s="8">
        <f>+G1964*'[1]VENTAS(RESUMEN GLOBAL)'!F1964</f>
        <v>0</v>
      </c>
      <c r="J1964" s="8">
        <f>'[1]VENTAS(RESUMEN GLOBAL)'!G1964*(1-'[1]VENTAS(RESUMEN GLOBAL)'!H1964)</f>
        <v>0</v>
      </c>
      <c r="K1964" s="8">
        <f t="shared" si="30"/>
        <v>0</v>
      </c>
      <c r="L1964" s="8">
        <f>+'[1]VENTAS(RESUMEN GLOBAL)'!J1964</f>
        <v>0</v>
      </c>
      <c r="M1964" s="8">
        <f>+Tabla1[[#This Row],[utilidad x dia]]*7</f>
        <v>0</v>
      </c>
    </row>
    <row r="1965" spans="1:13" x14ac:dyDescent="0.3">
      <c r="A1965" s="6">
        <f>+'[1]VENTAS(RESUMEN GLOBAL)'!L1965</f>
        <v>0</v>
      </c>
      <c r="B1965" s="6">
        <f>+'[1]VENTAS(RESUMEN GLOBAL)'!M1965</f>
        <v>0</v>
      </c>
      <c r="C1965">
        <f>+'[1]VENTAS(RESUMEN GLOBAL)'!B1965</f>
        <v>0</v>
      </c>
      <c r="D1965" t="e">
        <f>INDEX('[1]CÓDIGOS DE PRODUCTO'!$D$3:$D$1000,MATCH(C1965,'[1]CÓDIGOS DE PRODUCTO'!$A$3:$A$1000,0))</f>
        <v>#N/A</v>
      </c>
      <c r="E1965">
        <f>VLOOKUP(C1965,'[1]CÓDIGOS DE PRODUCTO'!$A$4:$B$156,2,FALSE)</f>
        <v>0</v>
      </c>
      <c r="F1965">
        <f>INDEX('[1]CÓDIGOS DE PRODUCTO'!$C$3:$C$1000,MATCH(C1965,'[1]CÓDIGOS DE PRODUCTO'!$A$3:$A$1000,0))</f>
        <v>0</v>
      </c>
      <c r="G1965">
        <f>+'[1]VENTAS(RESUMEN GLOBAL)'!D1965-'[1]VENTAS(RESUMEN GLOBAL)'!E1965</f>
        <v>0</v>
      </c>
      <c r="H1965" s="9">
        <f>+'[1]VENTAS(RESUMEN GLOBAL)'!K1965</f>
        <v>0</v>
      </c>
      <c r="I1965" s="8">
        <f>+G1965*'[1]VENTAS(RESUMEN GLOBAL)'!F1965</f>
        <v>0</v>
      </c>
      <c r="J1965" s="8">
        <f>'[1]VENTAS(RESUMEN GLOBAL)'!G1965*(1-'[1]VENTAS(RESUMEN GLOBAL)'!H1965)</f>
        <v>0</v>
      </c>
      <c r="K1965" s="8">
        <f t="shared" si="30"/>
        <v>0</v>
      </c>
      <c r="L1965" s="8">
        <f>+'[1]VENTAS(RESUMEN GLOBAL)'!J1965</f>
        <v>0</v>
      </c>
      <c r="M1965" s="8">
        <f>+Tabla1[[#This Row],[utilidad x dia]]*7</f>
        <v>0</v>
      </c>
    </row>
    <row r="1966" spans="1:13" x14ac:dyDescent="0.3">
      <c r="A1966" s="6">
        <f>+'[1]VENTAS(RESUMEN GLOBAL)'!L1966</f>
        <v>0</v>
      </c>
      <c r="B1966" s="6">
        <f>+'[1]VENTAS(RESUMEN GLOBAL)'!M1966</f>
        <v>0</v>
      </c>
      <c r="C1966">
        <f>+'[1]VENTAS(RESUMEN GLOBAL)'!B1966</f>
        <v>0</v>
      </c>
      <c r="D1966" t="e">
        <f>INDEX('[1]CÓDIGOS DE PRODUCTO'!$D$3:$D$1000,MATCH(C1966,'[1]CÓDIGOS DE PRODUCTO'!$A$3:$A$1000,0))</f>
        <v>#N/A</v>
      </c>
      <c r="E1966">
        <f>VLOOKUP(C1966,'[1]CÓDIGOS DE PRODUCTO'!$A$4:$B$156,2,FALSE)</f>
        <v>0</v>
      </c>
      <c r="F1966">
        <f>INDEX('[1]CÓDIGOS DE PRODUCTO'!$C$3:$C$1000,MATCH(C1966,'[1]CÓDIGOS DE PRODUCTO'!$A$3:$A$1000,0))</f>
        <v>0</v>
      </c>
      <c r="G1966">
        <f>+'[1]VENTAS(RESUMEN GLOBAL)'!D1966-'[1]VENTAS(RESUMEN GLOBAL)'!E1966</f>
        <v>0</v>
      </c>
      <c r="H1966" s="9">
        <f>+'[1]VENTAS(RESUMEN GLOBAL)'!K1966</f>
        <v>0</v>
      </c>
      <c r="I1966" s="8">
        <f>+G1966*'[1]VENTAS(RESUMEN GLOBAL)'!F1966</f>
        <v>0</v>
      </c>
      <c r="J1966" s="8">
        <f>'[1]VENTAS(RESUMEN GLOBAL)'!G1966*(1-'[1]VENTAS(RESUMEN GLOBAL)'!H1966)</f>
        <v>0</v>
      </c>
      <c r="K1966" s="8">
        <f t="shared" si="30"/>
        <v>0</v>
      </c>
      <c r="L1966" s="8">
        <f>+'[1]VENTAS(RESUMEN GLOBAL)'!J1966</f>
        <v>0</v>
      </c>
      <c r="M1966" s="8">
        <f>+Tabla1[[#This Row],[utilidad x dia]]*7</f>
        <v>0</v>
      </c>
    </row>
    <row r="1967" spans="1:13" x14ac:dyDescent="0.3">
      <c r="A1967" s="6">
        <f>+'[1]VENTAS(RESUMEN GLOBAL)'!L1967</f>
        <v>0</v>
      </c>
      <c r="B1967" s="6">
        <f>+'[1]VENTAS(RESUMEN GLOBAL)'!M1967</f>
        <v>0</v>
      </c>
      <c r="C1967">
        <f>+'[1]VENTAS(RESUMEN GLOBAL)'!B1967</f>
        <v>0</v>
      </c>
      <c r="D1967" t="e">
        <f>INDEX('[1]CÓDIGOS DE PRODUCTO'!$D$3:$D$1000,MATCH(C1967,'[1]CÓDIGOS DE PRODUCTO'!$A$3:$A$1000,0))</f>
        <v>#N/A</v>
      </c>
      <c r="E1967">
        <f>VLOOKUP(C1967,'[1]CÓDIGOS DE PRODUCTO'!$A$4:$B$156,2,FALSE)</f>
        <v>0</v>
      </c>
      <c r="F1967">
        <f>INDEX('[1]CÓDIGOS DE PRODUCTO'!$C$3:$C$1000,MATCH(C1967,'[1]CÓDIGOS DE PRODUCTO'!$A$3:$A$1000,0))</f>
        <v>0</v>
      </c>
      <c r="G1967">
        <f>+'[1]VENTAS(RESUMEN GLOBAL)'!D1967-'[1]VENTAS(RESUMEN GLOBAL)'!E1967</f>
        <v>0</v>
      </c>
      <c r="H1967" s="9">
        <f>+'[1]VENTAS(RESUMEN GLOBAL)'!K1967</f>
        <v>0</v>
      </c>
      <c r="I1967" s="8">
        <f>+G1967*'[1]VENTAS(RESUMEN GLOBAL)'!F1967</f>
        <v>0</v>
      </c>
      <c r="J1967" s="8">
        <f>'[1]VENTAS(RESUMEN GLOBAL)'!G1967*(1-'[1]VENTAS(RESUMEN GLOBAL)'!H1967)</f>
        <v>0</v>
      </c>
      <c r="K1967" s="8">
        <f t="shared" si="30"/>
        <v>0</v>
      </c>
      <c r="L1967" s="8">
        <f>+'[1]VENTAS(RESUMEN GLOBAL)'!J1967</f>
        <v>0</v>
      </c>
      <c r="M1967" s="8">
        <f>+Tabla1[[#This Row],[utilidad x dia]]*7</f>
        <v>0</v>
      </c>
    </row>
    <row r="1968" spans="1:13" x14ac:dyDescent="0.3">
      <c r="A1968" s="6">
        <f>+'[1]VENTAS(RESUMEN GLOBAL)'!L1968</f>
        <v>0</v>
      </c>
      <c r="B1968" s="6">
        <f>+'[1]VENTAS(RESUMEN GLOBAL)'!M1968</f>
        <v>0</v>
      </c>
      <c r="C1968">
        <f>+'[1]VENTAS(RESUMEN GLOBAL)'!B1968</f>
        <v>0</v>
      </c>
      <c r="D1968" t="e">
        <f>INDEX('[1]CÓDIGOS DE PRODUCTO'!$D$3:$D$1000,MATCH(C1968,'[1]CÓDIGOS DE PRODUCTO'!$A$3:$A$1000,0))</f>
        <v>#N/A</v>
      </c>
      <c r="E1968">
        <f>VLOOKUP(C1968,'[1]CÓDIGOS DE PRODUCTO'!$A$4:$B$156,2,FALSE)</f>
        <v>0</v>
      </c>
      <c r="F1968">
        <f>INDEX('[1]CÓDIGOS DE PRODUCTO'!$C$3:$C$1000,MATCH(C1968,'[1]CÓDIGOS DE PRODUCTO'!$A$3:$A$1000,0))</f>
        <v>0</v>
      </c>
      <c r="G1968">
        <f>+'[1]VENTAS(RESUMEN GLOBAL)'!D1968-'[1]VENTAS(RESUMEN GLOBAL)'!E1968</f>
        <v>0</v>
      </c>
      <c r="H1968" s="9">
        <f>+'[1]VENTAS(RESUMEN GLOBAL)'!K1968</f>
        <v>0</v>
      </c>
      <c r="I1968" s="8">
        <f>+G1968*'[1]VENTAS(RESUMEN GLOBAL)'!F1968</f>
        <v>0</v>
      </c>
      <c r="J1968" s="8">
        <f>'[1]VENTAS(RESUMEN GLOBAL)'!G1968*(1-'[1]VENTAS(RESUMEN GLOBAL)'!H1968)</f>
        <v>0</v>
      </c>
      <c r="K1968" s="8">
        <f t="shared" si="30"/>
        <v>0</v>
      </c>
      <c r="L1968" s="8">
        <f>+'[1]VENTAS(RESUMEN GLOBAL)'!J1968</f>
        <v>0</v>
      </c>
      <c r="M1968" s="8">
        <f>+Tabla1[[#This Row],[utilidad x dia]]*7</f>
        <v>0</v>
      </c>
    </row>
    <row r="1969" spans="1:13" x14ac:dyDescent="0.3">
      <c r="A1969" s="6">
        <f>+'[1]VENTAS(RESUMEN GLOBAL)'!L1969</f>
        <v>0</v>
      </c>
      <c r="B1969" s="6">
        <f>+'[1]VENTAS(RESUMEN GLOBAL)'!M1969</f>
        <v>0</v>
      </c>
      <c r="C1969">
        <f>+'[1]VENTAS(RESUMEN GLOBAL)'!B1969</f>
        <v>0</v>
      </c>
      <c r="D1969" t="e">
        <f>INDEX('[1]CÓDIGOS DE PRODUCTO'!$D$3:$D$1000,MATCH(C1969,'[1]CÓDIGOS DE PRODUCTO'!$A$3:$A$1000,0))</f>
        <v>#N/A</v>
      </c>
      <c r="E1969">
        <f>VLOOKUP(C1969,'[1]CÓDIGOS DE PRODUCTO'!$A$4:$B$156,2,FALSE)</f>
        <v>0</v>
      </c>
      <c r="F1969">
        <f>INDEX('[1]CÓDIGOS DE PRODUCTO'!$C$3:$C$1000,MATCH(C1969,'[1]CÓDIGOS DE PRODUCTO'!$A$3:$A$1000,0))</f>
        <v>0</v>
      </c>
      <c r="G1969">
        <f>+'[1]VENTAS(RESUMEN GLOBAL)'!D1969-'[1]VENTAS(RESUMEN GLOBAL)'!E1969</f>
        <v>0</v>
      </c>
      <c r="H1969" s="9">
        <f>+'[1]VENTAS(RESUMEN GLOBAL)'!K1969</f>
        <v>0</v>
      </c>
      <c r="I1969" s="8">
        <f>+G1969*'[1]VENTAS(RESUMEN GLOBAL)'!F1969</f>
        <v>0</v>
      </c>
      <c r="J1969" s="8">
        <f>'[1]VENTAS(RESUMEN GLOBAL)'!G1969*(1-'[1]VENTAS(RESUMEN GLOBAL)'!H1969)</f>
        <v>0</v>
      </c>
      <c r="K1969" s="8">
        <f t="shared" si="30"/>
        <v>0</v>
      </c>
      <c r="L1969" s="8">
        <f>+'[1]VENTAS(RESUMEN GLOBAL)'!J1969</f>
        <v>0</v>
      </c>
      <c r="M1969" s="8">
        <f>+Tabla1[[#This Row],[utilidad x dia]]*7</f>
        <v>0</v>
      </c>
    </row>
    <row r="1970" spans="1:13" x14ac:dyDescent="0.3">
      <c r="A1970" s="6">
        <f>+'[1]VENTAS(RESUMEN GLOBAL)'!L1970</f>
        <v>0</v>
      </c>
      <c r="B1970" s="6">
        <f>+'[1]VENTAS(RESUMEN GLOBAL)'!M1970</f>
        <v>0</v>
      </c>
      <c r="C1970">
        <f>+'[1]VENTAS(RESUMEN GLOBAL)'!B1970</f>
        <v>0</v>
      </c>
      <c r="D1970" t="e">
        <f>INDEX('[1]CÓDIGOS DE PRODUCTO'!$D$3:$D$1000,MATCH(C1970,'[1]CÓDIGOS DE PRODUCTO'!$A$3:$A$1000,0))</f>
        <v>#N/A</v>
      </c>
      <c r="E1970">
        <f>VLOOKUP(C1970,'[1]CÓDIGOS DE PRODUCTO'!$A$4:$B$156,2,FALSE)</f>
        <v>0</v>
      </c>
      <c r="F1970">
        <f>INDEX('[1]CÓDIGOS DE PRODUCTO'!$C$3:$C$1000,MATCH(C1970,'[1]CÓDIGOS DE PRODUCTO'!$A$3:$A$1000,0))</f>
        <v>0</v>
      </c>
      <c r="G1970">
        <f>+'[1]VENTAS(RESUMEN GLOBAL)'!D1970-'[1]VENTAS(RESUMEN GLOBAL)'!E1970</f>
        <v>0</v>
      </c>
      <c r="H1970" s="9">
        <f>+'[1]VENTAS(RESUMEN GLOBAL)'!K1970</f>
        <v>0</v>
      </c>
      <c r="I1970" s="8">
        <f>+G1970*'[1]VENTAS(RESUMEN GLOBAL)'!F1970</f>
        <v>0</v>
      </c>
      <c r="J1970" s="8">
        <f>'[1]VENTAS(RESUMEN GLOBAL)'!G1970*(1-'[1]VENTAS(RESUMEN GLOBAL)'!H1970)</f>
        <v>0</v>
      </c>
      <c r="K1970" s="8">
        <f t="shared" si="30"/>
        <v>0</v>
      </c>
      <c r="L1970" s="8">
        <f>+'[1]VENTAS(RESUMEN GLOBAL)'!J1970</f>
        <v>0</v>
      </c>
      <c r="M1970" s="8">
        <f>+Tabla1[[#This Row],[utilidad x dia]]*7</f>
        <v>0</v>
      </c>
    </row>
    <row r="1971" spans="1:13" x14ac:dyDescent="0.3">
      <c r="A1971" s="6">
        <f>+'[1]VENTAS(RESUMEN GLOBAL)'!L1971</f>
        <v>0</v>
      </c>
      <c r="B1971" s="6">
        <f>+'[1]VENTAS(RESUMEN GLOBAL)'!M1971</f>
        <v>0</v>
      </c>
      <c r="C1971">
        <f>+'[1]VENTAS(RESUMEN GLOBAL)'!B1971</f>
        <v>0</v>
      </c>
      <c r="D1971" t="e">
        <f>INDEX('[1]CÓDIGOS DE PRODUCTO'!$D$3:$D$1000,MATCH(C1971,'[1]CÓDIGOS DE PRODUCTO'!$A$3:$A$1000,0))</f>
        <v>#N/A</v>
      </c>
      <c r="E1971">
        <f>VLOOKUP(C1971,'[1]CÓDIGOS DE PRODUCTO'!$A$4:$B$156,2,FALSE)</f>
        <v>0</v>
      </c>
      <c r="F1971">
        <f>INDEX('[1]CÓDIGOS DE PRODUCTO'!$C$3:$C$1000,MATCH(C1971,'[1]CÓDIGOS DE PRODUCTO'!$A$3:$A$1000,0))</f>
        <v>0</v>
      </c>
      <c r="G1971">
        <f>+'[1]VENTAS(RESUMEN GLOBAL)'!D1971-'[1]VENTAS(RESUMEN GLOBAL)'!E1971</f>
        <v>0</v>
      </c>
      <c r="H1971" s="9">
        <f>+'[1]VENTAS(RESUMEN GLOBAL)'!K1971</f>
        <v>0</v>
      </c>
      <c r="I1971" s="8">
        <f>+G1971*'[1]VENTAS(RESUMEN GLOBAL)'!F1971</f>
        <v>0</v>
      </c>
      <c r="J1971" s="8">
        <f>'[1]VENTAS(RESUMEN GLOBAL)'!G1971*(1-'[1]VENTAS(RESUMEN GLOBAL)'!H1971)</f>
        <v>0</v>
      </c>
      <c r="K1971" s="8">
        <f t="shared" si="30"/>
        <v>0</v>
      </c>
      <c r="L1971" s="8">
        <f>+'[1]VENTAS(RESUMEN GLOBAL)'!J1971</f>
        <v>0</v>
      </c>
      <c r="M1971" s="8">
        <f>+Tabla1[[#This Row],[utilidad x dia]]*7</f>
        <v>0</v>
      </c>
    </row>
    <row r="1972" spans="1:13" x14ac:dyDescent="0.3">
      <c r="A1972" s="6">
        <f>+'[1]VENTAS(RESUMEN GLOBAL)'!L1972</f>
        <v>0</v>
      </c>
      <c r="B1972" s="6">
        <f>+'[1]VENTAS(RESUMEN GLOBAL)'!M1972</f>
        <v>0</v>
      </c>
      <c r="C1972">
        <f>+'[1]VENTAS(RESUMEN GLOBAL)'!B1972</f>
        <v>0</v>
      </c>
      <c r="D1972" t="e">
        <f>INDEX('[1]CÓDIGOS DE PRODUCTO'!$D$3:$D$1000,MATCH(C1972,'[1]CÓDIGOS DE PRODUCTO'!$A$3:$A$1000,0))</f>
        <v>#N/A</v>
      </c>
      <c r="E1972">
        <f>VLOOKUP(C1972,'[1]CÓDIGOS DE PRODUCTO'!$A$4:$B$156,2,FALSE)</f>
        <v>0</v>
      </c>
      <c r="F1972">
        <f>INDEX('[1]CÓDIGOS DE PRODUCTO'!$C$3:$C$1000,MATCH(C1972,'[1]CÓDIGOS DE PRODUCTO'!$A$3:$A$1000,0))</f>
        <v>0</v>
      </c>
      <c r="G1972">
        <f>+'[1]VENTAS(RESUMEN GLOBAL)'!D1972-'[1]VENTAS(RESUMEN GLOBAL)'!E1972</f>
        <v>0</v>
      </c>
      <c r="H1972" s="9">
        <f>+'[1]VENTAS(RESUMEN GLOBAL)'!K1972</f>
        <v>0</v>
      </c>
      <c r="I1972" s="8">
        <f>+G1972*'[1]VENTAS(RESUMEN GLOBAL)'!F1972</f>
        <v>0</v>
      </c>
      <c r="J1972" s="8">
        <f>'[1]VENTAS(RESUMEN GLOBAL)'!G1972*(1-'[1]VENTAS(RESUMEN GLOBAL)'!H1972)</f>
        <v>0</v>
      </c>
      <c r="K1972" s="8">
        <f t="shared" si="30"/>
        <v>0</v>
      </c>
      <c r="L1972" s="8">
        <f>+'[1]VENTAS(RESUMEN GLOBAL)'!J1972</f>
        <v>0</v>
      </c>
      <c r="M1972" s="8">
        <f>+Tabla1[[#This Row],[utilidad x dia]]*7</f>
        <v>0</v>
      </c>
    </row>
    <row r="1973" spans="1:13" x14ac:dyDescent="0.3">
      <c r="A1973" s="6">
        <f>+'[1]VENTAS(RESUMEN GLOBAL)'!L1973</f>
        <v>0</v>
      </c>
      <c r="B1973" s="6">
        <f>+'[1]VENTAS(RESUMEN GLOBAL)'!M1973</f>
        <v>0</v>
      </c>
      <c r="C1973">
        <f>+'[1]VENTAS(RESUMEN GLOBAL)'!B1973</f>
        <v>0</v>
      </c>
      <c r="D1973" t="e">
        <f>INDEX('[1]CÓDIGOS DE PRODUCTO'!$D$3:$D$1000,MATCH(C1973,'[1]CÓDIGOS DE PRODUCTO'!$A$3:$A$1000,0))</f>
        <v>#N/A</v>
      </c>
      <c r="E1973">
        <f>VLOOKUP(C1973,'[1]CÓDIGOS DE PRODUCTO'!$A$4:$B$156,2,FALSE)</f>
        <v>0</v>
      </c>
      <c r="F1973">
        <f>INDEX('[1]CÓDIGOS DE PRODUCTO'!$C$3:$C$1000,MATCH(C1973,'[1]CÓDIGOS DE PRODUCTO'!$A$3:$A$1000,0))</f>
        <v>0</v>
      </c>
      <c r="G1973">
        <f>+'[1]VENTAS(RESUMEN GLOBAL)'!D1973-'[1]VENTAS(RESUMEN GLOBAL)'!E1973</f>
        <v>0</v>
      </c>
      <c r="H1973" s="9">
        <f>+'[1]VENTAS(RESUMEN GLOBAL)'!K1973</f>
        <v>0</v>
      </c>
      <c r="I1973" s="8">
        <f>+G1973*'[1]VENTAS(RESUMEN GLOBAL)'!F1973</f>
        <v>0</v>
      </c>
      <c r="J1973" s="8">
        <f>'[1]VENTAS(RESUMEN GLOBAL)'!G1973*(1-'[1]VENTAS(RESUMEN GLOBAL)'!H1973)</f>
        <v>0</v>
      </c>
      <c r="K1973" s="8">
        <f t="shared" si="30"/>
        <v>0</v>
      </c>
      <c r="L1973" s="8">
        <f>+'[1]VENTAS(RESUMEN GLOBAL)'!J1973</f>
        <v>0</v>
      </c>
      <c r="M1973" s="8">
        <f>+Tabla1[[#This Row],[utilidad x dia]]*7</f>
        <v>0</v>
      </c>
    </row>
    <row r="1974" spans="1:13" x14ac:dyDescent="0.3">
      <c r="A1974" s="6">
        <f>+'[1]VENTAS(RESUMEN GLOBAL)'!L1974</f>
        <v>0</v>
      </c>
      <c r="B1974" s="6">
        <f>+'[1]VENTAS(RESUMEN GLOBAL)'!M1974</f>
        <v>0</v>
      </c>
      <c r="C1974">
        <f>+'[1]VENTAS(RESUMEN GLOBAL)'!B1974</f>
        <v>0</v>
      </c>
      <c r="D1974" t="e">
        <f>INDEX('[1]CÓDIGOS DE PRODUCTO'!$D$3:$D$1000,MATCH(C1974,'[1]CÓDIGOS DE PRODUCTO'!$A$3:$A$1000,0))</f>
        <v>#N/A</v>
      </c>
      <c r="E1974">
        <f>VLOOKUP(C1974,'[1]CÓDIGOS DE PRODUCTO'!$A$4:$B$156,2,FALSE)</f>
        <v>0</v>
      </c>
      <c r="F1974">
        <f>INDEX('[1]CÓDIGOS DE PRODUCTO'!$C$3:$C$1000,MATCH(C1974,'[1]CÓDIGOS DE PRODUCTO'!$A$3:$A$1000,0))</f>
        <v>0</v>
      </c>
      <c r="G1974">
        <f>+'[1]VENTAS(RESUMEN GLOBAL)'!D1974-'[1]VENTAS(RESUMEN GLOBAL)'!E1974</f>
        <v>0</v>
      </c>
      <c r="H1974" s="9">
        <f>+'[1]VENTAS(RESUMEN GLOBAL)'!K1974</f>
        <v>0</v>
      </c>
      <c r="I1974" s="8">
        <f>+G1974*'[1]VENTAS(RESUMEN GLOBAL)'!F1974</f>
        <v>0</v>
      </c>
      <c r="J1974" s="8">
        <f>'[1]VENTAS(RESUMEN GLOBAL)'!G1974*(1-'[1]VENTAS(RESUMEN GLOBAL)'!H1974)</f>
        <v>0</v>
      </c>
      <c r="K1974" s="8">
        <f t="shared" si="30"/>
        <v>0</v>
      </c>
      <c r="L1974" s="8">
        <f>+'[1]VENTAS(RESUMEN GLOBAL)'!J1974</f>
        <v>0</v>
      </c>
      <c r="M1974" s="8">
        <f>+Tabla1[[#This Row],[utilidad x dia]]*7</f>
        <v>0</v>
      </c>
    </row>
    <row r="1975" spans="1:13" x14ac:dyDescent="0.3">
      <c r="A1975" s="6">
        <f>+'[1]VENTAS(RESUMEN GLOBAL)'!L1975</f>
        <v>0</v>
      </c>
      <c r="B1975" s="6">
        <f>+'[1]VENTAS(RESUMEN GLOBAL)'!M1975</f>
        <v>0</v>
      </c>
      <c r="C1975">
        <f>+'[1]VENTAS(RESUMEN GLOBAL)'!B1975</f>
        <v>0</v>
      </c>
      <c r="D1975" t="e">
        <f>INDEX('[1]CÓDIGOS DE PRODUCTO'!$D$3:$D$1000,MATCH(C1975,'[1]CÓDIGOS DE PRODUCTO'!$A$3:$A$1000,0))</f>
        <v>#N/A</v>
      </c>
      <c r="E1975">
        <f>VLOOKUP(C1975,'[1]CÓDIGOS DE PRODUCTO'!$A$4:$B$156,2,FALSE)</f>
        <v>0</v>
      </c>
      <c r="F1975">
        <f>INDEX('[1]CÓDIGOS DE PRODUCTO'!$C$3:$C$1000,MATCH(C1975,'[1]CÓDIGOS DE PRODUCTO'!$A$3:$A$1000,0))</f>
        <v>0</v>
      </c>
      <c r="G1975">
        <f>+'[1]VENTAS(RESUMEN GLOBAL)'!D1975-'[1]VENTAS(RESUMEN GLOBAL)'!E1975</f>
        <v>0</v>
      </c>
      <c r="H1975" s="9">
        <f>+'[1]VENTAS(RESUMEN GLOBAL)'!K1975</f>
        <v>0</v>
      </c>
      <c r="I1975" s="8">
        <f>+G1975*'[1]VENTAS(RESUMEN GLOBAL)'!F1975</f>
        <v>0</v>
      </c>
      <c r="J1975" s="8">
        <f>'[1]VENTAS(RESUMEN GLOBAL)'!G1975*(1-'[1]VENTAS(RESUMEN GLOBAL)'!H1975)</f>
        <v>0</v>
      </c>
      <c r="K1975" s="8">
        <f t="shared" si="30"/>
        <v>0</v>
      </c>
      <c r="L1975" s="8">
        <f>+'[1]VENTAS(RESUMEN GLOBAL)'!J1975</f>
        <v>0</v>
      </c>
      <c r="M1975" s="8">
        <f>+Tabla1[[#This Row],[utilidad x dia]]*7</f>
        <v>0</v>
      </c>
    </row>
    <row r="1976" spans="1:13" x14ac:dyDescent="0.3">
      <c r="A1976" s="6">
        <f>+'[1]VENTAS(RESUMEN GLOBAL)'!L1976</f>
        <v>0</v>
      </c>
      <c r="B1976" s="6">
        <f>+'[1]VENTAS(RESUMEN GLOBAL)'!M1976</f>
        <v>0</v>
      </c>
      <c r="C1976">
        <f>+'[1]VENTAS(RESUMEN GLOBAL)'!B1976</f>
        <v>0</v>
      </c>
      <c r="D1976" t="e">
        <f>INDEX('[1]CÓDIGOS DE PRODUCTO'!$D$3:$D$1000,MATCH(C1976,'[1]CÓDIGOS DE PRODUCTO'!$A$3:$A$1000,0))</f>
        <v>#N/A</v>
      </c>
      <c r="E1976">
        <f>VLOOKUP(C1976,'[1]CÓDIGOS DE PRODUCTO'!$A$4:$B$156,2,FALSE)</f>
        <v>0</v>
      </c>
      <c r="F1976">
        <f>INDEX('[1]CÓDIGOS DE PRODUCTO'!$C$3:$C$1000,MATCH(C1976,'[1]CÓDIGOS DE PRODUCTO'!$A$3:$A$1000,0))</f>
        <v>0</v>
      </c>
      <c r="G1976">
        <f>+'[1]VENTAS(RESUMEN GLOBAL)'!D1976-'[1]VENTAS(RESUMEN GLOBAL)'!E1976</f>
        <v>0</v>
      </c>
      <c r="H1976" s="9">
        <f>+'[1]VENTAS(RESUMEN GLOBAL)'!K1976</f>
        <v>0</v>
      </c>
      <c r="I1976" s="8">
        <f>+G1976*'[1]VENTAS(RESUMEN GLOBAL)'!F1976</f>
        <v>0</v>
      </c>
      <c r="J1976" s="8">
        <f>'[1]VENTAS(RESUMEN GLOBAL)'!G1976*(1-'[1]VENTAS(RESUMEN GLOBAL)'!H1976)</f>
        <v>0</v>
      </c>
      <c r="K1976" s="8">
        <f t="shared" si="30"/>
        <v>0</v>
      </c>
      <c r="L1976" s="8">
        <f>+'[1]VENTAS(RESUMEN GLOBAL)'!J1976</f>
        <v>0</v>
      </c>
      <c r="M1976" s="8">
        <f>+Tabla1[[#This Row],[utilidad x dia]]*7</f>
        <v>0</v>
      </c>
    </row>
    <row r="1977" spans="1:13" x14ac:dyDescent="0.3">
      <c r="A1977" s="6">
        <f>+'[1]VENTAS(RESUMEN GLOBAL)'!L1977</f>
        <v>0</v>
      </c>
      <c r="B1977" s="6">
        <f>+'[1]VENTAS(RESUMEN GLOBAL)'!M1977</f>
        <v>0</v>
      </c>
      <c r="C1977">
        <f>+'[1]VENTAS(RESUMEN GLOBAL)'!B1977</f>
        <v>0</v>
      </c>
      <c r="D1977" t="e">
        <f>INDEX('[1]CÓDIGOS DE PRODUCTO'!$D$3:$D$1000,MATCH(C1977,'[1]CÓDIGOS DE PRODUCTO'!$A$3:$A$1000,0))</f>
        <v>#N/A</v>
      </c>
      <c r="E1977">
        <f>VLOOKUP(C1977,'[1]CÓDIGOS DE PRODUCTO'!$A$4:$B$156,2,FALSE)</f>
        <v>0</v>
      </c>
      <c r="F1977">
        <f>INDEX('[1]CÓDIGOS DE PRODUCTO'!$C$3:$C$1000,MATCH(C1977,'[1]CÓDIGOS DE PRODUCTO'!$A$3:$A$1000,0))</f>
        <v>0</v>
      </c>
      <c r="G1977">
        <f>+'[1]VENTAS(RESUMEN GLOBAL)'!D1977-'[1]VENTAS(RESUMEN GLOBAL)'!E1977</f>
        <v>0</v>
      </c>
      <c r="H1977" s="9">
        <f>+'[1]VENTAS(RESUMEN GLOBAL)'!K1977</f>
        <v>0</v>
      </c>
      <c r="I1977" s="8">
        <f>+G1977*'[1]VENTAS(RESUMEN GLOBAL)'!F1977</f>
        <v>0</v>
      </c>
      <c r="J1977" s="8">
        <f>'[1]VENTAS(RESUMEN GLOBAL)'!G1977*(1-'[1]VENTAS(RESUMEN GLOBAL)'!H1977)</f>
        <v>0</v>
      </c>
      <c r="K1977" s="8">
        <f t="shared" si="30"/>
        <v>0</v>
      </c>
      <c r="L1977" s="8">
        <f>+'[1]VENTAS(RESUMEN GLOBAL)'!J1977</f>
        <v>0</v>
      </c>
      <c r="M1977" s="8">
        <f>+Tabla1[[#This Row],[utilidad x dia]]*7</f>
        <v>0</v>
      </c>
    </row>
    <row r="1978" spans="1:13" x14ac:dyDescent="0.3">
      <c r="A1978" s="6">
        <f>+'[1]VENTAS(RESUMEN GLOBAL)'!L1978</f>
        <v>0</v>
      </c>
      <c r="B1978" s="6">
        <f>+'[1]VENTAS(RESUMEN GLOBAL)'!M1978</f>
        <v>0</v>
      </c>
      <c r="C1978">
        <f>+'[1]VENTAS(RESUMEN GLOBAL)'!B1978</f>
        <v>0</v>
      </c>
      <c r="D1978" t="e">
        <f>INDEX('[1]CÓDIGOS DE PRODUCTO'!$D$3:$D$1000,MATCH(C1978,'[1]CÓDIGOS DE PRODUCTO'!$A$3:$A$1000,0))</f>
        <v>#N/A</v>
      </c>
      <c r="E1978">
        <f>VLOOKUP(C1978,'[1]CÓDIGOS DE PRODUCTO'!$A$4:$B$156,2,FALSE)</f>
        <v>0</v>
      </c>
      <c r="F1978">
        <f>INDEX('[1]CÓDIGOS DE PRODUCTO'!$C$3:$C$1000,MATCH(C1978,'[1]CÓDIGOS DE PRODUCTO'!$A$3:$A$1000,0))</f>
        <v>0</v>
      </c>
      <c r="G1978">
        <f>+'[1]VENTAS(RESUMEN GLOBAL)'!D1978-'[1]VENTAS(RESUMEN GLOBAL)'!E1978</f>
        <v>0</v>
      </c>
      <c r="H1978" s="9">
        <f>+'[1]VENTAS(RESUMEN GLOBAL)'!K1978</f>
        <v>0</v>
      </c>
      <c r="I1978" s="8">
        <f>+G1978*'[1]VENTAS(RESUMEN GLOBAL)'!F1978</f>
        <v>0</v>
      </c>
      <c r="J1978" s="8">
        <f>'[1]VENTAS(RESUMEN GLOBAL)'!G1978*(1-'[1]VENTAS(RESUMEN GLOBAL)'!H1978)</f>
        <v>0</v>
      </c>
      <c r="K1978" s="8">
        <f t="shared" si="30"/>
        <v>0</v>
      </c>
      <c r="L1978" s="8">
        <f>+'[1]VENTAS(RESUMEN GLOBAL)'!J1978</f>
        <v>0</v>
      </c>
      <c r="M1978" s="8">
        <f>+Tabla1[[#This Row],[utilidad x dia]]*7</f>
        <v>0</v>
      </c>
    </row>
    <row r="1979" spans="1:13" x14ac:dyDescent="0.3">
      <c r="A1979" s="6">
        <f>+'[1]VENTAS(RESUMEN GLOBAL)'!L1979</f>
        <v>0</v>
      </c>
      <c r="B1979" s="6">
        <f>+'[1]VENTAS(RESUMEN GLOBAL)'!M1979</f>
        <v>0</v>
      </c>
      <c r="C1979">
        <f>+'[1]VENTAS(RESUMEN GLOBAL)'!B1979</f>
        <v>0</v>
      </c>
      <c r="D1979" t="e">
        <f>INDEX('[1]CÓDIGOS DE PRODUCTO'!$D$3:$D$1000,MATCH(C1979,'[1]CÓDIGOS DE PRODUCTO'!$A$3:$A$1000,0))</f>
        <v>#N/A</v>
      </c>
      <c r="E1979">
        <f>VLOOKUP(C1979,'[1]CÓDIGOS DE PRODUCTO'!$A$4:$B$156,2,FALSE)</f>
        <v>0</v>
      </c>
      <c r="F1979">
        <f>INDEX('[1]CÓDIGOS DE PRODUCTO'!$C$3:$C$1000,MATCH(C1979,'[1]CÓDIGOS DE PRODUCTO'!$A$3:$A$1000,0))</f>
        <v>0</v>
      </c>
      <c r="G1979">
        <f>+'[1]VENTAS(RESUMEN GLOBAL)'!D1979-'[1]VENTAS(RESUMEN GLOBAL)'!E1979</f>
        <v>0</v>
      </c>
      <c r="H1979" s="9">
        <f>+'[1]VENTAS(RESUMEN GLOBAL)'!K1979</f>
        <v>0</v>
      </c>
      <c r="I1979" s="8">
        <f>+G1979*'[1]VENTAS(RESUMEN GLOBAL)'!F1979</f>
        <v>0</v>
      </c>
      <c r="J1979" s="8">
        <f>'[1]VENTAS(RESUMEN GLOBAL)'!G1979*(1-'[1]VENTAS(RESUMEN GLOBAL)'!H1979)</f>
        <v>0</v>
      </c>
      <c r="K1979" s="8">
        <f t="shared" si="30"/>
        <v>0</v>
      </c>
      <c r="L1979" s="8">
        <f>+'[1]VENTAS(RESUMEN GLOBAL)'!J1979</f>
        <v>0</v>
      </c>
      <c r="M1979" s="8">
        <f>+Tabla1[[#This Row],[utilidad x dia]]*7</f>
        <v>0</v>
      </c>
    </row>
    <row r="1980" spans="1:13" x14ac:dyDescent="0.3">
      <c r="A1980" s="6">
        <f>+'[1]VENTAS(RESUMEN GLOBAL)'!L1980</f>
        <v>0</v>
      </c>
      <c r="B1980" s="6">
        <f>+'[1]VENTAS(RESUMEN GLOBAL)'!M1980</f>
        <v>0</v>
      </c>
      <c r="C1980">
        <f>+'[1]VENTAS(RESUMEN GLOBAL)'!B1980</f>
        <v>0</v>
      </c>
      <c r="D1980" t="e">
        <f>INDEX('[1]CÓDIGOS DE PRODUCTO'!$D$3:$D$1000,MATCH(C1980,'[1]CÓDIGOS DE PRODUCTO'!$A$3:$A$1000,0))</f>
        <v>#N/A</v>
      </c>
      <c r="E1980">
        <f>VLOOKUP(C1980,'[1]CÓDIGOS DE PRODUCTO'!$A$4:$B$156,2,FALSE)</f>
        <v>0</v>
      </c>
      <c r="F1980">
        <f>INDEX('[1]CÓDIGOS DE PRODUCTO'!$C$3:$C$1000,MATCH(C1980,'[1]CÓDIGOS DE PRODUCTO'!$A$3:$A$1000,0))</f>
        <v>0</v>
      </c>
      <c r="G1980">
        <f>+'[1]VENTAS(RESUMEN GLOBAL)'!D1980-'[1]VENTAS(RESUMEN GLOBAL)'!E1980</f>
        <v>0</v>
      </c>
      <c r="H1980" s="9">
        <f>+'[1]VENTAS(RESUMEN GLOBAL)'!K1980</f>
        <v>0</v>
      </c>
      <c r="I1980" s="8">
        <f>+G1980*'[1]VENTAS(RESUMEN GLOBAL)'!F1980</f>
        <v>0</v>
      </c>
      <c r="J1980" s="8">
        <f>'[1]VENTAS(RESUMEN GLOBAL)'!G1980*(1-'[1]VENTAS(RESUMEN GLOBAL)'!H1980)</f>
        <v>0</v>
      </c>
      <c r="K1980" s="8">
        <f t="shared" si="30"/>
        <v>0</v>
      </c>
      <c r="L1980" s="8">
        <f>+'[1]VENTAS(RESUMEN GLOBAL)'!J1980</f>
        <v>0</v>
      </c>
      <c r="M1980" s="8">
        <f>+Tabla1[[#This Row],[utilidad x dia]]*7</f>
        <v>0</v>
      </c>
    </row>
    <row r="1981" spans="1:13" x14ac:dyDescent="0.3">
      <c r="A1981" s="6">
        <f>+'[1]VENTAS(RESUMEN GLOBAL)'!L1981</f>
        <v>0</v>
      </c>
      <c r="B1981" s="6">
        <f>+'[1]VENTAS(RESUMEN GLOBAL)'!M1981</f>
        <v>0</v>
      </c>
      <c r="C1981">
        <f>+'[1]VENTAS(RESUMEN GLOBAL)'!B1981</f>
        <v>0</v>
      </c>
      <c r="D1981" t="e">
        <f>INDEX('[1]CÓDIGOS DE PRODUCTO'!$D$3:$D$1000,MATCH(C1981,'[1]CÓDIGOS DE PRODUCTO'!$A$3:$A$1000,0))</f>
        <v>#N/A</v>
      </c>
      <c r="E1981">
        <f>VLOOKUP(C1981,'[1]CÓDIGOS DE PRODUCTO'!$A$4:$B$156,2,FALSE)</f>
        <v>0</v>
      </c>
      <c r="F1981">
        <f>INDEX('[1]CÓDIGOS DE PRODUCTO'!$C$3:$C$1000,MATCH(C1981,'[1]CÓDIGOS DE PRODUCTO'!$A$3:$A$1000,0))</f>
        <v>0</v>
      </c>
      <c r="G1981">
        <f>+'[1]VENTAS(RESUMEN GLOBAL)'!D1981-'[1]VENTAS(RESUMEN GLOBAL)'!E1981</f>
        <v>0</v>
      </c>
      <c r="H1981" s="9">
        <f>+'[1]VENTAS(RESUMEN GLOBAL)'!K1981</f>
        <v>0</v>
      </c>
      <c r="I1981" s="8">
        <f>+G1981*'[1]VENTAS(RESUMEN GLOBAL)'!F1981</f>
        <v>0</v>
      </c>
      <c r="J1981" s="8">
        <f>'[1]VENTAS(RESUMEN GLOBAL)'!G1981*(1-'[1]VENTAS(RESUMEN GLOBAL)'!H1981)</f>
        <v>0</v>
      </c>
      <c r="K1981" s="8">
        <f t="shared" si="30"/>
        <v>0</v>
      </c>
      <c r="L1981" s="8">
        <f>+'[1]VENTAS(RESUMEN GLOBAL)'!J1981</f>
        <v>0</v>
      </c>
      <c r="M1981" s="8">
        <f>+Tabla1[[#This Row],[utilidad x dia]]*7</f>
        <v>0</v>
      </c>
    </row>
    <row r="1982" spans="1:13" x14ac:dyDescent="0.3">
      <c r="A1982" s="6">
        <f>+'[1]VENTAS(RESUMEN GLOBAL)'!L1982</f>
        <v>0</v>
      </c>
      <c r="B1982" s="6">
        <f>+'[1]VENTAS(RESUMEN GLOBAL)'!M1982</f>
        <v>0</v>
      </c>
      <c r="C1982">
        <f>+'[1]VENTAS(RESUMEN GLOBAL)'!B1982</f>
        <v>0</v>
      </c>
      <c r="D1982" t="e">
        <f>INDEX('[1]CÓDIGOS DE PRODUCTO'!$D$3:$D$1000,MATCH(C1982,'[1]CÓDIGOS DE PRODUCTO'!$A$3:$A$1000,0))</f>
        <v>#N/A</v>
      </c>
      <c r="E1982">
        <f>VLOOKUP(C1982,'[1]CÓDIGOS DE PRODUCTO'!$A$4:$B$156,2,FALSE)</f>
        <v>0</v>
      </c>
      <c r="F1982">
        <f>INDEX('[1]CÓDIGOS DE PRODUCTO'!$C$3:$C$1000,MATCH(C1982,'[1]CÓDIGOS DE PRODUCTO'!$A$3:$A$1000,0))</f>
        <v>0</v>
      </c>
      <c r="G1982">
        <f>+'[1]VENTAS(RESUMEN GLOBAL)'!D1982-'[1]VENTAS(RESUMEN GLOBAL)'!E1982</f>
        <v>0</v>
      </c>
      <c r="H1982" s="9">
        <f>+'[1]VENTAS(RESUMEN GLOBAL)'!K1982</f>
        <v>0</v>
      </c>
      <c r="I1982" s="8">
        <f>+G1982*'[1]VENTAS(RESUMEN GLOBAL)'!F1982</f>
        <v>0</v>
      </c>
      <c r="J1982" s="8">
        <f>'[1]VENTAS(RESUMEN GLOBAL)'!G1982*(1-'[1]VENTAS(RESUMEN GLOBAL)'!H1982)</f>
        <v>0</v>
      </c>
      <c r="K1982" s="8">
        <f t="shared" si="30"/>
        <v>0</v>
      </c>
      <c r="L1982" s="8">
        <f>+'[1]VENTAS(RESUMEN GLOBAL)'!J1982</f>
        <v>0</v>
      </c>
      <c r="M1982" s="8">
        <f>+Tabla1[[#This Row],[utilidad x dia]]*7</f>
        <v>0</v>
      </c>
    </row>
    <row r="1983" spans="1:13" x14ac:dyDescent="0.3">
      <c r="A1983" s="6">
        <f>+'[1]VENTAS(RESUMEN GLOBAL)'!L1983</f>
        <v>0</v>
      </c>
      <c r="B1983" s="6">
        <f>+'[1]VENTAS(RESUMEN GLOBAL)'!M1983</f>
        <v>0</v>
      </c>
      <c r="C1983">
        <f>+'[1]VENTAS(RESUMEN GLOBAL)'!B1983</f>
        <v>0</v>
      </c>
      <c r="D1983" t="e">
        <f>INDEX('[1]CÓDIGOS DE PRODUCTO'!$D$3:$D$1000,MATCH(C1983,'[1]CÓDIGOS DE PRODUCTO'!$A$3:$A$1000,0))</f>
        <v>#N/A</v>
      </c>
      <c r="E1983">
        <f>VLOOKUP(C1983,'[1]CÓDIGOS DE PRODUCTO'!$A$4:$B$156,2,FALSE)</f>
        <v>0</v>
      </c>
      <c r="F1983">
        <f>INDEX('[1]CÓDIGOS DE PRODUCTO'!$C$3:$C$1000,MATCH(C1983,'[1]CÓDIGOS DE PRODUCTO'!$A$3:$A$1000,0))</f>
        <v>0</v>
      </c>
      <c r="G1983">
        <f>+'[1]VENTAS(RESUMEN GLOBAL)'!D1983-'[1]VENTAS(RESUMEN GLOBAL)'!E1983</f>
        <v>0</v>
      </c>
      <c r="H1983" s="9">
        <f>+'[1]VENTAS(RESUMEN GLOBAL)'!K1983</f>
        <v>0</v>
      </c>
      <c r="I1983" s="8">
        <f>+G1983*'[1]VENTAS(RESUMEN GLOBAL)'!F1983</f>
        <v>0</v>
      </c>
      <c r="J1983" s="8">
        <f>'[1]VENTAS(RESUMEN GLOBAL)'!G1983*(1-'[1]VENTAS(RESUMEN GLOBAL)'!H1983)</f>
        <v>0</v>
      </c>
      <c r="K1983" s="8">
        <f t="shared" si="30"/>
        <v>0</v>
      </c>
      <c r="L1983" s="8">
        <f>+'[1]VENTAS(RESUMEN GLOBAL)'!J1983</f>
        <v>0</v>
      </c>
      <c r="M1983" s="8">
        <f>+Tabla1[[#This Row],[utilidad x dia]]*7</f>
        <v>0</v>
      </c>
    </row>
    <row r="1984" spans="1:13" x14ac:dyDescent="0.3">
      <c r="A1984" s="6">
        <f>+'[1]VENTAS(RESUMEN GLOBAL)'!L1984</f>
        <v>0</v>
      </c>
      <c r="B1984" s="6">
        <f>+'[1]VENTAS(RESUMEN GLOBAL)'!M1984</f>
        <v>0</v>
      </c>
      <c r="C1984">
        <f>+'[1]VENTAS(RESUMEN GLOBAL)'!B1984</f>
        <v>0</v>
      </c>
      <c r="D1984" t="e">
        <f>INDEX('[1]CÓDIGOS DE PRODUCTO'!$D$3:$D$1000,MATCH(C1984,'[1]CÓDIGOS DE PRODUCTO'!$A$3:$A$1000,0))</f>
        <v>#N/A</v>
      </c>
      <c r="E1984">
        <f>VLOOKUP(C1984,'[1]CÓDIGOS DE PRODUCTO'!$A$4:$B$156,2,FALSE)</f>
        <v>0</v>
      </c>
      <c r="F1984">
        <f>INDEX('[1]CÓDIGOS DE PRODUCTO'!$C$3:$C$1000,MATCH(C1984,'[1]CÓDIGOS DE PRODUCTO'!$A$3:$A$1000,0))</f>
        <v>0</v>
      </c>
      <c r="G1984">
        <f>+'[1]VENTAS(RESUMEN GLOBAL)'!D1984-'[1]VENTAS(RESUMEN GLOBAL)'!E1984</f>
        <v>0</v>
      </c>
      <c r="H1984" s="9">
        <f>+'[1]VENTAS(RESUMEN GLOBAL)'!K1984</f>
        <v>0</v>
      </c>
      <c r="I1984" s="8">
        <f>+G1984*'[1]VENTAS(RESUMEN GLOBAL)'!F1984</f>
        <v>0</v>
      </c>
      <c r="J1984" s="8">
        <f>'[1]VENTAS(RESUMEN GLOBAL)'!G1984*(1-'[1]VENTAS(RESUMEN GLOBAL)'!H1984)</f>
        <v>0</v>
      </c>
      <c r="K1984" s="8">
        <f t="shared" si="30"/>
        <v>0</v>
      </c>
      <c r="L1984" s="8">
        <f>+'[1]VENTAS(RESUMEN GLOBAL)'!J1984</f>
        <v>0</v>
      </c>
      <c r="M1984" s="8">
        <f>+Tabla1[[#This Row],[utilidad x dia]]*7</f>
        <v>0</v>
      </c>
    </row>
    <row r="1985" spans="1:13" x14ac:dyDescent="0.3">
      <c r="A1985" s="6">
        <f>+'[1]VENTAS(RESUMEN GLOBAL)'!L1985</f>
        <v>0</v>
      </c>
      <c r="B1985" s="6">
        <f>+'[1]VENTAS(RESUMEN GLOBAL)'!M1985</f>
        <v>0</v>
      </c>
      <c r="C1985">
        <f>+'[1]VENTAS(RESUMEN GLOBAL)'!B1985</f>
        <v>0</v>
      </c>
      <c r="D1985" t="e">
        <f>INDEX('[1]CÓDIGOS DE PRODUCTO'!$D$3:$D$1000,MATCH(C1985,'[1]CÓDIGOS DE PRODUCTO'!$A$3:$A$1000,0))</f>
        <v>#N/A</v>
      </c>
      <c r="E1985">
        <f>VLOOKUP(C1985,'[1]CÓDIGOS DE PRODUCTO'!$A$4:$B$156,2,FALSE)</f>
        <v>0</v>
      </c>
      <c r="F1985">
        <f>INDEX('[1]CÓDIGOS DE PRODUCTO'!$C$3:$C$1000,MATCH(C1985,'[1]CÓDIGOS DE PRODUCTO'!$A$3:$A$1000,0))</f>
        <v>0</v>
      </c>
      <c r="G1985">
        <f>+'[1]VENTAS(RESUMEN GLOBAL)'!D1985-'[1]VENTAS(RESUMEN GLOBAL)'!E1985</f>
        <v>0</v>
      </c>
      <c r="H1985" s="9">
        <f>+'[1]VENTAS(RESUMEN GLOBAL)'!K1985</f>
        <v>0</v>
      </c>
      <c r="I1985" s="8">
        <f>+G1985*'[1]VENTAS(RESUMEN GLOBAL)'!F1985</f>
        <v>0</v>
      </c>
      <c r="J1985" s="8">
        <f>'[1]VENTAS(RESUMEN GLOBAL)'!G1985*(1-'[1]VENTAS(RESUMEN GLOBAL)'!H1985)</f>
        <v>0</v>
      </c>
      <c r="K1985" s="8">
        <f t="shared" si="30"/>
        <v>0</v>
      </c>
      <c r="L1985" s="8">
        <f>+'[1]VENTAS(RESUMEN GLOBAL)'!J1985</f>
        <v>0</v>
      </c>
      <c r="M1985" s="8">
        <f>+Tabla1[[#This Row],[utilidad x dia]]*7</f>
        <v>0</v>
      </c>
    </row>
    <row r="1986" spans="1:13" x14ac:dyDescent="0.3">
      <c r="A1986" s="6">
        <f>+'[1]VENTAS(RESUMEN GLOBAL)'!L1986</f>
        <v>0</v>
      </c>
      <c r="B1986" s="6">
        <f>+'[1]VENTAS(RESUMEN GLOBAL)'!M1986</f>
        <v>0</v>
      </c>
      <c r="C1986">
        <f>+'[1]VENTAS(RESUMEN GLOBAL)'!B1986</f>
        <v>0</v>
      </c>
      <c r="D1986" t="e">
        <f>INDEX('[1]CÓDIGOS DE PRODUCTO'!$D$3:$D$1000,MATCH(C1986,'[1]CÓDIGOS DE PRODUCTO'!$A$3:$A$1000,0))</f>
        <v>#N/A</v>
      </c>
      <c r="E1986">
        <f>VLOOKUP(C1986,'[1]CÓDIGOS DE PRODUCTO'!$A$4:$B$156,2,FALSE)</f>
        <v>0</v>
      </c>
      <c r="F1986">
        <f>INDEX('[1]CÓDIGOS DE PRODUCTO'!$C$3:$C$1000,MATCH(C1986,'[1]CÓDIGOS DE PRODUCTO'!$A$3:$A$1000,0))</f>
        <v>0</v>
      </c>
      <c r="G1986">
        <f>+'[1]VENTAS(RESUMEN GLOBAL)'!D1986-'[1]VENTAS(RESUMEN GLOBAL)'!E1986</f>
        <v>0</v>
      </c>
      <c r="H1986" s="9">
        <f>+'[1]VENTAS(RESUMEN GLOBAL)'!K1986</f>
        <v>0</v>
      </c>
      <c r="I1986" s="8">
        <f>+G1986*'[1]VENTAS(RESUMEN GLOBAL)'!F1986</f>
        <v>0</v>
      </c>
      <c r="J1986" s="8">
        <f>'[1]VENTAS(RESUMEN GLOBAL)'!G1986*(1-'[1]VENTAS(RESUMEN GLOBAL)'!H1986)</f>
        <v>0</v>
      </c>
      <c r="K1986" s="8">
        <f t="shared" si="30"/>
        <v>0</v>
      </c>
      <c r="L1986" s="8">
        <f>+'[1]VENTAS(RESUMEN GLOBAL)'!J1986</f>
        <v>0</v>
      </c>
      <c r="M1986" s="8">
        <f>+Tabla1[[#This Row],[utilidad x dia]]*7</f>
        <v>0</v>
      </c>
    </row>
    <row r="1987" spans="1:13" x14ac:dyDescent="0.3">
      <c r="A1987" s="6">
        <f>+'[1]VENTAS(RESUMEN GLOBAL)'!L1987</f>
        <v>0</v>
      </c>
      <c r="B1987" s="6">
        <f>+'[1]VENTAS(RESUMEN GLOBAL)'!M1987</f>
        <v>0</v>
      </c>
      <c r="C1987">
        <f>+'[1]VENTAS(RESUMEN GLOBAL)'!B1987</f>
        <v>0</v>
      </c>
      <c r="D1987" t="e">
        <f>INDEX('[1]CÓDIGOS DE PRODUCTO'!$D$3:$D$1000,MATCH(C1987,'[1]CÓDIGOS DE PRODUCTO'!$A$3:$A$1000,0))</f>
        <v>#N/A</v>
      </c>
      <c r="E1987">
        <f>VLOOKUP(C1987,'[1]CÓDIGOS DE PRODUCTO'!$A$4:$B$156,2,FALSE)</f>
        <v>0</v>
      </c>
      <c r="F1987">
        <f>INDEX('[1]CÓDIGOS DE PRODUCTO'!$C$3:$C$1000,MATCH(C1987,'[1]CÓDIGOS DE PRODUCTO'!$A$3:$A$1000,0))</f>
        <v>0</v>
      </c>
      <c r="G1987">
        <f>+'[1]VENTAS(RESUMEN GLOBAL)'!D1987-'[1]VENTAS(RESUMEN GLOBAL)'!E1987</f>
        <v>0</v>
      </c>
      <c r="H1987" s="9">
        <f>+'[1]VENTAS(RESUMEN GLOBAL)'!K1987</f>
        <v>0</v>
      </c>
      <c r="I1987" s="8">
        <f>+G1987*'[1]VENTAS(RESUMEN GLOBAL)'!F1987</f>
        <v>0</v>
      </c>
      <c r="J1987" s="8">
        <f>'[1]VENTAS(RESUMEN GLOBAL)'!G1987*(1-'[1]VENTAS(RESUMEN GLOBAL)'!H1987)</f>
        <v>0</v>
      </c>
      <c r="K1987" s="8">
        <f t="shared" ref="K1987:K2050" si="31">+I1987-J1987</f>
        <v>0</v>
      </c>
      <c r="L1987" s="8">
        <f>+'[1]VENTAS(RESUMEN GLOBAL)'!J1987</f>
        <v>0</v>
      </c>
      <c r="M1987" s="8">
        <f>+Tabla1[[#This Row],[utilidad x dia]]*7</f>
        <v>0</v>
      </c>
    </row>
    <row r="1988" spans="1:13" x14ac:dyDescent="0.3">
      <c r="A1988" s="6">
        <f>+'[1]VENTAS(RESUMEN GLOBAL)'!L1988</f>
        <v>0</v>
      </c>
      <c r="B1988" s="6">
        <f>+'[1]VENTAS(RESUMEN GLOBAL)'!M1988</f>
        <v>0</v>
      </c>
      <c r="C1988">
        <f>+'[1]VENTAS(RESUMEN GLOBAL)'!B1988</f>
        <v>0</v>
      </c>
      <c r="D1988" t="e">
        <f>INDEX('[1]CÓDIGOS DE PRODUCTO'!$D$3:$D$1000,MATCH(C1988,'[1]CÓDIGOS DE PRODUCTO'!$A$3:$A$1000,0))</f>
        <v>#N/A</v>
      </c>
      <c r="E1988">
        <f>VLOOKUP(C1988,'[1]CÓDIGOS DE PRODUCTO'!$A$4:$B$156,2,FALSE)</f>
        <v>0</v>
      </c>
      <c r="F1988">
        <f>INDEX('[1]CÓDIGOS DE PRODUCTO'!$C$3:$C$1000,MATCH(C1988,'[1]CÓDIGOS DE PRODUCTO'!$A$3:$A$1000,0))</f>
        <v>0</v>
      </c>
      <c r="G1988">
        <f>+'[1]VENTAS(RESUMEN GLOBAL)'!D1988-'[1]VENTAS(RESUMEN GLOBAL)'!E1988</f>
        <v>0</v>
      </c>
      <c r="H1988" s="9">
        <f>+'[1]VENTAS(RESUMEN GLOBAL)'!K1988</f>
        <v>0</v>
      </c>
      <c r="I1988" s="8">
        <f>+G1988*'[1]VENTAS(RESUMEN GLOBAL)'!F1988</f>
        <v>0</v>
      </c>
      <c r="J1988" s="8">
        <f>'[1]VENTAS(RESUMEN GLOBAL)'!G1988*(1-'[1]VENTAS(RESUMEN GLOBAL)'!H1988)</f>
        <v>0</v>
      </c>
      <c r="K1988" s="8">
        <f t="shared" si="31"/>
        <v>0</v>
      </c>
      <c r="L1988" s="8">
        <f>+'[1]VENTAS(RESUMEN GLOBAL)'!J1988</f>
        <v>0</v>
      </c>
      <c r="M1988" s="8">
        <f>+Tabla1[[#This Row],[utilidad x dia]]*7</f>
        <v>0</v>
      </c>
    </row>
    <row r="1989" spans="1:13" x14ac:dyDescent="0.3">
      <c r="A1989" s="6">
        <f>+'[1]VENTAS(RESUMEN GLOBAL)'!L1989</f>
        <v>0</v>
      </c>
      <c r="B1989" s="6">
        <f>+'[1]VENTAS(RESUMEN GLOBAL)'!M1989</f>
        <v>0</v>
      </c>
      <c r="C1989">
        <f>+'[1]VENTAS(RESUMEN GLOBAL)'!B1989</f>
        <v>0</v>
      </c>
      <c r="D1989" t="e">
        <f>INDEX('[1]CÓDIGOS DE PRODUCTO'!$D$3:$D$1000,MATCH(C1989,'[1]CÓDIGOS DE PRODUCTO'!$A$3:$A$1000,0))</f>
        <v>#N/A</v>
      </c>
      <c r="E1989">
        <f>VLOOKUP(C1989,'[1]CÓDIGOS DE PRODUCTO'!$A$4:$B$156,2,FALSE)</f>
        <v>0</v>
      </c>
      <c r="F1989">
        <f>INDEX('[1]CÓDIGOS DE PRODUCTO'!$C$3:$C$1000,MATCH(C1989,'[1]CÓDIGOS DE PRODUCTO'!$A$3:$A$1000,0))</f>
        <v>0</v>
      </c>
      <c r="G1989">
        <f>+'[1]VENTAS(RESUMEN GLOBAL)'!D1989-'[1]VENTAS(RESUMEN GLOBAL)'!E1989</f>
        <v>0</v>
      </c>
      <c r="H1989" s="9">
        <f>+'[1]VENTAS(RESUMEN GLOBAL)'!K1989</f>
        <v>0</v>
      </c>
      <c r="I1989" s="8">
        <f>+G1989*'[1]VENTAS(RESUMEN GLOBAL)'!F1989</f>
        <v>0</v>
      </c>
      <c r="J1989" s="8">
        <f>'[1]VENTAS(RESUMEN GLOBAL)'!G1989*(1-'[1]VENTAS(RESUMEN GLOBAL)'!H1989)</f>
        <v>0</v>
      </c>
      <c r="K1989" s="8">
        <f t="shared" si="31"/>
        <v>0</v>
      </c>
      <c r="L1989" s="8">
        <f>+'[1]VENTAS(RESUMEN GLOBAL)'!J1989</f>
        <v>0</v>
      </c>
      <c r="M1989" s="8">
        <f>+Tabla1[[#This Row],[utilidad x dia]]*7</f>
        <v>0</v>
      </c>
    </row>
    <row r="1990" spans="1:13" x14ac:dyDescent="0.3">
      <c r="A1990" s="6">
        <f>+'[1]VENTAS(RESUMEN GLOBAL)'!L1990</f>
        <v>0</v>
      </c>
      <c r="B1990" s="6">
        <f>+'[1]VENTAS(RESUMEN GLOBAL)'!M1990</f>
        <v>0</v>
      </c>
      <c r="C1990">
        <f>+'[1]VENTAS(RESUMEN GLOBAL)'!B1990</f>
        <v>0</v>
      </c>
      <c r="D1990" t="e">
        <f>INDEX('[1]CÓDIGOS DE PRODUCTO'!$D$3:$D$1000,MATCH(C1990,'[1]CÓDIGOS DE PRODUCTO'!$A$3:$A$1000,0))</f>
        <v>#N/A</v>
      </c>
      <c r="E1990">
        <f>VLOOKUP(C1990,'[1]CÓDIGOS DE PRODUCTO'!$A$4:$B$156,2,FALSE)</f>
        <v>0</v>
      </c>
      <c r="F1990">
        <f>INDEX('[1]CÓDIGOS DE PRODUCTO'!$C$3:$C$1000,MATCH(C1990,'[1]CÓDIGOS DE PRODUCTO'!$A$3:$A$1000,0))</f>
        <v>0</v>
      </c>
      <c r="G1990">
        <f>+'[1]VENTAS(RESUMEN GLOBAL)'!D1990-'[1]VENTAS(RESUMEN GLOBAL)'!E1990</f>
        <v>0</v>
      </c>
      <c r="H1990" s="9">
        <f>+'[1]VENTAS(RESUMEN GLOBAL)'!K1990</f>
        <v>0</v>
      </c>
      <c r="I1990" s="8">
        <f>+G1990*'[1]VENTAS(RESUMEN GLOBAL)'!F1990</f>
        <v>0</v>
      </c>
      <c r="J1990" s="8">
        <f>'[1]VENTAS(RESUMEN GLOBAL)'!G1990*(1-'[1]VENTAS(RESUMEN GLOBAL)'!H1990)</f>
        <v>0</v>
      </c>
      <c r="K1990" s="8">
        <f t="shared" si="31"/>
        <v>0</v>
      </c>
      <c r="L1990" s="8">
        <f>+'[1]VENTAS(RESUMEN GLOBAL)'!J1990</f>
        <v>0</v>
      </c>
      <c r="M1990" s="8">
        <f>+Tabla1[[#This Row],[utilidad x dia]]*7</f>
        <v>0</v>
      </c>
    </row>
    <row r="1991" spans="1:13" x14ac:dyDescent="0.3">
      <c r="A1991" s="6">
        <f>+'[1]VENTAS(RESUMEN GLOBAL)'!L1991</f>
        <v>0</v>
      </c>
      <c r="B1991" s="6">
        <f>+'[1]VENTAS(RESUMEN GLOBAL)'!M1991</f>
        <v>0</v>
      </c>
      <c r="C1991">
        <f>+'[1]VENTAS(RESUMEN GLOBAL)'!B1991</f>
        <v>0</v>
      </c>
      <c r="D1991" t="e">
        <f>INDEX('[1]CÓDIGOS DE PRODUCTO'!$D$3:$D$1000,MATCH(C1991,'[1]CÓDIGOS DE PRODUCTO'!$A$3:$A$1000,0))</f>
        <v>#N/A</v>
      </c>
      <c r="E1991">
        <f>VLOOKUP(C1991,'[1]CÓDIGOS DE PRODUCTO'!$A$4:$B$156,2,FALSE)</f>
        <v>0</v>
      </c>
      <c r="F1991">
        <f>INDEX('[1]CÓDIGOS DE PRODUCTO'!$C$3:$C$1000,MATCH(C1991,'[1]CÓDIGOS DE PRODUCTO'!$A$3:$A$1000,0))</f>
        <v>0</v>
      </c>
      <c r="G1991">
        <f>+'[1]VENTAS(RESUMEN GLOBAL)'!D1991-'[1]VENTAS(RESUMEN GLOBAL)'!E1991</f>
        <v>0</v>
      </c>
      <c r="H1991" s="9">
        <f>+'[1]VENTAS(RESUMEN GLOBAL)'!K1991</f>
        <v>0</v>
      </c>
      <c r="I1991" s="8">
        <f>+G1991*'[1]VENTAS(RESUMEN GLOBAL)'!F1991</f>
        <v>0</v>
      </c>
      <c r="J1991" s="8">
        <f>'[1]VENTAS(RESUMEN GLOBAL)'!G1991*(1-'[1]VENTAS(RESUMEN GLOBAL)'!H1991)</f>
        <v>0</v>
      </c>
      <c r="K1991" s="8">
        <f t="shared" si="31"/>
        <v>0</v>
      </c>
      <c r="L1991" s="8">
        <f>+'[1]VENTAS(RESUMEN GLOBAL)'!J1991</f>
        <v>0</v>
      </c>
      <c r="M1991" s="8">
        <f>+Tabla1[[#This Row],[utilidad x dia]]*7</f>
        <v>0</v>
      </c>
    </row>
    <row r="1992" spans="1:13" x14ac:dyDescent="0.3">
      <c r="A1992" s="6">
        <f>+'[1]VENTAS(RESUMEN GLOBAL)'!L1992</f>
        <v>0</v>
      </c>
      <c r="B1992" s="6">
        <f>+'[1]VENTAS(RESUMEN GLOBAL)'!M1992</f>
        <v>0</v>
      </c>
      <c r="C1992">
        <f>+'[1]VENTAS(RESUMEN GLOBAL)'!B1992</f>
        <v>0</v>
      </c>
      <c r="D1992" t="e">
        <f>INDEX('[1]CÓDIGOS DE PRODUCTO'!$D$3:$D$1000,MATCH(C1992,'[1]CÓDIGOS DE PRODUCTO'!$A$3:$A$1000,0))</f>
        <v>#N/A</v>
      </c>
      <c r="E1992">
        <f>VLOOKUP(C1992,'[1]CÓDIGOS DE PRODUCTO'!$A$4:$B$156,2,FALSE)</f>
        <v>0</v>
      </c>
      <c r="F1992">
        <f>INDEX('[1]CÓDIGOS DE PRODUCTO'!$C$3:$C$1000,MATCH(C1992,'[1]CÓDIGOS DE PRODUCTO'!$A$3:$A$1000,0))</f>
        <v>0</v>
      </c>
      <c r="G1992">
        <f>+'[1]VENTAS(RESUMEN GLOBAL)'!D1992-'[1]VENTAS(RESUMEN GLOBAL)'!E1992</f>
        <v>0</v>
      </c>
      <c r="H1992" s="9">
        <f>+'[1]VENTAS(RESUMEN GLOBAL)'!K1992</f>
        <v>0</v>
      </c>
      <c r="I1992" s="8">
        <f>+G1992*'[1]VENTAS(RESUMEN GLOBAL)'!F1992</f>
        <v>0</v>
      </c>
      <c r="J1992" s="8">
        <f>'[1]VENTAS(RESUMEN GLOBAL)'!G1992*(1-'[1]VENTAS(RESUMEN GLOBAL)'!H1992)</f>
        <v>0</v>
      </c>
      <c r="K1992" s="8">
        <f t="shared" si="31"/>
        <v>0</v>
      </c>
      <c r="L1992" s="8">
        <f>+'[1]VENTAS(RESUMEN GLOBAL)'!J1992</f>
        <v>0</v>
      </c>
      <c r="M1992" s="8">
        <f>+Tabla1[[#This Row],[utilidad x dia]]*7</f>
        <v>0</v>
      </c>
    </row>
    <row r="1993" spans="1:13" x14ac:dyDescent="0.3">
      <c r="A1993" s="6">
        <f>+'[1]VENTAS(RESUMEN GLOBAL)'!L1993</f>
        <v>0</v>
      </c>
      <c r="B1993" s="6">
        <f>+'[1]VENTAS(RESUMEN GLOBAL)'!M1993</f>
        <v>0</v>
      </c>
      <c r="C1993">
        <f>+'[1]VENTAS(RESUMEN GLOBAL)'!B1993</f>
        <v>0</v>
      </c>
      <c r="D1993" t="e">
        <f>INDEX('[1]CÓDIGOS DE PRODUCTO'!$D$3:$D$1000,MATCH(C1993,'[1]CÓDIGOS DE PRODUCTO'!$A$3:$A$1000,0))</f>
        <v>#N/A</v>
      </c>
      <c r="E1993">
        <f>VLOOKUP(C1993,'[1]CÓDIGOS DE PRODUCTO'!$A$4:$B$156,2,FALSE)</f>
        <v>0</v>
      </c>
      <c r="F1993">
        <f>INDEX('[1]CÓDIGOS DE PRODUCTO'!$C$3:$C$1000,MATCH(C1993,'[1]CÓDIGOS DE PRODUCTO'!$A$3:$A$1000,0))</f>
        <v>0</v>
      </c>
      <c r="G1993">
        <f>+'[1]VENTAS(RESUMEN GLOBAL)'!D1993-'[1]VENTAS(RESUMEN GLOBAL)'!E1993</f>
        <v>0</v>
      </c>
      <c r="H1993" s="9">
        <f>+'[1]VENTAS(RESUMEN GLOBAL)'!K1993</f>
        <v>0</v>
      </c>
      <c r="I1993" s="8">
        <f>+G1993*'[1]VENTAS(RESUMEN GLOBAL)'!F1993</f>
        <v>0</v>
      </c>
      <c r="J1993" s="8">
        <f>'[1]VENTAS(RESUMEN GLOBAL)'!G1993*(1-'[1]VENTAS(RESUMEN GLOBAL)'!H1993)</f>
        <v>0</v>
      </c>
      <c r="K1993" s="8">
        <f t="shared" si="31"/>
        <v>0</v>
      </c>
      <c r="L1993" s="8">
        <f>+'[1]VENTAS(RESUMEN GLOBAL)'!J1993</f>
        <v>0</v>
      </c>
      <c r="M1993" s="8">
        <f>+Tabla1[[#This Row],[utilidad x dia]]*7</f>
        <v>0</v>
      </c>
    </row>
    <row r="1994" spans="1:13" x14ac:dyDescent="0.3">
      <c r="A1994" s="6">
        <f>+'[1]VENTAS(RESUMEN GLOBAL)'!L1994</f>
        <v>0</v>
      </c>
      <c r="B1994" s="6">
        <f>+'[1]VENTAS(RESUMEN GLOBAL)'!M1994</f>
        <v>0</v>
      </c>
      <c r="C1994">
        <f>+'[1]VENTAS(RESUMEN GLOBAL)'!B1994</f>
        <v>0</v>
      </c>
      <c r="D1994" t="e">
        <f>INDEX('[1]CÓDIGOS DE PRODUCTO'!$D$3:$D$1000,MATCH(C1994,'[1]CÓDIGOS DE PRODUCTO'!$A$3:$A$1000,0))</f>
        <v>#N/A</v>
      </c>
      <c r="E1994">
        <f>VLOOKUP(C1994,'[1]CÓDIGOS DE PRODUCTO'!$A$4:$B$156,2,FALSE)</f>
        <v>0</v>
      </c>
      <c r="F1994">
        <f>INDEX('[1]CÓDIGOS DE PRODUCTO'!$C$3:$C$1000,MATCH(C1994,'[1]CÓDIGOS DE PRODUCTO'!$A$3:$A$1000,0))</f>
        <v>0</v>
      </c>
      <c r="G1994">
        <f>+'[1]VENTAS(RESUMEN GLOBAL)'!D1994-'[1]VENTAS(RESUMEN GLOBAL)'!E1994</f>
        <v>0</v>
      </c>
      <c r="H1994" s="9">
        <f>+'[1]VENTAS(RESUMEN GLOBAL)'!K1994</f>
        <v>0</v>
      </c>
      <c r="I1994" s="8">
        <f>+G1994*'[1]VENTAS(RESUMEN GLOBAL)'!F1994</f>
        <v>0</v>
      </c>
      <c r="J1994" s="8">
        <f>'[1]VENTAS(RESUMEN GLOBAL)'!G1994*(1-'[1]VENTAS(RESUMEN GLOBAL)'!H1994)</f>
        <v>0</v>
      </c>
      <c r="K1994" s="8">
        <f t="shared" si="31"/>
        <v>0</v>
      </c>
      <c r="L1994" s="8">
        <f>+'[1]VENTAS(RESUMEN GLOBAL)'!J1994</f>
        <v>0</v>
      </c>
      <c r="M1994" s="8">
        <f>+Tabla1[[#This Row],[utilidad x dia]]*7</f>
        <v>0</v>
      </c>
    </row>
    <row r="1995" spans="1:13" x14ac:dyDescent="0.3">
      <c r="A1995" s="6">
        <f>+'[1]VENTAS(RESUMEN GLOBAL)'!L1995</f>
        <v>0</v>
      </c>
      <c r="B1995" s="6">
        <f>+'[1]VENTAS(RESUMEN GLOBAL)'!M1995</f>
        <v>0</v>
      </c>
      <c r="C1995">
        <f>+'[1]VENTAS(RESUMEN GLOBAL)'!B1995</f>
        <v>0</v>
      </c>
      <c r="D1995" t="e">
        <f>INDEX('[1]CÓDIGOS DE PRODUCTO'!$D$3:$D$1000,MATCH(C1995,'[1]CÓDIGOS DE PRODUCTO'!$A$3:$A$1000,0))</f>
        <v>#N/A</v>
      </c>
      <c r="E1995">
        <f>VLOOKUP(C1995,'[1]CÓDIGOS DE PRODUCTO'!$A$4:$B$156,2,FALSE)</f>
        <v>0</v>
      </c>
      <c r="F1995">
        <f>INDEX('[1]CÓDIGOS DE PRODUCTO'!$C$3:$C$1000,MATCH(C1995,'[1]CÓDIGOS DE PRODUCTO'!$A$3:$A$1000,0))</f>
        <v>0</v>
      </c>
      <c r="G1995">
        <f>+'[1]VENTAS(RESUMEN GLOBAL)'!D1995-'[1]VENTAS(RESUMEN GLOBAL)'!E1995</f>
        <v>0</v>
      </c>
      <c r="H1995" s="9">
        <f>+'[1]VENTAS(RESUMEN GLOBAL)'!K1995</f>
        <v>0</v>
      </c>
      <c r="I1995" s="8">
        <f>+G1995*'[1]VENTAS(RESUMEN GLOBAL)'!F1995</f>
        <v>0</v>
      </c>
      <c r="J1995" s="8">
        <f>'[1]VENTAS(RESUMEN GLOBAL)'!G1995*(1-'[1]VENTAS(RESUMEN GLOBAL)'!H1995)</f>
        <v>0</v>
      </c>
      <c r="K1995" s="8">
        <f t="shared" si="31"/>
        <v>0</v>
      </c>
      <c r="L1995" s="8">
        <f>+'[1]VENTAS(RESUMEN GLOBAL)'!J1995</f>
        <v>0</v>
      </c>
      <c r="M1995" s="8">
        <f>+Tabla1[[#This Row],[utilidad x dia]]*7</f>
        <v>0</v>
      </c>
    </row>
    <row r="1996" spans="1:13" x14ac:dyDescent="0.3">
      <c r="A1996" s="6">
        <f>+'[1]VENTAS(RESUMEN GLOBAL)'!L1996</f>
        <v>0</v>
      </c>
      <c r="B1996" s="6">
        <f>+'[1]VENTAS(RESUMEN GLOBAL)'!M1996</f>
        <v>0</v>
      </c>
      <c r="C1996">
        <f>+'[1]VENTAS(RESUMEN GLOBAL)'!B1996</f>
        <v>0</v>
      </c>
      <c r="D1996" t="e">
        <f>INDEX('[1]CÓDIGOS DE PRODUCTO'!$D$3:$D$1000,MATCH(C1996,'[1]CÓDIGOS DE PRODUCTO'!$A$3:$A$1000,0))</f>
        <v>#N/A</v>
      </c>
      <c r="E1996">
        <f>VLOOKUP(C1996,'[1]CÓDIGOS DE PRODUCTO'!$A$4:$B$156,2,FALSE)</f>
        <v>0</v>
      </c>
      <c r="F1996">
        <f>INDEX('[1]CÓDIGOS DE PRODUCTO'!$C$3:$C$1000,MATCH(C1996,'[1]CÓDIGOS DE PRODUCTO'!$A$3:$A$1000,0))</f>
        <v>0</v>
      </c>
      <c r="G1996">
        <f>+'[1]VENTAS(RESUMEN GLOBAL)'!D1996-'[1]VENTAS(RESUMEN GLOBAL)'!E1996</f>
        <v>0</v>
      </c>
      <c r="H1996" s="9">
        <f>+'[1]VENTAS(RESUMEN GLOBAL)'!K1996</f>
        <v>0</v>
      </c>
      <c r="I1996" s="8">
        <f>+G1996*'[1]VENTAS(RESUMEN GLOBAL)'!F1996</f>
        <v>0</v>
      </c>
      <c r="J1996" s="8">
        <f>'[1]VENTAS(RESUMEN GLOBAL)'!G1996*(1-'[1]VENTAS(RESUMEN GLOBAL)'!H1996)</f>
        <v>0</v>
      </c>
      <c r="K1996" s="8">
        <f t="shared" si="31"/>
        <v>0</v>
      </c>
      <c r="L1996" s="8">
        <f>+'[1]VENTAS(RESUMEN GLOBAL)'!J1996</f>
        <v>0</v>
      </c>
      <c r="M1996" s="8">
        <f>+Tabla1[[#This Row],[utilidad x dia]]*7</f>
        <v>0</v>
      </c>
    </row>
    <row r="1997" spans="1:13" x14ac:dyDescent="0.3">
      <c r="A1997" s="6">
        <f>+'[1]VENTAS(RESUMEN GLOBAL)'!L1997</f>
        <v>0</v>
      </c>
      <c r="B1997" s="6">
        <f>+'[1]VENTAS(RESUMEN GLOBAL)'!M1997</f>
        <v>0</v>
      </c>
      <c r="C1997">
        <f>+'[1]VENTAS(RESUMEN GLOBAL)'!B1997</f>
        <v>0</v>
      </c>
      <c r="D1997" t="e">
        <f>INDEX('[1]CÓDIGOS DE PRODUCTO'!$D$3:$D$1000,MATCH(C1997,'[1]CÓDIGOS DE PRODUCTO'!$A$3:$A$1000,0))</f>
        <v>#N/A</v>
      </c>
      <c r="E1997">
        <f>VLOOKUP(C1997,'[1]CÓDIGOS DE PRODUCTO'!$A$4:$B$156,2,FALSE)</f>
        <v>0</v>
      </c>
      <c r="F1997">
        <f>INDEX('[1]CÓDIGOS DE PRODUCTO'!$C$3:$C$1000,MATCH(C1997,'[1]CÓDIGOS DE PRODUCTO'!$A$3:$A$1000,0))</f>
        <v>0</v>
      </c>
      <c r="G1997">
        <f>+'[1]VENTAS(RESUMEN GLOBAL)'!D1997-'[1]VENTAS(RESUMEN GLOBAL)'!E1997</f>
        <v>0</v>
      </c>
      <c r="H1997" s="9">
        <f>+'[1]VENTAS(RESUMEN GLOBAL)'!K1997</f>
        <v>0</v>
      </c>
      <c r="I1997" s="8">
        <f>+G1997*'[1]VENTAS(RESUMEN GLOBAL)'!F1997</f>
        <v>0</v>
      </c>
      <c r="J1997" s="8">
        <f>'[1]VENTAS(RESUMEN GLOBAL)'!G1997*(1-'[1]VENTAS(RESUMEN GLOBAL)'!H1997)</f>
        <v>0</v>
      </c>
      <c r="K1997" s="8">
        <f t="shared" si="31"/>
        <v>0</v>
      </c>
      <c r="L1997" s="8">
        <f>+'[1]VENTAS(RESUMEN GLOBAL)'!J1997</f>
        <v>0</v>
      </c>
      <c r="M1997" s="8">
        <f>+Tabla1[[#This Row],[utilidad x dia]]*7</f>
        <v>0</v>
      </c>
    </row>
    <row r="1998" spans="1:13" x14ac:dyDescent="0.3">
      <c r="A1998" s="6">
        <f>+'[1]VENTAS(RESUMEN GLOBAL)'!L1998</f>
        <v>0</v>
      </c>
      <c r="B1998" s="6">
        <f>+'[1]VENTAS(RESUMEN GLOBAL)'!M1998</f>
        <v>0</v>
      </c>
      <c r="C1998">
        <f>+'[1]VENTAS(RESUMEN GLOBAL)'!B1998</f>
        <v>0</v>
      </c>
      <c r="D1998" t="e">
        <f>INDEX('[1]CÓDIGOS DE PRODUCTO'!$D$3:$D$1000,MATCH(C1998,'[1]CÓDIGOS DE PRODUCTO'!$A$3:$A$1000,0))</f>
        <v>#N/A</v>
      </c>
      <c r="E1998">
        <f>VLOOKUP(C1998,'[1]CÓDIGOS DE PRODUCTO'!$A$4:$B$156,2,FALSE)</f>
        <v>0</v>
      </c>
      <c r="F1998">
        <f>INDEX('[1]CÓDIGOS DE PRODUCTO'!$C$3:$C$1000,MATCH(C1998,'[1]CÓDIGOS DE PRODUCTO'!$A$3:$A$1000,0))</f>
        <v>0</v>
      </c>
      <c r="G1998">
        <f>+'[1]VENTAS(RESUMEN GLOBAL)'!D1998-'[1]VENTAS(RESUMEN GLOBAL)'!E1998</f>
        <v>0</v>
      </c>
      <c r="H1998" s="9">
        <f>+'[1]VENTAS(RESUMEN GLOBAL)'!K1998</f>
        <v>0</v>
      </c>
      <c r="I1998" s="8">
        <f>+G1998*'[1]VENTAS(RESUMEN GLOBAL)'!F1998</f>
        <v>0</v>
      </c>
      <c r="J1998" s="8">
        <f>'[1]VENTAS(RESUMEN GLOBAL)'!G1998*(1-'[1]VENTAS(RESUMEN GLOBAL)'!H1998)</f>
        <v>0</v>
      </c>
      <c r="K1998" s="8">
        <f t="shared" si="31"/>
        <v>0</v>
      </c>
      <c r="L1998" s="8">
        <f>+'[1]VENTAS(RESUMEN GLOBAL)'!J1998</f>
        <v>0</v>
      </c>
      <c r="M1998" s="8">
        <f>+Tabla1[[#This Row],[utilidad x dia]]*7</f>
        <v>0</v>
      </c>
    </row>
    <row r="1999" spans="1:13" x14ac:dyDescent="0.3">
      <c r="A1999" s="6">
        <f>+'[1]VENTAS(RESUMEN GLOBAL)'!L1999</f>
        <v>0</v>
      </c>
      <c r="B1999" s="6">
        <f>+'[1]VENTAS(RESUMEN GLOBAL)'!M1999</f>
        <v>0</v>
      </c>
      <c r="C1999">
        <f>+'[1]VENTAS(RESUMEN GLOBAL)'!B1999</f>
        <v>0</v>
      </c>
      <c r="D1999" t="e">
        <f>INDEX('[1]CÓDIGOS DE PRODUCTO'!$D$3:$D$1000,MATCH(C1999,'[1]CÓDIGOS DE PRODUCTO'!$A$3:$A$1000,0))</f>
        <v>#N/A</v>
      </c>
      <c r="E1999">
        <f>VLOOKUP(C1999,'[1]CÓDIGOS DE PRODUCTO'!$A$4:$B$156,2,FALSE)</f>
        <v>0</v>
      </c>
      <c r="F1999">
        <f>INDEX('[1]CÓDIGOS DE PRODUCTO'!$C$3:$C$1000,MATCH(C1999,'[1]CÓDIGOS DE PRODUCTO'!$A$3:$A$1000,0))</f>
        <v>0</v>
      </c>
      <c r="G1999">
        <f>+'[1]VENTAS(RESUMEN GLOBAL)'!D1999-'[1]VENTAS(RESUMEN GLOBAL)'!E1999</f>
        <v>0</v>
      </c>
      <c r="H1999" s="9">
        <f>+'[1]VENTAS(RESUMEN GLOBAL)'!K1999</f>
        <v>0</v>
      </c>
      <c r="I1999" s="8">
        <f>+G1999*'[1]VENTAS(RESUMEN GLOBAL)'!F1999</f>
        <v>0</v>
      </c>
      <c r="J1999" s="8">
        <f>'[1]VENTAS(RESUMEN GLOBAL)'!G1999*(1-'[1]VENTAS(RESUMEN GLOBAL)'!H1999)</f>
        <v>0</v>
      </c>
      <c r="K1999" s="8">
        <f t="shared" si="31"/>
        <v>0</v>
      </c>
      <c r="L1999" s="8">
        <f>+'[1]VENTAS(RESUMEN GLOBAL)'!J1999</f>
        <v>0</v>
      </c>
      <c r="M1999" s="8">
        <f>+Tabla1[[#This Row],[utilidad x dia]]*7</f>
        <v>0</v>
      </c>
    </row>
    <row r="2000" spans="1:13" x14ac:dyDescent="0.3">
      <c r="A2000" s="6">
        <f>+'[1]VENTAS(RESUMEN GLOBAL)'!L2000</f>
        <v>0</v>
      </c>
      <c r="B2000" s="6">
        <f>+'[1]VENTAS(RESUMEN GLOBAL)'!M2000</f>
        <v>0</v>
      </c>
      <c r="C2000">
        <f>+'[1]VENTAS(RESUMEN GLOBAL)'!B2000</f>
        <v>0</v>
      </c>
      <c r="D2000" t="e">
        <f>INDEX('[1]CÓDIGOS DE PRODUCTO'!$D$3:$D$1000,MATCH(C2000,'[1]CÓDIGOS DE PRODUCTO'!$A$3:$A$1000,0))</f>
        <v>#N/A</v>
      </c>
      <c r="E2000">
        <f>VLOOKUP(C2000,'[1]CÓDIGOS DE PRODUCTO'!$A$4:$B$156,2,FALSE)</f>
        <v>0</v>
      </c>
      <c r="F2000">
        <f>INDEX('[1]CÓDIGOS DE PRODUCTO'!$C$3:$C$1000,MATCH(C2000,'[1]CÓDIGOS DE PRODUCTO'!$A$3:$A$1000,0))</f>
        <v>0</v>
      </c>
      <c r="G2000">
        <f>+'[1]VENTAS(RESUMEN GLOBAL)'!D2000-'[1]VENTAS(RESUMEN GLOBAL)'!E2000</f>
        <v>0</v>
      </c>
      <c r="H2000" s="9">
        <f>+'[1]VENTAS(RESUMEN GLOBAL)'!K2000</f>
        <v>0</v>
      </c>
      <c r="I2000" s="8">
        <f>+G2000*'[1]VENTAS(RESUMEN GLOBAL)'!F2000</f>
        <v>0</v>
      </c>
      <c r="J2000" s="8">
        <f>'[1]VENTAS(RESUMEN GLOBAL)'!G2000*(1-'[1]VENTAS(RESUMEN GLOBAL)'!H2000)</f>
        <v>0</v>
      </c>
      <c r="K2000" s="8">
        <f t="shared" si="31"/>
        <v>0</v>
      </c>
      <c r="L2000" s="8">
        <f>+'[1]VENTAS(RESUMEN GLOBAL)'!J2000</f>
        <v>0</v>
      </c>
      <c r="M2000" s="8">
        <f>+Tabla1[[#This Row],[utilidad x dia]]*7</f>
        <v>0</v>
      </c>
    </row>
    <row r="2001" spans="1:13" x14ac:dyDescent="0.3">
      <c r="A2001" s="6">
        <f>+'[1]VENTAS(RESUMEN GLOBAL)'!L2001</f>
        <v>0</v>
      </c>
      <c r="B2001" s="6">
        <f>+'[1]VENTAS(RESUMEN GLOBAL)'!M2001</f>
        <v>0</v>
      </c>
      <c r="C2001">
        <f>+'[1]VENTAS(RESUMEN GLOBAL)'!B2001</f>
        <v>0</v>
      </c>
      <c r="D2001" t="e">
        <f>INDEX('[1]CÓDIGOS DE PRODUCTO'!$D$3:$D$1000,MATCH(C2001,'[1]CÓDIGOS DE PRODUCTO'!$A$3:$A$1000,0))</f>
        <v>#N/A</v>
      </c>
      <c r="E2001">
        <f>VLOOKUP(C2001,'[1]CÓDIGOS DE PRODUCTO'!$A$4:$B$156,2,FALSE)</f>
        <v>0</v>
      </c>
      <c r="F2001">
        <f>INDEX('[1]CÓDIGOS DE PRODUCTO'!$C$3:$C$1000,MATCH(C2001,'[1]CÓDIGOS DE PRODUCTO'!$A$3:$A$1000,0))</f>
        <v>0</v>
      </c>
      <c r="G2001">
        <f>+'[1]VENTAS(RESUMEN GLOBAL)'!D2001-'[1]VENTAS(RESUMEN GLOBAL)'!E2001</f>
        <v>0</v>
      </c>
      <c r="H2001" s="9">
        <f>+'[1]VENTAS(RESUMEN GLOBAL)'!K2001</f>
        <v>0</v>
      </c>
      <c r="I2001" s="8">
        <f>+G2001*'[1]VENTAS(RESUMEN GLOBAL)'!F2001</f>
        <v>0</v>
      </c>
      <c r="J2001" s="8">
        <f>'[1]VENTAS(RESUMEN GLOBAL)'!G2001*(1-'[1]VENTAS(RESUMEN GLOBAL)'!H2001)</f>
        <v>0</v>
      </c>
      <c r="K2001" s="8">
        <f t="shared" si="31"/>
        <v>0</v>
      </c>
      <c r="L2001" s="8">
        <f>+'[1]VENTAS(RESUMEN GLOBAL)'!J2001</f>
        <v>0</v>
      </c>
      <c r="M2001" s="8">
        <f>+Tabla1[[#This Row],[utilidad x dia]]*7</f>
        <v>0</v>
      </c>
    </row>
    <row r="2002" spans="1:13" x14ac:dyDescent="0.3">
      <c r="A2002" s="6">
        <f>+'[1]VENTAS(RESUMEN GLOBAL)'!L2002</f>
        <v>0</v>
      </c>
      <c r="B2002" s="6">
        <f>+'[1]VENTAS(RESUMEN GLOBAL)'!M2002</f>
        <v>0</v>
      </c>
      <c r="C2002">
        <f>+'[1]VENTAS(RESUMEN GLOBAL)'!B2002</f>
        <v>0</v>
      </c>
      <c r="D2002" t="e">
        <f>INDEX('[1]CÓDIGOS DE PRODUCTO'!$D$3:$D$1000,MATCH(C2002,'[1]CÓDIGOS DE PRODUCTO'!$A$3:$A$1000,0))</f>
        <v>#N/A</v>
      </c>
      <c r="E2002">
        <f>VLOOKUP(C2002,'[1]CÓDIGOS DE PRODUCTO'!$A$4:$B$156,2,FALSE)</f>
        <v>0</v>
      </c>
      <c r="F2002">
        <f>INDEX('[1]CÓDIGOS DE PRODUCTO'!$C$3:$C$1000,MATCH(C2002,'[1]CÓDIGOS DE PRODUCTO'!$A$3:$A$1000,0))</f>
        <v>0</v>
      </c>
      <c r="G2002">
        <f>+'[1]VENTAS(RESUMEN GLOBAL)'!D2002-'[1]VENTAS(RESUMEN GLOBAL)'!E2002</f>
        <v>0</v>
      </c>
      <c r="H2002" s="9">
        <f>+'[1]VENTAS(RESUMEN GLOBAL)'!K2002</f>
        <v>0</v>
      </c>
      <c r="I2002" s="8">
        <f>+G2002*'[1]VENTAS(RESUMEN GLOBAL)'!F2002</f>
        <v>0</v>
      </c>
      <c r="J2002" s="8">
        <f>'[1]VENTAS(RESUMEN GLOBAL)'!G2002*(1-'[1]VENTAS(RESUMEN GLOBAL)'!H2002)</f>
        <v>0</v>
      </c>
      <c r="K2002" s="8">
        <f t="shared" si="31"/>
        <v>0</v>
      </c>
      <c r="L2002" s="8">
        <f>+'[1]VENTAS(RESUMEN GLOBAL)'!J2002</f>
        <v>0</v>
      </c>
      <c r="M2002" s="8">
        <f>+Tabla1[[#This Row],[utilidad x dia]]*7</f>
        <v>0</v>
      </c>
    </row>
    <row r="2003" spans="1:13" x14ac:dyDescent="0.3">
      <c r="A2003" s="6">
        <f>+'[1]VENTAS(RESUMEN GLOBAL)'!L2003</f>
        <v>0</v>
      </c>
      <c r="B2003" s="6">
        <f>+'[1]VENTAS(RESUMEN GLOBAL)'!M2003</f>
        <v>0</v>
      </c>
      <c r="C2003">
        <f>+'[1]VENTAS(RESUMEN GLOBAL)'!B2003</f>
        <v>0</v>
      </c>
      <c r="D2003" t="e">
        <f>INDEX('[1]CÓDIGOS DE PRODUCTO'!$D$3:$D$1000,MATCH(C2003,'[1]CÓDIGOS DE PRODUCTO'!$A$3:$A$1000,0))</f>
        <v>#N/A</v>
      </c>
      <c r="E2003">
        <f>VLOOKUP(C2003,'[1]CÓDIGOS DE PRODUCTO'!$A$4:$B$156,2,FALSE)</f>
        <v>0</v>
      </c>
      <c r="F2003">
        <f>INDEX('[1]CÓDIGOS DE PRODUCTO'!$C$3:$C$1000,MATCH(C2003,'[1]CÓDIGOS DE PRODUCTO'!$A$3:$A$1000,0))</f>
        <v>0</v>
      </c>
      <c r="G2003">
        <f>+'[1]VENTAS(RESUMEN GLOBAL)'!D2003-'[1]VENTAS(RESUMEN GLOBAL)'!E2003</f>
        <v>0</v>
      </c>
      <c r="H2003" s="9">
        <f>+'[1]VENTAS(RESUMEN GLOBAL)'!K2003</f>
        <v>0</v>
      </c>
      <c r="I2003" s="8">
        <f>+G2003*'[1]VENTAS(RESUMEN GLOBAL)'!F2003</f>
        <v>0</v>
      </c>
      <c r="J2003" s="8">
        <f>'[1]VENTAS(RESUMEN GLOBAL)'!G2003*(1-'[1]VENTAS(RESUMEN GLOBAL)'!H2003)</f>
        <v>0</v>
      </c>
      <c r="K2003" s="8">
        <f t="shared" si="31"/>
        <v>0</v>
      </c>
      <c r="L2003" s="8">
        <f>+'[1]VENTAS(RESUMEN GLOBAL)'!J2003</f>
        <v>0</v>
      </c>
      <c r="M2003" s="8">
        <f>+Tabla1[[#This Row],[utilidad x dia]]*7</f>
        <v>0</v>
      </c>
    </row>
    <row r="2004" spans="1:13" x14ac:dyDescent="0.3">
      <c r="A2004" s="6">
        <f>+'[1]VENTAS(RESUMEN GLOBAL)'!L2004</f>
        <v>0</v>
      </c>
      <c r="B2004" s="6">
        <f>+'[1]VENTAS(RESUMEN GLOBAL)'!M2004</f>
        <v>0</v>
      </c>
      <c r="C2004">
        <f>+'[1]VENTAS(RESUMEN GLOBAL)'!B2004</f>
        <v>0</v>
      </c>
      <c r="D2004" t="e">
        <f>INDEX('[1]CÓDIGOS DE PRODUCTO'!$D$3:$D$1000,MATCH(C2004,'[1]CÓDIGOS DE PRODUCTO'!$A$3:$A$1000,0))</f>
        <v>#N/A</v>
      </c>
      <c r="E2004">
        <f>VLOOKUP(C2004,'[1]CÓDIGOS DE PRODUCTO'!$A$4:$B$156,2,FALSE)</f>
        <v>0</v>
      </c>
      <c r="F2004">
        <f>INDEX('[1]CÓDIGOS DE PRODUCTO'!$C$3:$C$1000,MATCH(C2004,'[1]CÓDIGOS DE PRODUCTO'!$A$3:$A$1000,0))</f>
        <v>0</v>
      </c>
      <c r="G2004">
        <f>+'[1]VENTAS(RESUMEN GLOBAL)'!D2004-'[1]VENTAS(RESUMEN GLOBAL)'!E2004</f>
        <v>0</v>
      </c>
      <c r="H2004" s="9">
        <f>+'[1]VENTAS(RESUMEN GLOBAL)'!K2004</f>
        <v>0</v>
      </c>
      <c r="I2004" s="8">
        <f>+G2004*'[1]VENTAS(RESUMEN GLOBAL)'!F2004</f>
        <v>0</v>
      </c>
      <c r="J2004" s="8">
        <f>'[1]VENTAS(RESUMEN GLOBAL)'!G2004*(1-'[1]VENTAS(RESUMEN GLOBAL)'!H2004)</f>
        <v>0</v>
      </c>
      <c r="K2004" s="8">
        <f t="shared" si="31"/>
        <v>0</v>
      </c>
      <c r="L2004" s="8">
        <f>+'[1]VENTAS(RESUMEN GLOBAL)'!J2004</f>
        <v>0</v>
      </c>
      <c r="M2004" s="8">
        <f>+Tabla1[[#This Row],[utilidad x dia]]*7</f>
        <v>0</v>
      </c>
    </row>
    <row r="2005" spans="1:13" x14ac:dyDescent="0.3">
      <c r="A2005" s="6">
        <f>+'[1]VENTAS(RESUMEN GLOBAL)'!L2005</f>
        <v>0</v>
      </c>
      <c r="B2005" s="6">
        <f>+'[1]VENTAS(RESUMEN GLOBAL)'!M2005</f>
        <v>0</v>
      </c>
      <c r="C2005">
        <f>+'[1]VENTAS(RESUMEN GLOBAL)'!B2005</f>
        <v>0</v>
      </c>
      <c r="D2005" t="e">
        <f>INDEX('[1]CÓDIGOS DE PRODUCTO'!$D$3:$D$1000,MATCH(C2005,'[1]CÓDIGOS DE PRODUCTO'!$A$3:$A$1000,0))</f>
        <v>#N/A</v>
      </c>
      <c r="E2005">
        <f>VLOOKUP(C2005,'[1]CÓDIGOS DE PRODUCTO'!$A$4:$B$156,2,FALSE)</f>
        <v>0</v>
      </c>
      <c r="F2005">
        <f>INDEX('[1]CÓDIGOS DE PRODUCTO'!$C$3:$C$1000,MATCH(C2005,'[1]CÓDIGOS DE PRODUCTO'!$A$3:$A$1000,0))</f>
        <v>0</v>
      </c>
      <c r="G2005">
        <f>+'[1]VENTAS(RESUMEN GLOBAL)'!D2005-'[1]VENTAS(RESUMEN GLOBAL)'!E2005</f>
        <v>0</v>
      </c>
      <c r="H2005" s="9">
        <f>+'[1]VENTAS(RESUMEN GLOBAL)'!K2005</f>
        <v>0</v>
      </c>
      <c r="I2005" s="8">
        <f>+G2005*'[1]VENTAS(RESUMEN GLOBAL)'!F2005</f>
        <v>0</v>
      </c>
      <c r="J2005" s="8">
        <f>'[1]VENTAS(RESUMEN GLOBAL)'!G2005*(1-'[1]VENTAS(RESUMEN GLOBAL)'!H2005)</f>
        <v>0</v>
      </c>
      <c r="K2005" s="8">
        <f t="shared" si="31"/>
        <v>0</v>
      </c>
      <c r="L2005" s="8">
        <f>+'[1]VENTAS(RESUMEN GLOBAL)'!J2005</f>
        <v>0</v>
      </c>
      <c r="M2005" s="8">
        <f>+Tabla1[[#This Row],[utilidad x dia]]*7</f>
        <v>0</v>
      </c>
    </row>
    <row r="2006" spans="1:13" x14ac:dyDescent="0.3">
      <c r="A2006" s="6">
        <f>+'[1]VENTAS(RESUMEN GLOBAL)'!L2006</f>
        <v>0</v>
      </c>
      <c r="B2006" s="6">
        <f>+'[1]VENTAS(RESUMEN GLOBAL)'!M2006</f>
        <v>0</v>
      </c>
      <c r="C2006">
        <f>+'[1]VENTAS(RESUMEN GLOBAL)'!B2006</f>
        <v>0</v>
      </c>
      <c r="D2006" t="e">
        <f>INDEX('[1]CÓDIGOS DE PRODUCTO'!$D$3:$D$1000,MATCH(C2006,'[1]CÓDIGOS DE PRODUCTO'!$A$3:$A$1000,0))</f>
        <v>#N/A</v>
      </c>
      <c r="E2006">
        <f>VLOOKUP(C2006,'[1]CÓDIGOS DE PRODUCTO'!$A$4:$B$156,2,FALSE)</f>
        <v>0</v>
      </c>
      <c r="F2006">
        <f>INDEX('[1]CÓDIGOS DE PRODUCTO'!$C$3:$C$1000,MATCH(C2006,'[1]CÓDIGOS DE PRODUCTO'!$A$3:$A$1000,0))</f>
        <v>0</v>
      </c>
      <c r="G2006">
        <f>+'[1]VENTAS(RESUMEN GLOBAL)'!D2006-'[1]VENTAS(RESUMEN GLOBAL)'!E2006</f>
        <v>0</v>
      </c>
      <c r="H2006" s="9">
        <f>+'[1]VENTAS(RESUMEN GLOBAL)'!K2006</f>
        <v>0</v>
      </c>
      <c r="I2006" s="8">
        <f>+G2006*'[1]VENTAS(RESUMEN GLOBAL)'!F2006</f>
        <v>0</v>
      </c>
      <c r="J2006" s="8">
        <f>'[1]VENTAS(RESUMEN GLOBAL)'!G2006*(1-'[1]VENTAS(RESUMEN GLOBAL)'!H2006)</f>
        <v>0</v>
      </c>
      <c r="K2006" s="8">
        <f t="shared" si="31"/>
        <v>0</v>
      </c>
      <c r="L2006" s="8">
        <f>+'[1]VENTAS(RESUMEN GLOBAL)'!J2006</f>
        <v>0</v>
      </c>
      <c r="M2006" s="8">
        <f>+Tabla1[[#This Row],[utilidad x dia]]*7</f>
        <v>0</v>
      </c>
    </row>
    <row r="2007" spans="1:13" x14ac:dyDescent="0.3">
      <c r="A2007" s="6">
        <f>+'[1]VENTAS(RESUMEN GLOBAL)'!L2007</f>
        <v>0</v>
      </c>
      <c r="B2007" s="6">
        <f>+'[1]VENTAS(RESUMEN GLOBAL)'!M2007</f>
        <v>0</v>
      </c>
      <c r="C2007">
        <f>+'[1]VENTAS(RESUMEN GLOBAL)'!B2007</f>
        <v>0</v>
      </c>
      <c r="D2007" t="e">
        <f>INDEX('[1]CÓDIGOS DE PRODUCTO'!$D$3:$D$1000,MATCH(C2007,'[1]CÓDIGOS DE PRODUCTO'!$A$3:$A$1000,0))</f>
        <v>#N/A</v>
      </c>
      <c r="E2007">
        <f>VLOOKUP(C2007,'[1]CÓDIGOS DE PRODUCTO'!$A$4:$B$156,2,FALSE)</f>
        <v>0</v>
      </c>
      <c r="F2007">
        <f>INDEX('[1]CÓDIGOS DE PRODUCTO'!$C$3:$C$1000,MATCH(C2007,'[1]CÓDIGOS DE PRODUCTO'!$A$3:$A$1000,0))</f>
        <v>0</v>
      </c>
      <c r="G2007">
        <f>+'[1]VENTAS(RESUMEN GLOBAL)'!D2007-'[1]VENTAS(RESUMEN GLOBAL)'!E2007</f>
        <v>0</v>
      </c>
      <c r="H2007" s="9">
        <f>+'[1]VENTAS(RESUMEN GLOBAL)'!K2007</f>
        <v>0</v>
      </c>
      <c r="I2007" s="8">
        <f>+G2007*'[1]VENTAS(RESUMEN GLOBAL)'!F2007</f>
        <v>0</v>
      </c>
      <c r="J2007" s="8">
        <f>'[1]VENTAS(RESUMEN GLOBAL)'!G2007*(1-'[1]VENTAS(RESUMEN GLOBAL)'!H2007)</f>
        <v>0</v>
      </c>
      <c r="K2007" s="8">
        <f t="shared" si="31"/>
        <v>0</v>
      </c>
      <c r="L2007" s="8">
        <f>+'[1]VENTAS(RESUMEN GLOBAL)'!J2007</f>
        <v>0</v>
      </c>
      <c r="M2007" s="8">
        <f>+Tabla1[[#This Row],[utilidad x dia]]*7</f>
        <v>0</v>
      </c>
    </row>
    <row r="2008" spans="1:13" x14ac:dyDescent="0.3">
      <c r="A2008" s="6">
        <f>+'[1]VENTAS(RESUMEN GLOBAL)'!L2008</f>
        <v>0</v>
      </c>
      <c r="B2008" s="6">
        <f>+'[1]VENTAS(RESUMEN GLOBAL)'!M2008</f>
        <v>0</v>
      </c>
      <c r="C2008">
        <f>+'[1]VENTAS(RESUMEN GLOBAL)'!B2008</f>
        <v>0</v>
      </c>
      <c r="D2008" t="e">
        <f>INDEX('[1]CÓDIGOS DE PRODUCTO'!$D$3:$D$1000,MATCH(C2008,'[1]CÓDIGOS DE PRODUCTO'!$A$3:$A$1000,0))</f>
        <v>#N/A</v>
      </c>
      <c r="E2008">
        <f>VLOOKUP(C2008,'[1]CÓDIGOS DE PRODUCTO'!$A$4:$B$156,2,FALSE)</f>
        <v>0</v>
      </c>
      <c r="F2008">
        <f>INDEX('[1]CÓDIGOS DE PRODUCTO'!$C$3:$C$1000,MATCH(C2008,'[1]CÓDIGOS DE PRODUCTO'!$A$3:$A$1000,0))</f>
        <v>0</v>
      </c>
      <c r="G2008">
        <f>+'[1]VENTAS(RESUMEN GLOBAL)'!D2008-'[1]VENTAS(RESUMEN GLOBAL)'!E2008</f>
        <v>0</v>
      </c>
      <c r="H2008" s="9">
        <f>+'[1]VENTAS(RESUMEN GLOBAL)'!K2008</f>
        <v>0</v>
      </c>
      <c r="I2008" s="8">
        <f>+G2008*'[1]VENTAS(RESUMEN GLOBAL)'!F2008</f>
        <v>0</v>
      </c>
      <c r="J2008" s="8">
        <f>'[1]VENTAS(RESUMEN GLOBAL)'!G2008*(1-'[1]VENTAS(RESUMEN GLOBAL)'!H2008)</f>
        <v>0</v>
      </c>
      <c r="K2008" s="8">
        <f t="shared" si="31"/>
        <v>0</v>
      </c>
      <c r="L2008" s="8">
        <f>+'[1]VENTAS(RESUMEN GLOBAL)'!J2008</f>
        <v>0</v>
      </c>
      <c r="M2008" s="8">
        <f>+Tabla1[[#This Row],[utilidad x dia]]*7</f>
        <v>0</v>
      </c>
    </row>
    <row r="2009" spans="1:13" x14ac:dyDescent="0.3">
      <c r="A2009" s="6">
        <f>+'[1]VENTAS(RESUMEN GLOBAL)'!L2009</f>
        <v>0</v>
      </c>
      <c r="B2009" s="6">
        <f>+'[1]VENTAS(RESUMEN GLOBAL)'!M2009</f>
        <v>0</v>
      </c>
      <c r="C2009">
        <f>+'[1]VENTAS(RESUMEN GLOBAL)'!B2009</f>
        <v>0</v>
      </c>
      <c r="D2009" t="e">
        <f>INDEX('[1]CÓDIGOS DE PRODUCTO'!$D$3:$D$1000,MATCH(C2009,'[1]CÓDIGOS DE PRODUCTO'!$A$3:$A$1000,0))</f>
        <v>#N/A</v>
      </c>
      <c r="E2009">
        <f>VLOOKUP(C2009,'[1]CÓDIGOS DE PRODUCTO'!$A$4:$B$156,2,FALSE)</f>
        <v>0</v>
      </c>
      <c r="F2009">
        <f>INDEX('[1]CÓDIGOS DE PRODUCTO'!$C$3:$C$1000,MATCH(C2009,'[1]CÓDIGOS DE PRODUCTO'!$A$3:$A$1000,0))</f>
        <v>0</v>
      </c>
      <c r="G2009">
        <f>+'[1]VENTAS(RESUMEN GLOBAL)'!D2009-'[1]VENTAS(RESUMEN GLOBAL)'!E2009</f>
        <v>0</v>
      </c>
      <c r="H2009" s="9">
        <f>+'[1]VENTAS(RESUMEN GLOBAL)'!K2009</f>
        <v>0</v>
      </c>
      <c r="I2009" s="8">
        <f>+G2009*'[1]VENTAS(RESUMEN GLOBAL)'!F2009</f>
        <v>0</v>
      </c>
      <c r="J2009" s="8">
        <f>'[1]VENTAS(RESUMEN GLOBAL)'!G2009*(1-'[1]VENTAS(RESUMEN GLOBAL)'!H2009)</f>
        <v>0</v>
      </c>
      <c r="K2009" s="8">
        <f t="shared" si="31"/>
        <v>0</v>
      </c>
      <c r="L2009" s="8">
        <f>+'[1]VENTAS(RESUMEN GLOBAL)'!J2009</f>
        <v>0</v>
      </c>
      <c r="M2009" s="8">
        <f>+Tabla1[[#This Row],[utilidad x dia]]*7</f>
        <v>0</v>
      </c>
    </row>
    <row r="2010" spans="1:13" x14ac:dyDescent="0.3">
      <c r="A2010" s="6">
        <f>+'[1]VENTAS(RESUMEN GLOBAL)'!L2010</f>
        <v>0</v>
      </c>
      <c r="B2010" s="6">
        <f>+'[1]VENTAS(RESUMEN GLOBAL)'!M2010</f>
        <v>0</v>
      </c>
      <c r="C2010">
        <f>+'[1]VENTAS(RESUMEN GLOBAL)'!B2010</f>
        <v>0</v>
      </c>
      <c r="D2010" t="e">
        <f>INDEX('[1]CÓDIGOS DE PRODUCTO'!$D$3:$D$1000,MATCH(C2010,'[1]CÓDIGOS DE PRODUCTO'!$A$3:$A$1000,0))</f>
        <v>#N/A</v>
      </c>
      <c r="E2010">
        <f>VLOOKUP(C2010,'[1]CÓDIGOS DE PRODUCTO'!$A$4:$B$156,2,FALSE)</f>
        <v>0</v>
      </c>
      <c r="F2010">
        <f>INDEX('[1]CÓDIGOS DE PRODUCTO'!$C$3:$C$1000,MATCH(C2010,'[1]CÓDIGOS DE PRODUCTO'!$A$3:$A$1000,0))</f>
        <v>0</v>
      </c>
      <c r="G2010">
        <f>+'[1]VENTAS(RESUMEN GLOBAL)'!D2010-'[1]VENTAS(RESUMEN GLOBAL)'!E2010</f>
        <v>0</v>
      </c>
      <c r="H2010" s="9">
        <f>+'[1]VENTAS(RESUMEN GLOBAL)'!K2010</f>
        <v>0</v>
      </c>
      <c r="I2010" s="8">
        <f>+G2010*'[1]VENTAS(RESUMEN GLOBAL)'!F2010</f>
        <v>0</v>
      </c>
      <c r="J2010" s="8">
        <f>'[1]VENTAS(RESUMEN GLOBAL)'!G2010*(1-'[1]VENTAS(RESUMEN GLOBAL)'!H2010)</f>
        <v>0</v>
      </c>
      <c r="K2010" s="8">
        <f t="shared" si="31"/>
        <v>0</v>
      </c>
      <c r="L2010" s="8">
        <f>+'[1]VENTAS(RESUMEN GLOBAL)'!J2010</f>
        <v>0</v>
      </c>
      <c r="M2010" s="8">
        <f>+Tabla1[[#This Row],[utilidad x dia]]*7</f>
        <v>0</v>
      </c>
    </row>
    <row r="2011" spans="1:13" x14ac:dyDescent="0.3">
      <c r="A2011" s="6">
        <f>+'[1]VENTAS(RESUMEN GLOBAL)'!L2011</f>
        <v>0</v>
      </c>
      <c r="B2011" s="6">
        <f>+'[1]VENTAS(RESUMEN GLOBAL)'!M2011</f>
        <v>0</v>
      </c>
      <c r="C2011">
        <f>+'[1]VENTAS(RESUMEN GLOBAL)'!B2011</f>
        <v>0</v>
      </c>
      <c r="D2011" t="e">
        <f>INDEX('[1]CÓDIGOS DE PRODUCTO'!$D$3:$D$1000,MATCH(C2011,'[1]CÓDIGOS DE PRODUCTO'!$A$3:$A$1000,0))</f>
        <v>#N/A</v>
      </c>
      <c r="E2011">
        <f>VLOOKUP(C2011,'[1]CÓDIGOS DE PRODUCTO'!$A$4:$B$156,2,FALSE)</f>
        <v>0</v>
      </c>
      <c r="F2011">
        <f>INDEX('[1]CÓDIGOS DE PRODUCTO'!$C$3:$C$1000,MATCH(C2011,'[1]CÓDIGOS DE PRODUCTO'!$A$3:$A$1000,0))</f>
        <v>0</v>
      </c>
      <c r="G2011">
        <f>+'[1]VENTAS(RESUMEN GLOBAL)'!D2011-'[1]VENTAS(RESUMEN GLOBAL)'!E2011</f>
        <v>0</v>
      </c>
      <c r="H2011" s="9">
        <f>+'[1]VENTAS(RESUMEN GLOBAL)'!K2011</f>
        <v>0</v>
      </c>
      <c r="I2011" s="8">
        <f>+G2011*'[1]VENTAS(RESUMEN GLOBAL)'!F2011</f>
        <v>0</v>
      </c>
      <c r="J2011" s="8">
        <f>'[1]VENTAS(RESUMEN GLOBAL)'!G2011*(1-'[1]VENTAS(RESUMEN GLOBAL)'!H2011)</f>
        <v>0</v>
      </c>
      <c r="K2011" s="8">
        <f t="shared" si="31"/>
        <v>0</v>
      </c>
      <c r="L2011" s="8">
        <f>+'[1]VENTAS(RESUMEN GLOBAL)'!J2011</f>
        <v>0</v>
      </c>
      <c r="M2011" s="8">
        <f>+Tabla1[[#This Row],[utilidad x dia]]*7</f>
        <v>0</v>
      </c>
    </row>
    <row r="2012" spans="1:13" x14ac:dyDescent="0.3">
      <c r="A2012" s="6">
        <f>+'[1]VENTAS(RESUMEN GLOBAL)'!L2012</f>
        <v>0</v>
      </c>
      <c r="B2012" s="6">
        <f>+'[1]VENTAS(RESUMEN GLOBAL)'!M2012</f>
        <v>0</v>
      </c>
      <c r="C2012">
        <f>+'[1]VENTAS(RESUMEN GLOBAL)'!B2012</f>
        <v>0</v>
      </c>
      <c r="D2012" t="e">
        <f>INDEX('[1]CÓDIGOS DE PRODUCTO'!$D$3:$D$1000,MATCH(C2012,'[1]CÓDIGOS DE PRODUCTO'!$A$3:$A$1000,0))</f>
        <v>#N/A</v>
      </c>
      <c r="E2012">
        <f>VLOOKUP(C2012,'[1]CÓDIGOS DE PRODUCTO'!$A$4:$B$156,2,FALSE)</f>
        <v>0</v>
      </c>
      <c r="F2012">
        <f>INDEX('[1]CÓDIGOS DE PRODUCTO'!$C$3:$C$1000,MATCH(C2012,'[1]CÓDIGOS DE PRODUCTO'!$A$3:$A$1000,0))</f>
        <v>0</v>
      </c>
      <c r="G2012">
        <f>+'[1]VENTAS(RESUMEN GLOBAL)'!D2012-'[1]VENTAS(RESUMEN GLOBAL)'!E2012</f>
        <v>0</v>
      </c>
      <c r="H2012" s="9">
        <f>+'[1]VENTAS(RESUMEN GLOBAL)'!K2012</f>
        <v>0</v>
      </c>
      <c r="I2012" s="8">
        <f>+G2012*'[1]VENTAS(RESUMEN GLOBAL)'!F2012</f>
        <v>0</v>
      </c>
      <c r="J2012" s="8">
        <f>'[1]VENTAS(RESUMEN GLOBAL)'!G2012*(1-'[1]VENTAS(RESUMEN GLOBAL)'!H2012)</f>
        <v>0</v>
      </c>
      <c r="K2012" s="8">
        <f t="shared" si="31"/>
        <v>0</v>
      </c>
      <c r="L2012" s="8">
        <f>+'[1]VENTAS(RESUMEN GLOBAL)'!J2012</f>
        <v>0</v>
      </c>
      <c r="M2012" s="8">
        <f>+Tabla1[[#This Row],[utilidad x dia]]*7</f>
        <v>0</v>
      </c>
    </row>
    <row r="2013" spans="1:13" x14ac:dyDescent="0.3">
      <c r="A2013" s="6">
        <f>+'[1]VENTAS(RESUMEN GLOBAL)'!L2013</f>
        <v>0</v>
      </c>
      <c r="B2013" s="6">
        <f>+'[1]VENTAS(RESUMEN GLOBAL)'!M2013</f>
        <v>0</v>
      </c>
      <c r="C2013">
        <f>+'[1]VENTAS(RESUMEN GLOBAL)'!B2013</f>
        <v>0</v>
      </c>
      <c r="D2013" t="e">
        <f>INDEX('[1]CÓDIGOS DE PRODUCTO'!$D$3:$D$1000,MATCH(C2013,'[1]CÓDIGOS DE PRODUCTO'!$A$3:$A$1000,0))</f>
        <v>#N/A</v>
      </c>
      <c r="E2013">
        <f>VLOOKUP(C2013,'[1]CÓDIGOS DE PRODUCTO'!$A$4:$B$156,2,FALSE)</f>
        <v>0</v>
      </c>
      <c r="F2013">
        <f>INDEX('[1]CÓDIGOS DE PRODUCTO'!$C$3:$C$1000,MATCH(C2013,'[1]CÓDIGOS DE PRODUCTO'!$A$3:$A$1000,0))</f>
        <v>0</v>
      </c>
      <c r="G2013">
        <f>+'[1]VENTAS(RESUMEN GLOBAL)'!D2013-'[1]VENTAS(RESUMEN GLOBAL)'!E2013</f>
        <v>0</v>
      </c>
      <c r="H2013" s="9">
        <f>+'[1]VENTAS(RESUMEN GLOBAL)'!K2013</f>
        <v>0</v>
      </c>
      <c r="I2013" s="8">
        <f>+G2013*'[1]VENTAS(RESUMEN GLOBAL)'!F2013</f>
        <v>0</v>
      </c>
      <c r="J2013" s="8">
        <f>'[1]VENTAS(RESUMEN GLOBAL)'!G2013*(1-'[1]VENTAS(RESUMEN GLOBAL)'!H2013)</f>
        <v>0</v>
      </c>
      <c r="K2013" s="8">
        <f t="shared" si="31"/>
        <v>0</v>
      </c>
      <c r="L2013" s="8">
        <f>+'[1]VENTAS(RESUMEN GLOBAL)'!J2013</f>
        <v>0</v>
      </c>
      <c r="M2013" s="8">
        <f>+Tabla1[[#This Row],[utilidad x dia]]*7</f>
        <v>0</v>
      </c>
    </row>
    <row r="2014" spans="1:13" x14ac:dyDescent="0.3">
      <c r="A2014" s="6">
        <f>+'[1]VENTAS(RESUMEN GLOBAL)'!L2014</f>
        <v>0</v>
      </c>
      <c r="B2014" s="6">
        <f>+'[1]VENTAS(RESUMEN GLOBAL)'!M2014</f>
        <v>0</v>
      </c>
      <c r="C2014">
        <f>+'[1]VENTAS(RESUMEN GLOBAL)'!B2014</f>
        <v>0</v>
      </c>
      <c r="D2014" t="e">
        <f>INDEX('[1]CÓDIGOS DE PRODUCTO'!$D$3:$D$1000,MATCH(C2014,'[1]CÓDIGOS DE PRODUCTO'!$A$3:$A$1000,0))</f>
        <v>#N/A</v>
      </c>
      <c r="E2014">
        <f>VLOOKUP(C2014,'[1]CÓDIGOS DE PRODUCTO'!$A$4:$B$156,2,FALSE)</f>
        <v>0</v>
      </c>
      <c r="F2014">
        <f>INDEX('[1]CÓDIGOS DE PRODUCTO'!$C$3:$C$1000,MATCH(C2014,'[1]CÓDIGOS DE PRODUCTO'!$A$3:$A$1000,0))</f>
        <v>0</v>
      </c>
      <c r="G2014">
        <f>+'[1]VENTAS(RESUMEN GLOBAL)'!D2014-'[1]VENTAS(RESUMEN GLOBAL)'!E2014</f>
        <v>0</v>
      </c>
      <c r="H2014" s="9">
        <f>+'[1]VENTAS(RESUMEN GLOBAL)'!K2014</f>
        <v>0</v>
      </c>
      <c r="I2014" s="8">
        <f>+G2014*'[1]VENTAS(RESUMEN GLOBAL)'!F2014</f>
        <v>0</v>
      </c>
      <c r="J2014" s="8">
        <f>'[1]VENTAS(RESUMEN GLOBAL)'!G2014*(1-'[1]VENTAS(RESUMEN GLOBAL)'!H2014)</f>
        <v>0</v>
      </c>
      <c r="K2014" s="8">
        <f t="shared" si="31"/>
        <v>0</v>
      </c>
      <c r="L2014" s="8">
        <f>+'[1]VENTAS(RESUMEN GLOBAL)'!J2014</f>
        <v>0</v>
      </c>
      <c r="M2014" s="8">
        <f>+Tabla1[[#This Row],[utilidad x dia]]*7</f>
        <v>0</v>
      </c>
    </row>
    <row r="2015" spans="1:13" x14ac:dyDescent="0.3">
      <c r="A2015" s="6">
        <f>+'[1]VENTAS(RESUMEN GLOBAL)'!L2015</f>
        <v>0</v>
      </c>
      <c r="B2015" s="6">
        <f>+'[1]VENTAS(RESUMEN GLOBAL)'!M2015</f>
        <v>0</v>
      </c>
      <c r="C2015">
        <f>+'[1]VENTAS(RESUMEN GLOBAL)'!B2015</f>
        <v>0</v>
      </c>
      <c r="D2015" t="e">
        <f>INDEX('[1]CÓDIGOS DE PRODUCTO'!$D$3:$D$1000,MATCH(C2015,'[1]CÓDIGOS DE PRODUCTO'!$A$3:$A$1000,0))</f>
        <v>#N/A</v>
      </c>
      <c r="E2015">
        <f>VLOOKUP(C2015,'[1]CÓDIGOS DE PRODUCTO'!$A$4:$B$156,2,FALSE)</f>
        <v>0</v>
      </c>
      <c r="F2015">
        <f>INDEX('[1]CÓDIGOS DE PRODUCTO'!$C$3:$C$1000,MATCH(C2015,'[1]CÓDIGOS DE PRODUCTO'!$A$3:$A$1000,0))</f>
        <v>0</v>
      </c>
      <c r="G2015">
        <f>+'[1]VENTAS(RESUMEN GLOBAL)'!D2015-'[1]VENTAS(RESUMEN GLOBAL)'!E2015</f>
        <v>0</v>
      </c>
      <c r="H2015" s="9">
        <f>+'[1]VENTAS(RESUMEN GLOBAL)'!K2015</f>
        <v>0</v>
      </c>
      <c r="I2015" s="8">
        <f>+G2015*'[1]VENTAS(RESUMEN GLOBAL)'!F2015</f>
        <v>0</v>
      </c>
      <c r="J2015" s="8">
        <f>'[1]VENTAS(RESUMEN GLOBAL)'!G2015*(1-'[1]VENTAS(RESUMEN GLOBAL)'!H2015)</f>
        <v>0</v>
      </c>
      <c r="K2015" s="8">
        <f t="shared" si="31"/>
        <v>0</v>
      </c>
      <c r="L2015" s="8">
        <f>+'[1]VENTAS(RESUMEN GLOBAL)'!J2015</f>
        <v>0</v>
      </c>
      <c r="M2015" s="8">
        <f>+Tabla1[[#This Row],[utilidad x dia]]*7</f>
        <v>0</v>
      </c>
    </row>
    <row r="2016" spans="1:13" x14ac:dyDescent="0.3">
      <c r="A2016" s="6">
        <f>+'[1]VENTAS(RESUMEN GLOBAL)'!L2016</f>
        <v>0</v>
      </c>
      <c r="B2016" s="6">
        <f>+'[1]VENTAS(RESUMEN GLOBAL)'!M2016</f>
        <v>0</v>
      </c>
      <c r="C2016">
        <f>+'[1]VENTAS(RESUMEN GLOBAL)'!B2016</f>
        <v>0</v>
      </c>
      <c r="D2016" t="e">
        <f>INDEX('[1]CÓDIGOS DE PRODUCTO'!$D$3:$D$1000,MATCH(C2016,'[1]CÓDIGOS DE PRODUCTO'!$A$3:$A$1000,0))</f>
        <v>#N/A</v>
      </c>
      <c r="E2016">
        <f>VLOOKUP(C2016,'[1]CÓDIGOS DE PRODUCTO'!$A$4:$B$156,2,FALSE)</f>
        <v>0</v>
      </c>
      <c r="F2016">
        <f>INDEX('[1]CÓDIGOS DE PRODUCTO'!$C$3:$C$1000,MATCH(C2016,'[1]CÓDIGOS DE PRODUCTO'!$A$3:$A$1000,0))</f>
        <v>0</v>
      </c>
      <c r="G2016">
        <f>+'[1]VENTAS(RESUMEN GLOBAL)'!D2016-'[1]VENTAS(RESUMEN GLOBAL)'!E2016</f>
        <v>0</v>
      </c>
      <c r="H2016" s="9">
        <f>+'[1]VENTAS(RESUMEN GLOBAL)'!K2016</f>
        <v>0</v>
      </c>
      <c r="I2016" s="8">
        <f>+G2016*'[1]VENTAS(RESUMEN GLOBAL)'!F2016</f>
        <v>0</v>
      </c>
      <c r="J2016" s="8">
        <f>'[1]VENTAS(RESUMEN GLOBAL)'!G2016*(1-'[1]VENTAS(RESUMEN GLOBAL)'!H2016)</f>
        <v>0</v>
      </c>
      <c r="K2016" s="8">
        <f t="shared" si="31"/>
        <v>0</v>
      </c>
      <c r="L2016" s="8">
        <f>+'[1]VENTAS(RESUMEN GLOBAL)'!J2016</f>
        <v>0</v>
      </c>
      <c r="M2016" s="8">
        <f>+Tabla1[[#This Row],[utilidad x dia]]*7</f>
        <v>0</v>
      </c>
    </row>
    <row r="2017" spans="1:13" x14ac:dyDescent="0.3">
      <c r="A2017" s="6">
        <f>+'[1]VENTAS(RESUMEN GLOBAL)'!L2017</f>
        <v>0</v>
      </c>
      <c r="B2017" s="6">
        <f>+'[1]VENTAS(RESUMEN GLOBAL)'!M2017</f>
        <v>0</v>
      </c>
      <c r="C2017">
        <f>+'[1]VENTAS(RESUMEN GLOBAL)'!B2017</f>
        <v>0</v>
      </c>
      <c r="D2017" t="e">
        <f>INDEX('[1]CÓDIGOS DE PRODUCTO'!$D$3:$D$1000,MATCH(C2017,'[1]CÓDIGOS DE PRODUCTO'!$A$3:$A$1000,0))</f>
        <v>#N/A</v>
      </c>
      <c r="E2017">
        <f>VLOOKUP(C2017,'[1]CÓDIGOS DE PRODUCTO'!$A$4:$B$156,2,FALSE)</f>
        <v>0</v>
      </c>
      <c r="F2017">
        <f>INDEX('[1]CÓDIGOS DE PRODUCTO'!$C$3:$C$1000,MATCH(C2017,'[1]CÓDIGOS DE PRODUCTO'!$A$3:$A$1000,0))</f>
        <v>0</v>
      </c>
      <c r="G2017">
        <f>+'[1]VENTAS(RESUMEN GLOBAL)'!D2017-'[1]VENTAS(RESUMEN GLOBAL)'!E2017</f>
        <v>0</v>
      </c>
      <c r="H2017" s="9">
        <f>+'[1]VENTAS(RESUMEN GLOBAL)'!K2017</f>
        <v>0</v>
      </c>
      <c r="I2017" s="8">
        <f>+G2017*'[1]VENTAS(RESUMEN GLOBAL)'!F2017</f>
        <v>0</v>
      </c>
      <c r="J2017" s="8">
        <f>'[1]VENTAS(RESUMEN GLOBAL)'!G2017*(1-'[1]VENTAS(RESUMEN GLOBAL)'!H2017)</f>
        <v>0</v>
      </c>
      <c r="K2017" s="8">
        <f t="shared" si="31"/>
        <v>0</v>
      </c>
      <c r="L2017" s="8">
        <f>+'[1]VENTAS(RESUMEN GLOBAL)'!J2017</f>
        <v>0</v>
      </c>
      <c r="M2017" s="8">
        <f>+Tabla1[[#This Row],[utilidad x dia]]*7</f>
        <v>0</v>
      </c>
    </row>
    <row r="2018" spans="1:13" x14ac:dyDescent="0.3">
      <c r="A2018" s="6">
        <f>+'[1]VENTAS(RESUMEN GLOBAL)'!L2018</f>
        <v>0</v>
      </c>
      <c r="B2018" s="6">
        <f>+'[1]VENTAS(RESUMEN GLOBAL)'!M2018</f>
        <v>0</v>
      </c>
      <c r="C2018">
        <f>+'[1]VENTAS(RESUMEN GLOBAL)'!B2018</f>
        <v>0</v>
      </c>
      <c r="D2018" t="e">
        <f>INDEX('[1]CÓDIGOS DE PRODUCTO'!$D$3:$D$1000,MATCH(C2018,'[1]CÓDIGOS DE PRODUCTO'!$A$3:$A$1000,0))</f>
        <v>#N/A</v>
      </c>
      <c r="E2018">
        <f>VLOOKUP(C2018,'[1]CÓDIGOS DE PRODUCTO'!$A$4:$B$156,2,FALSE)</f>
        <v>0</v>
      </c>
      <c r="F2018">
        <f>INDEX('[1]CÓDIGOS DE PRODUCTO'!$C$3:$C$1000,MATCH(C2018,'[1]CÓDIGOS DE PRODUCTO'!$A$3:$A$1000,0))</f>
        <v>0</v>
      </c>
      <c r="G2018">
        <f>+'[1]VENTAS(RESUMEN GLOBAL)'!D2018-'[1]VENTAS(RESUMEN GLOBAL)'!E2018</f>
        <v>0</v>
      </c>
      <c r="H2018" s="9">
        <f>+'[1]VENTAS(RESUMEN GLOBAL)'!K2018</f>
        <v>0</v>
      </c>
      <c r="I2018" s="8">
        <f>+G2018*'[1]VENTAS(RESUMEN GLOBAL)'!F2018</f>
        <v>0</v>
      </c>
      <c r="J2018" s="8">
        <f>'[1]VENTAS(RESUMEN GLOBAL)'!G2018*(1-'[1]VENTAS(RESUMEN GLOBAL)'!H2018)</f>
        <v>0</v>
      </c>
      <c r="K2018" s="8">
        <f t="shared" si="31"/>
        <v>0</v>
      </c>
      <c r="L2018" s="8">
        <f>+'[1]VENTAS(RESUMEN GLOBAL)'!J2018</f>
        <v>0</v>
      </c>
      <c r="M2018" s="8">
        <f>+Tabla1[[#This Row],[utilidad x dia]]*7</f>
        <v>0</v>
      </c>
    </row>
    <row r="2019" spans="1:13" x14ac:dyDescent="0.3">
      <c r="A2019" s="6">
        <f>+'[1]VENTAS(RESUMEN GLOBAL)'!L2019</f>
        <v>0</v>
      </c>
      <c r="B2019" s="6">
        <f>+'[1]VENTAS(RESUMEN GLOBAL)'!M2019</f>
        <v>0</v>
      </c>
      <c r="C2019">
        <f>+'[1]VENTAS(RESUMEN GLOBAL)'!B2019</f>
        <v>0</v>
      </c>
      <c r="D2019" t="e">
        <f>INDEX('[1]CÓDIGOS DE PRODUCTO'!$D$3:$D$1000,MATCH(C2019,'[1]CÓDIGOS DE PRODUCTO'!$A$3:$A$1000,0))</f>
        <v>#N/A</v>
      </c>
      <c r="E2019">
        <f>VLOOKUP(C2019,'[1]CÓDIGOS DE PRODUCTO'!$A$4:$B$156,2,FALSE)</f>
        <v>0</v>
      </c>
      <c r="F2019">
        <f>INDEX('[1]CÓDIGOS DE PRODUCTO'!$C$3:$C$1000,MATCH(C2019,'[1]CÓDIGOS DE PRODUCTO'!$A$3:$A$1000,0))</f>
        <v>0</v>
      </c>
      <c r="G2019">
        <f>+'[1]VENTAS(RESUMEN GLOBAL)'!D2019-'[1]VENTAS(RESUMEN GLOBAL)'!E2019</f>
        <v>0</v>
      </c>
      <c r="H2019" s="9">
        <f>+'[1]VENTAS(RESUMEN GLOBAL)'!K2019</f>
        <v>0</v>
      </c>
      <c r="I2019" s="8">
        <f>+G2019*'[1]VENTAS(RESUMEN GLOBAL)'!F2019</f>
        <v>0</v>
      </c>
      <c r="J2019" s="8">
        <f>'[1]VENTAS(RESUMEN GLOBAL)'!G2019*(1-'[1]VENTAS(RESUMEN GLOBAL)'!H2019)</f>
        <v>0</v>
      </c>
      <c r="K2019" s="8">
        <f t="shared" si="31"/>
        <v>0</v>
      </c>
      <c r="L2019" s="8">
        <f>+'[1]VENTAS(RESUMEN GLOBAL)'!J2019</f>
        <v>0</v>
      </c>
      <c r="M2019" s="8">
        <f>+Tabla1[[#This Row],[utilidad x dia]]*7</f>
        <v>0</v>
      </c>
    </row>
    <row r="2020" spans="1:13" x14ac:dyDescent="0.3">
      <c r="A2020" s="6">
        <f>+'[1]VENTAS(RESUMEN GLOBAL)'!L2020</f>
        <v>0</v>
      </c>
      <c r="B2020" s="6">
        <f>+'[1]VENTAS(RESUMEN GLOBAL)'!M2020</f>
        <v>0</v>
      </c>
      <c r="C2020">
        <f>+'[1]VENTAS(RESUMEN GLOBAL)'!B2020</f>
        <v>0</v>
      </c>
      <c r="D2020" t="e">
        <f>INDEX('[1]CÓDIGOS DE PRODUCTO'!$D$3:$D$1000,MATCH(C2020,'[1]CÓDIGOS DE PRODUCTO'!$A$3:$A$1000,0))</f>
        <v>#N/A</v>
      </c>
      <c r="E2020">
        <f>VLOOKUP(C2020,'[1]CÓDIGOS DE PRODUCTO'!$A$4:$B$156,2,FALSE)</f>
        <v>0</v>
      </c>
      <c r="F2020">
        <f>INDEX('[1]CÓDIGOS DE PRODUCTO'!$C$3:$C$1000,MATCH(C2020,'[1]CÓDIGOS DE PRODUCTO'!$A$3:$A$1000,0))</f>
        <v>0</v>
      </c>
      <c r="G2020">
        <f>+'[1]VENTAS(RESUMEN GLOBAL)'!D2020-'[1]VENTAS(RESUMEN GLOBAL)'!E2020</f>
        <v>0</v>
      </c>
      <c r="H2020" s="9">
        <f>+'[1]VENTAS(RESUMEN GLOBAL)'!K2020</f>
        <v>0</v>
      </c>
      <c r="I2020" s="8">
        <f>+G2020*'[1]VENTAS(RESUMEN GLOBAL)'!F2020</f>
        <v>0</v>
      </c>
      <c r="J2020" s="8">
        <f>'[1]VENTAS(RESUMEN GLOBAL)'!G2020*(1-'[1]VENTAS(RESUMEN GLOBAL)'!H2020)</f>
        <v>0</v>
      </c>
      <c r="K2020" s="8">
        <f t="shared" si="31"/>
        <v>0</v>
      </c>
      <c r="L2020" s="8">
        <f>+'[1]VENTAS(RESUMEN GLOBAL)'!J2020</f>
        <v>0</v>
      </c>
      <c r="M2020" s="8">
        <f>+Tabla1[[#This Row],[utilidad x dia]]*7</f>
        <v>0</v>
      </c>
    </row>
    <row r="2021" spans="1:13" x14ac:dyDescent="0.3">
      <c r="A2021" s="6">
        <f>+'[1]VENTAS(RESUMEN GLOBAL)'!L2021</f>
        <v>0</v>
      </c>
      <c r="B2021" s="6">
        <f>+'[1]VENTAS(RESUMEN GLOBAL)'!M2021</f>
        <v>0</v>
      </c>
      <c r="C2021">
        <f>+'[1]VENTAS(RESUMEN GLOBAL)'!B2021</f>
        <v>0</v>
      </c>
      <c r="D2021" t="e">
        <f>INDEX('[1]CÓDIGOS DE PRODUCTO'!$D$3:$D$1000,MATCH(C2021,'[1]CÓDIGOS DE PRODUCTO'!$A$3:$A$1000,0))</f>
        <v>#N/A</v>
      </c>
      <c r="E2021">
        <f>VLOOKUP(C2021,'[1]CÓDIGOS DE PRODUCTO'!$A$4:$B$156,2,FALSE)</f>
        <v>0</v>
      </c>
      <c r="F2021">
        <f>INDEX('[1]CÓDIGOS DE PRODUCTO'!$C$3:$C$1000,MATCH(C2021,'[1]CÓDIGOS DE PRODUCTO'!$A$3:$A$1000,0))</f>
        <v>0</v>
      </c>
      <c r="G2021">
        <f>+'[1]VENTAS(RESUMEN GLOBAL)'!D2021-'[1]VENTAS(RESUMEN GLOBAL)'!E2021</f>
        <v>0</v>
      </c>
      <c r="H2021" s="9">
        <f>+'[1]VENTAS(RESUMEN GLOBAL)'!K2021</f>
        <v>0</v>
      </c>
      <c r="I2021" s="8">
        <f>+G2021*'[1]VENTAS(RESUMEN GLOBAL)'!F2021</f>
        <v>0</v>
      </c>
      <c r="J2021" s="8">
        <f>'[1]VENTAS(RESUMEN GLOBAL)'!G2021*(1-'[1]VENTAS(RESUMEN GLOBAL)'!H2021)</f>
        <v>0</v>
      </c>
      <c r="K2021" s="8">
        <f t="shared" si="31"/>
        <v>0</v>
      </c>
      <c r="L2021" s="8">
        <f>+'[1]VENTAS(RESUMEN GLOBAL)'!J2021</f>
        <v>0</v>
      </c>
      <c r="M2021" s="8">
        <f>+Tabla1[[#This Row],[utilidad x dia]]*7</f>
        <v>0</v>
      </c>
    </row>
    <row r="2022" spans="1:13" x14ac:dyDescent="0.3">
      <c r="A2022" s="6">
        <f>+'[1]VENTAS(RESUMEN GLOBAL)'!L2022</f>
        <v>0</v>
      </c>
      <c r="B2022" s="6">
        <f>+'[1]VENTAS(RESUMEN GLOBAL)'!M2022</f>
        <v>0</v>
      </c>
      <c r="C2022">
        <f>+'[1]VENTAS(RESUMEN GLOBAL)'!B2022</f>
        <v>0</v>
      </c>
      <c r="D2022" t="e">
        <f>INDEX('[1]CÓDIGOS DE PRODUCTO'!$D$3:$D$1000,MATCH(C2022,'[1]CÓDIGOS DE PRODUCTO'!$A$3:$A$1000,0))</f>
        <v>#N/A</v>
      </c>
      <c r="E2022">
        <f>VLOOKUP(C2022,'[1]CÓDIGOS DE PRODUCTO'!$A$4:$B$156,2,FALSE)</f>
        <v>0</v>
      </c>
      <c r="F2022">
        <f>INDEX('[1]CÓDIGOS DE PRODUCTO'!$C$3:$C$1000,MATCH(C2022,'[1]CÓDIGOS DE PRODUCTO'!$A$3:$A$1000,0))</f>
        <v>0</v>
      </c>
      <c r="G2022">
        <f>+'[1]VENTAS(RESUMEN GLOBAL)'!D2022-'[1]VENTAS(RESUMEN GLOBAL)'!E2022</f>
        <v>0</v>
      </c>
      <c r="H2022" s="9">
        <f>+'[1]VENTAS(RESUMEN GLOBAL)'!K2022</f>
        <v>0</v>
      </c>
      <c r="I2022" s="8">
        <f>+G2022*'[1]VENTAS(RESUMEN GLOBAL)'!F2022</f>
        <v>0</v>
      </c>
      <c r="J2022" s="8">
        <f>'[1]VENTAS(RESUMEN GLOBAL)'!G2022*(1-'[1]VENTAS(RESUMEN GLOBAL)'!H2022)</f>
        <v>0</v>
      </c>
      <c r="K2022" s="8">
        <f t="shared" si="31"/>
        <v>0</v>
      </c>
      <c r="L2022" s="8">
        <f>+'[1]VENTAS(RESUMEN GLOBAL)'!J2022</f>
        <v>0</v>
      </c>
      <c r="M2022" s="8">
        <f>+Tabla1[[#This Row],[utilidad x dia]]*7</f>
        <v>0</v>
      </c>
    </row>
    <row r="2023" spans="1:13" x14ac:dyDescent="0.3">
      <c r="A2023" s="6">
        <f>+'[1]VENTAS(RESUMEN GLOBAL)'!L2023</f>
        <v>0</v>
      </c>
      <c r="B2023" s="6">
        <f>+'[1]VENTAS(RESUMEN GLOBAL)'!M2023</f>
        <v>0</v>
      </c>
      <c r="C2023">
        <f>+'[1]VENTAS(RESUMEN GLOBAL)'!B2023</f>
        <v>0</v>
      </c>
      <c r="D2023" t="e">
        <f>INDEX('[1]CÓDIGOS DE PRODUCTO'!$D$3:$D$1000,MATCH(C2023,'[1]CÓDIGOS DE PRODUCTO'!$A$3:$A$1000,0))</f>
        <v>#N/A</v>
      </c>
      <c r="E2023">
        <f>VLOOKUP(C2023,'[1]CÓDIGOS DE PRODUCTO'!$A$4:$B$156,2,FALSE)</f>
        <v>0</v>
      </c>
      <c r="F2023">
        <f>INDEX('[1]CÓDIGOS DE PRODUCTO'!$C$3:$C$1000,MATCH(C2023,'[1]CÓDIGOS DE PRODUCTO'!$A$3:$A$1000,0))</f>
        <v>0</v>
      </c>
      <c r="G2023">
        <f>+'[1]VENTAS(RESUMEN GLOBAL)'!D2023-'[1]VENTAS(RESUMEN GLOBAL)'!E2023</f>
        <v>0</v>
      </c>
      <c r="H2023" s="9">
        <f>+'[1]VENTAS(RESUMEN GLOBAL)'!K2023</f>
        <v>0</v>
      </c>
      <c r="I2023" s="8">
        <f>+G2023*'[1]VENTAS(RESUMEN GLOBAL)'!F2023</f>
        <v>0</v>
      </c>
      <c r="J2023" s="8">
        <f>'[1]VENTAS(RESUMEN GLOBAL)'!G2023*(1-'[1]VENTAS(RESUMEN GLOBAL)'!H2023)</f>
        <v>0</v>
      </c>
      <c r="K2023" s="8">
        <f t="shared" si="31"/>
        <v>0</v>
      </c>
      <c r="L2023" s="8">
        <f>+'[1]VENTAS(RESUMEN GLOBAL)'!J2023</f>
        <v>0</v>
      </c>
      <c r="M2023" s="8">
        <f>+Tabla1[[#This Row],[utilidad x dia]]*7</f>
        <v>0</v>
      </c>
    </row>
    <row r="2024" spans="1:13" x14ac:dyDescent="0.3">
      <c r="A2024" s="6">
        <f>+'[1]VENTAS(RESUMEN GLOBAL)'!L2024</f>
        <v>0</v>
      </c>
      <c r="B2024" s="6">
        <f>+'[1]VENTAS(RESUMEN GLOBAL)'!M2024</f>
        <v>0</v>
      </c>
      <c r="C2024">
        <f>+'[1]VENTAS(RESUMEN GLOBAL)'!B2024</f>
        <v>0</v>
      </c>
      <c r="D2024" t="e">
        <f>INDEX('[1]CÓDIGOS DE PRODUCTO'!$D$3:$D$1000,MATCH(C2024,'[1]CÓDIGOS DE PRODUCTO'!$A$3:$A$1000,0))</f>
        <v>#N/A</v>
      </c>
      <c r="E2024">
        <f>VLOOKUP(C2024,'[1]CÓDIGOS DE PRODUCTO'!$A$4:$B$156,2,FALSE)</f>
        <v>0</v>
      </c>
      <c r="F2024">
        <f>INDEX('[1]CÓDIGOS DE PRODUCTO'!$C$3:$C$1000,MATCH(C2024,'[1]CÓDIGOS DE PRODUCTO'!$A$3:$A$1000,0))</f>
        <v>0</v>
      </c>
      <c r="G2024">
        <f>+'[1]VENTAS(RESUMEN GLOBAL)'!D2024-'[1]VENTAS(RESUMEN GLOBAL)'!E2024</f>
        <v>0</v>
      </c>
      <c r="H2024" s="9">
        <f>+'[1]VENTAS(RESUMEN GLOBAL)'!K2024</f>
        <v>0</v>
      </c>
      <c r="I2024" s="8">
        <f>+G2024*'[1]VENTAS(RESUMEN GLOBAL)'!F2024</f>
        <v>0</v>
      </c>
      <c r="J2024" s="8">
        <f>'[1]VENTAS(RESUMEN GLOBAL)'!G2024*(1-'[1]VENTAS(RESUMEN GLOBAL)'!H2024)</f>
        <v>0</v>
      </c>
      <c r="K2024" s="8">
        <f t="shared" si="31"/>
        <v>0</v>
      </c>
      <c r="L2024" s="8">
        <f>+'[1]VENTAS(RESUMEN GLOBAL)'!J2024</f>
        <v>0</v>
      </c>
      <c r="M2024" s="8">
        <f>+Tabla1[[#This Row],[utilidad x dia]]*7</f>
        <v>0</v>
      </c>
    </row>
    <row r="2025" spans="1:13" x14ac:dyDescent="0.3">
      <c r="A2025" s="6">
        <f>+'[1]VENTAS(RESUMEN GLOBAL)'!L2025</f>
        <v>0</v>
      </c>
      <c r="B2025" s="6">
        <f>+'[1]VENTAS(RESUMEN GLOBAL)'!M2025</f>
        <v>0</v>
      </c>
      <c r="C2025">
        <f>+'[1]VENTAS(RESUMEN GLOBAL)'!B2025</f>
        <v>0</v>
      </c>
      <c r="D2025" t="e">
        <f>INDEX('[1]CÓDIGOS DE PRODUCTO'!$D$3:$D$1000,MATCH(C2025,'[1]CÓDIGOS DE PRODUCTO'!$A$3:$A$1000,0))</f>
        <v>#N/A</v>
      </c>
      <c r="E2025">
        <f>VLOOKUP(C2025,'[1]CÓDIGOS DE PRODUCTO'!$A$4:$B$156,2,FALSE)</f>
        <v>0</v>
      </c>
      <c r="F2025">
        <f>INDEX('[1]CÓDIGOS DE PRODUCTO'!$C$3:$C$1000,MATCH(C2025,'[1]CÓDIGOS DE PRODUCTO'!$A$3:$A$1000,0))</f>
        <v>0</v>
      </c>
      <c r="G2025">
        <f>+'[1]VENTAS(RESUMEN GLOBAL)'!D2025-'[1]VENTAS(RESUMEN GLOBAL)'!E2025</f>
        <v>0</v>
      </c>
      <c r="H2025" s="9">
        <f>+'[1]VENTAS(RESUMEN GLOBAL)'!K2025</f>
        <v>0</v>
      </c>
      <c r="I2025" s="8">
        <f>+G2025*'[1]VENTAS(RESUMEN GLOBAL)'!F2025</f>
        <v>0</v>
      </c>
      <c r="J2025" s="8">
        <f>'[1]VENTAS(RESUMEN GLOBAL)'!G2025*(1-'[1]VENTAS(RESUMEN GLOBAL)'!H2025)</f>
        <v>0</v>
      </c>
      <c r="K2025" s="8">
        <f t="shared" si="31"/>
        <v>0</v>
      </c>
      <c r="L2025" s="8">
        <f>+'[1]VENTAS(RESUMEN GLOBAL)'!J2025</f>
        <v>0</v>
      </c>
      <c r="M2025" s="8">
        <f>+Tabla1[[#This Row],[utilidad x dia]]*7</f>
        <v>0</v>
      </c>
    </row>
    <row r="2026" spans="1:13" x14ac:dyDescent="0.3">
      <c r="A2026" s="6">
        <f>+'[1]VENTAS(RESUMEN GLOBAL)'!L2026</f>
        <v>0</v>
      </c>
      <c r="B2026" s="6">
        <f>+'[1]VENTAS(RESUMEN GLOBAL)'!M2026</f>
        <v>0</v>
      </c>
      <c r="C2026">
        <f>+'[1]VENTAS(RESUMEN GLOBAL)'!B2026</f>
        <v>0</v>
      </c>
      <c r="D2026" t="e">
        <f>INDEX('[1]CÓDIGOS DE PRODUCTO'!$D$3:$D$1000,MATCH(C2026,'[1]CÓDIGOS DE PRODUCTO'!$A$3:$A$1000,0))</f>
        <v>#N/A</v>
      </c>
      <c r="E2026">
        <f>VLOOKUP(C2026,'[1]CÓDIGOS DE PRODUCTO'!$A$4:$B$156,2,FALSE)</f>
        <v>0</v>
      </c>
      <c r="F2026">
        <f>INDEX('[1]CÓDIGOS DE PRODUCTO'!$C$3:$C$1000,MATCH(C2026,'[1]CÓDIGOS DE PRODUCTO'!$A$3:$A$1000,0))</f>
        <v>0</v>
      </c>
      <c r="G2026">
        <f>+'[1]VENTAS(RESUMEN GLOBAL)'!D2026-'[1]VENTAS(RESUMEN GLOBAL)'!E2026</f>
        <v>0</v>
      </c>
      <c r="H2026" s="9">
        <f>+'[1]VENTAS(RESUMEN GLOBAL)'!K2026</f>
        <v>0</v>
      </c>
      <c r="I2026" s="8">
        <f>+G2026*'[1]VENTAS(RESUMEN GLOBAL)'!F2026</f>
        <v>0</v>
      </c>
      <c r="J2026" s="8">
        <f>'[1]VENTAS(RESUMEN GLOBAL)'!G2026*(1-'[1]VENTAS(RESUMEN GLOBAL)'!H2026)</f>
        <v>0</v>
      </c>
      <c r="K2026" s="8">
        <f t="shared" si="31"/>
        <v>0</v>
      </c>
      <c r="L2026" s="8">
        <f>+'[1]VENTAS(RESUMEN GLOBAL)'!J2026</f>
        <v>0</v>
      </c>
      <c r="M2026" s="8">
        <f>+Tabla1[[#This Row],[utilidad x dia]]*7</f>
        <v>0</v>
      </c>
    </row>
    <row r="2027" spans="1:13" x14ac:dyDescent="0.3">
      <c r="A2027" s="6">
        <f>+'[1]VENTAS(RESUMEN GLOBAL)'!L2027</f>
        <v>0</v>
      </c>
      <c r="B2027" s="6">
        <f>+'[1]VENTAS(RESUMEN GLOBAL)'!M2027</f>
        <v>0</v>
      </c>
      <c r="C2027">
        <f>+'[1]VENTAS(RESUMEN GLOBAL)'!B2027</f>
        <v>0</v>
      </c>
      <c r="D2027" t="e">
        <f>INDEX('[1]CÓDIGOS DE PRODUCTO'!$D$3:$D$1000,MATCH(C2027,'[1]CÓDIGOS DE PRODUCTO'!$A$3:$A$1000,0))</f>
        <v>#N/A</v>
      </c>
      <c r="E2027">
        <f>VLOOKUP(C2027,'[1]CÓDIGOS DE PRODUCTO'!$A$4:$B$156,2,FALSE)</f>
        <v>0</v>
      </c>
      <c r="F2027">
        <f>INDEX('[1]CÓDIGOS DE PRODUCTO'!$C$3:$C$1000,MATCH(C2027,'[1]CÓDIGOS DE PRODUCTO'!$A$3:$A$1000,0))</f>
        <v>0</v>
      </c>
      <c r="G2027">
        <f>+'[1]VENTAS(RESUMEN GLOBAL)'!D2027-'[1]VENTAS(RESUMEN GLOBAL)'!E2027</f>
        <v>0</v>
      </c>
      <c r="H2027" s="9">
        <f>+'[1]VENTAS(RESUMEN GLOBAL)'!K2027</f>
        <v>0</v>
      </c>
      <c r="I2027" s="8">
        <f>+G2027*'[1]VENTAS(RESUMEN GLOBAL)'!F2027</f>
        <v>0</v>
      </c>
      <c r="J2027" s="8">
        <f>'[1]VENTAS(RESUMEN GLOBAL)'!G2027*(1-'[1]VENTAS(RESUMEN GLOBAL)'!H2027)</f>
        <v>0</v>
      </c>
      <c r="K2027" s="8">
        <f t="shared" si="31"/>
        <v>0</v>
      </c>
      <c r="L2027" s="8">
        <f>+'[1]VENTAS(RESUMEN GLOBAL)'!J2027</f>
        <v>0</v>
      </c>
      <c r="M2027" s="8">
        <f>+Tabla1[[#This Row],[utilidad x dia]]*7</f>
        <v>0</v>
      </c>
    </row>
    <row r="2028" spans="1:13" x14ac:dyDescent="0.3">
      <c r="A2028" s="6">
        <f>+'[1]VENTAS(RESUMEN GLOBAL)'!L2028</f>
        <v>0</v>
      </c>
      <c r="B2028" s="6">
        <f>+'[1]VENTAS(RESUMEN GLOBAL)'!M2028</f>
        <v>0</v>
      </c>
      <c r="C2028">
        <f>+'[1]VENTAS(RESUMEN GLOBAL)'!B2028</f>
        <v>0</v>
      </c>
      <c r="D2028" t="e">
        <f>INDEX('[1]CÓDIGOS DE PRODUCTO'!$D$3:$D$1000,MATCH(C2028,'[1]CÓDIGOS DE PRODUCTO'!$A$3:$A$1000,0))</f>
        <v>#N/A</v>
      </c>
      <c r="E2028">
        <f>VLOOKUP(C2028,'[1]CÓDIGOS DE PRODUCTO'!$A$4:$B$156,2,FALSE)</f>
        <v>0</v>
      </c>
      <c r="F2028">
        <f>INDEX('[1]CÓDIGOS DE PRODUCTO'!$C$3:$C$1000,MATCH(C2028,'[1]CÓDIGOS DE PRODUCTO'!$A$3:$A$1000,0))</f>
        <v>0</v>
      </c>
      <c r="G2028">
        <f>+'[1]VENTAS(RESUMEN GLOBAL)'!D2028-'[1]VENTAS(RESUMEN GLOBAL)'!E2028</f>
        <v>0</v>
      </c>
      <c r="H2028" s="9">
        <f>+'[1]VENTAS(RESUMEN GLOBAL)'!K2028</f>
        <v>0</v>
      </c>
      <c r="I2028" s="8">
        <f>+G2028*'[1]VENTAS(RESUMEN GLOBAL)'!F2028</f>
        <v>0</v>
      </c>
      <c r="J2028" s="8">
        <f>'[1]VENTAS(RESUMEN GLOBAL)'!G2028*(1-'[1]VENTAS(RESUMEN GLOBAL)'!H2028)</f>
        <v>0</v>
      </c>
      <c r="K2028" s="8">
        <f t="shared" si="31"/>
        <v>0</v>
      </c>
      <c r="L2028" s="8">
        <f>+'[1]VENTAS(RESUMEN GLOBAL)'!J2028</f>
        <v>0</v>
      </c>
      <c r="M2028" s="8">
        <f>+Tabla1[[#This Row],[utilidad x dia]]*7</f>
        <v>0</v>
      </c>
    </row>
    <row r="2029" spans="1:13" x14ac:dyDescent="0.3">
      <c r="A2029" s="6">
        <f>+'[1]VENTAS(RESUMEN GLOBAL)'!L2029</f>
        <v>0</v>
      </c>
      <c r="B2029" s="6">
        <f>+'[1]VENTAS(RESUMEN GLOBAL)'!M2029</f>
        <v>0</v>
      </c>
      <c r="C2029">
        <f>+'[1]VENTAS(RESUMEN GLOBAL)'!B2029</f>
        <v>0</v>
      </c>
      <c r="D2029" t="e">
        <f>INDEX('[1]CÓDIGOS DE PRODUCTO'!$D$3:$D$1000,MATCH(C2029,'[1]CÓDIGOS DE PRODUCTO'!$A$3:$A$1000,0))</f>
        <v>#N/A</v>
      </c>
      <c r="E2029">
        <f>VLOOKUP(C2029,'[1]CÓDIGOS DE PRODUCTO'!$A$4:$B$156,2,FALSE)</f>
        <v>0</v>
      </c>
      <c r="F2029">
        <f>INDEX('[1]CÓDIGOS DE PRODUCTO'!$C$3:$C$1000,MATCH(C2029,'[1]CÓDIGOS DE PRODUCTO'!$A$3:$A$1000,0))</f>
        <v>0</v>
      </c>
      <c r="G2029">
        <f>+'[1]VENTAS(RESUMEN GLOBAL)'!D2029-'[1]VENTAS(RESUMEN GLOBAL)'!E2029</f>
        <v>0</v>
      </c>
      <c r="H2029" s="9">
        <f>+'[1]VENTAS(RESUMEN GLOBAL)'!K2029</f>
        <v>0</v>
      </c>
      <c r="I2029" s="8">
        <f>+G2029*'[1]VENTAS(RESUMEN GLOBAL)'!F2029</f>
        <v>0</v>
      </c>
      <c r="J2029" s="8">
        <f>'[1]VENTAS(RESUMEN GLOBAL)'!G2029*(1-'[1]VENTAS(RESUMEN GLOBAL)'!H2029)</f>
        <v>0</v>
      </c>
      <c r="K2029" s="8">
        <f t="shared" si="31"/>
        <v>0</v>
      </c>
      <c r="L2029" s="8">
        <f>+'[1]VENTAS(RESUMEN GLOBAL)'!J2029</f>
        <v>0</v>
      </c>
      <c r="M2029" s="8">
        <f>+Tabla1[[#This Row],[utilidad x dia]]*7</f>
        <v>0</v>
      </c>
    </row>
    <row r="2030" spans="1:13" x14ac:dyDescent="0.3">
      <c r="A2030" s="6">
        <f>+'[1]VENTAS(RESUMEN GLOBAL)'!L2030</f>
        <v>0</v>
      </c>
      <c r="B2030" s="6">
        <f>+'[1]VENTAS(RESUMEN GLOBAL)'!M2030</f>
        <v>0</v>
      </c>
      <c r="C2030">
        <f>+'[1]VENTAS(RESUMEN GLOBAL)'!B2030</f>
        <v>0</v>
      </c>
      <c r="D2030" t="e">
        <f>INDEX('[1]CÓDIGOS DE PRODUCTO'!$D$3:$D$1000,MATCH(C2030,'[1]CÓDIGOS DE PRODUCTO'!$A$3:$A$1000,0))</f>
        <v>#N/A</v>
      </c>
      <c r="E2030">
        <f>VLOOKUP(C2030,'[1]CÓDIGOS DE PRODUCTO'!$A$4:$B$156,2,FALSE)</f>
        <v>0</v>
      </c>
      <c r="F2030">
        <f>INDEX('[1]CÓDIGOS DE PRODUCTO'!$C$3:$C$1000,MATCH(C2030,'[1]CÓDIGOS DE PRODUCTO'!$A$3:$A$1000,0))</f>
        <v>0</v>
      </c>
      <c r="G2030">
        <f>+'[1]VENTAS(RESUMEN GLOBAL)'!D2030-'[1]VENTAS(RESUMEN GLOBAL)'!E2030</f>
        <v>0</v>
      </c>
      <c r="H2030" s="9">
        <f>+'[1]VENTAS(RESUMEN GLOBAL)'!K2030</f>
        <v>0</v>
      </c>
      <c r="I2030" s="8">
        <f>+G2030*'[1]VENTAS(RESUMEN GLOBAL)'!F2030</f>
        <v>0</v>
      </c>
      <c r="J2030" s="8">
        <f>'[1]VENTAS(RESUMEN GLOBAL)'!G2030*(1-'[1]VENTAS(RESUMEN GLOBAL)'!H2030)</f>
        <v>0</v>
      </c>
      <c r="K2030" s="8">
        <f t="shared" si="31"/>
        <v>0</v>
      </c>
      <c r="L2030" s="8">
        <f>+'[1]VENTAS(RESUMEN GLOBAL)'!J2030</f>
        <v>0</v>
      </c>
      <c r="M2030" s="8">
        <f>+Tabla1[[#This Row],[utilidad x dia]]*7</f>
        <v>0</v>
      </c>
    </row>
    <row r="2031" spans="1:13" x14ac:dyDescent="0.3">
      <c r="A2031" s="6">
        <f>+'[1]VENTAS(RESUMEN GLOBAL)'!L2031</f>
        <v>0</v>
      </c>
      <c r="B2031" s="6">
        <f>+'[1]VENTAS(RESUMEN GLOBAL)'!M2031</f>
        <v>0</v>
      </c>
      <c r="C2031">
        <f>+'[1]VENTAS(RESUMEN GLOBAL)'!B2031</f>
        <v>0</v>
      </c>
      <c r="D2031" t="e">
        <f>INDEX('[1]CÓDIGOS DE PRODUCTO'!$D$3:$D$1000,MATCH(C2031,'[1]CÓDIGOS DE PRODUCTO'!$A$3:$A$1000,0))</f>
        <v>#N/A</v>
      </c>
      <c r="E2031">
        <f>VLOOKUP(C2031,'[1]CÓDIGOS DE PRODUCTO'!$A$4:$B$156,2,FALSE)</f>
        <v>0</v>
      </c>
      <c r="F2031">
        <f>INDEX('[1]CÓDIGOS DE PRODUCTO'!$C$3:$C$1000,MATCH(C2031,'[1]CÓDIGOS DE PRODUCTO'!$A$3:$A$1000,0))</f>
        <v>0</v>
      </c>
      <c r="G2031">
        <f>+'[1]VENTAS(RESUMEN GLOBAL)'!D2031-'[1]VENTAS(RESUMEN GLOBAL)'!E2031</f>
        <v>0</v>
      </c>
      <c r="H2031" s="9">
        <f>+'[1]VENTAS(RESUMEN GLOBAL)'!K2031</f>
        <v>0</v>
      </c>
      <c r="I2031" s="8">
        <f>+G2031*'[1]VENTAS(RESUMEN GLOBAL)'!F2031</f>
        <v>0</v>
      </c>
      <c r="J2031" s="8">
        <f>'[1]VENTAS(RESUMEN GLOBAL)'!G2031*(1-'[1]VENTAS(RESUMEN GLOBAL)'!H2031)</f>
        <v>0</v>
      </c>
      <c r="K2031" s="8">
        <f t="shared" si="31"/>
        <v>0</v>
      </c>
      <c r="L2031" s="8">
        <f>+'[1]VENTAS(RESUMEN GLOBAL)'!J2031</f>
        <v>0</v>
      </c>
      <c r="M2031" s="8">
        <f>+Tabla1[[#This Row],[utilidad x dia]]*7</f>
        <v>0</v>
      </c>
    </row>
    <row r="2032" spans="1:13" x14ac:dyDescent="0.3">
      <c r="A2032" s="6">
        <f>+'[1]VENTAS(RESUMEN GLOBAL)'!L2032</f>
        <v>0</v>
      </c>
      <c r="B2032" s="6">
        <f>+'[1]VENTAS(RESUMEN GLOBAL)'!M2032</f>
        <v>0</v>
      </c>
      <c r="C2032">
        <f>+'[1]VENTAS(RESUMEN GLOBAL)'!B2032</f>
        <v>0</v>
      </c>
      <c r="D2032" t="e">
        <f>INDEX('[1]CÓDIGOS DE PRODUCTO'!$D$3:$D$1000,MATCH(C2032,'[1]CÓDIGOS DE PRODUCTO'!$A$3:$A$1000,0))</f>
        <v>#N/A</v>
      </c>
      <c r="E2032">
        <f>VLOOKUP(C2032,'[1]CÓDIGOS DE PRODUCTO'!$A$4:$B$156,2,FALSE)</f>
        <v>0</v>
      </c>
      <c r="F2032">
        <f>INDEX('[1]CÓDIGOS DE PRODUCTO'!$C$3:$C$1000,MATCH(C2032,'[1]CÓDIGOS DE PRODUCTO'!$A$3:$A$1000,0))</f>
        <v>0</v>
      </c>
      <c r="G2032">
        <f>+'[1]VENTAS(RESUMEN GLOBAL)'!D2032-'[1]VENTAS(RESUMEN GLOBAL)'!E2032</f>
        <v>0</v>
      </c>
      <c r="H2032" s="9">
        <f>+'[1]VENTAS(RESUMEN GLOBAL)'!K2032</f>
        <v>0</v>
      </c>
      <c r="I2032" s="8">
        <f>+G2032*'[1]VENTAS(RESUMEN GLOBAL)'!F2032</f>
        <v>0</v>
      </c>
      <c r="J2032" s="8">
        <f>'[1]VENTAS(RESUMEN GLOBAL)'!G2032*(1-'[1]VENTAS(RESUMEN GLOBAL)'!H2032)</f>
        <v>0</v>
      </c>
      <c r="K2032" s="8">
        <f t="shared" si="31"/>
        <v>0</v>
      </c>
      <c r="L2032" s="8">
        <f>+'[1]VENTAS(RESUMEN GLOBAL)'!J2032</f>
        <v>0</v>
      </c>
      <c r="M2032" s="8">
        <f>+Tabla1[[#This Row],[utilidad x dia]]*7</f>
        <v>0</v>
      </c>
    </row>
    <row r="2033" spans="1:13" x14ac:dyDescent="0.3">
      <c r="A2033" s="6">
        <f>+'[1]VENTAS(RESUMEN GLOBAL)'!L2033</f>
        <v>0</v>
      </c>
      <c r="B2033" s="6">
        <f>+'[1]VENTAS(RESUMEN GLOBAL)'!M2033</f>
        <v>0</v>
      </c>
      <c r="C2033">
        <f>+'[1]VENTAS(RESUMEN GLOBAL)'!B2033</f>
        <v>0</v>
      </c>
      <c r="D2033" t="e">
        <f>INDEX('[1]CÓDIGOS DE PRODUCTO'!$D$3:$D$1000,MATCH(C2033,'[1]CÓDIGOS DE PRODUCTO'!$A$3:$A$1000,0))</f>
        <v>#N/A</v>
      </c>
      <c r="E2033">
        <f>VLOOKUP(C2033,'[1]CÓDIGOS DE PRODUCTO'!$A$4:$B$156,2,FALSE)</f>
        <v>0</v>
      </c>
      <c r="F2033">
        <f>INDEX('[1]CÓDIGOS DE PRODUCTO'!$C$3:$C$1000,MATCH(C2033,'[1]CÓDIGOS DE PRODUCTO'!$A$3:$A$1000,0))</f>
        <v>0</v>
      </c>
      <c r="G2033">
        <f>+'[1]VENTAS(RESUMEN GLOBAL)'!D2033-'[1]VENTAS(RESUMEN GLOBAL)'!E2033</f>
        <v>0</v>
      </c>
      <c r="H2033" s="9">
        <f>+'[1]VENTAS(RESUMEN GLOBAL)'!K2033</f>
        <v>0</v>
      </c>
      <c r="I2033" s="8">
        <f>+G2033*'[1]VENTAS(RESUMEN GLOBAL)'!F2033</f>
        <v>0</v>
      </c>
      <c r="J2033" s="8">
        <f>'[1]VENTAS(RESUMEN GLOBAL)'!G2033*(1-'[1]VENTAS(RESUMEN GLOBAL)'!H2033)</f>
        <v>0</v>
      </c>
      <c r="K2033" s="8">
        <f t="shared" si="31"/>
        <v>0</v>
      </c>
      <c r="L2033" s="8">
        <f>+'[1]VENTAS(RESUMEN GLOBAL)'!J2033</f>
        <v>0</v>
      </c>
      <c r="M2033" s="8">
        <f>+Tabla1[[#This Row],[utilidad x dia]]*7</f>
        <v>0</v>
      </c>
    </row>
    <row r="2034" spans="1:13" x14ac:dyDescent="0.3">
      <c r="A2034" s="6">
        <f>+'[1]VENTAS(RESUMEN GLOBAL)'!L2034</f>
        <v>0</v>
      </c>
      <c r="B2034" s="6">
        <f>+'[1]VENTAS(RESUMEN GLOBAL)'!M2034</f>
        <v>0</v>
      </c>
      <c r="C2034">
        <f>+'[1]VENTAS(RESUMEN GLOBAL)'!B2034</f>
        <v>0</v>
      </c>
      <c r="D2034" t="e">
        <f>INDEX('[1]CÓDIGOS DE PRODUCTO'!$D$3:$D$1000,MATCH(C2034,'[1]CÓDIGOS DE PRODUCTO'!$A$3:$A$1000,0))</f>
        <v>#N/A</v>
      </c>
      <c r="E2034">
        <f>VLOOKUP(C2034,'[1]CÓDIGOS DE PRODUCTO'!$A$4:$B$156,2,FALSE)</f>
        <v>0</v>
      </c>
      <c r="F2034">
        <f>INDEX('[1]CÓDIGOS DE PRODUCTO'!$C$3:$C$1000,MATCH(C2034,'[1]CÓDIGOS DE PRODUCTO'!$A$3:$A$1000,0))</f>
        <v>0</v>
      </c>
      <c r="G2034">
        <f>+'[1]VENTAS(RESUMEN GLOBAL)'!D2034-'[1]VENTAS(RESUMEN GLOBAL)'!E2034</f>
        <v>0</v>
      </c>
      <c r="H2034" s="9">
        <f>+'[1]VENTAS(RESUMEN GLOBAL)'!K2034</f>
        <v>0</v>
      </c>
      <c r="I2034" s="8">
        <f>+G2034*'[1]VENTAS(RESUMEN GLOBAL)'!F2034</f>
        <v>0</v>
      </c>
      <c r="J2034" s="8">
        <f>'[1]VENTAS(RESUMEN GLOBAL)'!G2034*(1-'[1]VENTAS(RESUMEN GLOBAL)'!H2034)</f>
        <v>0</v>
      </c>
      <c r="K2034" s="8">
        <f t="shared" si="31"/>
        <v>0</v>
      </c>
      <c r="L2034" s="8">
        <f>+'[1]VENTAS(RESUMEN GLOBAL)'!J2034</f>
        <v>0</v>
      </c>
      <c r="M2034" s="8">
        <f>+Tabla1[[#This Row],[utilidad x dia]]*7</f>
        <v>0</v>
      </c>
    </row>
    <row r="2035" spans="1:13" x14ac:dyDescent="0.3">
      <c r="A2035" s="6">
        <f>+'[1]VENTAS(RESUMEN GLOBAL)'!L2035</f>
        <v>0</v>
      </c>
      <c r="B2035" s="6">
        <f>+'[1]VENTAS(RESUMEN GLOBAL)'!M2035</f>
        <v>0</v>
      </c>
      <c r="C2035">
        <f>+'[1]VENTAS(RESUMEN GLOBAL)'!B2035</f>
        <v>0</v>
      </c>
      <c r="D2035" t="e">
        <f>INDEX('[1]CÓDIGOS DE PRODUCTO'!$D$3:$D$1000,MATCH(C2035,'[1]CÓDIGOS DE PRODUCTO'!$A$3:$A$1000,0))</f>
        <v>#N/A</v>
      </c>
      <c r="E2035">
        <f>VLOOKUP(C2035,'[1]CÓDIGOS DE PRODUCTO'!$A$4:$B$156,2,FALSE)</f>
        <v>0</v>
      </c>
      <c r="F2035">
        <f>INDEX('[1]CÓDIGOS DE PRODUCTO'!$C$3:$C$1000,MATCH(C2035,'[1]CÓDIGOS DE PRODUCTO'!$A$3:$A$1000,0))</f>
        <v>0</v>
      </c>
      <c r="G2035">
        <f>+'[1]VENTAS(RESUMEN GLOBAL)'!D2035-'[1]VENTAS(RESUMEN GLOBAL)'!E2035</f>
        <v>0</v>
      </c>
      <c r="H2035" s="9">
        <f>+'[1]VENTAS(RESUMEN GLOBAL)'!K2035</f>
        <v>0</v>
      </c>
      <c r="I2035" s="8">
        <f>+G2035*'[1]VENTAS(RESUMEN GLOBAL)'!F2035</f>
        <v>0</v>
      </c>
      <c r="J2035" s="8">
        <f>'[1]VENTAS(RESUMEN GLOBAL)'!G2035*(1-'[1]VENTAS(RESUMEN GLOBAL)'!H2035)</f>
        <v>0</v>
      </c>
      <c r="K2035" s="8">
        <f t="shared" si="31"/>
        <v>0</v>
      </c>
      <c r="L2035" s="8">
        <f>+'[1]VENTAS(RESUMEN GLOBAL)'!J2035</f>
        <v>0</v>
      </c>
      <c r="M2035" s="8">
        <f>+Tabla1[[#This Row],[utilidad x dia]]*7</f>
        <v>0</v>
      </c>
    </row>
    <row r="2036" spans="1:13" x14ac:dyDescent="0.3">
      <c r="A2036" s="6">
        <f>+'[1]VENTAS(RESUMEN GLOBAL)'!L2036</f>
        <v>0</v>
      </c>
      <c r="B2036" s="6">
        <f>+'[1]VENTAS(RESUMEN GLOBAL)'!M2036</f>
        <v>0</v>
      </c>
      <c r="C2036">
        <f>+'[1]VENTAS(RESUMEN GLOBAL)'!B2036</f>
        <v>0</v>
      </c>
      <c r="D2036" t="e">
        <f>INDEX('[1]CÓDIGOS DE PRODUCTO'!$D$3:$D$1000,MATCH(C2036,'[1]CÓDIGOS DE PRODUCTO'!$A$3:$A$1000,0))</f>
        <v>#N/A</v>
      </c>
      <c r="E2036">
        <f>VLOOKUP(C2036,'[1]CÓDIGOS DE PRODUCTO'!$A$4:$B$156,2,FALSE)</f>
        <v>0</v>
      </c>
      <c r="F2036">
        <f>INDEX('[1]CÓDIGOS DE PRODUCTO'!$C$3:$C$1000,MATCH(C2036,'[1]CÓDIGOS DE PRODUCTO'!$A$3:$A$1000,0))</f>
        <v>0</v>
      </c>
      <c r="G2036">
        <f>+'[1]VENTAS(RESUMEN GLOBAL)'!D2036-'[1]VENTAS(RESUMEN GLOBAL)'!E2036</f>
        <v>0</v>
      </c>
      <c r="H2036" s="9">
        <f>+'[1]VENTAS(RESUMEN GLOBAL)'!K2036</f>
        <v>0</v>
      </c>
      <c r="I2036" s="8">
        <f>+G2036*'[1]VENTAS(RESUMEN GLOBAL)'!F2036</f>
        <v>0</v>
      </c>
      <c r="J2036" s="8">
        <f>'[1]VENTAS(RESUMEN GLOBAL)'!G2036*(1-'[1]VENTAS(RESUMEN GLOBAL)'!H2036)</f>
        <v>0</v>
      </c>
      <c r="K2036" s="8">
        <f t="shared" si="31"/>
        <v>0</v>
      </c>
      <c r="L2036" s="8">
        <f>+'[1]VENTAS(RESUMEN GLOBAL)'!J2036</f>
        <v>0</v>
      </c>
      <c r="M2036" s="8">
        <f>+Tabla1[[#This Row],[utilidad x dia]]*7</f>
        <v>0</v>
      </c>
    </row>
    <row r="2037" spans="1:13" x14ac:dyDescent="0.3">
      <c r="A2037" s="6">
        <f>+'[1]VENTAS(RESUMEN GLOBAL)'!L2037</f>
        <v>0</v>
      </c>
      <c r="B2037" s="6">
        <f>+'[1]VENTAS(RESUMEN GLOBAL)'!M2037</f>
        <v>0</v>
      </c>
      <c r="C2037">
        <f>+'[1]VENTAS(RESUMEN GLOBAL)'!B2037</f>
        <v>0</v>
      </c>
      <c r="D2037" t="e">
        <f>INDEX('[1]CÓDIGOS DE PRODUCTO'!$D$3:$D$1000,MATCH(C2037,'[1]CÓDIGOS DE PRODUCTO'!$A$3:$A$1000,0))</f>
        <v>#N/A</v>
      </c>
      <c r="E2037">
        <f>VLOOKUP(C2037,'[1]CÓDIGOS DE PRODUCTO'!$A$4:$B$156,2,FALSE)</f>
        <v>0</v>
      </c>
      <c r="F2037">
        <f>INDEX('[1]CÓDIGOS DE PRODUCTO'!$C$3:$C$1000,MATCH(C2037,'[1]CÓDIGOS DE PRODUCTO'!$A$3:$A$1000,0))</f>
        <v>0</v>
      </c>
      <c r="G2037">
        <f>+'[1]VENTAS(RESUMEN GLOBAL)'!D2037-'[1]VENTAS(RESUMEN GLOBAL)'!E2037</f>
        <v>0</v>
      </c>
      <c r="H2037" s="9">
        <f>+'[1]VENTAS(RESUMEN GLOBAL)'!K2037</f>
        <v>0</v>
      </c>
      <c r="I2037" s="8">
        <f>+G2037*'[1]VENTAS(RESUMEN GLOBAL)'!F2037</f>
        <v>0</v>
      </c>
      <c r="J2037" s="8">
        <f>'[1]VENTAS(RESUMEN GLOBAL)'!G2037*(1-'[1]VENTAS(RESUMEN GLOBAL)'!H2037)</f>
        <v>0</v>
      </c>
      <c r="K2037" s="8">
        <f t="shared" si="31"/>
        <v>0</v>
      </c>
      <c r="L2037" s="8">
        <f>+'[1]VENTAS(RESUMEN GLOBAL)'!J2037</f>
        <v>0</v>
      </c>
      <c r="M2037" s="8">
        <f>+Tabla1[[#This Row],[utilidad x dia]]*7</f>
        <v>0</v>
      </c>
    </row>
    <row r="2038" spans="1:13" x14ac:dyDescent="0.3">
      <c r="A2038" s="6">
        <f>+'[1]VENTAS(RESUMEN GLOBAL)'!L2038</f>
        <v>0</v>
      </c>
      <c r="B2038" s="6">
        <f>+'[1]VENTAS(RESUMEN GLOBAL)'!M2038</f>
        <v>0</v>
      </c>
      <c r="C2038">
        <f>+'[1]VENTAS(RESUMEN GLOBAL)'!B2038</f>
        <v>0</v>
      </c>
      <c r="D2038" t="e">
        <f>INDEX('[1]CÓDIGOS DE PRODUCTO'!$D$3:$D$1000,MATCH(C2038,'[1]CÓDIGOS DE PRODUCTO'!$A$3:$A$1000,0))</f>
        <v>#N/A</v>
      </c>
      <c r="E2038">
        <f>VLOOKUP(C2038,'[1]CÓDIGOS DE PRODUCTO'!$A$4:$B$156,2,FALSE)</f>
        <v>0</v>
      </c>
      <c r="F2038">
        <f>INDEX('[1]CÓDIGOS DE PRODUCTO'!$C$3:$C$1000,MATCH(C2038,'[1]CÓDIGOS DE PRODUCTO'!$A$3:$A$1000,0))</f>
        <v>0</v>
      </c>
      <c r="G2038">
        <f>+'[1]VENTAS(RESUMEN GLOBAL)'!D2038-'[1]VENTAS(RESUMEN GLOBAL)'!E2038</f>
        <v>0</v>
      </c>
      <c r="H2038" s="9">
        <f>+'[1]VENTAS(RESUMEN GLOBAL)'!K2038</f>
        <v>0</v>
      </c>
      <c r="I2038" s="8">
        <f>+G2038*'[1]VENTAS(RESUMEN GLOBAL)'!F2038</f>
        <v>0</v>
      </c>
      <c r="J2038" s="8">
        <f>'[1]VENTAS(RESUMEN GLOBAL)'!G2038*(1-'[1]VENTAS(RESUMEN GLOBAL)'!H2038)</f>
        <v>0</v>
      </c>
      <c r="K2038" s="8">
        <f t="shared" si="31"/>
        <v>0</v>
      </c>
      <c r="L2038" s="8">
        <f>+'[1]VENTAS(RESUMEN GLOBAL)'!J2038</f>
        <v>0</v>
      </c>
      <c r="M2038" s="8">
        <f>+Tabla1[[#This Row],[utilidad x dia]]*7</f>
        <v>0</v>
      </c>
    </row>
    <row r="2039" spans="1:13" x14ac:dyDescent="0.3">
      <c r="A2039" s="6">
        <f>+'[1]VENTAS(RESUMEN GLOBAL)'!L2039</f>
        <v>0</v>
      </c>
      <c r="B2039" s="6">
        <f>+'[1]VENTAS(RESUMEN GLOBAL)'!M2039</f>
        <v>0</v>
      </c>
      <c r="C2039">
        <f>+'[1]VENTAS(RESUMEN GLOBAL)'!B2039</f>
        <v>0</v>
      </c>
      <c r="D2039" t="e">
        <f>INDEX('[1]CÓDIGOS DE PRODUCTO'!$D$3:$D$1000,MATCH(C2039,'[1]CÓDIGOS DE PRODUCTO'!$A$3:$A$1000,0))</f>
        <v>#N/A</v>
      </c>
      <c r="E2039">
        <f>VLOOKUP(C2039,'[1]CÓDIGOS DE PRODUCTO'!$A$4:$B$156,2,FALSE)</f>
        <v>0</v>
      </c>
      <c r="F2039">
        <f>INDEX('[1]CÓDIGOS DE PRODUCTO'!$C$3:$C$1000,MATCH(C2039,'[1]CÓDIGOS DE PRODUCTO'!$A$3:$A$1000,0))</f>
        <v>0</v>
      </c>
      <c r="G2039">
        <f>+'[1]VENTAS(RESUMEN GLOBAL)'!D2039-'[1]VENTAS(RESUMEN GLOBAL)'!E2039</f>
        <v>0</v>
      </c>
      <c r="H2039" s="9">
        <f>+'[1]VENTAS(RESUMEN GLOBAL)'!K2039</f>
        <v>0</v>
      </c>
      <c r="I2039" s="8">
        <f>+G2039*'[1]VENTAS(RESUMEN GLOBAL)'!F2039</f>
        <v>0</v>
      </c>
      <c r="J2039" s="8">
        <f>'[1]VENTAS(RESUMEN GLOBAL)'!G2039*(1-'[1]VENTAS(RESUMEN GLOBAL)'!H2039)</f>
        <v>0</v>
      </c>
      <c r="K2039" s="8">
        <f t="shared" si="31"/>
        <v>0</v>
      </c>
      <c r="L2039" s="8">
        <f>+'[1]VENTAS(RESUMEN GLOBAL)'!J2039</f>
        <v>0</v>
      </c>
      <c r="M2039" s="8">
        <f>+Tabla1[[#This Row],[utilidad x dia]]*7</f>
        <v>0</v>
      </c>
    </row>
    <row r="2040" spans="1:13" x14ac:dyDescent="0.3">
      <c r="A2040" s="6">
        <f>+'[1]VENTAS(RESUMEN GLOBAL)'!L2040</f>
        <v>0</v>
      </c>
      <c r="B2040" s="6">
        <f>+'[1]VENTAS(RESUMEN GLOBAL)'!M2040</f>
        <v>0</v>
      </c>
      <c r="C2040">
        <f>+'[1]VENTAS(RESUMEN GLOBAL)'!B2040</f>
        <v>0</v>
      </c>
      <c r="D2040" t="e">
        <f>INDEX('[1]CÓDIGOS DE PRODUCTO'!$D$3:$D$1000,MATCH(C2040,'[1]CÓDIGOS DE PRODUCTO'!$A$3:$A$1000,0))</f>
        <v>#N/A</v>
      </c>
      <c r="E2040">
        <f>VLOOKUP(C2040,'[1]CÓDIGOS DE PRODUCTO'!$A$4:$B$156,2,FALSE)</f>
        <v>0</v>
      </c>
      <c r="F2040">
        <f>INDEX('[1]CÓDIGOS DE PRODUCTO'!$C$3:$C$1000,MATCH(C2040,'[1]CÓDIGOS DE PRODUCTO'!$A$3:$A$1000,0))</f>
        <v>0</v>
      </c>
      <c r="G2040">
        <f>+'[1]VENTAS(RESUMEN GLOBAL)'!D2040-'[1]VENTAS(RESUMEN GLOBAL)'!E2040</f>
        <v>0</v>
      </c>
      <c r="H2040" s="9">
        <f>+'[1]VENTAS(RESUMEN GLOBAL)'!K2040</f>
        <v>0</v>
      </c>
      <c r="I2040" s="8">
        <f>+G2040*'[1]VENTAS(RESUMEN GLOBAL)'!F2040</f>
        <v>0</v>
      </c>
      <c r="J2040" s="8">
        <f>'[1]VENTAS(RESUMEN GLOBAL)'!G2040*(1-'[1]VENTAS(RESUMEN GLOBAL)'!H2040)</f>
        <v>0</v>
      </c>
      <c r="K2040" s="8">
        <f t="shared" si="31"/>
        <v>0</v>
      </c>
      <c r="L2040" s="8">
        <f>+'[1]VENTAS(RESUMEN GLOBAL)'!J2040</f>
        <v>0</v>
      </c>
      <c r="M2040" s="8">
        <f>+Tabla1[[#This Row],[utilidad x dia]]*7</f>
        <v>0</v>
      </c>
    </row>
    <row r="2041" spans="1:13" x14ac:dyDescent="0.3">
      <c r="A2041" s="6">
        <f>+'[1]VENTAS(RESUMEN GLOBAL)'!L2041</f>
        <v>0</v>
      </c>
      <c r="B2041" s="6">
        <f>+'[1]VENTAS(RESUMEN GLOBAL)'!M2041</f>
        <v>0</v>
      </c>
      <c r="C2041">
        <f>+'[1]VENTAS(RESUMEN GLOBAL)'!B2041</f>
        <v>0</v>
      </c>
      <c r="D2041" t="e">
        <f>INDEX('[1]CÓDIGOS DE PRODUCTO'!$D$3:$D$1000,MATCH(C2041,'[1]CÓDIGOS DE PRODUCTO'!$A$3:$A$1000,0))</f>
        <v>#N/A</v>
      </c>
      <c r="E2041">
        <f>VLOOKUP(C2041,'[1]CÓDIGOS DE PRODUCTO'!$A$4:$B$156,2,FALSE)</f>
        <v>0</v>
      </c>
      <c r="F2041">
        <f>INDEX('[1]CÓDIGOS DE PRODUCTO'!$C$3:$C$1000,MATCH(C2041,'[1]CÓDIGOS DE PRODUCTO'!$A$3:$A$1000,0))</f>
        <v>0</v>
      </c>
      <c r="G2041">
        <f>+'[1]VENTAS(RESUMEN GLOBAL)'!D2041-'[1]VENTAS(RESUMEN GLOBAL)'!E2041</f>
        <v>0</v>
      </c>
      <c r="H2041" s="9">
        <f>+'[1]VENTAS(RESUMEN GLOBAL)'!K2041</f>
        <v>0</v>
      </c>
      <c r="I2041" s="8">
        <f>+G2041*'[1]VENTAS(RESUMEN GLOBAL)'!F2041</f>
        <v>0</v>
      </c>
      <c r="J2041" s="8">
        <f>'[1]VENTAS(RESUMEN GLOBAL)'!G2041*(1-'[1]VENTAS(RESUMEN GLOBAL)'!H2041)</f>
        <v>0</v>
      </c>
      <c r="K2041" s="8">
        <f t="shared" si="31"/>
        <v>0</v>
      </c>
      <c r="L2041" s="8">
        <f>+'[1]VENTAS(RESUMEN GLOBAL)'!J2041</f>
        <v>0</v>
      </c>
      <c r="M2041" s="8">
        <f>+Tabla1[[#This Row],[utilidad x dia]]*7</f>
        <v>0</v>
      </c>
    </row>
    <row r="2042" spans="1:13" x14ac:dyDescent="0.3">
      <c r="A2042" s="6">
        <f>+'[1]VENTAS(RESUMEN GLOBAL)'!L2042</f>
        <v>0</v>
      </c>
      <c r="B2042" s="6">
        <f>+'[1]VENTAS(RESUMEN GLOBAL)'!M2042</f>
        <v>0</v>
      </c>
      <c r="C2042">
        <f>+'[1]VENTAS(RESUMEN GLOBAL)'!B2042</f>
        <v>0</v>
      </c>
      <c r="D2042" t="e">
        <f>INDEX('[1]CÓDIGOS DE PRODUCTO'!$D$3:$D$1000,MATCH(C2042,'[1]CÓDIGOS DE PRODUCTO'!$A$3:$A$1000,0))</f>
        <v>#N/A</v>
      </c>
      <c r="E2042">
        <f>VLOOKUP(C2042,'[1]CÓDIGOS DE PRODUCTO'!$A$4:$B$156,2,FALSE)</f>
        <v>0</v>
      </c>
      <c r="F2042">
        <f>INDEX('[1]CÓDIGOS DE PRODUCTO'!$C$3:$C$1000,MATCH(C2042,'[1]CÓDIGOS DE PRODUCTO'!$A$3:$A$1000,0))</f>
        <v>0</v>
      </c>
      <c r="G2042">
        <f>+'[1]VENTAS(RESUMEN GLOBAL)'!D2042-'[1]VENTAS(RESUMEN GLOBAL)'!E2042</f>
        <v>0</v>
      </c>
      <c r="H2042" s="9">
        <f>+'[1]VENTAS(RESUMEN GLOBAL)'!K2042</f>
        <v>0</v>
      </c>
      <c r="I2042" s="8">
        <f>+G2042*'[1]VENTAS(RESUMEN GLOBAL)'!F2042</f>
        <v>0</v>
      </c>
      <c r="J2042" s="8">
        <f>'[1]VENTAS(RESUMEN GLOBAL)'!G2042*(1-'[1]VENTAS(RESUMEN GLOBAL)'!H2042)</f>
        <v>0</v>
      </c>
      <c r="K2042" s="8">
        <f t="shared" si="31"/>
        <v>0</v>
      </c>
      <c r="L2042" s="8">
        <f>+'[1]VENTAS(RESUMEN GLOBAL)'!J2042</f>
        <v>0</v>
      </c>
      <c r="M2042" s="8">
        <f>+Tabla1[[#This Row],[utilidad x dia]]*7</f>
        <v>0</v>
      </c>
    </row>
    <row r="2043" spans="1:13" x14ac:dyDescent="0.3">
      <c r="A2043" s="6">
        <f>+'[1]VENTAS(RESUMEN GLOBAL)'!L2043</f>
        <v>0</v>
      </c>
      <c r="B2043" s="6">
        <f>+'[1]VENTAS(RESUMEN GLOBAL)'!M2043</f>
        <v>0</v>
      </c>
      <c r="C2043">
        <f>+'[1]VENTAS(RESUMEN GLOBAL)'!B2043</f>
        <v>0</v>
      </c>
      <c r="D2043" t="e">
        <f>INDEX('[1]CÓDIGOS DE PRODUCTO'!$D$3:$D$1000,MATCH(C2043,'[1]CÓDIGOS DE PRODUCTO'!$A$3:$A$1000,0))</f>
        <v>#N/A</v>
      </c>
      <c r="E2043">
        <f>VLOOKUP(C2043,'[1]CÓDIGOS DE PRODUCTO'!$A$4:$B$156,2,FALSE)</f>
        <v>0</v>
      </c>
      <c r="F2043">
        <f>INDEX('[1]CÓDIGOS DE PRODUCTO'!$C$3:$C$1000,MATCH(C2043,'[1]CÓDIGOS DE PRODUCTO'!$A$3:$A$1000,0))</f>
        <v>0</v>
      </c>
      <c r="G2043">
        <f>+'[1]VENTAS(RESUMEN GLOBAL)'!D2043-'[1]VENTAS(RESUMEN GLOBAL)'!E2043</f>
        <v>0</v>
      </c>
      <c r="H2043" s="9">
        <f>+'[1]VENTAS(RESUMEN GLOBAL)'!K2043</f>
        <v>0</v>
      </c>
      <c r="I2043" s="8">
        <f>+G2043*'[1]VENTAS(RESUMEN GLOBAL)'!F2043</f>
        <v>0</v>
      </c>
      <c r="J2043" s="8">
        <f>'[1]VENTAS(RESUMEN GLOBAL)'!G2043*(1-'[1]VENTAS(RESUMEN GLOBAL)'!H2043)</f>
        <v>0</v>
      </c>
      <c r="K2043" s="8">
        <f t="shared" si="31"/>
        <v>0</v>
      </c>
      <c r="L2043" s="8">
        <f>+'[1]VENTAS(RESUMEN GLOBAL)'!J2043</f>
        <v>0</v>
      </c>
      <c r="M2043" s="8">
        <f>+Tabla1[[#This Row],[utilidad x dia]]*7</f>
        <v>0</v>
      </c>
    </row>
    <row r="2044" spans="1:13" x14ac:dyDescent="0.3">
      <c r="A2044" s="6">
        <f>+'[1]VENTAS(RESUMEN GLOBAL)'!L2044</f>
        <v>0</v>
      </c>
      <c r="B2044" s="6">
        <f>+'[1]VENTAS(RESUMEN GLOBAL)'!M2044</f>
        <v>0</v>
      </c>
      <c r="C2044">
        <f>+'[1]VENTAS(RESUMEN GLOBAL)'!B2044</f>
        <v>0</v>
      </c>
      <c r="D2044" t="e">
        <f>INDEX('[1]CÓDIGOS DE PRODUCTO'!$D$3:$D$1000,MATCH(C2044,'[1]CÓDIGOS DE PRODUCTO'!$A$3:$A$1000,0))</f>
        <v>#N/A</v>
      </c>
      <c r="E2044">
        <f>VLOOKUP(C2044,'[1]CÓDIGOS DE PRODUCTO'!$A$4:$B$156,2,FALSE)</f>
        <v>0</v>
      </c>
      <c r="F2044">
        <f>INDEX('[1]CÓDIGOS DE PRODUCTO'!$C$3:$C$1000,MATCH(C2044,'[1]CÓDIGOS DE PRODUCTO'!$A$3:$A$1000,0))</f>
        <v>0</v>
      </c>
      <c r="G2044">
        <f>+'[1]VENTAS(RESUMEN GLOBAL)'!D2044-'[1]VENTAS(RESUMEN GLOBAL)'!E2044</f>
        <v>0</v>
      </c>
      <c r="H2044" s="9">
        <f>+'[1]VENTAS(RESUMEN GLOBAL)'!K2044</f>
        <v>0</v>
      </c>
      <c r="I2044" s="8">
        <f>+G2044*'[1]VENTAS(RESUMEN GLOBAL)'!F2044</f>
        <v>0</v>
      </c>
      <c r="J2044" s="8">
        <f>'[1]VENTAS(RESUMEN GLOBAL)'!G2044*(1-'[1]VENTAS(RESUMEN GLOBAL)'!H2044)</f>
        <v>0</v>
      </c>
      <c r="K2044" s="8">
        <f t="shared" si="31"/>
        <v>0</v>
      </c>
      <c r="L2044" s="8">
        <f>+'[1]VENTAS(RESUMEN GLOBAL)'!J2044</f>
        <v>0</v>
      </c>
      <c r="M2044" s="8">
        <f>+Tabla1[[#This Row],[utilidad x dia]]*7</f>
        <v>0</v>
      </c>
    </row>
    <row r="2045" spans="1:13" x14ac:dyDescent="0.3">
      <c r="A2045" s="6">
        <f>+'[1]VENTAS(RESUMEN GLOBAL)'!L2045</f>
        <v>0</v>
      </c>
      <c r="B2045" s="6">
        <f>+'[1]VENTAS(RESUMEN GLOBAL)'!M2045</f>
        <v>0</v>
      </c>
      <c r="C2045">
        <f>+'[1]VENTAS(RESUMEN GLOBAL)'!B2045</f>
        <v>0</v>
      </c>
      <c r="D2045" t="e">
        <f>INDEX('[1]CÓDIGOS DE PRODUCTO'!$D$3:$D$1000,MATCH(C2045,'[1]CÓDIGOS DE PRODUCTO'!$A$3:$A$1000,0))</f>
        <v>#N/A</v>
      </c>
      <c r="E2045">
        <f>VLOOKUP(C2045,'[1]CÓDIGOS DE PRODUCTO'!$A$4:$B$156,2,FALSE)</f>
        <v>0</v>
      </c>
      <c r="F2045">
        <f>INDEX('[1]CÓDIGOS DE PRODUCTO'!$C$3:$C$1000,MATCH(C2045,'[1]CÓDIGOS DE PRODUCTO'!$A$3:$A$1000,0))</f>
        <v>0</v>
      </c>
      <c r="G2045">
        <f>+'[1]VENTAS(RESUMEN GLOBAL)'!D2045-'[1]VENTAS(RESUMEN GLOBAL)'!E2045</f>
        <v>0</v>
      </c>
      <c r="H2045" s="9">
        <f>+'[1]VENTAS(RESUMEN GLOBAL)'!K2045</f>
        <v>0</v>
      </c>
      <c r="I2045" s="8">
        <f>+G2045*'[1]VENTAS(RESUMEN GLOBAL)'!F2045</f>
        <v>0</v>
      </c>
      <c r="J2045" s="8">
        <f>'[1]VENTAS(RESUMEN GLOBAL)'!G2045*(1-'[1]VENTAS(RESUMEN GLOBAL)'!H2045)</f>
        <v>0</v>
      </c>
      <c r="K2045" s="8">
        <f t="shared" si="31"/>
        <v>0</v>
      </c>
      <c r="L2045" s="8">
        <f>+'[1]VENTAS(RESUMEN GLOBAL)'!J2045</f>
        <v>0</v>
      </c>
      <c r="M2045" s="8">
        <f>+Tabla1[[#This Row],[utilidad x dia]]*7</f>
        <v>0</v>
      </c>
    </row>
    <row r="2046" spans="1:13" x14ac:dyDescent="0.3">
      <c r="A2046" s="6">
        <f>+'[1]VENTAS(RESUMEN GLOBAL)'!L2046</f>
        <v>0</v>
      </c>
      <c r="B2046" s="6">
        <f>+'[1]VENTAS(RESUMEN GLOBAL)'!M2046</f>
        <v>0</v>
      </c>
      <c r="C2046">
        <f>+'[1]VENTAS(RESUMEN GLOBAL)'!B2046</f>
        <v>0</v>
      </c>
      <c r="D2046" t="e">
        <f>INDEX('[1]CÓDIGOS DE PRODUCTO'!$D$3:$D$1000,MATCH(C2046,'[1]CÓDIGOS DE PRODUCTO'!$A$3:$A$1000,0))</f>
        <v>#N/A</v>
      </c>
      <c r="E2046">
        <f>VLOOKUP(C2046,'[1]CÓDIGOS DE PRODUCTO'!$A$4:$B$156,2,FALSE)</f>
        <v>0</v>
      </c>
      <c r="F2046">
        <f>INDEX('[1]CÓDIGOS DE PRODUCTO'!$C$3:$C$1000,MATCH(C2046,'[1]CÓDIGOS DE PRODUCTO'!$A$3:$A$1000,0))</f>
        <v>0</v>
      </c>
      <c r="G2046">
        <f>+'[1]VENTAS(RESUMEN GLOBAL)'!D2046-'[1]VENTAS(RESUMEN GLOBAL)'!E2046</f>
        <v>0</v>
      </c>
      <c r="H2046" s="9">
        <f>+'[1]VENTAS(RESUMEN GLOBAL)'!K2046</f>
        <v>0</v>
      </c>
      <c r="I2046" s="8">
        <f>+G2046*'[1]VENTAS(RESUMEN GLOBAL)'!F2046</f>
        <v>0</v>
      </c>
      <c r="J2046" s="8">
        <f>'[1]VENTAS(RESUMEN GLOBAL)'!G2046*(1-'[1]VENTAS(RESUMEN GLOBAL)'!H2046)</f>
        <v>0</v>
      </c>
      <c r="K2046" s="8">
        <f t="shared" si="31"/>
        <v>0</v>
      </c>
      <c r="L2046" s="8">
        <f>+'[1]VENTAS(RESUMEN GLOBAL)'!J2046</f>
        <v>0</v>
      </c>
      <c r="M2046" s="8">
        <f>+Tabla1[[#This Row],[utilidad x dia]]*7</f>
        <v>0</v>
      </c>
    </row>
    <row r="2047" spans="1:13" x14ac:dyDescent="0.3">
      <c r="A2047" s="6">
        <f>+'[1]VENTAS(RESUMEN GLOBAL)'!L2047</f>
        <v>0</v>
      </c>
      <c r="B2047" s="6">
        <f>+'[1]VENTAS(RESUMEN GLOBAL)'!M2047</f>
        <v>0</v>
      </c>
      <c r="C2047">
        <f>+'[1]VENTAS(RESUMEN GLOBAL)'!B2047</f>
        <v>0</v>
      </c>
      <c r="D2047" t="e">
        <f>INDEX('[1]CÓDIGOS DE PRODUCTO'!$D$3:$D$1000,MATCH(C2047,'[1]CÓDIGOS DE PRODUCTO'!$A$3:$A$1000,0))</f>
        <v>#N/A</v>
      </c>
      <c r="E2047">
        <f>VLOOKUP(C2047,'[1]CÓDIGOS DE PRODUCTO'!$A$4:$B$156,2,FALSE)</f>
        <v>0</v>
      </c>
      <c r="F2047">
        <f>INDEX('[1]CÓDIGOS DE PRODUCTO'!$C$3:$C$1000,MATCH(C2047,'[1]CÓDIGOS DE PRODUCTO'!$A$3:$A$1000,0))</f>
        <v>0</v>
      </c>
      <c r="G2047">
        <f>+'[1]VENTAS(RESUMEN GLOBAL)'!D2047-'[1]VENTAS(RESUMEN GLOBAL)'!E2047</f>
        <v>0</v>
      </c>
      <c r="H2047" s="9">
        <f>+'[1]VENTAS(RESUMEN GLOBAL)'!K2047</f>
        <v>0</v>
      </c>
      <c r="I2047" s="8">
        <f>+G2047*'[1]VENTAS(RESUMEN GLOBAL)'!F2047</f>
        <v>0</v>
      </c>
      <c r="J2047" s="8">
        <f>'[1]VENTAS(RESUMEN GLOBAL)'!G2047*(1-'[1]VENTAS(RESUMEN GLOBAL)'!H2047)</f>
        <v>0</v>
      </c>
      <c r="K2047" s="8">
        <f t="shared" si="31"/>
        <v>0</v>
      </c>
      <c r="L2047" s="8">
        <f>+'[1]VENTAS(RESUMEN GLOBAL)'!J2047</f>
        <v>0</v>
      </c>
      <c r="M2047" s="8">
        <f>+Tabla1[[#This Row],[utilidad x dia]]*7</f>
        <v>0</v>
      </c>
    </row>
    <row r="2048" spans="1:13" x14ac:dyDescent="0.3">
      <c r="A2048" s="6">
        <f>+'[1]VENTAS(RESUMEN GLOBAL)'!L2048</f>
        <v>0</v>
      </c>
      <c r="B2048" s="6">
        <f>+'[1]VENTAS(RESUMEN GLOBAL)'!M2048</f>
        <v>0</v>
      </c>
      <c r="C2048">
        <f>+'[1]VENTAS(RESUMEN GLOBAL)'!B2048</f>
        <v>0</v>
      </c>
      <c r="D2048" t="e">
        <f>INDEX('[1]CÓDIGOS DE PRODUCTO'!$D$3:$D$1000,MATCH(C2048,'[1]CÓDIGOS DE PRODUCTO'!$A$3:$A$1000,0))</f>
        <v>#N/A</v>
      </c>
      <c r="E2048">
        <f>VLOOKUP(C2048,'[1]CÓDIGOS DE PRODUCTO'!$A$4:$B$156,2,FALSE)</f>
        <v>0</v>
      </c>
      <c r="F2048">
        <f>INDEX('[1]CÓDIGOS DE PRODUCTO'!$C$3:$C$1000,MATCH(C2048,'[1]CÓDIGOS DE PRODUCTO'!$A$3:$A$1000,0))</f>
        <v>0</v>
      </c>
      <c r="G2048">
        <f>+'[1]VENTAS(RESUMEN GLOBAL)'!D2048-'[1]VENTAS(RESUMEN GLOBAL)'!E2048</f>
        <v>0</v>
      </c>
      <c r="H2048" s="9">
        <f>+'[1]VENTAS(RESUMEN GLOBAL)'!K2048</f>
        <v>0</v>
      </c>
      <c r="I2048" s="8">
        <f>+G2048*'[1]VENTAS(RESUMEN GLOBAL)'!F2048</f>
        <v>0</v>
      </c>
      <c r="J2048" s="8">
        <f>'[1]VENTAS(RESUMEN GLOBAL)'!G2048*(1-'[1]VENTAS(RESUMEN GLOBAL)'!H2048)</f>
        <v>0</v>
      </c>
      <c r="K2048" s="8">
        <f t="shared" si="31"/>
        <v>0</v>
      </c>
      <c r="L2048" s="8">
        <f>+'[1]VENTAS(RESUMEN GLOBAL)'!J2048</f>
        <v>0</v>
      </c>
      <c r="M2048" s="8">
        <f>+Tabla1[[#This Row],[utilidad x dia]]*7</f>
        <v>0</v>
      </c>
    </row>
    <row r="2049" spans="1:13" x14ac:dyDescent="0.3">
      <c r="A2049" s="6">
        <f>+'[1]VENTAS(RESUMEN GLOBAL)'!L2049</f>
        <v>0</v>
      </c>
      <c r="B2049" s="6">
        <f>+'[1]VENTAS(RESUMEN GLOBAL)'!M2049</f>
        <v>0</v>
      </c>
      <c r="C2049">
        <f>+'[1]VENTAS(RESUMEN GLOBAL)'!B2049</f>
        <v>0</v>
      </c>
      <c r="D2049" t="e">
        <f>INDEX('[1]CÓDIGOS DE PRODUCTO'!$D$3:$D$1000,MATCH(C2049,'[1]CÓDIGOS DE PRODUCTO'!$A$3:$A$1000,0))</f>
        <v>#N/A</v>
      </c>
      <c r="E2049">
        <f>VLOOKUP(C2049,'[1]CÓDIGOS DE PRODUCTO'!$A$4:$B$156,2,FALSE)</f>
        <v>0</v>
      </c>
      <c r="F2049">
        <f>INDEX('[1]CÓDIGOS DE PRODUCTO'!$C$3:$C$1000,MATCH(C2049,'[1]CÓDIGOS DE PRODUCTO'!$A$3:$A$1000,0))</f>
        <v>0</v>
      </c>
      <c r="G2049">
        <f>+'[1]VENTAS(RESUMEN GLOBAL)'!D2049-'[1]VENTAS(RESUMEN GLOBAL)'!E2049</f>
        <v>0</v>
      </c>
      <c r="H2049" s="9">
        <f>+'[1]VENTAS(RESUMEN GLOBAL)'!K2049</f>
        <v>0</v>
      </c>
      <c r="I2049" s="8">
        <f>+G2049*'[1]VENTAS(RESUMEN GLOBAL)'!F2049</f>
        <v>0</v>
      </c>
      <c r="J2049" s="8">
        <f>'[1]VENTAS(RESUMEN GLOBAL)'!G2049*(1-'[1]VENTAS(RESUMEN GLOBAL)'!H2049)</f>
        <v>0</v>
      </c>
      <c r="K2049" s="8">
        <f t="shared" si="31"/>
        <v>0</v>
      </c>
      <c r="L2049" s="8">
        <f>+'[1]VENTAS(RESUMEN GLOBAL)'!J2049</f>
        <v>0</v>
      </c>
      <c r="M2049" s="8">
        <f>+Tabla1[[#This Row],[utilidad x dia]]*7</f>
        <v>0</v>
      </c>
    </row>
    <row r="2050" spans="1:13" x14ac:dyDescent="0.3">
      <c r="A2050" s="6">
        <f>+'[1]VENTAS(RESUMEN GLOBAL)'!L2050</f>
        <v>0</v>
      </c>
      <c r="B2050" s="6">
        <f>+'[1]VENTAS(RESUMEN GLOBAL)'!M2050</f>
        <v>0</v>
      </c>
      <c r="C2050">
        <f>+'[1]VENTAS(RESUMEN GLOBAL)'!B2050</f>
        <v>0</v>
      </c>
      <c r="D2050" t="e">
        <f>INDEX('[1]CÓDIGOS DE PRODUCTO'!$D$3:$D$1000,MATCH(C2050,'[1]CÓDIGOS DE PRODUCTO'!$A$3:$A$1000,0))</f>
        <v>#N/A</v>
      </c>
      <c r="E2050">
        <f>VLOOKUP(C2050,'[1]CÓDIGOS DE PRODUCTO'!$A$4:$B$156,2,FALSE)</f>
        <v>0</v>
      </c>
      <c r="F2050">
        <f>INDEX('[1]CÓDIGOS DE PRODUCTO'!$C$3:$C$1000,MATCH(C2050,'[1]CÓDIGOS DE PRODUCTO'!$A$3:$A$1000,0))</f>
        <v>0</v>
      </c>
      <c r="G2050">
        <f>+'[1]VENTAS(RESUMEN GLOBAL)'!D2050-'[1]VENTAS(RESUMEN GLOBAL)'!E2050</f>
        <v>0</v>
      </c>
      <c r="H2050" s="9">
        <f>+'[1]VENTAS(RESUMEN GLOBAL)'!K2050</f>
        <v>0</v>
      </c>
      <c r="I2050" s="8">
        <f>+G2050*'[1]VENTAS(RESUMEN GLOBAL)'!F2050</f>
        <v>0</v>
      </c>
      <c r="J2050" s="8">
        <f>'[1]VENTAS(RESUMEN GLOBAL)'!G2050*(1-'[1]VENTAS(RESUMEN GLOBAL)'!H2050)</f>
        <v>0</v>
      </c>
      <c r="K2050" s="8">
        <f t="shared" si="31"/>
        <v>0</v>
      </c>
      <c r="L2050" s="8">
        <f>+'[1]VENTAS(RESUMEN GLOBAL)'!J2050</f>
        <v>0</v>
      </c>
      <c r="M2050" s="8">
        <f>+Tabla1[[#This Row],[utilidad x dia]]*7</f>
        <v>0</v>
      </c>
    </row>
    <row r="2051" spans="1:13" x14ac:dyDescent="0.3">
      <c r="A2051" s="6">
        <f>+'[1]VENTAS(RESUMEN GLOBAL)'!L2051</f>
        <v>0</v>
      </c>
      <c r="B2051" s="6">
        <f>+'[1]VENTAS(RESUMEN GLOBAL)'!M2051</f>
        <v>0</v>
      </c>
      <c r="C2051">
        <f>+'[1]VENTAS(RESUMEN GLOBAL)'!B2051</f>
        <v>0</v>
      </c>
      <c r="D2051" t="e">
        <f>INDEX('[1]CÓDIGOS DE PRODUCTO'!$D$3:$D$1000,MATCH(C2051,'[1]CÓDIGOS DE PRODUCTO'!$A$3:$A$1000,0))</f>
        <v>#N/A</v>
      </c>
      <c r="E2051">
        <f>VLOOKUP(C2051,'[1]CÓDIGOS DE PRODUCTO'!$A$4:$B$156,2,FALSE)</f>
        <v>0</v>
      </c>
      <c r="F2051">
        <f>INDEX('[1]CÓDIGOS DE PRODUCTO'!$C$3:$C$1000,MATCH(C2051,'[1]CÓDIGOS DE PRODUCTO'!$A$3:$A$1000,0))</f>
        <v>0</v>
      </c>
      <c r="G2051">
        <f>+'[1]VENTAS(RESUMEN GLOBAL)'!D2051-'[1]VENTAS(RESUMEN GLOBAL)'!E2051</f>
        <v>0</v>
      </c>
      <c r="H2051" s="9">
        <f>+'[1]VENTAS(RESUMEN GLOBAL)'!K2051</f>
        <v>0</v>
      </c>
      <c r="I2051" s="8">
        <f>+G2051*'[1]VENTAS(RESUMEN GLOBAL)'!F2051</f>
        <v>0</v>
      </c>
      <c r="J2051" s="8">
        <f>'[1]VENTAS(RESUMEN GLOBAL)'!G2051*(1-'[1]VENTAS(RESUMEN GLOBAL)'!H2051)</f>
        <v>0</v>
      </c>
      <c r="K2051" s="8">
        <f t="shared" ref="K2051:K2114" si="32">+I2051-J2051</f>
        <v>0</v>
      </c>
      <c r="L2051" s="8">
        <f>+'[1]VENTAS(RESUMEN GLOBAL)'!J2051</f>
        <v>0</v>
      </c>
      <c r="M2051" s="8">
        <f>+Tabla1[[#This Row],[utilidad x dia]]*7</f>
        <v>0</v>
      </c>
    </row>
    <row r="2052" spans="1:13" x14ac:dyDescent="0.3">
      <c r="A2052" s="6">
        <f>+'[1]VENTAS(RESUMEN GLOBAL)'!L2052</f>
        <v>0</v>
      </c>
      <c r="B2052" s="6">
        <f>+'[1]VENTAS(RESUMEN GLOBAL)'!M2052</f>
        <v>0</v>
      </c>
      <c r="C2052">
        <f>+'[1]VENTAS(RESUMEN GLOBAL)'!B2052</f>
        <v>0</v>
      </c>
      <c r="D2052" t="e">
        <f>INDEX('[1]CÓDIGOS DE PRODUCTO'!$D$3:$D$1000,MATCH(C2052,'[1]CÓDIGOS DE PRODUCTO'!$A$3:$A$1000,0))</f>
        <v>#N/A</v>
      </c>
      <c r="E2052">
        <f>VLOOKUP(C2052,'[1]CÓDIGOS DE PRODUCTO'!$A$4:$B$156,2,FALSE)</f>
        <v>0</v>
      </c>
      <c r="F2052">
        <f>INDEX('[1]CÓDIGOS DE PRODUCTO'!$C$3:$C$1000,MATCH(C2052,'[1]CÓDIGOS DE PRODUCTO'!$A$3:$A$1000,0))</f>
        <v>0</v>
      </c>
      <c r="G2052">
        <f>+'[1]VENTAS(RESUMEN GLOBAL)'!D2052-'[1]VENTAS(RESUMEN GLOBAL)'!E2052</f>
        <v>0</v>
      </c>
      <c r="H2052" s="9">
        <f>+'[1]VENTAS(RESUMEN GLOBAL)'!K2052</f>
        <v>0</v>
      </c>
      <c r="I2052" s="8">
        <f>+G2052*'[1]VENTAS(RESUMEN GLOBAL)'!F2052</f>
        <v>0</v>
      </c>
      <c r="J2052" s="8">
        <f>'[1]VENTAS(RESUMEN GLOBAL)'!G2052*(1-'[1]VENTAS(RESUMEN GLOBAL)'!H2052)</f>
        <v>0</v>
      </c>
      <c r="K2052" s="8">
        <f t="shared" si="32"/>
        <v>0</v>
      </c>
      <c r="L2052" s="8">
        <f>+'[1]VENTAS(RESUMEN GLOBAL)'!J2052</f>
        <v>0</v>
      </c>
      <c r="M2052" s="8">
        <f>+Tabla1[[#This Row],[utilidad x dia]]*7</f>
        <v>0</v>
      </c>
    </row>
    <row r="2053" spans="1:13" x14ac:dyDescent="0.3">
      <c r="A2053" s="6">
        <f>+'[1]VENTAS(RESUMEN GLOBAL)'!L2053</f>
        <v>0</v>
      </c>
      <c r="B2053" s="6">
        <f>+'[1]VENTAS(RESUMEN GLOBAL)'!M2053</f>
        <v>0</v>
      </c>
      <c r="C2053">
        <f>+'[1]VENTAS(RESUMEN GLOBAL)'!B2053</f>
        <v>0</v>
      </c>
      <c r="D2053" t="e">
        <f>INDEX('[1]CÓDIGOS DE PRODUCTO'!$D$3:$D$1000,MATCH(C2053,'[1]CÓDIGOS DE PRODUCTO'!$A$3:$A$1000,0))</f>
        <v>#N/A</v>
      </c>
      <c r="E2053">
        <f>VLOOKUP(C2053,'[1]CÓDIGOS DE PRODUCTO'!$A$4:$B$156,2,FALSE)</f>
        <v>0</v>
      </c>
      <c r="F2053">
        <f>INDEX('[1]CÓDIGOS DE PRODUCTO'!$C$3:$C$1000,MATCH(C2053,'[1]CÓDIGOS DE PRODUCTO'!$A$3:$A$1000,0))</f>
        <v>0</v>
      </c>
      <c r="G2053">
        <f>+'[1]VENTAS(RESUMEN GLOBAL)'!D2053-'[1]VENTAS(RESUMEN GLOBAL)'!E2053</f>
        <v>0</v>
      </c>
      <c r="H2053" s="9">
        <f>+'[1]VENTAS(RESUMEN GLOBAL)'!K2053</f>
        <v>0</v>
      </c>
      <c r="I2053" s="8">
        <f>+G2053*'[1]VENTAS(RESUMEN GLOBAL)'!F2053</f>
        <v>0</v>
      </c>
      <c r="J2053" s="8">
        <f>'[1]VENTAS(RESUMEN GLOBAL)'!G2053*(1-'[1]VENTAS(RESUMEN GLOBAL)'!H2053)</f>
        <v>0</v>
      </c>
      <c r="K2053" s="8">
        <f t="shared" si="32"/>
        <v>0</v>
      </c>
      <c r="L2053" s="8">
        <f>+'[1]VENTAS(RESUMEN GLOBAL)'!J2053</f>
        <v>0</v>
      </c>
      <c r="M2053" s="8">
        <f>+Tabla1[[#This Row],[utilidad x dia]]*7</f>
        <v>0</v>
      </c>
    </row>
    <row r="2054" spans="1:13" x14ac:dyDescent="0.3">
      <c r="A2054" s="6">
        <f>+'[1]VENTAS(RESUMEN GLOBAL)'!L2054</f>
        <v>0</v>
      </c>
      <c r="B2054" s="6">
        <f>+'[1]VENTAS(RESUMEN GLOBAL)'!M2054</f>
        <v>0</v>
      </c>
      <c r="C2054">
        <f>+'[1]VENTAS(RESUMEN GLOBAL)'!B2054</f>
        <v>0</v>
      </c>
      <c r="D2054" t="e">
        <f>INDEX('[1]CÓDIGOS DE PRODUCTO'!$D$3:$D$1000,MATCH(C2054,'[1]CÓDIGOS DE PRODUCTO'!$A$3:$A$1000,0))</f>
        <v>#N/A</v>
      </c>
      <c r="E2054">
        <f>VLOOKUP(C2054,'[1]CÓDIGOS DE PRODUCTO'!$A$4:$B$156,2,FALSE)</f>
        <v>0</v>
      </c>
      <c r="F2054">
        <f>INDEX('[1]CÓDIGOS DE PRODUCTO'!$C$3:$C$1000,MATCH(C2054,'[1]CÓDIGOS DE PRODUCTO'!$A$3:$A$1000,0))</f>
        <v>0</v>
      </c>
      <c r="G2054">
        <f>+'[1]VENTAS(RESUMEN GLOBAL)'!D2054-'[1]VENTAS(RESUMEN GLOBAL)'!E2054</f>
        <v>0</v>
      </c>
      <c r="H2054" s="9">
        <f>+'[1]VENTAS(RESUMEN GLOBAL)'!K2054</f>
        <v>0</v>
      </c>
      <c r="I2054" s="8">
        <f>+G2054*'[1]VENTAS(RESUMEN GLOBAL)'!F2054</f>
        <v>0</v>
      </c>
      <c r="J2054" s="8">
        <f>'[1]VENTAS(RESUMEN GLOBAL)'!G2054*(1-'[1]VENTAS(RESUMEN GLOBAL)'!H2054)</f>
        <v>0</v>
      </c>
      <c r="K2054" s="8">
        <f t="shared" si="32"/>
        <v>0</v>
      </c>
      <c r="L2054" s="8">
        <f>+'[1]VENTAS(RESUMEN GLOBAL)'!J2054</f>
        <v>0</v>
      </c>
      <c r="M2054" s="8">
        <f>+Tabla1[[#This Row],[utilidad x dia]]*7</f>
        <v>0</v>
      </c>
    </row>
    <row r="2055" spans="1:13" x14ac:dyDescent="0.3">
      <c r="A2055" s="6">
        <f>+'[1]VENTAS(RESUMEN GLOBAL)'!L2055</f>
        <v>0</v>
      </c>
      <c r="B2055" s="6">
        <f>+'[1]VENTAS(RESUMEN GLOBAL)'!M2055</f>
        <v>0</v>
      </c>
      <c r="C2055">
        <f>+'[1]VENTAS(RESUMEN GLOBAL)'!B2055</f>
        <v>0</v>
      </c>
      <c r="D2055" t="e">
        <f>INDEX('[1]CÓDIGOS DE PRODUCTO'!$D$3:$D$1000,MATCH(C2055,'[1]CÓDIGOS DE PRODUCTO'!$A$3:$A$1000,0))</f>
        <v>#N/A</v>
      </c>
      <c r="E2055">
        <f>VLOOKUP(C2055,'[1]CÓDIGOS DE PRODUCTO'!$A$4:$B$156,2,FALSE)</f>
        <v>0</v>
      </c>
      <c r="F2055">
        <f>INDEX('[1]CÓDIGOS DE PRODUCTO'!$C$3:$C$1000,MATCH(C2055,'[1]CÓDIGOS DE PRODUCTO'!$A$3:$A$1000,0))</f>
        <v>0</v>
      </c>
      <c r="G2055">
        <f>+'[1]VENTAS(RESUMEN GLOBAL)'!D2055-'[1]VENTAS(RESUMEN GLOBAL)'!E2055</f>
        <v>0</v>
      </c>
      <c r="H2055" s="9">
        <f>+'[1]VENTAS(RESUMEN GLOBAL)'!K2055</f>
        <v>0</v>
      </c>
      <c r="I2055" s="8">
        <f>+G2055*'[1]VENTAS(RESUMEN GLOBAL)'!F2055</f>
        <v>0</v>
      </c>
      <c r="J2055" s="8">
        <f>'[1]VENTAS(RESUMEN GLOBAL)'!G2055*(1-'[1]VENTAS(RESUMEN GLOBAL)'!H2055)</f>
        <v>0</v>
      </c>
      <c r="K2055" s="8">
        <f t="shared" si="32"/>
        <v>0</v>
      </c>
      <c r="L2055" s="8">
        <f>+'[1]VENTAS(RESUMEN GLOBAL)'!J2055</f>
        <v>0</v>
      </c>
      <c r="M2055" s="8">
        <f>+Tabla1[[#This Row],[utilidad x dia]]*7</f>
        <v>0</v>
      </c>
    </row>
    <row r="2056" spans="1:13" x14ac:dyDescent="0.3">
      <c r="A2056" s="6">
        <f>+'[1]VENTAS(RESUMEN GLOBAL)'!L2056</f>
        <v>0</v>
      </c>
      <c r="B2056" s="6">
        <f>+'[1]VENTAS(RESUMEN GLOBAL)'!M2056</f>
        <v>0</v>
      </c>
      <c r="C2056">
        <f>+'[1]VENTAS(RESUMEN GLOBAL)'!B2056</f>
        <v>0</v>
      </c>
      <c r="D2056" t="e">
        <f>INDEX('[1]CÓDIGOS DE PRODUCTO'!$D$3:$D$1000,MATCH(C2056,'[1]CÓDIGOS DE PRODUCTO'!$A$3:$A$1000,0))</f>
        <v>#N/A</v>
      </c>
      <c r="E2056">
        <f>VLOOKUP(C2056,'[1]CÓDIGOS DE PRODUCTO'!$A$4:$B$156,2,FALSE)</f>
        <v>0</v>
      </c>
      <c r="F2056">
        <f>INDEX('[1]CÓDIGOS DE PRODUCTO'!$C$3:$C$1000,MATCH(C2056,'[1]CÓDIGOS DE PRODUCTO'!$A$3:$A$1000,0))</f>
        <v>0</v>
      </c>
      <c r="G2056">
        <f>+'[1]VENTAS(RESUMEN GLOBAL)'!D2056-'[1]VENTAS(RESUMEN GLOBAL)'!E2056</f>
        <v>0</v>
      </c>
      <c r="H2056" s="9">
        <f>+'[1]VENTAS(RESUMEN GLOBAL)'!K2056</f>
        <v>0</v>
      </c>
      <c r="I2056" s="8">
        <f>+G2056*'[1]VENTAS(RESUMEN GLOBAL)'!F2056</f>
        <v>0</v>
      </c>
      <c r="J2056" s="8">
        <f>'[1]VENTAS(RESUMEN GLOBAL)'!G2056*(1-'[1]VENTAS(RESUMEN GLOBAL)'!H2056)</f>
        <v>0</v>
      </c>
      <c r="K2056" s="8">
        <f t="shared" si="32"/>
        <v>0</v>
      </c>
      <c r="L2056" s="8">
        <f>+'[1]VENTAS(RESUMEN GLOBAL)'!J2056</f>
        <v>0</v>
      </c>
      <c r="M2056" s="8">
        <f>+Tabla1[[#This Row],[utilidad x dia]]*7</f>
        <v>0</v>
      </c>
    </row>
    <row r="2057" spans="1:13" x14ac:dyDescent="0.3">
      <c r="A2057" s="6">
        <f>+'[1]VENTAS(RESUMEN GLOBAL)'!L2057</f>
        <v>0</v>
      </c>
      <c r="B2057" s="6">
        <f>+'[1]VENTAS(RESUMEN GLOBAL)'!M2057</f>
        <v>0</v>
      </c>
      <c r="C2057">
        <f>+'[1]VENTAS(RESUMEN GLOBAL)'!B2057</f>
        <v>0</v>
      </c>
      <c r="D2057" t="e">
        <f>INDEX('[1]CÓDIGOS DE PRODUCTO'!$D$3:$D$1000,MATCH(C2057,'[1]CÓDIGOS DE PRODUCTO'!$A$3:$A$1000,0))</f>
        <v>#N/A</v>
      </c>
      <c r="E2057">
        <f>VLOOKUP(C2057,'[1]CÓDIGOS DE PRODUCTO'!$A$4:$B$156,2,FALSE)</f>
        <v>0</v>
      </c>
      <c r="F2057">
        <f>INDEX('[1]CÓDIGOS DE PRODUCTO'!$C$3:$C$1000,MATCH(C2057,'[1]CÓDIGOS DE PRODUCTO'!$A$3:$A$1000,0))</f>
        <v>0</v>
      </c>
      <c r="G2057">
        <f>+'[1]VENTAS(RESUMEN GLOBAL)'!D2057-'[1]VENTAS(RESUMEN GLOBAL)'!E2057</f>
        <v>0</v>
      </c>
      <c r="H2057" s="9">
        <f>+'[1]VENTAS(RESUMEN GLOBAL)'!K2057</f>
        <v>0</v>
      </c>
      <c r="I2057" s="8">
        <f>+G2057*'[1]VENTAS(RESUMEN GLOBAL)'!F2057</f>
        <v>0</v>
      </c>
      <c r="J2057" s="8">
        <f>'[1]VENTAS(RESUMEN GLOBAL)'!G2057*(1-'[1]VENTAS(RESUMEN GLOBAL)'!H2057)</f>
        <v>0</v>
      </c>
      <c r="K2057" s="8">
        <f t="shared" si="32"/>
        <v>0</v>
      </c>
      <c r="L2057" s="8">
        <f>+'[1]VENTAS(RESUMEN GLOBAL)'!J2057</f>
        <v>0</v>
      </c>
      <c r="M2057" s="8">
        <f>+Tabla1[[#This Row],[utilidad x dia]]*7</f>
        <v>0</v>
      </c>
    </row>
    <row r="2058" spans="1:13" x14ac:dyDescent="0.3">
      <c r="A2058" s="6">
        <f>+'[1]VENTAS(RESUMEN GLOBAL)'!L2058</f>
        <v>0</v>
      </c>
      <c r="B2058" s="6">
        <f>+'[1]VENTAS(RESUMEN GLOBAL)'!M2058</f>
        <v>0</v>
      </c>
      <c r="C2058">
        <f>+'[1]VENTAS(RESUMEN GLOBAL)'!B2058</f>
        <v>0</v>
      </c>
      <c r="D2058" t="e">
        <f>INDEX('[1]CÓDIGOS DE PRODUCTO'!$D$3:$D$1000,MATCH(C2058,'[1]CÓDIGOS DE PRODUCTO'!$A$3:$A$1000,0))</f>
        <v>#N/A</v>
      </c>
      <c r="E2058">
        <f>VLOOKUP(C2058,'[1]CÓDIGOS DE PRODUCTO'!$A$4:$B$156,2,FALSE)</f>
        <v>0</v>
      </c>
      <c r="F2058">
        <f>INDEX('[1]CÓDIGOS DE PRODUCTO'!$C$3:$C$1000,MATCH(C2058,'[1]CÓDIGOS DE PRODUCTO'!$A$3:$A$1000,0))</f>
        <v>0</v>
      </c>
      <c r="G2058">
        <f>+'[1]VENTAS(RESUMEN GLOBAL)'!D2058-'[1]VENTAS(RESUMEN GLOBAL)'!E2058</f>
        <v>0</v>
      </c>
      <c r="H2058" s="9">
        <f>+'[1]VENTAS(RESUMEN GLOBAL)'!K2058</f>
        <v>0</v>
      </c>
      <c r="I2058" s="8">
        <f>+G2058*'[1]VENTAS(RESUMEN GLOBAL)'!F2058</f>
        <v>0</v>
      </c>
      <c r="J2058" s="8">
        <f>'[1]VENTAS(RESUMEN GLOBAL)'!G2058*(1-'[1]VENTAS(RESUMEN GLOBAL)'!H2058)</f>
        <v>0</v>
      </c>
      <c r="K2058" s="8">
        <f t="shared" si="32"/>
        <v>0</v>
      </c>
      <c r="L2058" s="8">
        <f>+'[1]VENTAS(RESUMEN GLOBAL)'!J2058</f>
        <v>0</v>
      </c>
      <c r="M2058" s="8">
        <f>+Tabla1[[#This Row],[utilidad x dia]]*7</f>
        <v>0</v>
      </c>
    </row>
    <row r="2059" spans="1:13" x14ac:dyDescent="0.3">
      <c r="A2059" s="6">
        <f>+'[1]VENTAS(RESUMEN GLOBAL)'!L2059</f>
        <v>0</v>
      </c>
      <c r="B2059" s="6">
        <f>+'[1]VENTAS(RESUMEN GLOBAL)'!M2059</f>
        <v>0</v>
      </c>
      <c r="C2059">
        <f>+'[1]VENTAS(RESUMEN GLOBAL)'!B2059</f>
        <v>0</v>
      </c>
      <c r="D2059" t="e">
        <f>INDEX('[1]CÓDIGOS DE PRODUCTO'!$D$3:$D$1000,MATCH(C2059,'[1]CÓDIGOS DE PRODUCTO'!$A$3:$A$1000,0))</f>
        <v>#N/A</v>
      </c>
      <c r="E2059">
        <f>VLOOKUP(C2059,'[1]CÓDIGOS DE PRODUCTO'!$A$4:$B$156,2,FALSE)</f>
        <v>0</v>
      </c>
      <c r="F2059">
        <f>INDEX('[1]CÓDIGOS DE PRODUCTO'!$C$3:$C$1000,MATCH(C2059,'[1]CÓDIGOS DE PRODUCTO'!$A$3:$A$1000,0))</f>
        <v>0</v>
      </c>
      <c r="G2059">
        <f>+'[1]VENTAS(RESUMEN GLOBAL)'!D2059-'[1]VENTAS(RESUMEN GLOBAL)'!E2059</f>
        <v>0</v>
      </c>
      <c r="H2059" s="9">
        <f>+'[1]VENTAS(RESUMEN GLOBAL)'!K2059</f>
        <v>0</v>
      </c>
      <c r="I2059" s="8">
        <f>+G2059*'[1]VENTAS(RESUMEN GLOBAL)'!F2059</f>
        <v>0</v>
      </c>
      <c r="J2059" s="8">
        <f>'[1]VENTAS(RESUMEN GLOBAL)'!G2059*(1-'[1]VENTAS(RESUMEN GLOBAL)'!H2059)</f>
        <v>0</v>
      </c>
      <c r="K2059" s="8">
        <f t="shared" si="32"/>
        <v>0</v>
      </c>
      <c r="L2059" s="8">
        <f>+'[1]VENTAS(RESUMEN GLOBAL)'!J2059</f>
        <v>0</v>
      </c>
      <c r="M2059" s="8">
        <f>+Tabla1[[#This Row],[utilidad x dia]]*7</f>
        <v>0</v>
      </c>
    </row>
    <row r="2060" spans="1:13" x14ac:dyDescent="0.3">
      <c r="A2060" s="6">
        <f>+'[1]VENTAS(RESUMEN GLOBAL)'!L2060</f>
        <v>0</v>
      </c>
      <c r="B2060" s="6">
        <f>+'[1]VENTAS(RESUMEN GLOBAL)'!M2060</f>
        <v>0</v>
      </c>
      <c r="C2060">
        <f>+'[1]VENTAS(RESUMEN GLOBAL)'!B2060</f>
        <v>0</v>
      </c>
      <c r="D2060" t="e">
        <f>INDEX('[1]CÓDIGOS DE PRODUCTO'!$D$3:$D$1000,MATCH(C2060,'[1]CÓDIGOS DE PRODUCTO'!$A$3:$A$1000,0))</f>
        <v>#N/A</v>
      </c>
      <c r="E2060">
        <f>VLOOKUP(C2060,'[1]CÓDIGOS DE PRODUCTO'!$A$4:$B$156,2,FALSE)</f>
        <v>0</v>
      </c>
      <c r="F2060">
        <f>INDEX('[1]CÓDIGOS DE PRODUCTO'!$C$3:$C$1000,MATCH(C2060,'[1]CÓDIGOS DE PRODUCTO'!$A$3:$A$1000,0))</f>
        <v>0</v>
      </c>
      <c r="G2060">
        <f>+'[1]VENTAS(RESUMEN GLOBAL)'!D2060-'[1]VENTAS(RESUMEN GLOBAL)'!E2060</f>
        <v>0</v>
      </c>
      <c r="H2060" s="9">
        <f>+'[1]VENTAS(RESUMEN GLOBAL)'!K2060</f>
        <v>0</v>
      </c>
      <c r="I2060" s="8">
        <f>+G2060*'[1]VENTAS(RESUMEN GLOBAL)'!F2060</f>
        <v>0</v>
      </c>
      <c r="J2060" s="8">
        <f>'[1]VENTAS(RESUMEN GLOBAL)'!G2060*(1-'[1]VENTAS(RESUMEN GLOBAL)'!H2060)</f>
        <v>0</v>
      </c>
      <c r="K2060" s="8">
        <f t="shared" si="32"/>
        <v>0</v>
      </c>
      <c r="L2060" s="8">
        <f>+'[1]VENTAS(RESUMEN GLOBAL)'!J2060</f>
        <v>0</v>
      </c>
      <c r="M2060" s="8">
        <f>+Tabla1[[#This Row],[utilidad x dia]]*7</f>
        <v>0</v>
      </c>
    </row>
    <row r="2061" spans="1:13" x14ac:dyDescent="0.3">
      <c r="A2061" s="6">
        <f>+'[1]VENTAS(RESUMEN GLOBAL)'!L2061</f>
        <v>0</v>
      </c>
      <c r="B2061" s="6">
        <f>+'[1]VENTAS(RESUMEN GLOBAL)'!M2061</f>
        <v>0</v>
      </c>
      <c r="C2061">
        <f>+'[1]VENTAS(RESUMEN GLOBAL)'!B2061</f>
        <v>0</v>
      </c>
      <c r="D2061" t="e">
        <f>INDEX('[1]CÓDIGOS DE PRODUCTO'!$D$3:$D$1000,MATCH(C2061,'[1]CÓDIGOS DE PRODUCTO'!$A$3:$A$1000,0))</f>
        <v>#N/A</v>
      </c>
      <c r="E2061">
        <f>VLOOKUP(C2061,'[1]CÓDIGOS DE PRODUCTO'!$A$4:$B$156,2,FALSE)</f>
        <v>0</v>
      </c>
      <c r="F2061">
        <f>INDEX('[1]CÓDIGOS DE PRODUCTO'!$C$3:$C$1000,MATCH(C2061,'[1]CÓDIGOS DE PRODUCTO'!$A$3:$A$1000,0))</f>
        <v>0</v>
      </c>
      <c r="G2061">
        <f>+'[1]VENTAS(RESUMEN GLOBAL)'!D2061-'[1]VENTAS(RESUMEN GLOBAL)'!E2061</f>
        <v>0</v>
      </c>
      <c r="H2061" s="9">
        <f>+'[1]VENTAS(RESUMEN GLOBAL)'!K2061</f>
        <v>0</v>
      </c>
      <c r="I2061" s="8">
        <f>+G2061*'[1]VENTAS(RESUMEN GLOBAL)'!F2061</f>
        <v>0</v>
      </c>
      <c r="J2061" s="8">
        <f>'[1]VENTAS(RESUMEN GLOBAL)'!G2061*(1-'[1]VENTAS(RESUMEN GLOBAL)'!H2061)</f>
        <v>0</v>
      </c>
      <c r="K2061" s="8">
        <f t="shared" si="32"/>
        <v>0</v>
      </c>
      <c r="L2061" s="8">
        <f>+'[1]VENTAS(RESUMEN GLOBAL)'!J2061</f>
        <v>0</v>
      </c>
      <c r="M2061" s="8">
        <f>+Tabla1[[#This Row],[utilidad x dia]]*7</f>
        <v>0</v>
      </c>
    </row>
    <row r="2062" spans="1:13" x14ac:dyDescent="0.3">
      <c r="A2062" s="6">
        <f>+'[1]VENTAS(RESUMEN GLOBAL)'!L2062</f>
        <v>0</v>
      </c>
      <c r="B2062" s="6">
        <f>+'[1]VENTAS(RESUMEN GLOBAL)'!M2062</f>
        <v>0</v>
      </c>
      <c r="C2062">
        <f>+'[1]VENTAS(RESUMEN GLOBAL)'!B2062</f>
        <v>0</v>
      </c>
      <c r="D2062" t="e">
        <f>INDEX('[1]CÓDIGOS DE PRODUCTO'!$D$3:$D$1000,MATCH(C2062,'[1]CÓDIGOS DE PRODUCTO'!$A$3:$A$1000,0))</f>
        <v>#N/A</v>
      </c>
      <c r="E2062">
        <f>VLOOKUP(C2062,'[1]CÓDIGOS DE PRODUCTO'!$A$4:$B$156,2,FALSE)</f>
        <v>0</v>
      </c>
      <c r="F2062">
        <f>INDEX('[1]CÓDIGOS DE PRODUCTO'!$C$3:$C$1000,MATCH(C2062,'[1]CÓDIGOS DE PRODUCTO'!$A$3:$A$1000,0))</f>
        <v>0</v>
      </c>
      <c r="G2062">
        <f>+'[1]VENTAS(RESUMEN GLOBAL)'!D2062-'[1]VENTAS(RESUMEN GLOBAL)'!E2062</f>
        <v>0</v>
      </c>
      <c r="H2062" s="9">
        <f>+'[1]VENTAS(RESUMEN GLOBAL)'!K2062</f>
        <v>0</v>
      </c>
      <c r="I2062" s="8">
        <f>+G2062*'[1]VENTAS(RESUMEN GLOBAL)'!F2062</f>
        <v>0</v>
      </c>
      <c r="J2062" s="8">
        <f>'[1]VENTAS(RESUMEN GLOBAL)'!G2062*(1-'[1]VENTAS(RESUMEN GLOBAL)'!H2062)</f>
        <v>0</v>
      </c>
      <c r="K2062" s="8">
        <f t="shared" si="32"/>
        <v>0</v>
      </c>
      <c r="L2062" s="8">
        <f>+'[1]VENTAS(RESUMEN GLOBAL)'!J2062</f>
        <v>0</v>
      </c>
      <c r="M2062" s="8">
        <f>+Tabla1[[#This Row],[utilidad x dia]]*7</f>
        <v>0</v>
      </c>
    </row>
    <row r="2063" spans="1:13" x14ac:dyDescent="0.3">
      <c r="A2063" s="6">
        <f>+'[1]VENTAS(RESUMEN GLOBAL)'!L2063</f>
        <v>0</v>
      </c>
      <c r="B2063" s="6">
        <f>+'[1]VENTAS(RESUMEN GLOBAL)'!M2063</f>
        <v>0</v>
      </c>
      <c r="C2063">
        <f>+'[1]VENTAS(RESUMEN GLOBAL)'!B2063</f>
        <v>0</v>
      </c>
      <c r="D2063" t="e">
        <f>INDEX('[1]CÓDIGOS DE PRODUCTO'!$D$3:$D$1000,MATCH(C2063,'[1]CÓDIGOS DE PRODUCTO'!$A$3:$A$1000,0))</f>
        <v>#N/A</v>
      </c>
      <c r="E2063">
        <f>VLOOKUP(C2063,'[1]CÓDIGOS DE PRODUCTO'!$A$4:$B$156,2,FALSE)</f>
        <v>0</v>
      </c>
      <c r="F2063">
        <f>INDEX('[1]CÓDIGOS DE PRODUCTO'!$C$3:$C$1000,MATCH(C2063,'[1]CÓDIGOS DE PRODUCTO'!$A$3:$A$1000,0))</f>
        <v>0</v>
      </c>
      <c r="G2063">
        <f>+'[1]VENTAS(RESUMEN GLOBAL)'!D2063-'[1]VENTAS(RESUMEN GLOBAL)'!E2063</f>
        <v>0</v>
      </c>
      <c r="H2063" s="9">
        <f>+'[1]VENTAS(RESUMEN GLOBAL)'!K2063</f>
        <v>0</v>
      </c>
      <c r="I2063" s="8">
        <f>+G2063*'[1]VENTAS(RESUMEN GLOBAL)'!F2063</f>
        <v>0</v>
      </c>
      <c r="J2063" s="8">
        <f>'[1]VENTAS(RESUMEN GLOBAL)'!G2063*(1-'[1]VENTAS(RESUMEN GLOBAL)'!H2063)</f>
        <v>0</v>
      </c>
      <c r="K2063" s="8">
        <f t="shared" si="32"/>
        <v>0</v>
      </c>
      <c r="L2063" s="8">
        <f>+'[1]VENTAS(RESUMEN GLOBAL)'!J2063</f>
        <v>0</v>
      </c>
      <c r="M2063" s="8">
        <f>+Tabla1[[#This Row],[utilidad x dia]]*7</f>
        <v>0</v>
      </c>
    </row>
    <row r="2064" spans="1:13" x14ac:dyDescent="0.3">
      <c r="A2064" s="6">
        <f>+'[1]VENTAS(RESUMEN GLOBAL)'!L2064</f>
        <v>0</v>
      </c>
      <c r="B2064" s="6">
        <f>+'[1]VENTAS(RESUMEN GLOBAL)'!M2064</f>
        <v>0</v>
      </c>
      <c r="C2064">
        <f>+'[1]VENTAS(RESUMEN GLOBAL)'!B2064</f>
        <v>0</v>
      </c>
      <c r="D2064" t="e">
        <f>INDEX('[1]CÓDIGOS DE PRODUCTO'!$D$3:$D$1000,MATCH(C2064,'[1]CÓDIGOS DE PRODUCTO'!$A$3:$A$1000,0))</f>
        <v>#N/A</v>
      </c>
      <c r="E2064">
        <f>VLOOKUP(C2064,'[1]CÓDIGOS DE PRODUCTO'!$A$4:$B$156,2,FALSE)</f>
        <v>0</v>
      </c>
      <c r="F2064">
        <f>INDEX('[1]CÓDIGOS DE PRODUCTO'!$C$3:$C$1000,MATCH(C2064,'[1]CÓDIGOS DE PRODUCTO'!$A$3:$A$1000,0))</f>
        <v>0</v>
      </c>
      <c r="G2064">
        <f>+'[1]VENTAS(RESUMEN GLOBAL)'!D2064-'[1]VENTAS(RESUMEN GLOBAL)'!E2064</f>
        <v>0</v>
      </c>
      <c r="H2064" s="9">
        <f>+'[1]VENTAS(RESUMEN GLOBAL)'!K2064</f>
        <v>0</v>
      </c>
      <c r="I2064" s="8">
        <f>+G2064*'[1]VENTAS(RESUMEN GLOBAL)'!F2064</f>
        <v>0</v>
      </c>
      <c r="J2064" s="8">
        <f>'[1]VENTAS(RESUMEN GLOBAL)'!G2064*(1-'[1]VENTAS(RESUMEN GLOBAL)'!H2064)</f>
        <v>0</v>
      </c>
      <c r="K2064" s="8">
        <f t="shared" si="32"/>
        <v>0</v>
      </c>
      <c r="L2064" s="8">
        <f>+'[1]VENTAS(RESUMEN GLOBAL)'!J2064</f>
        <v>0</v>
      </c>
      <c r="M2064" s="8">
        <f>+Tabla1[[#This Row],[utilidad x dia]]*7</f>
        <v>0</v>
      </c>
    </row>
    <row r="2065" spans="1:13" x14ac:dyDescent="0.3">
      <c r="A2065" s="6">
        <f>+'[1]VENTAS(RESUMEN GLOBAL)'!L2065</f>
        <v>0</v>
      </c>
      <c r="B2065" s="6">
        <f>+'[1]VENTAS(RESUMEN GLOBAL)'!M2065</f>
        <v>0</v>
      </c>
      <c r="C2065">
        <f>+'[1]VENTAS(RESUMEN GLOBAL)'!B2065</f>
        <v>0</v>
      </c>
      <c r="D2065" t="e">
        <f>INDEX('[1]CÓDIGOS DE PRODUCTO'!$D$3:$D$1000,MATCH(C2065,'[1]CÓDIGOS DE PRODUCTO'!$A$3:$A$1000,0))</f>
        <v>#N/A</v>
      </c>
      <c r="E2065">
        <f>VLOOKUP(C2065,'[1]CÓDIGOS DE PRODUCTO'!$A$4:$B$156,2,FALSE)</f>
        <v>0</v>
      </c>
      <c r="F2065">
        <f>INDEX('[1]CÓDIGOS DE PRODUCTO'!$C$3:$C$1000,MATCH(C2065,'[1]CÓDIGOS DE PRODUCTO'!$A$3:$A$1000,0))</f>
        <v>0</v>
      </c>
      <c r="G2065">
        <f>+'[1]VENTAS(RESUMEN GLOBAL)'!D2065-'[1]VENTAS(RESUMEN GLOBAL)'!E2065</f>
        <v>0</v>
      </c>
      <c r="H2065" s="9">
        <f>+'[1]VENTAS(RESUMEN GLOBAL)'!K2065</f>
        <v>0</v>
      </c>
      <c r="I2065" s="8">
        <f>+G2065*'[1]VENTAS(RESUMEN GLOBAL)'!F2065</f>
        <v>0</v>
      </c>
      <c r="J2065" s="8">
        <f>'[1]VENTAS(RESUMEN GLOBAL)'!G2065*(1-'[1]VENTAS(RESUMEN GLOBAL)'!H2065)</f>
        <v>0</v>
      </c>
      <c r="K2065" s="8">
        <f t="shared" si="32"/>
        <v>0</v>
      </c>
      <c r="L2065" s="8">
        <f>+'[1]VENTAS(RESUMEN GLOBAL)'!J2065</f>
        <v>0</v>
      </c>
      <c r="M2065" s="8">
        <f>+Tabla1[[#This Row],[utilidad x dia]]*7</f>
        <v>0</v>
      </c>
    </row>
    <row r="2066" spans="1:13" x14ac:dyDescent="0.3">
      <c r="A2066" s="6">
        <f>+'[1]VENTAS(RESUMEN GLOBAL)'!L2066</f>
        <v>0</v>
      </c>
      <c r="B2066" s="6">
        <f>+'[1]VENTAS(RESUMEN GLOBAL)'!M2066</f>
        <v>0</v>
      </c>
      <c r="C2066">
        <f>+'[1]VENTAS(RESUMEN GLOBAL)'!B2066</f>
        <v>0</v>
      </c>
      <c r="D2066" t="e">
        <f>INDEX('[1]CÓDIGOS DE PRODUCTO'!$D$3:$D$1000,MATCH(C2066,'[1]CÓDIGOS DE PRODUCTO'!$A$3:$A$1000,0))</f>
        <v>#N/A</v>
      </c>
      <c r="E2066">
        <f>VLOOKUP(C2066,'[1]CÓDIGOS DE PRODUCTO'!$A$4:$B$156,2,FALSE)</f>
        <v>0</v>
      </c>
      <c r="F2066">
        <f>INDEX('[1]CÓDIGOS DE PRODUCTO'!$C$3:$C$1000,MATCH(C2066,'[1]CÓDIGOS DE PRODUCTO'!$A$3:$A$1000,0))</f>
        <v>0</v>
      </c>
      <c r="G2066">
        <f>+'[1]VENTAS(RESUMEN GLOBAL)'!D2066-'[1]VENTAS(RESUMEN GLOBAL)'!E2066</f>
        <v>0</v>
      </c>
      <c r="H2066" s="9">
        <f>+'[1]VENTAS(RESUMEN GLOBAL)'!K2066</f>
        <v>0</v>
      </c>
      <c r="I2066" s="8">
        <f>+G2066*'[1]VENTAS(RESUMEN GLOBAL)'!F2066</f>
        <v>0</v>
      </c>
      <c r="J2066" s="8">
        <f>'[1]VENTAS(RESUMEN GLOBAL)'!G2066*(1-'[1]VENTAS(RESUMEN GLOBAL)'!H2066)</f>
        <v>0</v>
      </c>
      <c r="K2066" s="8">
        <f t="shared" si="32"/>
        <v>0</v>
      </c>
      <c r="L2066" s="8">
        <f>+'[1]VENTAS(RESUMEN GLOBAL)'!J2066</f>
        <v>0</v>
      </c>
      <c r="M2066" s="8">
        <f>+Tabla1[[#This Row],[utilidad x dia]]*7</f>
        <v>0</v>
      </c>
    </row>
    <row r="2067" spans="1:13" x14ac:dyDescent="0.3">
      <c r="A2067" s="6">
        <f>+'[1]VENTAS(RESUMEN GLOBAL)'!L2067</f>
        <v>0</v>
      </c>
      <c r="B2067" s="6">
        <f>+'[1]VENTAS(RESUMEN GLOBAL)'!M2067</f>
        <v>0</v>
      </c>
      <c r="C2067">
        <f>+'[1]VENTAS(RESUMEN GLOBAL)'!B2067</f>
        <v>0</v>
      </c>
      <c r="D2067" t="e">
        <f>INDEX('[1]CÓDIGOS DE PRODUCTO'!$D$3:$D$1000,MATCH(C2067,'[1]CÓDIGOS DE PRODUCTO'!$A$3:$A$1000,0))</f>
        <v>#N/A</v>
      </c>
      <c r="E2067">
        <f>VLOOKUP(C2067,'[1]CÓDIGOS DE PRODUCTO'!$A$4:$B$156,2,FALSE)</f>
        <v>0</v>
      </c>
      <c r="F2067">
        <f>INDEX('[1]CÓDIGOS DE PRODUCTO'!$C$3:$C$1000,MATCH(C2067,'[1]CÓDIGOS DE PRODUCTO'!$A$3:$A$1000,0))</f>
        <v>0</v>
      </c>
      <c r="G2067">
        <f>+'[1]VENTAS(RESUMEN GLOBAL)'!D2067-'[1]VENTAS(RESUMEN GLOBAL)'!E2067</f>
        <v>0</v>
      </c>
      <c r="H2067" s="9">
        <f>+'[1]VENTAS(RESUMEN GLOBAL)'!K2067</f>
        <v>0</v>
      </c>
      <c r="I2067" s="8">
        <f>+G2067*'[1]VENTAS(RESUMEN GLOBAL)'!F2067</f>
        <v>0</v>
      </c>
      <c r="J2067" s="8">
        <f>'[1]VENTAS(RESUMEN GLOBAL)'!G2067*(1-'[1]VENTAS(RESUMEN GLOBAL)'!H2067)</f>
        <v>0</v>
      </c>
      <c r="K2067" s="8">
        <f t="shared" si="32"/>
        <v>0</v>
      </c>
      <c r="L2067" s="8">
        <f>+'[1]VENTAS(RESUMEN GLOBAL)'!J2067</f>
        <v>0</v>
      </c>
      <c r="M2067" s="8">
        <f>+Tabla1[[#This Row],[utilidad x dia]]*7</f>
        <v>0</v>
      </c>
    </row>
    <row r="2068" spans="1:13" x14ac:dyDescent="0.3">
      <c r="A2068" s="6">
        <f>+'[1]VENTAS(RESUMEN GLOBAL)'!L2068</f>
        <v>0</v>
      </c>
      <c r="B2068" s="6">
        <f>+'[1]VENTAS(RESUMEN GLOBAL)'!M2068</f>
        <v>0</v>
      </c>
      <c r="C2068">
        <f>+'[1]VENTAS(RESUMEN GLOBAL)'!B2068</f>
        <v>0</v>
      </c>
      <c r="D2068" t="e">
        <f>INDEX('[1]CÓDIGOS DE PRODUCTO'!$D$3:$D$1000,MATCH(C2068,'[1]CÓDIGOS DE PRODUCTO'!$A$3:$A$1000,0))</f>
        <v>#N/A</v>
      </c>
      <c r="E2068">
        <f>VLOOKUP(C2068,'[1]CÓDIGOS DE PRODUCTO'!$A$4:$B$156,2,FALSE)</f>
        <v>0</v>
      </c>
      <c r="F2068">
        <f>INDEX('[1]CÓDIGOS DE PRODUCTO'!$C$3:$C$1000,MATCH(C2068,'[1]CÓDIGOS DE PRODUCTO'!$A$3:$A$1000,0))</f>
        <v>0</v>
      </c>
      <c r="G2068">
        <f>+'[1]VENTAS(RESUMEN GLOBAL)'!D2068-'[1]VENTAS(RESUMEN GLOBAL)'!E2068</f>
        <v>0</v>
      </c>
      <c r="H2068" s="9">
        <f>+'[1]VENTAS(RESUMEN GLOBAL)'!K2068</f>
        <v>0</v>
      </c>
      <c r="I2068" s="8">
        <f>+G2068*'[1]VENTAS(RESUMEN GLOBAL)'!F2068</f>
        <v>0</v>
      </c>
      <c r="J2068" s="8">
        <f>'[1]VENTAS(RESUMEN GLOBAL)'!G2068*(1-'[1]VENTAS(RESUMEN GLOBAL)'!H2068)</f>
        <v>0</v>
      </c>
      <c r="K2068" s="8">
        <f t="shared" si="32"/>
        <v>0</v>
      </c>
      <c r="L2068" s="8">
        <f>+'[1]VENTAS(RESUMEN GLOBAL)'!J2068</f>
        <v>0</v>
      </c>
      <c r="M2068" s="8">
        <f>+Tabla1[[#This Row],[utilidad x dia]]*7</f>
        <v>0</v>
      </c>
    </row>
    <row r="2069" spans="1:13" x14ac:dyDescent="0.3">
      <c r="A2069" s="6">
        <f>+'[1]VENTAS(RESUMEN GLOBAL)'!L2069</f>
        <v>0</v>
      </c>
      <c r="B2069" s="6">
        <f>+'[1]VENTAS(RESUMEN GLOBAL)'!M2069</f>
        <v>0</v>
      </c>
      <c r="C2069">
        <f>+'[1]VENTAS(RESUMEN GLOBAL)'!B2069</f>
        <v>0</v>
      </c>
      <c r="D2069" t="e">
        <f>INDEX('[1]CÓDIGOS DE PRODUCTO'!$D$3:$D$1000,MATCH(C2069,'[1]CÓDIGOS DE PRODUCTO'!$A$3:$A$1000,0))</f>
        <v>#N/A</v>
      </c>
      <c r="E2069">
        <f>VLOOKUP(C2069,'[1]CÓDIGOS DE PRODUCTO'!$A$4:$B$156,2,FALSE)</f>
        <v>0</v>
      </c>
      <c r="F2069">
        <f>INDEX('[1]CÓDIGOS DE PRODUCTO'!$C$3:$C$1000,MATCH(C2069,'[1]CÓDIGOS DE PRODUCTO'!$A$3:$A$1000,0))</f>
        <v>0</v>
      </c>
      <c r="G2069">
        <f>+'[1]VENTAS(RESUMEN GLOBAL)'!D2069-'[1]VENTAS(RESUMEN GLOBAL)'!E2069</f>
        <v>0</v>
      </c>
      <c r="H2069" s="9">
        <f>+'[1]VENTAS(RESUMEN GLOBAL)'!K2069</f>
        <v>0</v>
      </c>
      <c r="I2069" s="8">
        <f>+G2069*'[1]VENTAS(RESUMEN GLOBAL)'!F2069</f>
        <v>0</v>
      </c>
      <c r="J2069" s="8">
        <f>'[1]VENTAS(RESUMEN GLOBAL)'!G2069*(1-'[1]VENTAS(RESUMEN GLOBAL)'!H2069)</f>
        <v>0</v>
      </c>
      <c r="K2069" s="8">
        <f t="shared" si="32"/>
        <v>0</v>
      </c>
      <c r="L2069" s="8">
        <f>+'[1]VENTAS(RESUMEN GLOBAL)'!J2069</f>
        <v>0</v>
      </c>
      <c r="M2069" s="8">
        <f>+Tabla1[[#This Row],[utilidad x dia]]*7</f>
        <v>0</v>
      </c>
    </row>
    <row r="2070" spans="1:13" x14ac:dyDescent="0.3">
      <c r="A2070" s="6">
        <f>+'[1]VENTAS(RESUMEN GLOBAL)'!L2070</f>
        <v>0</v>
      </c>
      <c r="B2070" s="6">
        <f>+'[1]VENTAS(RESUMEN GLOBAL)'!M2070</f>
        <v>0</v>
      </c>
      <c r="C2070">
        <f>+'[1]VENTAS(RESUMEN GLOBAL)'!B2070</f>
        <v>0</v>
      </c>
      <c r="D2070" t="e">
        <f>INDEX('[1]CÓDIGOS DE PRODUCTO'!$D$3:$D$1000,MATCH(C2070,'[1]CÓDIGOS DE PRODUCTO'!$A$3:$A$1000,0))</f>
        <v>#N/A</v>
      </c>
      <c r="E2070">
        <f>VLOOKUP(C2070,'[1]CÓDIGOS DE PRODUCTO'!$A$4:$B$156,2,FALSE)</f>
        <v>0</v>
      </c>
      <c r="F2070">
        <f>INDEX('[1]CÓDIGOS DE PRODUCTO'!$C$3:$C$1000,MATCH(C2070,'[1]CÓDIGOS DE PRODUCTO'!$A$3:$A$1000,0))</f>
        <v>0</v>
      </c>
      <c r="G2070">
        <f>+'[1]VENTAS(RESUMEN GLOBAL)'!D2070-'[1]VENTAS(RESUMEN GLOBAL)'!E2070</f>
        <v>0</v>
      </c>
      <c r="H2070" s="9">
        <f>+'[1]VENTAS(RESUMEN GLOBAL)'!K2070</f>
        <v>0</v>
      </c>
      <c r="I2070" s="8">
        <f>+G2070*'[1]VENTAS(RESUMEN GLOBAL)'!F2070</f>
        <v>0</v>
      </c>
      <c r="J2070" s="8">
        <f>'[1]VENTAS(RESUMEN GLOBAL)'!G2070*(1-'[1]VENTAS(RESUMEN GLOBAL)'!H2070)</f>
        <v>0</v>
      </c>
      <c r="K2070" s="8">
        <f t="shared" si="32"/>
        <v>0</v>
      </c>
      <c r="L2070" s="8">
        <f>+'[1]VENTAS(RESUMEN GLOBAL)'!J2070</f>
        <v>0</v>
      </c>
      <c r="M2070" s="8">
        <f>+Tabla1[[#This Row],[utilidad x dia]]*7</f>
        <v>0</v>
      </c>
    </row>
    <row r="2071" spans="1:13" x14ac:dyDescent="0.3">
      <c r="A2071" s="6">
        <f>+'[1]VENTAS(RESUMEN GLOBAL)'!L2071</f>
        <v>0</v>
      </c>
      <c r="B2071" s="6">
        <f>+'[1]VENTAS(RESUMEN GLOBAL)'!M2071</f>
        <v>0</v>
      </c>
      <c r="C2071">
        <f>+'[1]VENTAS(RESUMEN GLOBAL)'!B2071</f>
        <v>0</v>
      </c>
      <c r="D2071" t="e">
        <f>INDEX('[1]CÓDIGOS DE PRODUCTO'!$D$3:$D$1000,MATCH(C2071,'[1]CÓDIGOS DE PRODUCTO'!$A$3:$A$1000,0))</f>
        <v>#N/A</v>
      </c>
      <c r="E2071">
        <f>VLOOKUP(C2071,'[1]CÓDIGOS DE PRODUCTO'!$A$4:$B$156,2,FALSE)</f>
        <v>0</v>
      </c>
      <c r="F2071">
        <f>INDEX('[1]CÓDIGOS DE PRODUCTO'!$C$3:$C$1000,MATCH(C2071,'[1]CÓDIGOS DE PRODUCTO'!$A$3:$A$1000,0))</f>
        <v>0</v>
      </c>
      <c r="G2071">
        <f>+'[1]VENTAS(RESUMEN GLOBAL)'!D2071-'[1]VENTAS(RESUMEN GLOBAL)'!E2071</f>
        <v>0</v>
      </c>
      <c r="H2071" s="9">
        <f>+'[1]VENTAS(RESUMEN GLOBAL)'!K2071</f>
        <v>0</v>
      </c>
      <c r="I2071" s="8">
        <f>+G2071*'[1]VENTAS(RESUMEN GLOBAL)'!F2071</f>
        <v>0</v>
      </c>
      <c r="J2071" s="8">
        <f>'[1]VENTAS(RESUMEN GLOBAL)'!G2071*(1-'[1]VENTAS(RESUMEN GLOBAL)'!H2071)</f>
        <v>0</v>
      </c>
      <c r="K2071" s="8">
        <f t="shared" si="32"/>
        <v>0</v>
      </c>
      <c r="L2071" s="8">
        <f>+'[1]VENTAS(RESUMEN GLOBAL)'!J2071</f>
        <v>0</v>
      </c>
      <c r="M2071" s="8">
        <f>+Tabla1[[#This Row],[utilidad x dia]]*7</f>
        <v>0</v>
      </c>
    </row>
    <row r="2072" spans="1:13" x14ac:dyDescent="0.3">
      <c r="A2072" s="6">
        <f>+'[1]VENTAS(RESUMEN GLOBAL)'!L2072</f>
        <v>0</v>
      </c>
      <c r="B2072" s="6">
        <f>+'[1]VENTAS(RESUMEN GLOBAL)'!M2072</f>
        <v>0</v>
      </c>
      <c r="C2072">
        <f>+'[1]VENTAS(RESUMEN GLOBAL)'!B2072</f>
        <v>0</v>
      </c>
      <c r="D2072" t="e">
        <f>INDEX('[1]CÓDIGOS DE PRODUCTO'!$D$3:$D$1000,MATCH(C2072,'[1]CÓDIGOS DE PRODUCTO'!$A$3:$A$1000,0))</f>
        <v>#N/A</v>
      </c>
      <c r="E2072">
        <f>VLOOKUP(C2072,'[1]CÓDIGOS DE PRODUCTO'!$A$4:$B$156,2,FALSE)</f>
        <v>0</v>
      </c>
      <c r="F2072">
        <f>INDEX('[1]CÓDIGOS DE PRODUCTO'!$C$3:$C$1000,MATCH(C2072,'[1]CÓDIGOS DE PRODUCTO'!$A$3:$A$1000,0))</f>
        <v>0</v>
      </c>
      <c r="G2072">
        <f>+'[1]VENTAS(RESUMEN GLOBAL)'!D2072-'[1]VENTAS(RESUMEN GLOBAL)'!E2072</f>
        <v>0</v>
      </c>
      <c r="H2072" s="9">
        <f>+'[1]VENTAS(RESUMEN GLOBAL)'!K2072</f>
        <v>0</v>
      </c>
      <c r="I2072" s="8">
        <f>+G2072*'[1]VENTAS(RESUMEN GLOBAL)'!F2072</f>
        <v>0</v>
      </c>
      <c r="J2072" s="8">
        <f>'[1]VENTAS(RESUMEN GLOBAL)'!G2072*(1-'[1]VENTAS(RESUMEN GLOBAL)'!H2072)</f>
        <v>0</v>
      </c>
      <c r="K2072" s="8">
        <f t="shared" si="32"/>
        <v>0</v>
      </c>
      <c r="L2072" s="8">
        <f>+'[1]VENTAS(RESUMEN GLOBAL)'!J2072</f>
        <v>0</v>
      </c>
      <c r="M2072" s="8">
        <f>+Tabla1[[#This Row],[utilidad x dia]]*7</f>
        <v>0</v>
      </c>
    </row>
    <row r="2073" spans="1:13" x14ac:dyDescent="0.3">
      <c r="A2073" s="6">
        <f>+'[1]VENTAS(RESUMEN GLOBAL)'!L2073</f>
        <v>0</v>
      </c>
      <c r="B2073" s="6">
        <f>+'[1]VENTAS(RESUMEN GLOBAL)'!M2073</f>
        <v>0</v>
      </c>
      <c r="C2073">
        <f>+'[1]VENTAS(RESUMEN GLOBAL)'!B2073</f>
        <v>0</v>
      </c>
      <c r="D2073" t="e">
        <f>INDEX('[1]CÓDIGOS DE PRODUCTO'!$D$3:$D$1000,MATCH(C2073,'[1]CÓDIGOS DE PRODUCTO'!$A$3:$A$1000,0))</f>
        <v>#N/A</v>
      </c>
      <c r="E2073">
        <f>VLOOKUP(C2073,'[1]CÓDIGOS DE PRODUCTO'!$A$4:$B$156,2,FALSE)</f>
        <v>0</v>
      </c>
      <c r="F2073">
        <f>INDEX('[1]CÓDIGOS DE PRODUCTO'!$C$3:$C$1000,MATCH(C2073,'[1]CÓDIGOS DE PRODUCTO'!$A$3:$A$1000,0))</f>
        <v>0</v>
      </c>
      <c r="G2073">
        <f>+'[1]VENTAS(RESUMEN GLOBAL)'!D2073-'[1]VENTAS(RESUMEN GLOBAL)'!E2073</f>
        <v>0</v>
      </c>
      <c r="H2073" s="9">
        <f>+'[1]VENTAS(RESUMEN GLOBAL)'!K2073</f>
        <v>0</v>
      </c>
      <c r="I2073" s="8">
        <f>+G2073*'[1]VENTAS(RESUMEN GLOBAL)'!F2073</f>
        <v>0</v>
      </c>
      <c r="J2073" s="8">
        <f>'[1]VENTAS(RESUMEN GLOBAL)'!G2073*(1-'[1]VENTAS(RESUMEN GLOBAL)'!H2073)</f>
        <v>0</v>
      </c>
      <c r="K2073" s="8">
        <f t="shared" si="32"/>
        <v>0</v>
      </c>
      <c r="L2073" s="8">
        <f>+'[1]VENTAS(RESUMEN GLOBAL)'!J2073</f>
        <v>0</v>
      </c>
      <c r="M2073" s="8">
        <f>+Tabla1[[#This Row],[utilidad x dia]]*7</f>
        <v>0</v>
      </c>
    </row>
    <row r="2074" spans="1:13" x14ac:dyDescent="0.3">
      <c r="A2074" s="6">
        <f>+'[1]VENTAS(RESUMEN GLOBAL)'!L2074</f>
        <v>0</v>
      </c>
      <c r="B2074" s="6">
        <f>+'[1]VENTAS(RESUMEN GLOBAL)'!M2074</f>
        <v>0</v>
      </c>
      <c r="C2074">
        <f>+'[1]VENTAS(RESUMEN GLOBAL)'!B2074</f>
        <v>0</v>
      </c>
      <c r="D2074" t="e">
        <f>INDEX('[1]CÓDIGOS DE PRODUCTO'!$D$3:$D$1000,MATCH(C2074,'[1]CÓDIGOS DE PRODUCTO'!$A$3:$A$1000,0))</f>
        <v>#N/A</v>
      </c>
      <c r="E2074">
        <f>VLOOKUP(C2074,'[1]CÓDIGOS DE PRODUCTO'!$A$4:$B$156,2,FALSE)</f>
        <v>0</v>
      </c>
      <c r="F2074">
        <f>INDEX('[1]CÓDIGOS DE PRODUCTO'!$C$3:$C$1000,MATCH(C2074,'[1]CÓDIGOS DE PRODUCTO'!$A$3:$A$1000,0))</f>
        <v>0</v>
      </c>
      <c r="G2074">
        <f>+'[1]VENTAS(RESUMEN GLOBAL)'!D2074-'[1]VENTAS(RESUMEN GLOBAL)'!E2074</f>
        <v>0</v>
      </c>
      <c r="H2074" s="9">
        <f>+'[1]VENTAS(RESUMEN GLOBAL)'!K2074</f>
        <v>0</v>
      </c>
      <c r="I2074" s="8">
        <f>+G2074*'[1]VENTAS(RESUMEN GLOBAL)'!F2074</f>
        <v>0</v>
      </c>
      <c r="J2074" s="8">
        <f>'[1]VENTAS(RESUMEN GLOBAL)'!G2074*(1-'[1]VENTAS(RESUMEN GLOBAL)'!H2074)</f>
        <v>0</v>
      </c>
      <c r="K2074" s="8">
        <f t="shared" si="32"/>
        <v>0</v>
      </c>
      <c r="L2074" s="8">
        <f>+'[1]VENTAS(RESUMEN GLOBAL)'!J2074</f>
        <v>0</v>
      </c>
      <c r="M2074" s="8">
        <f>+Tabla1[[#This Row],[utilidad x dia]]*7</f>
        <v>0</v>
      </c>
    </row>
    <row r="2075" spans="1:13" x14ac:dyDescent="0.3">
      <c r="A2075" s="6">
        <f>+'[1]VENTAS(RESUMEN GLOBAL)'!L2075</f>
        <v>0</v>
      </c>
      <c r="B2075" s="6">
        <f>+'[1]VENTAS(RESUMEN GLOBAL)'!M2075</f>
        <v>0</v>
      </c>
      <c r="C2075">
        <f>+'[1]VENTAS(RESUMEN GLOBAL)'!B2075</f>
        <v>0</v>
      </c>
      <c r="D2075" t="e">
        <f>INDEX('[1]CÓDIGOS DE PRODUCTO'!$D$3:$D$1000,MATCH(C2075,'[1]CÓDIGOS DE PRODUCTO'!$A$3:$A$1000,0))</f>
        <v>#N/A</v>
      </c>
      <c r="E2075">
        <f>VLOOKUP(C2075,'[1]CÓDIGOS DE PRODUCTO'!$A$4:$B$156,2,FALSE)</f>
        <v>0</v>
      </c>
      <c r="F2075">
        <f>INDEX('[1]CÓDIGOS DE PRODUCTO'!$C$3:$C$1000,MATCH(C2075,'[1]CÓDIGOS DE PRODUCTO'!$A$3:$A$1000,0))</f>
        <v>0</v>
      </c>
      <c r="G2075">
        <f>+'[1]VENTAS(RESUMEN GLOBAL)'!D2075-'[1]VENTAS(RESUMEN GLOBAL)'!E2075</f>
        <v>0</v>
      </c>
      <c r="H2075" s="9">
        <f>+'[1]VENTAS(RESUMEN GLOBAL)'!K2075</f>
        <v>0</v>
      </c>
      <c r="I2075" s="8">
        <f>+G2075*'[1]VENTAS(RESUMEN GLOBAL)'!F2075</f>
        <v>0</v>
      </c>
      <c r="J2075" s="8">
        <f>'[1]VENTAS(RESUMEN GLOBAL)'!G2075*(1-'[1]VENTAS(RESUMEN GLOBAL)'!H2075)</f>
        <v>0</v>
      </c>
      <c r="K2075" s="8">
        <f t="shared" si="32"/>
        <v>0</v>
      </c>
      <c r="L2075" s="8">
        <f>+'[1]VENTAS(RESUMEN GLOBAL)'!J2075</f>
        <v>0</v>
      </c>
      <c r="M2075" s="8">
        <f>+Tabla1[[#This Row],[utilidad x dia]]*7</f>
        <v>0</v>
      </c>
    </row>
    <row r="2076" spans="1:13" x14ac:dyDescent="0.3">
      <c r="A2076" s="6">
        <f>+'[1]VENTAS(RESUMEN GLOBAL)'!L2076</f>
        <v>0</v>
      </c>
      <c r="B2076" s="6">
        <f>+'[1]VENTAS(RESUMEN GLOBAL)'!M2076</f>
        <v>0</v>
      </c>
      <c r="C2076">
        <f>+'[1]VENTAS(RESUMEN GLOBAL)'!B2076</f>
        <v>0</v>
      </c>
      <c r="D2076" t="e">
        <f>INDEX('[1]CÓDIGOS DE PRODUCTO'!$D$3:$D$1000,MATCH(C2076,'[1]CÓDIGOS DE PRODUCTO'!$A$3:$A$1000,0))</f>
        <v>#N/A</v>
      </c>
      <c r="E2076">
        <f>VLOOKUP(C2076,'[1]CÓDIGOS DE PRODUCTO'!$A$4:$B$156,2,FALSE)</f>
        <v>0</v>
      </c>
      <c r="F2076">
        <f>INDEX('[1]CÓDIGOS DE PRODUCTO'!$C$3:$C$1000,MATCH(C2076,'[1]CÓDIGOS DE PRODUCTO'!$A$3:$A$1000,0))</f>
        <v>0</v>
      </c>
      <c r="G2076">
        <f>+'[1]VENTAS(RESUMEN GLOBAL)'!D2076-'[1]VENTAS(RESUMEN GLOBAL)'!E2076</f>
        <v>0</v>
      </c>
      <c r="H2076" s="9">
        <f>+'[1]VENTAS(RESUMEN GLOBAL)'!K2076</f>
        <v>0</v>
      </c>
      <c r="I2076" s="8">
        <f>+G2076*'[1]VENTAS(RESUMEN GLOBAL)'!F2076</f>
        <v>0</v>
      </c>
      <c r="J2076" s="8">
        <f>'[1]VENTAS(RESUMEN GLOBAL)'!G2076*(1-'[1]VENTAS(RESUMEN GLOBAL)'!H2076)</f>
        <v>0</v>
      </c>
      <c r="K2076" s="8">
        <f t="shared" si="32"/>
        <v>0</v>
      </c>
      <c r="L2076" s="8">
        <f>+'[1]VENTAS(RESUMEN GLOBAL)'!J2076</f>
        <v>0</v>
      </c>
      <c r="M2076" s="8">
        <f>+Tabla1[[#This Row],[utilidad x dia]]*7</f>
        <v>0</v>
      </c>
    </row>
    <row r="2077" spans="1:13" x14ac:dyDescent="0.3">
      <c r="A2077" s="6">
        <f>+'[1]VENTAS(RESUMEN GLOBAL)'!L2077</f>
        <v>0</v>
      </c>
      <c r="B2077" s="6">
        <f>+'[1]VENTAS(RESUMEN GLOBAL)'!M2077</f>
        <v>0</v>
      </c>
      <c r="C2077">
        <f>+'[1]VENTAS(RESUMEN GLOBAL)'!B2077</f>
        <v>0</v>
      </c>
      <c r="D2077" t="e">
        <f>INDEX('[1]CÓDIGOS DE PRODUCTO'!$D$3:$D$1000,MATCH(C2077,'[1]CÓDIGOS DE PRODUCTO'!$A$3:$A$1000,0))</f>
        <v>#N/A</v>
      </c>
      <c r="E2077">
        <f>VLOOKUP(C2077,'[1]CÓDIGOS DE PRODUCTO'!$A$4:$B$156,2,FALSE)</f>
        <v>0</v>
      </c>
      <c r="F2077">
        <f>INDEX('[1]CÓDIGOS DE PRODUCTO'!$C$3:$C$1000,MATCH(C2077,'[1]CÓDIGOS DE PRODUCTO'!$A$3:$A$1000,0))</f>
        <v>0</v>
      </c>
      <c r="G2077">
        <f>+'[1]VENTAS(RESUMEN GLOBAL)'!D2077-'[1]VENTAS(RESUMEN GLOBAL)'!E2077</f>
        <v>0</v>
      </c>
      <c r="H2077" s="9">
        <f>+'[1]VENTAS(RESUMEN GLOBAL)'!K2077</f>
        <v>0</v>
      </c>
      <c r="I2077" s="8">
        <f>+G2077*'[1]VENTAS(RESUMEN GLOBAL)'!F2077</f>
        <v>0</v>
      </c>
      <c r="J2077" s="8">
        <f>'[1]VENTAS(RESUMEN GLOBAL)'!G2077*(1-'[1]VENTAS(RESUMEN GLOBAL)'!H2077)</f>
        <v>0</v>
      </c>
      <c r="K2077" s="8">
        <f t="shared" si="32"/>
        <v>0</v>
      </c>
      <c r="L2077" s="8">
        <f>+'[1]VENTAS(RESUMEN GLOBAL)'!J2077</f>
        <v>0</v>
      </c>
      <c r="M2077" s="8">
        <f>+Tabla1[[#This Row],[utilidad x dia]]*7</f>
        <v>0</v>
      </c>
    </row>
    <row r="2078" spans="1:13" x14ac:dyDescent="0.3">
      <c r="A2078" s="6">
        <f>+'[1]VENTAS(RESUMEN GLOBAL)'!L2078</f>
        <v>0</v>
      </c>
      <c r="B2078" s="6">
        <f>+'[1]VENTAS(RESUMEN GLOBAL)'!M2078</f>
        <v>0</v>
      </c>
      <c r="C2078">
        <f>+'[1]VENTAS(RESUMEN GLOBAL)'!B2078</f>
        <v>0</v>
      </c>
      <c r="D2078" t="e">
        <f>INDEX('[1]CÓDIGOS DE PRODUCTO'!$D$3:$D$1000,MATCH(C2078,'[1]CÓDIGOS DE PRODUCTO'!$A$3:$A$1000,0))</f>
        <v>#N/A</v>
      </c>
      <c r="E2078">
        <f>VLOOKUP(C2078,'[1]CÓDIGOS DE PRODUCTO'!$A$4:$B$156,2,FALSE)</f>
        <v>0</v>
      </c>
      <c r="F2078">
        <f>INDEX('[1]CÓDIGOS DE PRODUCTO'!$C$3:$C$1000,MATCH(C2078,'[1]CÓDIGOS DE PRODUCTO'!$A$3:$A$1000,0))</f>
        <v>0</v>
      </c>
      <c r="G2078">
        <f>+'[1]VENTAS(RESUMEN GLOBAL)'!D2078-'[1]VENTAS(RESUMEN GLOBAL)'!E2078</f>
        <v>0</v>
      </c>
      <c r="H2078" s="9">
        <f>+'[1]VENTAS(RESUMEN GLOBAL)'!K2078</f>
        <v>0</v>
      </c>
      <c r="I2078" s="8">
        <f>+G2078*'[1]VENTAS(RESUMEN GLOBAL)'!F2078</f>
        <v>0</v>
      </c>
      <c r="J2078" s="8">
        <f>'[1]VENTAS(RESUMEN GLOBAL)'!G2078*(1-'[1]VENTAS(RESUMEN GLOBAL)'!H2078)</f>
        <v>0</v>
      </c>
      <c r="K2078" s="8">
        <f t="shared" si="32"/>
        <v>0</v>
      </c>
      <c r="L2078" s="8">
        <f>+'[1]VENTAS(RESUMEN GLOBAL)'!J2078</f>
        <v>0</v>
      </c>
      <c r="M2078" s="8">
        <f>+Tabla1[[#This Row],[utilidad x dia]]*7</f>
        <v>0</v>
      </c>
    </row>
    <row r="2079" spans="1:13" x14ac:dyDescent="0.3">
      <c r="A2079" s="6">
        <f>+'[1]VENTAS(RESUMEN GLOBAL)'!L2079</f>
        <v>0</v>
      </c>
      <c r="B2079" s="6">
        <f>+'[1]VENTAS(RESUMEN GLOBAL)'!M2079</f>
        <v>0</v>
      </c>
      <c r="C2079">
        <f>+'[1]VENTAS(RESUMEN GLOBAL)'!B2079</f>
        <v>0</v>
      </c>
      <c r="D2079" t="e">
        <f>INDEX('[1]CÓDIGOS DE PRODUCTO'!$D$3:$D$1000,MATCH(C2079,'[1]CÓDIGOS DE PRODUCTO'!$A$3:$A$1000,0))</f>
        <v>#N/A</v>
      </c>
      <c r="E2079">
        <f>VLOOKUP(C2079,'[1]CÓDIGOS DE PRODUCTO'!$A$4:$B$156,2,FALSE)</f>
        <v>0</v>
      </c>
      <c r="F2079">
        <f>INDEX('[1]CÓDIGOS DE PRODUCTO'!$C$3:$C$1000,MATCH(C2079,'[1]CÓDIGOS DE PRODUCTO'!$A$3:$A$1000,0))</f>
        <v>0</v>
      </c>
      <c r="G2079">
        <f>+'[1]VENTAS(RESUMEN GLOBAL)'!D2079-'[1]VENTAS(RESUMEN GLOBAL)'!E2079</f>
        <v>0</v>
      </c>
      <c r="H2079" s="9">
        <f>+'[1]VENTAS(RESUMEN GLOBAL)'!K2079</f>
        <v>0</v>
      </c>
      <c r="I2079" s="8">
        <f>+G2079*'[1]VENTAS(RESUMEN GLOBAL)'!F2079</f>
        <v>0</v>
      </c>
      <c r="J2079" s="8">
        <f>'[1]VENTAS(RESUMEN GLOBAL)'!G2079*(1-'[1]VENTAS(RESUMEN GLOBAL)'!H2079)</f>
        <v>0</v>
      </c>
      <c r="K2079" s="8">
        <f t="shared" si="32"/>
        <v>0</v>
      </c>
      <c r="L2079" s="8">
        <f>+'[1]VENTAS(RESUMEN GLOBAL)'!J2079</f>
        <v>0</v>
      </c>
      <c r="M2079" s="8">
        <f>+Tabla1[[#This Row],[utilidad x dia]]*7</f>
        <v>0</v>
      </c>
    </row>
    <row r="2080" spans="1:13" x14ac:dyDescent="0.3">
      <c r="A2080" s="6">
        <f>+'[1]VENTAS(RESUMEN GLOBAL)'!L2080</f>
        <v>0</v>
      </c>
      <c r="B2080" s="6">
        <f>+'[1]VENTAS(RESUMEN GLOBAL)'!M2080</f>
        <v>0</v>
      </c>
      <c r="C2080">
        <f>+'[1]VENTAS(RESUMEN GLOBAL)'!B2080</f>
        <v>0</v>
      </c>
      <c r="D2080" t="e">
        <f>INDEX('[1]CÓDIGOS DE PRODUCTO'!$D$3:$D$1000,MATCH(C2080,'[1]CÓDIGOS DE PRODUCTO'!$A$3:$A$1000,0))</f>
        <v>#N/A</v>
      </c>
      <c r="E2080">
        <f>VLOOKUP(C2080,'[1]CÓDIGOS DE PRODUCTO'!$A$4:$B$156,2,FALSE)</f>
        <v>0</v>
      </c>
      <c r="F2080">
        <f>INDEX('[1]CÓDIGOS DE PRODUCTO'!$C$3:$C$1000,MATCH(C2080,'[1]CÓDIGOS DE PRODUCTO'!$A$3:$A$1000,0))</f>
        <v>0</v>
      </c>
      <c r="G2080">
        <f>+'[1]VENTAS(RESUMEN GLOBAL)'!D2080-'[1]VENTAS(RESUMEN GLOBAL)'!E2080</f>
        <v>0</v>
      </c>
      <c r="H2080" s="9">
        <f>+'[1]VENTAS(RESUMEN GLOBAL)'!K2080</f>
        <v>0</v>
      </c>
      <c r="I2080" s="8">
        <f>+G2080*'[1]VENTAS(RESUMEN GLOBAL)'!F2080</f>
        <v>0</v>
      </c>
      <c r="J2080" s="8">
        <f>'[1]VENTAS(RESUMEN GLOBAL)'!G2080*(1-'[1]VENTAS(RESUMEN GLOBAL)'!H2080)</f>
        <v>0</v>
      </c>
      <c r="K2080" s="8">
        <f t="shared" si="32"/>
        <v>0</v>
      </c>
      <c r="L2080" s="8">
        <f>+'[1]VENTAS(RESUMEN GLOBAL)'!J2080</f>
        <v>0</v>
      </c>
      <c r="M2080" s="8">
        <f>+Tabla1[[#This Row],[utilidad x dia]]*7</f>
        <v>0</v>
      </c>
    </row>
    <row r="2081" spans="1:13" x14ac:dyDescent="0.3">
      <c r="A2081" s="6">
        <f>+'[1]VENTAS(RESUMEN GLOBAL)'!L2081</f>
        <v>0</v>
      </c>
      <c r="B2081" s="6">
        <f>+'[1]VENTAS(RESUMEN GLOBAL)'!M2081</f>
        <v>0</v>
      </c>
      <c r="C2081">
        <f>+'[1]VENTAS(RESUMEN GLOBAL)'!B2081</f>
        <v>0</v>
      </c>
      <c r="D2081" t="e">
        <f>INDEX('[1]CÓDIGOS DE PRODUCTO'!$D$3:$D$1000,MATCH(C2081,'[1]CÓDIGOS DE PRODUCTO'!$A$3:$A$1000,0))</f>
        <v>#N/A</v>
      </c>
      <c r="E2081">
        <f>VLOOKUP(C2081,'[1]CÓDIGOS DE PRODUCTO'!$A$4:$B$156,2,FALSE)</f>
        <v>0</v>
      </c>
      <c r="F2081">
        <f>INDEX('[1]CÓDIGOS DE PRODUCTO'!$C$3:$C$1000,MATCH(C2081,'[1]CÓDIGOS DE PRODUCTO'!$A$3:$A$1000,0))</f>
        <v>0</v>
      </c>
      <c r="G2081">
        <f>+'[1]VENTAS(RESUMEN GLOBAL)'!D2081-'[1]VENTAS(RESUMEN GLOBAL)'!E2081</f>
        <v>0</v>
      </c>
      <c r="H2081" s="9">
        <f>+'[1]VENTAS(RESUMEN GLOBAL)'!K2081</f>
        <v>0</v>
      </c>
      <c r="I2081" s="8">
        <f>+G2081*'[1]VENTAS(RESUMEN GLOBAL)'!F2081</f>
        <v>0</v>
      </c>
      <c r="J2081" s="8">
        <f>'[1]VENTAS(RESUMEN GLOBAL)'!G2081*(1-'[1]VENTAS(RESUMEN GLOBAL)'!H2081)</f>
        <v>0</v>
      </c>
      <c r="K2081" s="8">
        <f t="shared" si="32"/>
        <v>0</v>
      </c>
      <c r="L2081" s="8">
        <f>+'[1]VENTAS(RESUMEN GLOBAL)'!J2081</f>
        <v>0</v>
      </c>
      <c r="M2081" s="8">
        <f>+Tabla1[[#This Row],[utilidad x dia]]*7</f>
        <v>0</v>
      </c>
    </row>
    <row r="2082" spans="1:13" x14ac:dyDescent="0.3">
      <c r="A2082" s="6">
        <f>+'[1]VENTAS(RESUMEN GLOBAL)'!L2082</f>
        <v>0</v>
      </c>
      <c r="B2082" s="6">
        <f>+'[1]VENTAS(RESUMEN GLOBAL)'!M2082</f>
        <v>0</v>
      </c>
      <c r="C2082">
        <f>+'[1]VENTAS(RESUMEN GLOBAL)'!B2082</f>
        <v>0</v>
      </c>
      <c r="D2082" t="e">
        <f>INDEX('[1]CÓDIGOS DE PRODUCTO'!$D$3:$D$1000,MATCH(C2082,'[1]CÓDIGOS DE PRODUCTO'!$A$3:$A$1000,0))</f>
        <v>#N/A</v>
      </c>
      <c r="E2082">
        <f>VLOOKUP(C2082,'[1]CÓDIGOS DE PRODUCTO'!$A$4:$B$156,2,FALSE)</f>
        <v>0</v>
      </c>
      <c r="F2082">
        <f>INDEX('[1]CÓDIGOS DE PRODUCTO'!$C$3:$C$1000,MATCH(C2082,'[1]CÓDIGOS DE PRODUCTO'!$A$3:$A$1000,0))</f>
        <v>0</v>
      </c>
      <c r="G2082">
        <f>+'[1]VENTAS(RESUMEN GLOBAL)'!D2082-'[1]VENTAS(RESUMEN GLOBAL)'!E2082</f>
        <v>0</v>
      </c>
      <c r="H2082" s="9">
        <f>+'[1]VENTAS(RESUMEN GLOBAL)'!K2082</f>
        <v>0</v>
      </c>
      <c r="I2082" s="8">
        <f>+G2082*'[1]VENTAS(RESUMEN GLOBAL)'!F2082</f>
        <v>0</v>
      </c>
      <c r="J2082" s="8">
        <f>'[1]VENTAS(RESUMEN GLOBAL)'!G2082*(1-'[1]VENTAS(RESUMEN GLOBAL)'!H2082)</f>
        <v>0</v>
      </c>
      <c r="K2082" s="8">
        <f t="shared" si="32"/>
        <v>0</v>
      </c>
      <c r="L2082" s="8">
        <f>+'[1]VENTAS(RESUMEN GLOBAL)'!J2082</f>
        <v>0</v>
      </c>
      <c r="M2082" s="8">
        <f>+Tabla1[[#This Row],[utilidad x dia]]*7</f>
        <v>0</v>
      </c>
    </row>
    <row r="2083" spans="1:13" x14ac:dyDescent="0.3">
      <c r="A2083" s="6">
        <f>+'[1]VENTAS(RESUMEN GLOBAL)'!L2083</f>
        <v>0</v>
      </c>
      <c r="B2083" s="6">
        <f>+'[1]VENTAS(RESUMEN GLOBAL)'!M2083</f>
        <v>0</v>
      </c>
      <c r="C2083">
        <f>+'[1]VENTAS(RESUMEN GLOBAL)'!B2083</f>
        <v>0</v>
      </c>
      <c r="D2083" t="e">
        <f>INDEX('[1]CÓDIGOS DE PRODUCTO'!$D$3:$D$1000,MATCH(C2083,'[1]CÓDIGOS DE PRODUCTO'!$A$3:$A$1000,0))</f>
        <v>#N/A</v>
      </c>
      <c r="E2083">
        <f>VLOOKUP(C2083,'[1]CÓDIGOS DE PRODUCTO'!$A$4:$B$156,2,FALSE)</f>
        <v>0</v>
      </c>
      <c r="F2083">
        <f>INDEX('[1]CÓDIGOS DE PRODUCTO'!$C$3:$C$1000,MATCH(C2083,'[1]CÓDIGOS DE PRODUCTO'!$A$3:$A$1000,0))</f>
        <v>0</v>
      </c>
      <c r="G2083">
        <f>+'[1]VENTAS(RESUMEN GLOBAL)'!D2083-'[1]VENTAS(RESUMEN GLOBAL)'!E2083</f>
        <v>0</v>
      </c>
      <c r="H2083" s="9">
        <f>+'[1]VENTAS(RESUMEN GLOBAL)'!K2083</f>
        <v>0</v>
      </c>
      <c r="I2083" s="8">
        <f>+G2083*'[1]VENTAS(RESUMEN GLOBAL)'!F2083</f>
        <v>0</v>
      </c>
      <c r="J2083" s="8">
        <f>'[1]VENTAS(RESUMEN GLOBAL)'!G2083*(1-'[1]VENTAS(RESUMEN GLOBAL)'!H2083)</f>
        <v>0</v>
      </c>
      <c r="K2083" s="8">
        <f t="shared" si="32"/>
        <v>0</v>
      </c>
      <c r="L2083" s="8">
        <f>+'[1]VENTAS(RESUMEN GLOBAL)'!J2083</f>
        <v>0</v>
      </c>
      <c r="M2083" s="8">
        <f>+Tabla1[[#This Row],[utilidad x dia]]*7</f>
        <v>0</v>
      </c>
    </row>
    <row r="2084" spans="1:13" x14ac:dyDescent="0.3">
      <c r="A2084" s="6">
        <f>+'[1]VENTAS(RESUMEN GLOBAL)'!L2084</f>
        <v>0</v>
      </c>
      <c r="B2084" s="6">
        <f>+'[1]VENTAS(RESUMEN GLOBAL)'!M2084</f>
        <v>0</v>
      </c>
      <c r="C2084">
        <f>+'[1]VENTAS(RESUMEN GLOBAL)'!B2084</f>
        <v>0</v>
      </c>
      <c r="D2084" t="e">
        <f>INDEX('[1]CÓDIGOS DE PRODUCTO'!$D$3:$D$1000,MATCH(C2084,'[1]CÓDIGOS DE PRODUCTO'!$A$3:$A$1000,0))</f>
        <v>#N/A</v>
      </c>
      <c r="E2084">
        <f>VLOOKUP(C2084,'[1]CÓDIGOS DE PRODUCTO'!$A$4:$B$156,2,FALSE)</f>
        <v>0</v>
      </c>
      <c r="F2084">
        <f>INDEX('[1]CÓDIGOS DE PRODUCTO'!$C$3:$C$1000,MATCH(C2084,'[1]CÓDIGOS DE PRODUCTO'!$A$3:$A$1000,0))</f>
        <v>0</v>
      </c>
      <c r="G2084">
        <f>+'[1]VENTAS(RESUMEN GLOBAL)'!D2084-'[1]VENTAS(RESUMEN GLOBAL)'!E2084</f>
        <v>0</v>
      </c>
      <c r="H2084" s="9">
        <f>+'[1]VENTAS(RESUMEN GLOBAL)'!K2084</f>
        <v>0</v>
      </c>
      <c r="I2084" s="8">
        <f>+G2084*'[1]VENTAS(RESUMEN GLOBAL)'!F2084</f>
        <v>0</v>
      </c>
      <c r="J2084" s="8">
        <f>'[1]VENTAS(RESUMEN GLOBAL)'!G2084*(1-'[1]VENTAS(RESUMEN GLOBAL)'!H2084)</f>
        <v>0</v>
      </c>
      <c r="K2084" s="8">
        <f t="shared" si="32"/>
        <v>0</v>
      </c>
      <c r="L2084" s="8">
        <f>+'[1]VENTAS(RESUMEN GLOBAL)'!J2084</f>
        <v>0</v>
      </c>
      <c r="M2084" s="8">
        <f>+Tabla1[[#This Row],[utilidad x dia]]*7</f>
        <v>0</v>
      </c>
    </row>
    <row r="2085" spans="1:13" x14ac:dyDescent="0.3">
      <c r="A2085" s="6">
        <f>+'[1]VENTAS(RESUMEN GLOBAL)'!L2085</f>
        <v>0</v>
      </c>
      <c r="B2085" s="6">
        <f>+'[1]VENTAS(RESUMEN GLOBAL)'!M2085</f>
        <v>0</v>
      </c>
      <c r="C2085">
        <f>+'[1]VENTAS(RESUMEN GLOBAL)'!B2085</f>
        <v>0</v>
      </c>
      <c r="D2085" t="e">
        <f>INDEX('[1]CÓDIGOS DE PRODUCTO'!$D$3:$D$1000,MATCH(C2085,'[1]CÓDIGOS DE PRODUCTO'!$A$3:$A$1000,0))</f>
        <v>#N/A</v>
      </c>
      <c r="E2085">
        <f>VLOOKUP(C2085,'[1]CÓDIGOS DE PRODUCTO'!$A$4:$B$156,2,FALSE)</f>
        <v>0</v>
      </c>
      <c r="F2085">
        <f>INDEX('[1]CÓDIGOS DE PRODUCTO'!$C$3:$C$1000,MATCH(C2085,'[1]CÓDIGOS DE PRODUCTO'!$A$3:$A$1000,0))</f>
        <v>0</v>
      </c>
      <c r="G2085">
        <f>+'[1]VENTAS(RESUMEN GLOBAL)'!D2085-'[1]VENTAS(RESUMEN GLOBAL)'!E2085</f>
        <v>0</v>
      </c>
      <c r="H2085" s="9">
        <f>+'[1]VENTAS(RESUMEN GLOBAL)'!K2085</f>
        <v>0</v>
      </c>
      <c r="I2085" s="8">
        <f>+G2085*'[1]VENTAS(RESUMEN GLOBAL)'!F2085</f>
        <v>0</v>
      </c>
      <c r="J2085" s="8">
        <f>'[1]VENTAS(RESUMEN GLOBAL)'!G2085*(1-'[1]VENTAS(RESUMEN GLOBAL)'!H2085)</f>
        <v>0</v>
      </c>
      <c r="K2085" s="8">
        <f t="shared" si="32"/>
        <v>0</v>
      </c>
      <c r="L2085" s="8">
        <f>+'[1]VENTAS(RESUMEN GLOBAL)'!J2085</f>
        <v>0</v>
      </c>
      <c r="M2085" s="8">
        <f>+Tabla1[[#This Row],[utilidad x dia]]*7</f>
        <v>0</v>
      </c>
    </row>
    <row r="2086" spans="1:13" x14ac:dyDescent="0.3">
      <c r="A2086" s="6">
        <f>+'[1]VENTAS(RESUMEN GLOBAL)'!L2086</f>
        <v>0</v>
      </c>
      <c r="B2086" s="6">
        <f>+'[1]VENTAS(RESUMEN GLOBAL)'!M2086</f>
        <v>0</v>
      </c>
      <c r="C2086">
        <f>+'[1]VENTAS(RESUMEN GLOBAL)'!B2086</f>
        <v>0</v>
      </c>
      <c r="D2086" t="e">
        <f>INDEX('[1]CÓDIGOS DE PRODUCTO'!$D$3:$D$1000,MATCH(C2086,'[1]CÓDIGOS DE PRODUCTO'!$A$3:$A$1000,0))</f>
        <v>#N/A</v>
      </c>
      <c r="E2086">
        <f>VLOOKUP(C2086,'[1]CÓDIGOS DE PRODUCTO'!$A$4:$B$156,2,FALSE)</f>
        <v>0</v>
      </c>
      <c r="F2086">
        <f>INDEX('[1]CÓDIGOS DE PRODUCTO'!$C$3:$C$1000,MATCH(C2086,'[1]CÓDIGOS DE PRODUCTO'!$A$3:$A$1000,0))</f>
        <v>0</v>
      </c>
      <c r="G2086">
        <f>+'[1]VENTAS(RESUMEN GLOBAL)'!D2086-'[1]VENTAS(RESUMEN GLOBAL)'!E2086</f>
        <v>0</v>
      </c>
      <c r="H2086" s="9">
        <f>+'[1]VENTAS(RESUMEN GLOBAL)'!K2086</f>
        <v>0</v>
      </c>
      <c r="I2086" s="8">
        <f>+G2086*'[1]VENTAS(RESUMEN GLOBAL)'!F2086</f>
        <v>0</v>
      </c>
      <c r="J2086" s="8">
        <f>'[1]VENTAS(RESUMEN GLOBAL)'!G2086*(1-'[1]VENTAS(RESUMEN GLOBAL)'!H2086)</f>
        <v>0</v>
      </c>
      <c r="K2086" s="8">
        <f t="shared" si="32"/>
        <v>0</v>
      </c>
      <c r="L2086" s="8">
        <f>+'[1]VENTAS(RESUMEN GLOBAL)'!J2086</f>
        <v>0</v>
      </c>
      <c r="M2086" s="8">
        <f>+Tabla1[[#This Row],[utilidad x dia]]*7</f>
        <v>0</v>
      </c>
    </row>
    <row r="2087" spans="1:13" x14ac:dyDescent="0.3">
      <c r="A2087" s="6">
        <f>+'[1]VENTAS(RESUMEN GLOBAL)'!L2087</f>
        <v>0</v>
      </c>
      <c r="B2087" s="6">
        <f>+'[1]VENTAS(RESUMEN GLOBAL)'!M2087</f>
        <v>0</v>
      </c>
      <c r="C2087">
        <f>+'[1]VENTAS(RESUMEN GLOBAL)'!B2087</f>
        <v>0</v>
      </c>
      <c r="D2087" t="e">
        <f>INDEX('[1]CÓDIGOS DE PRODUCTO'!$D$3:$D$1000,MATCH(C2087,'[1]CÓDIGOS DE PRODUCTO'!$A$3:$A$1000,0))</f>
        <v>#N/A</v>
      </c>
      <c r="E2087">
        <f>VLOOKUP(C2087,'[1]CÓDIGOS DE PRODUCTO'!$A$4:$B$156,2,FALSE)</f>
        <v>0</v>
      </c>
      <c r="F2087">
        <f>INDEX('[1]CÓDIGOS DE PRODUCTO'!$C$3:$C$1000,MATCH(C2087,'[1]CÓDIGOS DE PRODUCTO'!$A$3:$A$1000,0))</f>
        <v>0</v>
      </c>
      <c r="G2087">
        <f>+'[1]VENTAS(RESUMEN GLOBAL)'!D2087-'[1]VENTAS(RESUMEN GLOBAL)'!E2087</f>
        <v>0</v>
      </c>
      <c r="H2087" s="9">
        <f>+'[1]VENTAS(RESUMEN GLOBAL)'!K2087</f>
        <v>0</v>
      </c>
      <c r="I2087" s="8">
        <f>+G2087*'[1]VENTAS(RESUMEN GLOBAL)'!F2087</f>
        <v>0</v>
      </c>
      <c r="J2087" s="8">
        <f>'[1]VENTAS(RESUMEN GLOBAL)'!G2087*(1-'[1]VENTAS(RESUMEN GLOBAL)'!H2087)</f>
        <v>0</v>
      </c>
      <c r="K2087" s="8">
        <f t="shared" si="32"/>
        <v>0</v>
      </c>
      <c r="L2087" s="8">
        <f>+'[1]VENTAS(RESUMEN GLOBAL)'!J2087</f>
        <v>0</v>
      </c>
      <c r="M2087" s="8">
        <f>+Tabla1[[#This Row],[utilidad x dia]]*7</f>
        <v>0</v>
      </c>
    </row>
    <row r="2088" spans="1:13" x14ac:dyDescent="0.3">
      <c r="A2088" s="6">
        <f>+'[1]VENTAS(RESUMEN GLOBAL)'!L2088</f>
        <v>0</v>
      </c>
      <c r="B2088" s="6">
        <f>+'[1]VENTAS(RESUMEN GLOBAL)'!M2088</f>
        <v>0</v>
      </c>
      <c r="C2088">
        <f>+'[1]VENTAS(RESUMEN GLOBAL)'!B2088</f>
        <v>0</v>
      </c>
      <c r="D2088" t="e">
        <f>INDEX('[1]CÓDIGOS DE PRODUCTO'!$D$3:$D$1000,MATCH(C2088,'[1]CÓDIGOS DE PRODUCTO'!$A$3:$A$1000,0))</f>
        <v>#N/A</v>
      </c>
      <c r="E2088">
        <f>VLOOKUP(C2088,'[1]CÓDIGOS DE PRODUCTO'!$A$4:$B$156,2,FALSE)</f>
        <v>0</v>
      </c>
      <c r="F2088">
        <f>INDEX('[1]CÓDIGOS DE PRODUCTO'!$C$3:$C$1000,MATCH(C2088,'[1]CÓDIGOS DE PRODUCTO'!$A$3:$A$1000,0))</f>
        <v>0</v>
      </c>
      <c r="G2088">
        <f>+'[1]VENTAS(RESUMEN GLOBAL)'!D2088-'[1]VENTAS(RESUMEN GLOBAL)'!E2088</f>
        <v>0</v>
      </c>
      <c r="H2088" s="9">
        <f>+'[1]VENTAS(RESUMEN GLOBAL)'!K2088</f>
        <v>0</v>
      </c>
      <c r="I2088" s="8">
        <f>+G2088*'[1]VENTAS(RESUMEN GLOBAL)'!F2088</f>
        <v>0</v>
      </c>
      <c r="J2088" s="8">
        <f>'[1]VENTAS(RESUMEN GLOBAL)'!G2088*(1-'[1]VENTAS(RESUMEN GLOBAL)'!H2088)</f>
        <v>0</v>
      </c>
      <c r="K2088" s="8">
        <f t="shared" si="32"/>
        <v>0</v>
      </c>
      <c r="L2088" s="8">
        <f>+'[1]VENTAS(RESUMEN GLOBAL)'!J2088</f>
        <v>0</v>
      </c>
      <c r="M2088" s="8">
        <f>+Tabla1[[#This Row],[utilidad x dia]]*7</f>
        <v>0</v>
      </c>
    </row>
    <row r="2089" spans="1:13" x14ac:dyDescent="0.3">
      <c r="A2089" s="6">
        <f>+'[1]VENTAS(RESUMEN GLOBAL)'!L2089</f>
        <v>0</v>
      </c>
      <c r="B2089" s="6">
        <f>+'[1]VENTAS(RESUMEN GLOBAL)'!M2089</f>
        <v>0</v>
      </c>
      <c r="C2089">
        <f>+'[1]VENTAS(RESUMEN GLOBAL)'!B2089</f>
        <v>0</v>
      </c>
      <c r="D2089" t="e">
        <f>INDEX('[1]CÓDIGOS DE PRODUCTO'!$D$3:$D$1000,MATCH(C2089,'[1]CÓDIGOS DE PRODUCTO'!$A$3:$A$1000,0))</f>
        <v>#N/A</v>
      </c>
      <c r="E2089">
        <f>VLOOKUP(C2089,'[1]CÓDIGOS DE PRODUCTO'!$A$4:$B$156,2,FALSE)</f>
        <v>0</v>
      </c>
      <c r="F2089">
        <f>INDEX('[1]CÓDIGOS DE PRODUCTO'!$C$3:$C$1000,MATCH(C2089,'[1]CÓDIGOS DE PRODUCTO'!$A$3:$A$1000,0))</f>
        <v>0</v>
      </c>
      <c r="G2089">
        <f>+'[1]VENTAS(RESUMEN GLOBAL)'!D2089-'[1]VENTAS(RESUMEN GLOBAL)'!E2089</f>
        <v>0</v>
      </c>
      <c r="H2089" s="9">
        <f>+'[1]VENTAS(RESUMEN GLOBAL)'!K2089</f>
        <v>0</v>
      </c>
      <c r="I2089" s="8">
        <f>+G2089*'[1]VENTAS(RESUMEN GLOBAL)'!F2089</f>
        <v>0</v>
      </c>
      <c r="J2089" s="8">
        <f>'[1]VENTAS(RESUMEN GLOBAL)'!G2089*(1-'[1]VENTAS(RESUMEN GLOBAL)'!H2089)</f>
        <v>0</v>
      </c>
      <c r="K2089" s="8">
        <f t="shared" si="32"/>
        <v>0</v>
      </c>
      <c r="L2089" s="8">
        <f>+'[1]VENTAS(RESUMEN GLOBAL)'!J2089</f>
        <v>0</v>
      </c>
      <c r="M2089" s="8">
        <f>+Tabla1[[#This Row],[utilidad x dia]]*7</f>
        <v>0</v>
      </c>
    </row>
    <row r="2090" spans="1:13" x14ac:dyDescent="0.3">
      <c r="A2090" s="6">
        <f>+'[1]VENTAS(RESUMEN GLOBAL)'!L2090</f>
        <v>0</v>
      </c>
      <c r="B2090" s="6">
        <f>+'[1]VENTAS(RESUMEN GLOBAL)'!M2090</f>
        <v>0</v>
      </c>
      <c r="C2090">
        <f>+'[1]VENTAS(RESUMEN GLOBAL)'!B2090</f>
        <v>0</v>
      </c>
      <c r="D2090" t="e">
        <f>INDEX('[1]CÓDIGOS DE PRODUCTO'!$D$3:$D$1000,MATCH(C2090,'[1]CÓDIGOS DE PRODUCTO'!$A$3:$A$1000,0))</f>
        <v>#N/A</v>
      </c>
      <c r="E2090">
        <f>VLOOKUP(C2090,'[1]CÓDIGOS DE PRODUCTO'!$A$4:$B$156,2,FALSE)</f>
        <v>0</v>
      </c>
      <c r="F2090">
        <f>INDEX('[1]CÓDIGOS DE PRODUCTO'!$C$3:$C$1000,MATCH(C2090,'[1]CÓDIGOS DE PRODUCTO'!$A$3:$A$1000,0))</f>
        <v>0</v>
      </c>
      <c r="G2090">
        <f>+'[1]VENTAS(RESUMEN GLOBAL)'!D2090-'[1]VENTAS(RESUMEN GLOBAL)'!E2090</f>
        <v>0</v>
      </c>
      <c r="H2090" s="9">
        <f>+'[1]VENTAS(RESUMEN GLOBAL)'!K2090</f>
        <v>0</v>
      </c>
      <c r="I2090" s="8">
        <f>+G2090*'[1]VENTAS(RESUMEN GLOBAL)'!F2090</f>
        <v>0</v>
      </c>
      <c r="J2090" s="8">
        <f>'[1]VENTAS(RESUMEN GLOBAL)'!G2090*(1-'[1]VENTAS(RESUMEN GLOBAL)'!H2090)</f>
        <v>0</v>
      </c>
      <c r="K2090" s="8">
        <f t="shared" si="32"/>
        <v>0</v>
      </c>
      <c r="L2090" s="8">
        <f>+'[1]VENTAS(RESUMEN GLOBAL)'!J2090</f>
        <v>0</v>
      </c>
      <c r="M2090" s="8">
        <f>+Tabla1[[#This Row],[utilidad x dia]]*7</f>
        <v>0</v>
      </c>
    </row>
    <row r="2091" spans="1:13" x14ac:dyDescent="0.3">
      <c r="A2091" s="6">
        <f>+'[1]VENTAS(RESUMEN GLOBAL)'!L2091</f>
        <v>0</v>
      </c>
      <c r="B2091" s="6">
        <f>+'[1]VENTAS(RESUMEN GLOBAL)'!M2091</f>
        <v>0</v>
      </c>
      <c r="C2091">
        <f>+'[1]VENTAS(RESUMEN GLOBAL)'!B2091</f>
        <v>0</v>
      </c>
      <c r="D2091" t="e">
        <f>INDEX('[1]CÓDIGOS DE PRODUCTO'!$D$3:$D$1000,MATCH(C2091,'[1]CÓDIGOS DE PRODUCTO'!$A$3:$A$1000,0))</f>
        <v>#N/A</v>
      </c>
      <c r="E2091">
        <f>VLOOKUP(C2091,'[1]CÓDIGOS DE PRODUCTO'!$A$4:$B$156,2,FALSE)</f>
        <v>0</v>
      </c>
      <c r="F2091">
        <f>INDEX('[1]CÓDIGOS DE PRODUCTO'!$C$3:$C$1000,MATCH(C2091,'[1]CÓDIGOS DE PRODUCTO'!$A$3:$A$1000,0))</f>
        <v>0</v>
      </c>
      <c r="G2091">
        <f>+'[1]VENTAS(RESUMEN GLOBAL)'!D2091-'[1]VENTAS(RESUMEN GLOBAL)'!E2091</f>
        <v>0</v>
      </c>
      <c r="H2091" s="9">
        <f>+'[1]VENTAS(RESUMEN GLOBAL)'!K2091</f>
        <v>0</v>
      </c>
      <c r="I2091" s="8">
        <f>+G2091*'[1]VENTAS(RESUMEN GLOBAL)'!F2091</f>
        <v>0</v>
      </c>
      <c r="J2091" s="8">
        <f>'[1]VENTAS(RESUMEN GLOBAL)'!G2091*(1-'[1]VENTAS(RESUMEN GLOBAL)'!H2091)</f>
        <v>0</v>
      </c>
      <c r="K2091" s="8">
        <f t="shared" si="32"/>
        <v>0</v>
      </c>
      <c r="L2091" s="8">
        <f>+'[1]VENTAS(RESUMEN GLOBAL)'!J2091</f>
        <v>0</v>
      </c>
      <c r="M2091" s="8">
        <f>+Tabla1[[#This Row],[utilidad x dia]]*7</f>
        <v>0</v>
      </c>
    </row>
    <row r="2092" spans="1:13" x14ac:dyDescent="0.3">
      <c r="A2092" s="6">
        <f>+'[1]VENTAS(RESUMEN GLOBAL)'!L2092</f>
        <v>0</v>
      </c>
      <c r="B2092" s="6">
        <f>+'[1]VENTAS(RESUMEN GLOBAL)'!M2092</f>
        <v>0</v>
      </c>
      <c r="C2092">
        <f>+'[1]VENTAS(RESUMEN GLOBAL)'!B2092</f>
        <v>0</v>
      </c>
      <c r="D2092" t="e">
        <f>INDEX('[1]CÓDIGOS DE PRODUCTO'!$D$3:$D$1000,MATCH(C2092,'[1]CÓDIGOS DE PRODUCTO'!$A$3:$A$1000,0))</f>
        <v>#N/A</v>
      </c>
      <c r="E2092">
        <f>VLOOKUP(C2092,'[1]CÓDIGOS DE PRODUCTO'!$A$4:$B$156,2,FALSE)</f>
        <v>0</v>
      </c>
      <c r="F2092">
        <f>INDEX('[1]CÓDIGOS DE PRODUCTO'!$C$3:$C$1000,MATCH(C2092,'[1]CÓDIGOS DE PRODUCTO'!$A$3:$A$1000,0))</f>
        <v>0</v>
      </c>
      <c r="G2092">
        <f>+'[1]VENTAS(RESUMEN GLOBAL)'!D2092-'[1]VENTAS(RESUMEN GLOBAL)'!E2092</f>
        <v>0</v>
      </c>
      <c r="H2092" s="9">
        <f>+'[1]VENTAS(RESUMEN GLOBAL)'!K2092</f>
        <v>0</v>
      </c>
      <c r="I2092" s="8">
        <f>+G2092*'[1]VENTAS(RESUMEN GLOBAL)'!F2092</f>
        <v>0</v>
      </c>
      <c r="J2092" s="8">
        <f>'[1]VENTAS(RESUMEN GLOBAL)'!G2092*(1-'[1]VENTAS(RESUMEN GLOBAL)'!H2092)</f>
        <v>0</v>
      </c>
      <c r="K2092" s="8">
        <f t="shared" si="32"/>
        <v>0</v>
      </c>
      <c r="L2092" s="8">
        <f>+'[1]VENTAS(RESUMEN GLOBAL)'!J2092</f>
        <v>0</v>
      </c>
      <c r="M2092" s="8">
        <f>+Tabla1[[#This Row],[utilidad x dia]]*7</f>
        <v>0</v>
      </c>
    </row>
    <row r="2093" spans="1:13" x14ac:dyDescent="0.3">
      <c r="A2093" s="6">
        <f>+'[1]VENTAS(RESUMEN GLOBAL)'!L2093</f>
        <v>0</v>
      </c>
      <c r="B2093" s="6">
        <f>+'[1]VENTAS(RESUMEN GLOBAL)'!M2093</f>
        <v>0</v>
      </c>
      <c r="C2093">
        <f>+'[1]VENTAS(RESUMEN GLOBAL)'!B2093</f>
        <v>0</v>
      </c>
      <c r="D2093" t="e">
        <f>INDEX('[1]CÓDIGOS DE PRODUCTO'!$D$3:$D$1000,MATCH(C2093,'[1]CÓDIGOS DE PRODUCTO'!$A$3:$A$1000,0))</f>
        <v>#N/A</v>
      </c>
      <c r="E2093">
        <f>VLOOKUP(C2093,'[1]CÓDIGOS DE PRODUCTO'!$A$4:$B$156,2,FALSE)</f>
        <v>0</v>
      </c>
      <c r="F2093">
        <f>INDEX('[1]CÓDIGOS DE PRODUCTO'!$C$3:$C$1000,MATCH(C2093,'[1]CÓDIGOS DE PRODUCTO'!$A$3:$A$1000,0))</f>
        <v>0</v>
      </c>
      <c r="G2093">
        <f>+'[1]VENTAS(RESUMEN GLOBAL)'!D2093-'[1]VENTAS(RESUMEN GLOBAL)'!E2093</f>
        <v>0</v>
      </c>
      <c r="H2093" s="9">
        <f>+'[1]VENTAS(RESUMEN GLOBAL)'!K2093</f>
        <v>0</v>
      </c>
      <c r="I2093" s="8">
        <f>+G2093*'[1]VENTAS(RESUMEN GLOBAL)'!F2093</f>
        <v>0</v>
      </c>
      <c r="J2093" s="8">
        <f>'[1]VENTAS(RESUMEN GLOBAL)'!G2093*(1-'[1]VENTAS(RESUMEN GLOBAL)'!H2093)</f>
        <v>0</v>
      </c>
      <c r="K2093" s="8">
        <f t="shared" si="32"/>
        <v>0</v>
      </c>
      <c r="L2093" s="8">
        <f>+'[1]VENTAS(RESUMEN GLOBAL)'!J2093</f>
        <v>0</v>
      </c>
      <c r="M2093" s="8">
        <f>+Tabla1[[#This Row],[utilidad x dia]]*7</f>
        <v>0</v>
      </c>
    </row>
    <row r="2094" spans="1:13" x14ac:dyDescent="0.3">
      <c r="A2094" s="6">
        <f>+'[1]VENTAS(RESUMEN GLOBAL)'!L2094</f>
        <v>0</v>
      </c>
      <c r="B2094" s="6">
        <f>+'[1]VENTAS(RESUMEN GLOBAL)'!M2094</f>
        <v>0</v>
      </c>
      <c r="C2094">
        <f>+'[1]VENTAS(RESUMEN GLOBAL)'!B2094</f>
        <v>0</v>
      </c>
      <c r="D2094" t="e">
        <f>INDEX('[1]CÓDIGOS DE PRODUCTO'!$D$3:$D$1000,MATCH(C2094,'[1]CÓDIGOS DE PRODUCTO'!$A$3:$A$1000,0))</f>
        <v>#N/A</v>
      </c>
      <c r="E2094">
        <f>VLOOKUP(C2094,'[1]CÓDIGOS DE PRODUCTO'!$A$4:$B$156,2,FALSE)</f>
        <v>0</v>
      </c>
      <c r="F2094">
        <f>INDEX('[1]CÓDIGOS DE PRODUCTO'!$C$3:$C$1000,MATCH(C2094,'[1]CÓDIGOS DE PRODUCTO'!$A$3:$A$1000,0))</f>
        <v>0</v>
      </c>
      <c r="G2094">
        <f>+'[1]VENTAS(RESUMEN GLOBAL)'!D2094-'[1]VENTAS(RESUMEN GLOBAL)'!E2094</f>
        <v>0</v>
      </c>
      <c r="H2094" s="9">
        <f>+'[1]VENTAS(RESUMEN GLOBAL)'!K2094</f>
        <v>0</v>
      </c>
      <c r="I2094" s="8">
        <f>+G2094*'[1]VENTAS(RESUMEN GLOBAL)'!F2094</f>
        <v>0</v>
      </c>
      <c r="J2094" s="8">
        <f>'[1]VENTAS(RESUMEN GLOBAL)'!G2094*(1-'[1]VENTAS(RESUMEN GLOBAL)'!H2094)</f>
        <v>0</v>
      </c>
      <c r="K2094" s="8">
        <f t="shared" si="32"/>
        <v>0</v>
      </c>
      <c r="L2094" s="8">
        <f>+'[1]VENTAS(RESUMEN GLOBAL)'!J2094</f>
        <v>0</v>
      </c>
      <c r="M2094" s="8">
        <f>+Tabla1[[#This Row],[utilidad x dia]]*7</f>
        <v>0</v>
      </c>
    </row>
    <row r="2095" spans="1:13" x14ac:dyDescent="0.3">
      <c r="A2095" s="6">
        <f>+'[1]VENTAS(RESUMEN GLOBAL)'!L2095</f>
        <v>0</v>
      </c>
      <c r="B2095" s="6">
        <f>+'[1]VENTAS(RESUMEN GLOBAL)'!M2095</f>
        <v>0</v>
      </c>
      <c r="C2095">
        <f>+'[1]VENTAS(RESUMEN GLOBAL)'!B2095</f>
        <v>0</v>
      </c>
      <c r="D2095" t="e">
        <f>INDEX('[1]CÓDIGOS DE PRODUCTO'!$D$3:$D$1000,MATCH(C2095,'[1]CÓDIGOS DE PRODUCTO'!$A$3:$A$1000,0))</f>
        <v>#N/A</v>
      </c>
      <c r="E2095">
        <f>VLOOKUP(C2095,'[1]CÓDIGOS DE PRODUCTO'!$A$4:$B$156,2,FALSE)</f>
        <v>0</v>
      </c>
      <c r="F2095">
        <f>INDEX('[1]CÓDIGOS DE PRODUCTO'!$C$3:$C$1000,MATCH(C2095,'[1]CÓDIGOS DE PRODUCTO'!$A$3:$A$1000,0))</f>
        <v>0</v>
      </c>
      <c r="G2095">
        <f>+'[1]VENTAS(RESUMEN GLOBAL)'!D2095-'[1]VENTAS(RESUMEN GLOBAL)'!E2095</f>
        <v>0</v>
      </c>
      <c r="H2095" s="9">
        <f>+'[1]VENTAS(RESUMEN GLOBAL)'!K2095</f>
        <v>0</v>
      </c>
      <c r="I2095" s="8">
        <f>+G2095*'[1]VENTAS(RESUMEN GLOBAL)'!F2095</f>
        <v>0</v>
      </c>
      <c r="J2095" s="8">
        <f>'[1]VENTAS(RESUMEN GLOBAL)'!G2095*(1-'[1]VENTAS(RESUMEN GLOBAL)'!H2095)</f>
        <v>0</v>
      </c>
      <c r="K2095" s="8">
        <f t="shared" si="32"/>
        <v>0</v>
      </c>
      <c r="L2095" s="8">
        <f>+'[1]VENTAS(RESUMEN GLOBAL)'!J2095</f>
        <v>0</v>
      </c>
      <c r="M2095" s="8">
        <f>+Tabla1[[#This Row],[utilidad x dia]]*7</f>
        <v>0</v>
      </c>
    </row>
    <row r="2096" spans="1:13" x14ac:dyDescent="0.3">
      <c r="A2096" s="6">
        <f>+'[1]VENTAS(RESUMEN GLOBAL)'!L2096</f>
        <v>0</v>
      </c>
      <c r="B2096" s="6">
        <f>+'[1]VENTAS(RESUMEN GLOBAL)'!M2096</f>
        <v>0</v>
      </c>
      <c r="C2096">
        <f>+'[1]VENTAS(RESUMEN GLOBAL)'!B2096</f>
        <v>0</v>
      </c>
      <c r="D2096" t="e">
        <f>INDEX('[1]CÓDIGOS DE PRODUCTO'!$D$3:$D$1000,MATCH(C2096,'[1]CÓDIGOS DE PRODUCTO'!$A$3:$A$1000,0))</f>
        <v>#N/A</v>
      </c>
      <c r="E2096">
        <f>VLOOKUP(C2096,'[1]CÓDIGOS DE PRODUCTO'!$A$4:$B$156,2,FALSE)</f>
        <v>0</v>
      </c>
      <c r="F2096">
        <f>INDEX('[1]CÓDIGOS DE PRODUCTO'!$C$3:$C$1000,MATCH(C2096,'[1]CÓDIGOS DE PRODUCTO'!$A$3:$A$1000,0))</f>
        <v>0</v>
      </c>
      <c r="G2096">
        <f>+'[1]VENTAS(RESUMEN GLOBAL)'!D2096-'[1]VENTAS(RESUMEN GLOBAL)'!E2096</f>
        <v>0</v>
      </c>
      <c r="H2096" s="9">
        <f>+'[1]VENTAS(RESUMEN GLOBAL)'!K2096</f>
        <v>0</v>
      </c>
      <c r="I2096" s="8">
        <f>+G2096*'[1]VENTAS(RESUMEN GLOBAL)'!F2096</f>
        <v>0</v>
      </c>
      <c r="J2096" s="8">
        <f>'[1]VENTAS(RESUMEN GLOBAL)'!G2096*(1-'[1]VENTAS(RESUMEN GLOBAL)'!H2096)</f>
        <v>0</v>
      </c>
      <c r="K2096" s="8">
        <f t="shared" si="32"/>
        <v>0</v>
      </c>
      <c r="L2096" s="8">
        <f>+'[1]VENTAS(RESUMEN GLOBAL)'!J2096</f>
        <v>0</v>
      </c>
      <c r="M2096" s="8">
        <f>+Tabla1[[#This Row],[utilidad x dia]]*7</f>
        <v>0</v>
      </c>
    </row>
    <row r="2097" spans="1:13" x14ac:dyDescent="0.3">
      <c r="A2097" s="6">
        <f>+'[1]VENTAS(RESUMEN GLOBAL)'!L2097</f>
        <v>0</v>
      </c>
      <c r="B2097" s="6">
        <f>+'[1]VENTAS(RESUMEN GLOBAL)'!M2097</f>
        <v>0</v>
      </c>
      <c r="C2097">
        <f>+'[1]VENTAS(RESUMEN GLOBAL)'!B2097</f>
        <v>0</v>
      </c>
      <c r="D2097" t="e">
        <f>INDEX('[1]CÓDIGOS DE PRODUCTO'!$D$3:$D$1000,MATCH(C2097,'[1]CÓDIGOS DE PRODUCTO'!$A$3:$A$1000,0))</f>
        <v>#N/A</v>
      </c>
      <c r="E2097">
        <f>VLOOKUP(C2097,'[1]CÓDIGOS DE PRODUCTO'!$A$4:$B$156,2,FALSE)</f>
        <v>0</v>
      </c>
      <c r="F2097">
        <f>INDEX('[1]CÓDIGOS DE PRODUCTO'!$C$3:$C$1000,MATCH(C2097,'[1]CÓDIGOS DE PRODUCTO'!$A$3:$A$1000,0))</f>
        <v>0</v>
      </c>
      <c r="G2097">
        <f>+'[1]VENTAS(RESUMEN GLOBAL)'!D2097-'[1]VENTAS(RESUMEN GLOBAL)'!E2097</f>
        <v>0</v>
      </c>
      <c r="H2097" s="9">
        <f>+'[1]VENTAS(RESUMEN GLOBAL)'!K2097</f>
        <v>0</v>
      </c>
      <c r="I2097" s="8">
        <f>+G2097*'[1]VENTAS(RESUMEN GLOBAL)'!F2097</f>
        <v>0</v>
      </c>
      <c r="J2097" s="8">
        <f>'[1]VENTAS(RESUMEN GLOBAL)'!G2097*(1-'[1]VENTAS(RESUMEN GLOBAL)'!H2097)</f>
        <v>0</v>
      </c>
      <c r="K2097" s="8">
        <f t="shared" si="32"/>
        <v>0</v>
      </c>
      <c r="L2097" s="8">
        <f>+'[1]VENTAS(RESUMEN GLOBAL)'!J2097</f>
        <v>0</v>
      </c>
      <c r="M2097" s="8">
        <f>+Tabla1[[#This Row],[utilidad x dia]]*7</f>
        <v>0</v>
      </c>
    </row>
    <row r="2098" spans="1:13" x14ac:dyDescent="0.3">
      <c r="A2098" s="6">
        <f>+'[1]VENTAS(RESUMEN GLOBAL)'!L2098</f>
        <v>0</v>
      </c>
      <c r="B2098" s="6">
        <f>+'[1]VENTAS(RESUMEN GLOBAL)'!M2098</f>
        <v>0</v>
      </c>
      <c r="C2098">
        <f>+'[1]VENTAS(RESUMEN GLOBAL)'!B2098</f>
        <v>0</v>
      </c>
      <c r="D2098" t="e">
        <f>INDEX('[1]CÓDIGOS DE PRODUCTO'!$D$3:$D$1000,MATCH(C2098,'[1]CÓDIGOS DE PRODUCTO'!$A$3:$A$1000,0))</f>
        <v>#N/A</v>
      </c>
      <c r="E2098">
        <f>VLOOKUP(C2098,'[1]CÓDIGOS DE PRODUCTO'!$A$4:$B$156,2,FALSE)</f>
        <v>0</v>
      </c>
      <c r="F2098">
        <f>INDEX('[1]CÓDIGOS DE PRODUCTO'!$C$3:$C$1000,MATCH(C2098,'[1]CÓDIGOS DE PRODUCTO'!$A$3:$A$1000,0))</f>
        <v>0</v>
      </c>
      <c r="G2098">
        <f>+'[1]VENTAS(RESUMEN GLOBAL)'!D2098-'[1]VENTAS(RESUMEN GLOBAL)'!E2098</f>
        <v>0</v>
      </c>
      <c r="H2098" s="9">
        <f>+'[1]VENTAS(RESUMEN GLOBAL)'!K2098</f>
        <v>0</v>
      </c>
      <c r="I2098" s="8">
        <f>+G2098*'[1]VENTAS(RESUMEN GLOBAL)'!F2098</f>
        <v>0</v>
      </c>
      <c r="J2098" s="8">
        <f>'[1]VENTAS(RESUMEN GLOBAL)'!G2098*(1-'[1]VENTAS(RESUMEN GLOBAL)'!H2098)</f>
        <v>0</v>
      </c>
      <c r="K2098" s="8">
        <f t="shared" si="32"/>
        <v>0</v>
      </c>
      <c r="L2098" s="8">
        <f>+'[1]VENTAS(RESUMEN GLOBAL)'!J2098</f>
        <v>0</v>
      </c>
      <c r="M2098" s="8">
        <f>+Tabla1[[#This Row],[utilidad x dia]]*7</f>
        <v>0</v>
      </c>
    </row>
    <row r="2099" spans="1:13" x14ac:dyDescent="0.3">
      <c r="A2099" s="6">
        <f>+'[1]VENTAS(RESUMEN GLOBAL)'!L2099</f>
        <v>0</v>
      </c>
      <c r="B2099" s="6">
        <f>+'[1]VENTAS(RESUMEN GLOBAL)'!M2099</f>
        <v>0</v>
      </c>
      <c r="C2099">
        <f>+'[1]VENTAS(RESUMEN GLOBAL)'!B2099</f>
        <v>0</v>
      </c>
      <c r="D2099" t="e">
        <f>INDEX('[1]CÓDIGOS DE PRODUCTO'!$D$3:$D$1000,MATCH(C2099,'[1]CÓDIGOS DE PRODUCTO'!$A$3:$A$1000,0))</f>
        <v>#N/A</v>
      </c>
      <c r="E2099">
        <f>VLOOKUP(C2099,'[1]CÓDIGOS DE PRODUCTO'!$A$4:$B$156,2,FALSE)</f>
        <v>0</v>
      </c>
      <c r="F2099">
        <f>INDEX('[1]CÓDIGOS DE PRODUCTO'!$C$3:$C$1000,MATCH(C2099,'[1]CÓDIGOS DE PRODUCTO'!$A$3:$A$1000,0))</f>
        <v>0</v>
      </c>
      <c r="G2099">
        <f>+'[1]VENTAS(RESUMEN GLOBAL)'!D2099-'[1]VENTAS(RESUMEN GLOBAL)'!E2099</f>
        <v>0</v>
      </c>
      <c r="H2099" s="9">
        <f>+'[1]VENTAS(RESUMEN GLOBAL)'!K2099</f>
        <v>0</v>
      </c>
      <c r="I2099" s="8">
        <f>+G2099*'[1]VENTAS(RESUMEN GLOBAL)'!F2099</f>
        <v>0</v>
      </c>
      <c r="J2099" s="8">
        <f>'[1]VENTAS(RESUMEN GLOBAL)'!G2099*(1-'[1]VENTAS(RESUMEN GLOBAL)'!H2099)</f>
        <v>0</v>
      </c>
      <c r="K2099" s="8">
        <f t="shared" si="32"/>
        <v>0</v>
      </c>
      <c r="L2099" s="8">
        <f>+'[1]VENTAS(RESUMEN GLOBAL)'!J2099</f>
        <v>0</v>
      </c>
      <c r="M2099" s="8">
        <f>+Tabla1[[#This Row],[utilidad x dia]]*7</f>
        <v>0</v>
      </c>
    </row>
    <row r="2100" spans="1:13" x14ac:dyDescent="0.3">
      <c r="A2100" s="6">
        <f>+'[1]VENTAS(RESUMEN GLOBAL)'!L2100</f>
        <v>0</v>
      </c>
      <c r="B2100" s="6">
        <f>+'[1]VENTAS(RESUMEN GLOBAL)'!M2100</f>
        <v>0</v>
      </c>
      <c r="C2100">
        <f>+'[1]VENTAS(RESUMEN GLOBAL)'!B2100</f>
        <v>0</v>
      </c>
      <c r="D2100" t="e">
        <f>INDEX('[1]CÓDIGOS DE PRODUCTO'!$D$3:$D$1000,MATCH(C2100,'[1]CÓDIGOS DE PRODUCTO'!$A$3:$A$1000,0))</f>
        <v>#N/A</v>
      </c>
      <c r="E2100">
        <f>VLOOKUP(C2100,'[1]CÓDIGOS DE PRODUCTO'!$A$4:$B$156,2,FALSE)</f>
        <v>0</v>
      </c>
      <c r="F2100">
        <f>INDEX('[1]CÓDIGOS DE PRODUCTO'!$C$3:$C$1000,MATCH(C2100,'[1]CÓDIGOS DE PRODUCTO'!$A$3:$A$1000,0))</f>
        <v>0</v>
      </c>
      <c r="G2100">
        <f>+'[1]VENTAS(RESUMEN GLOBAL)'!D2100-'[1]VENTAS(RESUMEN GLOBAL)'!E2100</f>
        <v>0</v>
      </c>
      <c r="H2100" s="9">
        <f>+'[1]VENTAS(RESUMEN GLOBAL)'!K2100</f>
        <v>0</v>
      </c>
      <c r="I2100" s="8">
        <f>+G2100*'[1]VENTAS(RESUMEN GLOBAL)'!F2100</f>
        <v>0</v>
      </c>
      <c r="J2100" s="8">
        <f>'[1]VENTAS(RESUMEN GLOBAL)'!G2100*(1-'[1]VENTAS(RESUMEN GLOBAL)'!H2100)</f>
        <v>0</v>
      </c>
      <c r="K2100" s="8">
        <f t="shared" si="32"/>
        <v>0</v>
      </c>
      <c r="L2100" s="8">
        <f>+'[1]VENTAS(RESUMEN GLOBAL)'!J2100</f>
        <v>0</v>
      </c>
      <c r="M2100" s="8">
        <f>+Tabla1[[#This Row],[utilidad x dia]]*7</f>
        <v>0</v>
      </c>
    </row>
    <row r="2101" spans="1:13" x14ac:dyDescent="0.3">
      <c r="A2101" s="6">
        <f>+'[1]VENTAS(RESUMEN GLOBAL)'!L2101</f>
        <v>0</v>
      </c>
      <c r="B2101" s="6">
        <f>+'[1]VENTAS(RESUMEN GLOBAL)'!M2101</f>
        <v>0</v>
      </c>
      <c r="C2101">
        <f>+'[1]VENTAS(RESUMEN GLOBAL)'!B2101</f>
        <v>0</v>
      </c>
      <c r="D2101" t="e">
        <f>INDEX('[1]CÓDIGOS DE PRODUCTO'!$D$3:$D$1000,MATCH(C2101,'[1]CÓDIGOS DE PRODUCTO'!$A$3:$A$1000,0))</f>
        <v>#N/A</v>
      </c>
      <c r="E2101">
        <f>VLOOKUP(C2101,'[1]CÓDIGOS DE PRODUCTO'!$A$4:$B$156,2,FALSE)</f>
        <v>0</v>
      </c>
      <c r="F2101">
        <f>INDEX('[1]CÓDIGOS DE PRODUCTO'!$C$3:$C$1000,MATCH(C2101,'[1]CÓDIGOS DE PRODUCTO'!$A$3:$A$1000,0))</f>
        <v>0</v>
      </c>
      <c r="G2101">
        <f>+'[1]VENTAS(RESUMEN GLOBAL)'!D2101-'[1]VENTAS(RESUMEN GLOBAL)'!E2101</f>
        <v>0</v>
      </c>
      <c r="H2101" s="9">
        <f>+'[1]VENTAS(RESUMEN GLOBAL)'!K2101</f>
        <v>0</v>
      </c>
      <c r="I2101" s="8">
        <f>+G2101*'[1]VENTAS(RESUMEN GLOBAL)'!F2101</f>
        <v>0</v>
      </c>
      <c r="J2101" s="8">
        <f>'[1]VENTAS(RESUMEN GLOBAL)'!G2101*(1-'[1]VENTAS(RESUMEN GLOBAL)'!H2101)</f>
        <v>0</v>
      </c>
      <c r="K2101" s="8">
        <f t="shared" si="32"/>
        <v>0</v>
      </c>
      <c r="L2101" s="8">
        <f>+'[1]VENTAS(RESUMEN GLOBAL)'!J2101</f>
        <v>0</v>
      </c>
      <c r="M2101" s="8">
        <f>+Tabla1[[#This Row],[utilidad x dia]]*7</f>
        <v>0</v>
      </c>
    </row>
    <row r="2102" spans="1:13" x14ac:dyDescent="0.3">
      <c r="A2102" s="6">
        <f>+'[1]VENTAS(RESUMEN GLOBAL)'!L2102</f>
        <v>0</v>
      </c>
      <c r="B2102" s="6">
        <f>+'[1]VENTAS(RESUMEN GLOBAL)'!M2102</f>
        <v>0</v>
      </c>
      <c r="C2102">
        <f>+'[1]VENTAS(RESUMEN GLOBAL)'!B2102</f>
        <v>0</v>
      </c>
      <c r="D2102" t="e">
        <f>INDEX('[1]CÓDIGOS DE PRODUCTO'!$D$3:$D$1000,MATCH(C2102,'[1]CÓDIGOS DE PRODUCTO'!$A$3:$A$1000,0))</f>
        <v>#N/A</v>
      </c>
      <c r="E2102">
        <f>VLOOKUP(C2102,'[1]CÓDIGOS DE PRODUCTO'!$A$4:$B$156,2,FALSE)</f>
        <v>0</v>
      </c>
      <c r="F2102">
        <f>INDEX('[1]CÓDIGOS DE PRODUCTO'!$C$3:$C$1000,MATCH(C2102,'[1]CÓDIGOS DE PRODUCTO'!$A$3:$A$1000,0))</f>
        <v>0</v>
      </c>
      <c r="G2102">
        <f>+'[1]VENTAS(RESUMEN GLOBAL)'!D2102-'[1]VENTAS(RESUMEN GLOBAL)'!E2102</f>
        <v>0</v>
      </c>
      <c r="H2102" s="9">
        <f>+'[1]VENTAS(RESUMEN GLOBAL)'!K2102</f>
        <v>0</v>
      </c>
      <c r="I2102" s="8">
        <f>+G2102*'[1]VENTAS(RESUMEN GLOBAL)'!F2102</f>
        <v>0</v>
      </c>
      <c r="J2102" s="8">
        <f>'[1]VENTAS(RESUMEN GLOBAL)'!G2102*(1-'[1]VENTAS(RESUMEN GLOBAL)'!H2102)</f>
        <v>0</v>
      </c>
      <c r="K2102" s="8">
        <f t="shared" si="32"/>
        <v>0</v>
      </c>
      <c r="L2102" s="8">
        <f>+'[1]VENTAS(RESUMEN GLOBAL)'!J2102</f>
        <v>0</v>
      </c>
      <c r="M2102" s="8">
        <f>+Tabla1[[#This Row],[utilidad x dia]]*7</f>
        <v>0</v>
      </c>
    </row>
    <row r="2103" spans="1:13" x14ac:dyDescent="0.3">
      <c r="A2103" s="6">
        <f>+'[1]VENTAS(RESUMEN GLOBAL)'!L2103</f>
        <v>0</v>
      </c>
      <c r="B2103" s="6">
        <f>+'[1]VENTAS(RESUMEN GLOBAL)'!M2103</f>
        <v>0</v>
      </c>
      <c r="C2103">
        <f>+'[1]VENTAS(RESUMEN GLOBAL)'!B2103</f>
        <v>0</v>
      </c>
      <c r="D2103" t="e">
        <f>INDEX('[1]CÓDIGOS DE PRODUCTO'!$D$3:$D$1000,MATCH(C2103,'[1]CÓDIGOS DE PRODUCTO'!$A$3:$A$1000,0))</f>
        <v>#N/A</v>
      </c>
      <c r="E2103">
        <f>VLOOKUP(C2103,'[1]CÓDIGOS DE PRODUCTO'!$A$4:$B$156,2,FALSE)</f>
        <v>0</v>
      </c>
      <c r="F2103">
        <f>INDEX('[1]CÓDIGOS DE PRODUCTO'!$C$3:$C$1000,MATCH(C2103,'[1]CÓDIGOS DE PRODUCTO'!$A$3:$A$1000,0))</f>
        <v>0</v>
      </c>
      <c r="G2103">
        <f>+'[1]VENTAS(RESUMEN GLOBAL)'!D2103-'[1]VENTAS(RESUMEN GLOBAL)'!E2103</f>
        <v>0</v>
      </c>
      <c r="H2103" s="9">
        <f>+'[1]VENTAS(RESUMEN GLOBAL)'!K2103</f>
        <v>0</v>
      </c>
      <c r="I2103" s="8">
        <f>+G2103*'[1]VENTAS(RESUMEN GLOBAL)'!F2103</f>
        <v>0</v>
      </c>
      <c r="J2103" s="8">
        <f>'[1]VENTAS(RESUMEN GLOBAL)'!G2103*(1-'[1]VENTAS(RESUMEN GLOBAL)'!H2103)</f>
        <v>0</v>
      </c>
      <c r="K2103" s="8">
        <f t="shared" si="32"/>
        <v>0</v>
      </c>
      <c r="L2103" s="8">
        <f>+'[1]VENTAS(RESUMEN GLOBAL)'!J2103</f>
        <v>0</v>
      </c>
      <c r="M2103" s="8">
        <f>+Tabla1[[#This Row],[utilidad x dia]]*7</f>
        <v>0</v>
      </c>
    </row>
    <row r="2104" spans="1:13" x14ac:dyDescent="0.3">
      <c r="A2104" s="6">
        <f>+'[1]VENTAS(RESUMEN GLOBAL)'!L2104</f>
        <v>0</v>
      </c>
      <c r="B2104" s="6">
        <f>+'[1]VENTAS(RESUMEN GLOBAL)'!M2104</f>
        <v>0</v>
      </c>
      <c r="C2104">
        <f>+'[1]VENTAS(RESUMEN GLOBAL)'!B2104</f>
        <v>0</v>
      </c>
      <c r="D2104" t="e">
        <f>INDEX('[1]CÓDIGOS DE PRODUCTO'!$D$3:$D$1000,MATCH(C2104,'[1]CÓDIGOS DE PRODUCTO'!$A$3:$A$1000,0))</f>
        <v>#N/A</v>
      </c>
      <c r="E2104">
        <f>VLOOKUP(C2104,'[1]CÓDIGOS DE PRODUCTO'!$A$4:$B$156,2,FALSE)</f>
        <v>0</v>
      </c>
      <c r="F2104">
        <f>INDEX('[1]CÓDIGOS DE PRODUCTO'!$C$3:$C$1000,MATCH(C2104,'[1]CÓDIGOS DE PRODUCTO'!$A$3:$A$1000,0))</f>
        <v>0</v>
      </c>
      <c r="G2104">
        <f>+'[1]VENTAS(RESUMEN GLOBAL)'!D2104-'[1]VENTAS(RESUMEN GLOBAL)'!E2104</f>
        <v>0</v>
      </c>
      <c r="H2104" s="9">
        <f>+'[1]VENTAS(RESUMEN GLOBAL)'!K2104</f>
        <v>0</v>
      </c>
      <c r="I2104" s="8">
        <f>+G2104*'[1]VENTAS(RESUMEN GLOBAL)'!F2104</f>
        <v>0</v>
      </c>
      <c r="J2104" s="8">
        <f>'[1]VENTAS(RESUMEN GLOBAL)'!G2104*(1-'[1]VENTAS(RESUMEN GLOBAL)'!H2104)</f>
        <v>0</v>
      </c>
      <c r="K2104" s="8">
        <f t="shared" si="32"/>
        <v>0</v>
      </c>
      <c r="L2104" s="8">
        <f>+'[1]VENTAS(RESUMEN GLOBAL)'!J2104</f>
        <v>0</v>
      </c>
      <c r="M2104" s="8">
        <f>+Tabla1[[#This Row],[utilidad x dia]]*7</f>
        <v>0</v>
      </c>
    </row>
    <row r="2105" spans="1:13" x14ac:dyDescent="0.3">
      <c r="A2105" s="6">
        <f>+'[1]VENTAS(RESUMEN GLOBAL)'!L2105</f>
        <v>0</v>
      </c>
      <c r="B2105" s="6">
        <f>+'[1]VENTAS(RESUMEN GLOBAL)'!M2105</f>
        <v>0</v>
      </c>
      <c r="C2105">
        <f>+'[1]VENTAS(RESUMEN GLOBAL)'!B2105</f>
        <v>0</v>
      </c>
      <c r="D2105" t="e">
        <f>INDEX('[1]CÓDIGOS DE PRODUCTO'!$D$3:$D$1000,MATCH(C2105,'[1]CÓDIGOS DE PRODUCTO'!$A$3:$A$1000,0))</f>
        <v>#N/A</v>
      </c>
      <c r="E2105">
        <f>VLOOKUP(C2105,'[1]CÓDIGOS DE PRODUCTO'!$A$4:$B$156,2,FALSE)</f>
        <v>0</v>
      </c>
      <c r="F2105">
        <f>INDEX('[1]CÓDIGOS DE PRODUCTO'!$C$3:$C$1000,MATCH(C2105,'[1]CÓDIGOS DE PRODUCTO'!$A$3:$A$1000,0))</f>
        <v>0</v>
      </c>
      <c r="G2105">
        <f>+'[1]VENTAS(RESUMEN GLOBAL)'!D2105-'[1]VENTAS(RESUMEN GLOBAL)'!E2105</f>
        <v>0</v>
      </c>
      <c r="H2105" s="9">
        <f>+'[1]VENTAS(RESUMEN GLOBAL)'!K2105</f>
        <v>0</v>
      </c>
      <c r="I2105" s="8">
        <f>+G2105*'[1]VENTAS(RESUMEN GLOBAL)'!F2105</f>
        <v>0</v>
      </c>
      <c r="J2105" s="8">
        <f>'[1]VENTAS(RESUMEN GLOBAL)'!G2105*(1-'[1]VENTAS(RESUMEN GLOBAL)'!H2105)</f>
        <v>0</v>
      </c>
      <c r="K2105" s="8">
        <f t="shared" si="32"/>
        <v>0</v>
      </c>
      <c r="L2105" s="8">
        <f>+'[1]VENTAS(RESUMEN GLOBAL)'!J2105</f>
        <v>0</v>
      </c>
      <c r="M2105" s="8">
        <f>+Tabla1[[#This Row],[utilidad x dia]]*7</f>
        <v>0</v>
      </c>
    </row>
    <row r="2106" spans="1:13" x14ac:dyDescent="0.3">
      <c r="A2106" s="6">
        <f>+'[1]VENTAS(RESUMEN GLOBAL)'!L2106</f>
        <v>0</v>
      </c>
      <c r="B2106" s="6">
        <f>+'[1]VENTAS(RESUMEN GLOBAL)'!M2106</f>
        <v>0</v>
      </c>
      <c r="C2106">
        <f>+'[1]VENTAS(RESUMEN GLOBAL)'!B2106</f>
        <v>0</v>
      </c>
      <c r="D2106" t="e">
        <f>INDEX('[1]CÓDIGOS DE PRODUCTO'!$D$3:$D$1000,MATCH(C2106,'[1]CÓDIGOS DE PRODUCTO'!$A$3:$A$1000,0))</f>
        <v>#N/A</v>
      </c>
      <c r="E2106">
        <f>VLOOKUP(C2106,'[1]CÓDIGOS DE PRODUCTO'!$A$4:$B$156,2,FALSE)</f>
        <v>0</v>
      </c>
      <c r="F2106">
        <f>INDEX('[1]CÓDIGOS DE PRODUCTO'!$C$3:$C$1000,MATCH(C2106,'[1]CÓDIGOS DE PRODUCTO'!$A$3:$A$1000,0))</f>
        <v>0</v>
      </c>
      <c r="G2106">
        <f>+'[1]VENTAS(RESUMEN GLOBAL)'!D2106-'[1]VENTAS(RESUMEN GLOBAL)'!E2106</f>
        <v>0</v>
      </c>
      <c r="H2106" s="9">
        <f>+'[1]VENTAS(RESUMEN GLOBAL)'!K2106</f>
        <v>0</v>
      </c>
      <c r="I2106" s="8">
        <f>+G2106*'[1]VENTAS(RESUMEN GLOBAL)'!F2106</f>
        <v>0</v>
      </c>
      <c r="J2106" s="8">
        <f>'[1]VENTAS(RESUMEN GLOBAL)'!G2106*(1-'[1]VENTAS(RESUMEN GLOBAL)'!H2106)</f>
        <v>0</v>
      </c>
      <c r="K2106" s="8">
        <f t="shared" si="32"/>
        <v>0</v>
      </c>
      <c r="L2106" s="8">
        <f>+'[1]VENTAS(RESUMEN GLOBAL)'!J2106</f>
        <v>0</v>
      </c>
      <c r="M2106" s="8">
        <f>+Tabla1[[#This Row],[utilidad x dia]]*7</f>
        <v>0</v>
      </c>
    </row>
    <row r="2107" spans="1:13" x14ac:dyDescent="0.3">
      <c r="A2107" s="6">
        <f>+'[1]VENTAS(RESUMEN GLOBAL)'!L2107</f>
        <v>0</v>
      </c>
      <c r="B2107" s="6">
        <f>+'[1]VENTAS(RESUMEN GLOBAL)'!M2107</f>
        <v>0</v>
      </c>
      <c r="C2107">
        <f>+'[1]VENTAS(RESUMEN GLOBAL)'!B2107</f>
        <v>0</v>
      </c>
      <c r="D2107" t="e">
        <f>INDEX('[1]CÓDIGOS DE PRODUCTO'!$D$3:$D$1000,MATCH(C2107,'[1]CÓDIGOS DE PRODUCTO'!$A$3:$A$1000,0))</f>
        <v>#N/A</v>
      </c>
      <c r="E2107">
        <f>VLOOKUP(C2107,'[1]CÓDIGOS DE PRODUCTO'!$A$4:$B$156,2,FALSE)</f>
        <v>0</v>
      </c>
      <c r="F2107">
        <f>INDEX('[1]CÓDIGOS DE PRODUCTO'!$C$3:$C$1000,MATCH(C2107,'[1]CÓDIGOS DE PRODUCTO'!$A$3:$A$1000,0))</f>
        <v>0</v>
      </c>
      <c r="G2107">
        <f>+'[1]VENTAS(RESUMEN GLOBAL)'!D2107-'[1]VENTAS(RESUMEN GLOBAL)'!E2107</f>
        <v>0</v>
      </c>
      <c r="H2107" s="9">
        <f>+'[1]VENTAS(RESUMEN GLOBAL)'!K2107</f>
        <v>0</v>
      </c>
      <c r="I2107" s="8">
        <f>+G2107*'[1]VENTAS(RESUMEN GLOBAL)'!F2107</f>
        <v>0</v>
      </c>
      <c r="J2107" s="8">
        <f>'[1]VENTAS(RESUMEN GLOBAL)'!G2107*(1-'[1]VENTAS(RESUMEN GLOBAL)'!H2107)</f>
        <v>0</v>
      </c>
      <c r="K2107" s="8">
        <f t="shared" si="32"/>
        <v>0</v>
      </c>
      <c r="L2107" s="8">
        <f>+'[1]VENTAS(RESUMEN GLOBAL)'!J2107</f>
        <v>0</v>
      </c>
      <c r="M2107" s="8">
        <f>+Tabla1[[#This Row],[utilidad x dia]]*7</f>
        <v>0</v>
      </c>
    </row>
    <row r="2108" spans="1:13" x14ac:dyDescent="0.3">
      <c r="A2108" s="6">
        <f>+'[1]VENTAS(RESUMEN GLOBAL)'!L2108</f>
        <v>0</v>
      </c>
      <c r="B2108" s="6">
        <f>+'[1]VENTAS(RESUMEN GLOBAL)'!M2108</f>
        <v>0</v>
      </c>
      <c r="C2108">
        <f>+'[1]VENTAS(RESUMEN GLOBAL)'!B2108</f>
        <v>0</v>
      </c>
      <c r="D2108" t="e">
        <f>INDEX('[1]CÓDIGOS DE PRODUCTO'!$D$3:$D$1000,MATCH(C2108,'[1]CÓDIGOS DE PRODUCTO'!$A$3:$A$1000,0))</f>
        <v>#N/A</v>
      </c>
      <c r="E2108">
        <f>VLOOKUP(C2108,'[1]CÓDIGOS DE PRODUCTO'!$A$4:$B$156,2,FALSE)</f>
        <v>0</v>
      </c>
      <c r="F2108">
        <f>INDEX('[1]CÓDIGOS DE PRODUCTO'!$C$3:$C$1000,MATCH(C2108,'[1]CÓDIGOS DE PRODUCTO'!$A$3:$A$1000,0))</f>
        <v>0</v>
      </c>
      <c r="G2108">
        <f>+'[1]VENTAS(RESUMEN GLOBAL)'!D2108-'[1]VENTAS(RESUMEN GLOBAL)'!E2108</f>
        <v>0</v>
      </c>
      <c r="H2108" s="9">
        <f>+'[1]VENTAS(RESUMEN GLOBAL)'!K2108</f>
        <v>0</v>
      </c>
      <c r="I2108" s="8">
        <f>+G2108*'[1]VENTAS(RESUMEN GLOBAL)'!F2108</f>
        <v>0</v>
      </c>
      <c r="J2108" s="8">
        <f>'[1]VENTAS(RESUMEN GLOBAL)'!G2108*(1-'[1]VENTAS(RESUMEN GLOBAL)'!H2108)</f>
        <v>0</v>
      </c>
      <c r="K2108" s="8">
        <f t="shared" si="32"/>
        <v>0</v>
      </c>
      <c r="L2108" s="8">
        <f>+'[1]VENTAS(RESUMEN GLOBAL)'!J2108</f>
        <v>0</v>
      </c>
      <c r="M2108" s="8">
        <f>+Tabla1[[#This Row],[utilidad x dia]]*7</f>
        <v>0</v>
      </c>
    </row>
    <row r="2109" spans="1:13" x14ac:dyDescent="0.3">
      <c r="A2109" s="6">
        <f>+'[1]VENTAS(RESUMEN GLOBAL)'!L2109</f>
        <v>0</v>
      </c>
      <c r="B2109" s="6">
        <f>+'[1]VENTAS(RESUMEN GLOBAL)'!M2109</f>
        <v>0</v>
      </c>
      <c r="C2109">
        <f>+'[1]VENTAS(RESUMEN GLOBAL)'!B2109</f>
        <v>0</v>
      </c>
      <c r="D2109" t="e">
        <f>INDEX('[1]CÓDIGOS DE PRODUCTO'!$D$3:$D$1000,MATCH(C2109,'[1]CÓDIGOS DE PRODUCTO'!$A$3:$A$1000,0))</f>
        <v>#N/A</v>
      </c>
      <c r="E2109">
        <f>VLOOKUP(C2109,'[1]CÓDIGOS DE PRODUCTO'!$A$4:$B$156,2,FALSE)</f>
        <v>0</v>
      </c>
      <c r="F2109">
        <f>INDEX('[1]CÓDIGOS DE PRODUCTO'!$C$3:$C$1000,MATCH(C2109,'[1]CÓDIGOS DE PRODUCTO'!$A$3:$A$1000,0))</f>
        <v>0</v>
      </c>
      <c r="G2109">
        <f>+'[1]VENTAS(RESUMEN GLOBAL)'!D2109-'[1]VENTAS(RESUMEN GLOBAL)'!E2109</f>
        <v>0</v>
      </c>
      <c r="H2109" s="9">
        <f>+'[1]VENTAS(RESUMEN GLOBAL)'!K2109</f>
        <v>0</v>
      </c>
      <c r="I2109" s="8">
        <f>+G2109*'[1]VENTAS(RESUMEN GLOBAL)'!F2109</f>
        <v>0</v>
      </c>
      <c r="J2109" s="8">
        <f>'[1]VENTAS(RESUMEN GLOBAL)'!G2109*(1-'[1]VENTAS(RESUMEN GLOBAL)'!H2109)</f>
        <v>0</v>
      </c>
      <c r="K2109" s="8">
        <f t="shared" si="32"/>
        <v>0</v>
      </c>
      <c r="L2109" s="8">
        <f>+'[1]VENTAS(RESUMEN GLOBAL)'!J2109</f>
        <v>0</v>
      </c>
      <c r="M2109" s="8">
        <f>+Tabla1[[#This Row],[utilidad x dia]]*7</f>
        <v>0</v>
      </c>
    </row>
    <row r="2110" spans="1:13" x14ac:dyDescent="0.3">
      <c r="A2110" s="6">
        <f>+'[1]VENTAS(RESUMEN GLOBAL)'!L2110</f>
        <v>0</v>
      </c>
      <c r="B2110" s="6">
        <f>+'[1]VENTAS(RESUMEN GLOBAL)'!M2110</f>
        <v>0</v>
      </c>
      <c r="C2110">
        <f>+'[1]VENTAS(RESUMEN GLOBAL)'!B2110</f>
        <v>0</v>
      </c>
      <c r="D2110" t="e">
        <f>INDEX('[1]CÓDIGOS DE PRODUCTO'!$D$3:$D$1000,MATCH(C2110,'[1]CÓDIGOS DE PRODUCTO'!$A$3:$A$1000,0))</f>
        <v>#N/A</v>
      </c>
      <c r="E2110">
        <f>VLOOKUP(C2110,'[1]CÓDIGOS DE PRODUCTO'!$A$4:$B$156,2,FALSE)</f>
        <v>0</v>
      </c>
      <c r="F2110">
        <f>INDEX('[1]CÓDIGOS DE PRODUCTO'!$C$3:$C$1000,MATCH(C2110,'[1]CÓDIGOS DE PRODUCTO'!$A$3:$A$1000,0))</f>
        <v>0</v>
      </c>
      <c r="G2110">
        <f>+'[1]VENTAS(RESUMEN GLOBAL)'!D2110-'[1]VENTAS(RESUMEN GLOBAL)'!E2110</f>
        <v>0</v>
      </c>
      <c r="H2110" s="9">
        <f>+'[1]VENTAS(RESUMEN GLOBAL)'!K2110</f>
        <v>0</v>
      </c>
      <c r="I2110" s="8">
        <f>+G2110*'[1]VENTAS(RESUMEN GLOBAL)'!F2110</f>
        <v>0</v>
      </c>
      <c r="J2110" s="8">
        <f>'[1]VENTAS(RESUMEN GLOBAL)'!G2110*(1-'[1]VENTAS(RESUMEN GLOBAL)'!H2110)</f>
        <v>0</v>
      </c>
      <c r="K2110" s="8">
        <f t="shared" si="32"/>
        <v>0</v>
      </c>
      <c r="L2110" s="8">
        <f>+'[1]VENTAS(RESUMEN GLOBAL)'!J2110</f>
        <v>0</v>
      </c>
      <c r="M2110" s="8">
        <f>+Tabla1[[#This Row],[utilidad x dia]]*7</f>
        <v>0</v>
      </c>
    </row>
    <row r="2111" spans="1:13" x14ac:dyDescent="0.3">
      <c r="A2111" s="6">
        <f>+'[1]VENTAS(RESUMEN GLOBAL)'!L2111</f>
        <v>0</v>
      </c>
      <c r="B2111" s="6">
        <f>+'[1]VENTAS(RESUMEN GLOBAL)'!M2111</f>
        <v>0</v>
      </c>
      <c r="C2111">
        <f>+'[1]VENTAS(RESUMEN GLOBAL)'!B2111</f>
        <v>0</v>
      </c>
      <c r="D2111" t="e">
        <f>INDEX('[1]CÓDIGOS DE PRODUCTO'!$D$3:$D$1000,MATCH(C2111,'[1]CÓDIGOS DE PRODUCTO'!$A$3:$A$1000,0))</f>
        <v>#N/A</v>
      </c>
      <c r="E2111">
        <f>VLOOKUP(C2111,'[1]CÓDIGOS DE PRODUCTO'!$A$4:$B$156,2,FALSE)</f>
        <v>0</v>
      </c>
      <c r="F2111">
        <f>INDEX('[1]CÓDIGOS DE PRODUCTO'!$C$3:$C$1000,MATCH(C2111,'[1]CÓDIGOS DE PRODUCTO'!$A$3:$A$1000,0))</f>
        <v>0</v>
      </c>
      <c r="G2111">
        <f>+'[1]VENTAS(RESUMEN GLOBAL)'!D2111-'[1]VENTAS(RESUMEN GLOBAL)'!E2111</f>
        <v>0</v>
      </c>
      <c r="H2111" s="9">
        <f>+'[1]VENTAS(RESUMEN GLOBAL)'!K2111</f>
        <v>0</v>
      </c>
      <c r="I2111" s="8">
        <f>+G2111*'[1]VENTAS(RESUMEN GLOBAL)'!F2111</f>
        <v>0</v>
      </c>
      <c r="J2111" s="8">
        <f>'[1]VENTAS(RESUMEN GLOBAL)'!G2111*(1-'[1]VENTAS(RESUMEN GLOBAL)'!H2111)</f>
        <v>0</v>
      </c>
      <c r="K2111" s="8">
        <f t="shared" si="32"/>
        <v>0</v>
      </c>
      <c r="L2111" s="8">
        <f>+'[1]VENTAS(RESUMEN GLOBAL)'!J2111</f>
        <v>0</v>
      </c>
      <c r="M2111" s="8">
        <f>+Tabla1[[#This Row],[utilidad x dia]]*7</f>
        <v>0</v>
      </c>
    </row>
    <row r="2112" spans="1:13" x14ac:dyDescent="0.3">
      <c r="A2112" s="6">
        <f>+'[1]VENTAS(RESUMEN GLOBAL)'!L2112</f>
        <v>0</v>
      </c>
      <c r="B2112" s="6">
        <f>+'[1]VENTAS(RESUMEN GLOBAL)'!M2112</f>
        <v>0</v>
      </c>
      <c r="C2112">
        <f>+'[1]VENTAS(RESUMEN GLOBAL)'!B2112</f>
        <v>0</v>
      </c>
      <c r="D2112" t="e">
        <f>INDEX('[1]CÓDIGOS DE PRODUCTO'!$D$3:$D$1000,MATCH(C2112,'[1]CÓDIGOS DE PRODUCTO'!$A$3:$A$1000,0))</f>
        <v>#N/A</v>
      </c>
      <c r="E2112">
        <f>VLOOKUP(C2112,'[1]CÓDIGOS DE PRODUCTO'!$A$4:$B$156,2,FALSE)</f>
        <v>0</v>
      </c>
      <c r="F2112">
        <f>INDEX('[1]CÓDIGOS DE PRODUCTO'!$C$3:$C$1000,MATCH(C2112,'[1]CÓDIGOS DE PRODUCTO'!$A$3:$A$1000,0))</f>
        <v>0</v>
      </c>
      <c r="G2112">
        <f>+'[1]VENTAS(RESUMEN GLOBAL)'!D2112-'[1]VENTAS(RESUMEN GLOBAL)'!E2112</f>
        <v>0</v>
      </c>
      <c r="H2112" s="9">
        <f>+'[1]VENTAS(RESUMEN GLOBAL)'!K2112</f>
        <v>0</v>
      </c>
      <c r="I2112" s="8">
        <f>+G2112*'[1]VENTAS(RESUMEN GLOBAL)'!F2112</f>
        <v>0</v>
      </c>
      <c r="J2112" s="8">
        <f>'[1]VENTAS(RESUMEN GLOBAL)'!G2112*(1-'[1]VENTAS(RESUMEN GLOBAL)'!H2112)</f>
        <v>0</v>
      </c>
      <c r="K2112" s="8">
        <f t="shared" si="32"/>
        <v>0</v>
      </c>
      <c r="L2112" s="8">
        <f>+'[1]VENTAS(RESUMEN GLOBAL)'!J2112</f>
        <v>0</v>
      </c>
      <c r="M2112" s="8">
        <f>+Tabla1[[#This Row],[utilidad x dia]]*7</f>
        <v>0</v>
      </c>
    </row>
    <row r="2113" spans="1:13" x14ac:dyDescent="0.3">
      <c r="A2113" s="6">
        <f>+'[1]VENTAS(RESUMEN GLOBAL)'!L2113</f>
        <v>0</v>
      </c>
      <c r="B2113" s="6">
        <f>+'[1]VENTAS(RESUMEN GLOBAL)'!M2113</f>
        <v>0</v>
      </c>
      <c r="C2113">
        <f>+'[1]VENTAS(RESUMEN GLOBAL)'!B2113</f>
        <v>0</v>
      </c>
      <c r="D2113" t="e">
        <f>INDEX('[1]CÓDIGOS DE PRODUCTO'!$D$3:$D$1000,MATCH(C2113,'[1]CÓDIGOS DE PRODUCTO'!$A$3:$A$1000,0))</f>
        <v>#N/A</v>
      </c>
      <c r="E2113">
        <f>VLOOKUP(C2113,'[1]CÓDIGOS DE PRODUCTO'!$A$4:$B$156,2,FALSE)</f>
        <v>0</v>
      </c>
      <c r="F2113">
        <f>INDEX('[1]CÓDIGOS DE PRODUCTO'!$C$3:$C$1000,MATCH(C2113,'[1]CÓDIGOS DE PRODUCTO'!$A$3:$A$1000,0))</f>
        <v>0</v>
      </c>
      <c r="G2113">
        <f>+'[1]VENTAS(RESUMEN GLOBAL)'!D2113-'[1]VENTAS(RESUMEN GLOBAL)'!E2113</f>
        <v>0</v>
      </c>
      <c r="H2113" s="9">
        <f>+'[1]VENTAS(RESUMEN GLOBAL)'!K2113</f>
        <v>0</v>
      </c>
      <c r="I2113" s="8">
        <f>+G2113*'[1]VENTAS(RESUMEN GLOBAL)'!F2113</f>
        <v>0</v>
      </c>
      <c r="J2113" s="8">
        <f>'[1]VENTAS(RESUMEN GLOBAL)'!G2113*(1-'[1]VENTAS(RESUMEN GLOBAL)'!H2113)</f>
        <v>0</v>
      </c>
      <c r="K2113" s="8">
        <f t="shared" si="32"/>
        <v>0</v>
      </c>
      <c r="L2113" s="8">
        <f>+'[1]VENTAS(RESUMEN GLOBAL)'!J2113</f>
        <v>0</v>
      </c>
      <c r="M2113" s="8">
        <f>+Tabla1[[#This Row],[utilidad x dia]]*7</f>
        <v>0</v>
      </c>
    </row>
    <row r="2114" spans="1:13" x14ac:dyDescent="0.3">
      <c r="A2114" s="6">
        <f>+'[1]VENTAS(RESUMEN GLOBAL)'!L2114</f>
        <v>0</v>
      </c>
      <c r="B2114" s="6">
        <f>+'[1]VENTAS(RESUMEN GLOBAL)'!M2114</f>
        <v>0</v>
      </c>
      <c r="C2114">
        <f>+'[1]VENTAS(RESUMEN GLOBAL)'!B2114</f>
        <v>0</v>
      </c>
      <c r="D2114" t="e">
        <f>INDEX('[1]CÓDIGOS DE PRODUCTO'!$D$3:$D$1000,MATCH(C2114,'[1]CÓDIGOS DE PRODUCTO'!$A$3:$A$1000,0))</f>
        <v>#N/A</v>
      </c>
      <c r="E2114">
        <f>VLOOKUP(C2114,'[1]CÓDIGOS DE PRODUCTO'!$A$4:$B$156,2,FALSE)</f>
        <v>0</v>
      </c>
      <c r="F2114">
        <f>INDEX('[1]CÓDIGOS DE PRODUCTO'!$C$3:$C$1000,MATCH(C2114,'[1]CÓDIGOS DE PRODUCTO'!$A$3:$A$1000,0))</f>
        <v>0</v>
      </c>
      <c r="G2114">
        <f>+'[1]VENTAS(RESUMEN GLOBAL)'!D2114-'[1]VENTAS(RESUMEN GLOBAL)'!E2114</f>
        <v>0</v>
      </c>
      <c r="H2114" s="9">
        <f>+'[1]VENTAS(RESUMEN GLOBAL)'!K2114</f>
        <v>0</v>
      </c>
      <c r="I2114" s="8">
        <f>+G2114*'[1]VENTAS(RESUMEN GLOBAL)'!F2114</f>
        <v>0</v>
      </c>
      <c r="J2114" s="8">
        <f>'[1]VENTAS(RESUMEN GLOBAL)'!G2114*(1-'[1]VENTAS(RESUMEN GLOBAL)'!H2114)</f>
        <v>0</v>
      </c>
      <c r="K2114" s="8">
        <f t="shared" si="32"/>
        <v>0</v>
      </c>
      <c r="L2114" s="8">
        <f>+'[1]VENTAS(RESUMEN GLOBAL)'!J2114</f>
        <v>0</v>
      </c>
      <c r="M2114" s="8">
        <f>+Tabla1[[#This Row],[utilidad x dia]]*7</f>
        <v>0</v>
      </c>
    </row>
    <row r="2115" spans="1:13" x14ac:dyDescent="0.3">
      <c r="A2115" s="6">
        <f>+'[1]VENTAS(RESUMEN GLOBAL)'!L2115</f>
        <v>0</v>
      </c>
      <c r="B2115" s="6">
        <f>+'[1]VENTAS(RESUMEN GLOBAL)'!M2115</f>
        <v>0</v>
      </c>
      <c r="C2115">
        <f>+'[1]VENTAS(RESUMEN GLOBAL)'!B2115</f>
        <v>0</v>
      </c>
      <c r="D2115" t="e">
        <f>INDEX('[1]CÓDIGOS DE PRODUCTO'!$D$3:$D$1000,MATCH(C2115,'[1]CÓDIGOS DE PRODUCTO'!$A$3:$A$1000,0))</f>
        <v>#N/A</v>
      </c>
      <c r="E2115">
        <f>VLOOKUP(C2115,'[1]CÓDIGOS DE PRODUCTO'!$A$4:$B$156,2,FALSE)</f>
        <v>0</v>
      </c>
      <c r="F2115">
        <f>INDEX('[1]CÓDIGOS DE PRODUCTO'!$C$3:$C$1000,MATCH(C2115,'[1]CÓDIGOS DE PRODUCTO'!$A$3:$A$1000,0))</f>
        <v>0</v>
      </c>
      <c r="G2115">
        <f>+'[1]VENTAS(RESUMEN GLOBAL)'!D2115-'[1]VENTAS(RESUMEN GLOBAL)'!E2115</f>
        <v>0</v>
      </c>
      <c r="H2115" s="9">
        <f>+'[1]VENTAS(RESUMEN GLOBAL)'!K2115</f>
        <v>0</v>
      </c>
      <c r="I2115" s="8">
        <f>+G2115*'[1]VENTAS(RESUMEN GLOBAL)'!F2115</f>
        <v>0</v>
      </c>
      <c r="J2115" s="8">
        <f>'[1]VENTAS(RESUMEN GLOBAL)'!G2115*(1-'[1]VENTAS(RESUMEN GLOBAL)'!H2115)</f>
        <v>0</v>
      </c>
      <c r="K2115" s="8">
        <f t="shared" ref="K2115:K2178" si="33">+I2115-J2115</f>
        <v>0</v>
      </c>
      <c r="L2115" s="8">
        <f>+'[1]VENTAS(RESUMEN GLOBAL)'!J2115</f>
        <v>0</v>
      </c>
      <c r="M2115" s="8">
        <f>+Tabla1[[#This Row],[utilidad x dia]]*7</f>
        <v>0</v>
      </c>
    </row>
    <row r="2116" spans="1:13" x14ac:dyDescent="0.3">
      <c r="A2116" s="6">
        <f>+'[1]VENTAS(RESUMEN GLOBAL)'!L2116</f>
        <v>0</v>
      </c>
      <c r="B2116" s="6">
        <f>+'[1]VENTAS(RESUMEN GLOBAL)'!M2116</f>
        <v>0</v>
      </c>
      <c r="C2116">
        <f>+'[1]VENTAS(RESUMEN GLOBAL)'!B2116</f>
        <v>0</v>
      </c>
      <c r="D2116" t="e">
        <f>INDEX('[1]CÓDIGOS DE PRODUCTO'!$D$3:$D$1000,MATCH(C2116,'[1]CÓDIGOS DE PRODUCTO'!$A$3:$A$1000,0))</f>
        <v>#N/A</v>
      </c>
      <c r="E2116">
        <f>VLOOKUP(C2116,'[1]CÓDIGOS DE PRODUCTO'!$A$4:$B$156,2,FALSE)</f>
        <v>0</v>
      </c>
      <c r="F2116">
        <f>INDEX('[1]CÓDIGOS DE PRODUCTO'!$C$3:$C$1000,MATCH(C2116,'[1]CÓDIGOS DE PRODUCTO'!$A$3:$A$1000,0))</f>
        <v>0</v>
      </c>
      <c r="G2116">
        <f>+'[1]VENTAS(RESUMEN GLOBAL)'!D2116-'[1]VENTAS(RESUMEN GLOBAL)'!E2116</f>
        <v>0</v>
      </c>
      <c r="H2116" s="9">
        <f>+'[1]VENTAS(RESUMEN GLOBAL)'!K2116</f>
        <v>0</v>
      </c>
      <c r="I2116" s="8">
        <f>+G2116*'[1]VENTAS(RESUMEN GLOBAL)'!F2116</f>
        <v>0</v>
      </c>
      <c r="J2116" s="8">
        <f>'[1]VENTAS(RESUMEN GLOBAL)'!G2116*(1-'[1]VENTAS(RESUMEN GLOBAL)'!H2116)</f>
        <v>0</v>
      </c>
      <c r="K2116" s="8">
        <f t="shared" si="33"/>
        <v>0</v>
      </c>
      <c r="L2116" s="8">
        <f>+'[1]VENTAS(RESUMEN GLOBAL)'!J2116</f>
        <v>0</v>
      </c>
      <c r="M2116" s="8">
        <f>+Tabla1[[#This Row],[utilidad x dia]]*7</f>
        <v>0</v>
      </c>
    </row>
    <row r="2117" spans="1:13" x14ac:dyDescent="0.3">
      <c r="A2117" s="6">
        <f>+'[1]VENTAS(RESUMEN GLOBAL)'!L2117</f>
        <v>0</v>
      </c>
      <c r="B2117" s="6">
        <f>+'[1]VENTAS(RESUMEN GLOBAL)'!M2117</f>
        <v>0</v>
      </c>
      <c r="C2117">
        <f>+'[1]VENTAS(RESUMEN GLOBAL)'!B2117</f>
        <v>0</v>
      </c>
      <c r="D2117" t="e">
        <f>INDEX('[1]CÓDIGOS DE PRODUCTO'!$D$3:$D$1000,MATCH(C2117,'[1]CÓDIGOS DE PRODUCTO'!$A$3:$A$1000,0))</f>
        <v>#N/A</v>
      </c>
      <c r="E2117">
        <f>VLOOKUP(C2117,'[1]CÓDIGOS DE PRODUCTO'!$A$4:$B$156,2,FALSE)</f>
        <v>0</v>
      </c>
      <c r="F2117">
        <f>INDEX('[1]CÓDIGOS DE PRODUCTO'!$C$3:$C$1000,MATCH(C2117,'[1]CÓDIGOS DE PRODUCTO'!$A$3:$A$1000,0))</f>
        <v>0</v>
      </c>
      <c r="G2117">
        <f>+'[1]VENTAS(RESUMEN GLOBAL)'!D2117-'[1]VENTAS(RESUMEN GLOBAL)'!E2117</f>
        <v>0</v>
      </c>
      <c r="H2117" s="9">
        <f>+'[1]VENTAS(RESUMEN GLOBAL)'!K2117</f>
        <v>0</v>
      </c>
      <c r="I2117" s="8">
        <f>+G2117*'[1]VENTAS(RESUMEN GLOBAL)'!F2117</f>
        <v>0</v>
      </c>
      <c r="J2117" s="8">
        <f>'[1]VENTAS(RESUMEN GLOBAL)'!G2117*(1-'[1]VENTAS(RESUMEN GLOBAL)'!H2117)</f>
        <v>0</v>
      </c>
      <c r="K2117" s="8">
        <f t="shared" si="33"/>
        <v>0</v>
      </c>
      <c r="L2117" s="8">
        <f>+'[1]VENTAS(RESUMEN GLOBAL)'!J2117</f>
        <v>0</v>
      </c>
      <c r="M2117" s="8">
        <f>+Tabla1[[#This Row],[utilidad x dia]]*7</f>
        <v>0</v>
      </c>
    </row>
    <row r="2118" spans="1:13" x14ac:dyDescent="0.3">
      <c r="A2118" s="6">
        <f>+'[1]VENTAS(RESUMEN GLOBAL)'!L2118</f>
        <v>0</v>
      </c>
      <c r="B2118" s="6">
        <f>+'[1]VENTAS(RESUMEN GLOBAL)'!M2118</f>
        <v>0</v>
      </c>
      <c r="C2118">
        <f>+'[1]VENTAS(RESUMEN GLOBAL)'!B2118</f>
        <v>0</v>
      </c>
      <c r="D2118" t="e">
        <f>INDEX('[1]CÓDIGOS DE PRODUCTO'!$D$3:$D$1000,MATCH(C2118,'[1]CÓDIGOS DE PRODUCTO'!$A$3:$A$1000,0))</f>
        <v>#N/A</v>
      </c>
      <c r="E2118">
        <f>VLOOKUP(C2118,'[1]CÓDIGOS DE PRODUCTO'!$A$4:$B$156,2,FALSE)</f>
        <v>0</v>
      </c>
      <c r="F2118">
        <f>INDEX('[1]CÓDIGOS DE PRODUCTO'!$C$3:$C$1000,MATCH(C2118,'[1]CÓDIGOS DE PRODUCTO'!$A$3:$A$1000,0))</f>
        <v>0</v>
      </c>
      <c r="G2118">
        <f>+'[1]VENTAS(RESUMEN GLOBAL)'!D2118-'[1]VENTAS(RESUMEN GLOBAL)'!E2118</f>
        <v>0</v>
      </c>
      <c r="H2118" s="9">
        <f>+'[1]VENTAS(RESUMEN GLOBAL)'!K2118</f>
        <v>0</v>
      </c>
      <c r="I2118" s="8">
        <f>+G2118*'[1]VENTAS(RESUMEN GLOBAL)'!F2118</f>
        <v>0</v>
      </c>
      <c r="J2118" s="8">
        <f>'[1]VENTAS(RESUMEN GLOBAL)'!G2118*(1-'[1]VENTAS(RESUMEN GLOBAL)'!H2118)</f>
        <v>0</v>
      </c>
      <c r="K2118" s="8">
        <f t="shared" si="33"/>
        <v>0</v>
      </c>
      <c r="L2118" s="8">
        <f>+'[1]VENTAS(RESUMEN GLOBAL)'!J2118</f>
        <v>0</v>
      </c>
      <c r="M2118" s="8">
        <f>+Tabla1[[#This Row],[utilidad x dia]]*7</f>
        <v>0</v>
      </c>
    </row>
    <row r="2119" spans="1:13" x14ac:dyDescent="0.3">
      <c r="A2119" s="6">
        <f>+'[1]VENTAS(RESUMEN GLOBAL)'!L2119</f>
        <v>0</v>
      </c>
      <c r="B2119" s="6">
        <f>+'[1]VENTAS(RESUMEN GLOBAL)'!M2119</f>
        <v>0</v>
      </c>
      <c r="C2119">
        <f>+'[1]VENTAS(RESUMEN GLOBAL)'!B2119</f>
        <v>0</v>
      </c>
      <c r="D2119" t="e">
        <f>INDEX('[1]CÓDIGOS DE PRODUCTO'!$D$3:$D$1000,MATCH(C2119,'[1]CÓDIGOS DE PRODUCTO'!$A$3:$A$1000,0))</f>
        <v>#N/A</v>
      </c>
      <c r="E2119">
        <f>VLOOKUP(C2119,'[1]CÓDIGOS DE PRODUCTO'!$A$4:$B$156,2,FALSE)</f>
        <v>0</v>
      </c>
      <c r="F2119">
        <f>INDEX('[1]CÓDIGOS DE PRODUCTO'!$C$3:$C$1000,MATCH(C2119,'[1]CÓDIGOS DE PRODUCTO'!$A$3:$A$1000,0))</f>
        <v>0</v>
      </c>
      <c r="G2119">
        <f>+'[1]VENTAS(RESUMEN GLOBAL)'!D2119-'[1]VENTAS(RESUMEN GLOBAL)'!E2119</f>
        <v>0</v>
      </c>
      <c r="H2119" s="9">
        <f>+'[1]VENTAS(RESUMEN GLOBAL)'!K2119</f>
        <v>0</v>
      </c>
      <c r="I2119" s="8">
        <f>+G2119*'[1]VENTAS(RESUMEN GLOBAL)'!F2119</f>
        <v>0</v>
      </c>
      <c r="J2119" s="8">
        <f>'[1]VENTAS(RESUMEN GLOBAL)'!G2119*(1-'[1]VENTAS(RESUMEN GLOBAL)'!H2119)</f>
        <v>0</v>
      </c>
      <c r="K2119" s="8">
        <f t="shared" si="33"/>
        <v>0</v>
      </c>
      <c r="L2119" s="8">
        <f>+'[1]VENTAS(RESUMEN GLOBAL)'!J2119</f>
        <v>0</v>
      </c>
      <c r="M2119" s="8">
        <f>+Tabla1[[#This Row],[utilidad x dia]]*7</f>
        <v>0</v>
      </c>
    </row>
    <row r="2120" spans="1:13" x14ac:dyDescent="0.3">
      <c r="A2120" s="6">
        <f>+'[1]VENTAS(RESUMEN GLOBAL)'!L2120</f>
        <v>0</v>
      </c>
      <c r="B2120" s="6">
        <f>+'[1]VENTAS(RESUMEN GLOBAL)'!M2120</f>
        <v>0</v>
      </c>
      <c r="C2120">
        <f>+'[1]VENTAS(RESUMEN GLOBAL)'!B2120</f>
        <v>0</v>
      </c>
      <c r="D2120" t="e">
        <f>INDEX('[1]CÓDIGOS DE PRODUCTO'!$D$3:$D$1000,MATCH(C2120,'[1]CÓDIGOS DE PRODUCTO'!$A$3:$A$1000,0))</f>
        <v>#N/A</v>
      </c>
      <c r="E2120">
        <f>VLOOKUP(C2120,'[1]CÓDIGOS DE PRODUCTO'!$A$4:$B$156,2,FALSE)</f>
        <v>0</v>
      </c>
      <c r="F2120">
        <f>INDEX('[1]CÓDIGOS DE PRODUCTO'!$C$3:$C$1000,MATCH(C2120,'[1]CÓDIGOS DE PRODUCTO'!$A$3:$A$1000,0))</f>
        <v>0</v>
      </c>
      <c r="G2120">
        <f>+'[1]VENTAS(RESUMEN GLOBAL)'!D2120-'[1]VENTAS(RESUMEN GLOBAL)'!E2120</f>
        <v>0</v>
      </c>
      <c r="H2120" s="9">
        <f>+'[1]VENTAS(RESUMEN GLOBAL)'!K2120</f>
        <v>0</v>
      </c>
      <c r="I2120" s="8">
        <f>+G2120*'[1]VENTAS(RESUMEN GLOBAL)'!F2120</f>
        <v>0</v>
      </c>
      <c r="J2120" s="8">
        <f>'[1]VENTAS(RESUMEN GLOBAL)'!G2120*(1-'[1]VENTAS(RESUMEN GLOBAL)'!H2120)</f>
        <v>0</v>
      </c>
      <c r="K2120" s="8">
        <f t="shared" si="33"/>
        <v>0</v>
      </c>
      <c r="L2120" s="8">
        <f>+'[1]VENTAS(RESUMEN GLOBAL)'!J2120</f>
        <v>0</v>
      </c>
      <c r="M2120" s="8">
        <f>+Tabla1[[#This Row],[utilidad x dia]]*7</f>
        <v>0</v>
      </c>
    </row>
    <row r="2121" spans="1:13" x14ac:dyDescent="0.3">
      <c r="A2121" s="6">
        <f>+'[1]VENTAS(RESUMEN GLOBAL)'!L2121</f>
        <v>0</v>
      </c>
      <c r="B2121" s="6">
        <f>+'[1]VENTAS(RESUMEN GLOBAL)'!M2121</f>
        <v>0</v>
      </c>
      <c r="C2121">
        <f>+'[1]VENTAS(RESUMEN GLOBAL)'!B2121</f>
        <v>0</v>
      </c>
      <c r="D2121" t="e">
        <f>INDEX('[1]CÓDIGOS DE PRODUCTO'!$D$3:$D$1000,MATCH(C2121,'[1]CÓDIGOS DE PRODUCTO'!$A$3:$A$1000,0))</f>
        <v>#N/A</v>
      </c>
      <c r="E2121">
        <f>VLOOKUP(C2121,'[1]CÓDIGOS DE PRODUCTO'!$A$4:$B$156,2,FALSE)</f>
        <v>0</v>
      </c>
      <c r="F2121">
        <f>INDEX('[1]CÓDIGOS DE PRODUCTO'!$C$3:$C$1000,MATCH(C2121,'[1]CÓDIGOS DE PRODUCTO'!$A$3:$A$1000,0))</f>
        <v>0</v>
      </c>
      <c r="G2121">
        <f>+'[1]VENTAS(RESUMEN GLOBAL)'!D2121-'[1]VENTAS(RESUMEN GLOBAL)'!E2121</f>
        <v>0</v>
      </c>
      <c r="H2121" s="9">
        <f>+'[1]VENTAS(RESUMEN GLOBAL)'!K2121</f>
        <v>0</v>
      </c>
      <c r="I2121" s="8">
        <f>+G2121*'[1]VENTAS(RESUMEN GLOBAL)'!F2121</f>
        <v>0</v>
      </c>
      <c r="J2121" s="8">
        <f>'[1]VENTAS(RESUMEN GLOBAL)'!G2121*(1-'[1]VENTAS(RESUMEN GLOBAL)'!H2121)</f>
        <v>0</v>
      </c>
      <c r="K2121" s="8">
        <f t="shared" si="33"/>
        <v>0</v>
      </c>
      <c r="L2121" s="8">
        <f>+'[1]VENTAS(RESUMEN GLOBAL)'!J2121</f>
        <v>0</v>
      </c>
      <c r="M2121" s="8">
        <f>+Tabla1[[#This Row],[utilidad x dia]]*7</f>
        <v>0</v>
      </c>
    </row>
    <row r="2122" spans="1:13" x14ac:dyDescent="0.3">
      <c r="A2122" s="6">
        <f>+'[1]VENTAS(RESUMEN GLOBAL)'!L2122</f>
        <v>0</v>
      </c>
      <c r="B2122" s="6">
        <f>+'[1]VENTAS(RESUMEN GLOBAL)'!M2122</f>
        <v>0</v>
      </c>
      <c r="C2122">
        <f>+'[1]VENTAS(RESUMEN GLOBAL)'!B2122</f>
        <v>0</v>
      </c>
      <c r="D2122" t="e">
        <f>INDEX('[1]CÓDIGOS DE PRODUCTO'!$D$3:$D$1000,MATCH(C2122,'[1]CÓDIGOS DE PRODUCTO'!$A$3:$A$1000,0))</f>
        <v>#N/A</v>
      </c>
      <c r="E2122">
        <f>VLOOKUP(C2122,'[1]CÓDIGOS DE PRODUCTO'!$A$4:$B$156,2,FALSE)</f>
        <v>0</v>
      </c>
      <c r="F2122">
        <f>INDEX('[1]CÓDIGOS DE PRODUCTO'!$C$3:$C$1000,MATCH(C2122,'[1]CÓDIGOS DE PRODUCTO'!$A$3:$A$1000,0))</f>
        <v>0</v>
      </c>
      <c r="G2122">
        <f>+'[1]VENTAS(RESUMEN GLOBAL)'!D2122-'[1]VENTAS(RESUMEN GLOBAL)'!E2122</f>
        <v>0</v>
      </c>
      <c r="H2122" s="9">
        <f>+'[1]VENTAS(RESUMEN GLOBAL)'!K2122</f>
        <v>0</v>
      </c>
      <c r="I2122" s="8">
        <f>+G2122*'[1]VENTAS(RESUMEN GLOBAL)'!F2122</f>
        <v>0</v>
      </c>
      <c r="J2122" s="8">
        <f>'[1]VENTAS(RESUMEN GLOBAL)'!G2122*(1-'[1]VENTAS(RESUMEN GLOBAL)'!H2122)</f>
        <v>0</v>
      </c>
      <c r="K2122" s="8">
        <f t="shared" si="33"/>
        <v>0</v>
      </c>
      <c r="L2122" s="8">
        <f>+'[1]VENTAS(RESUMEN GLOBAL)'!J2122</f>
        <v>0</v>
      </c>
      <c r="M2122" s="8">
        <f>+Tabla1[[#This Row],[utilidad x dia]]*7</f>
        <v>0</v>
      </c>
    </row>
    <row r="2123" spans="1:13" x14ac:dyDescent="0.3">
      <c r="A2123" s="6">
        <f>+'[1]VENTAS(RESUMEN GLOBAL)'!L2123</f>
        <v>0</v>
      </c>
      <c r="B2123" s="6">
        <f>+'[1]VENTAS(RESUMEN GLOBAL)'!M2123</f>
        <v>0</v>
      </c>
      <c r="C2123">
        <f>+'[1]VENTAS(RESUMEN GLOBAL)'!B2123</f>
        <v>0</v>
      </c>
      <c r="D2123" t="e">
        <f>INDEX('[1]CÓDIGOS DE PRODUCTO'!$D$3:$D$1000,MATCH(C2123,'[1]CÓDIGOS DE PRODUCTO'!$A$3:$A$1000,0))</f>
        <v>#N/A</v>
      </c>
      <c r="E2123">
        <f>VLOOKUP(C2123,'[1]CÓDIGOS DE PRODUCTO'!$A$4:$B$156,2,FALSE)</f>
        <v>0</v>
      </c>
      <c r="F2123">
        <f>INDEX('[1]CÓDIGOS DE PRODUCTO'!$C$3:$C$1000,MATCH(C2123,'[1]CÓDIGOS DE PRODUCTO'!$A$3:$A$1000,0))</f>
        <v>0</v>
      </c>
      <c r="G2123">
        <f>+'[1]VENTAS(RESUMEN GLOBAL)'!D2123-'[1]VENTAS(RESUMEN GLOBAL)'!E2123</f>
        <v>0</v>
      </c>
      <c r="H2123" s="9">
        <f>+'[1]VENTAS(RESUMEN GLOBAL)'!K2123</f>
        <v>0</v>
      </c>
      <c r="I2123" s="8">
        <f>+G2123*'[1]VENTAS(RESUMEN GLOBAL)'!F2123</f>
        <v>0</v>
      </c>
      <c r="J2123" s="8">
        <f>'[1]VENTAS(RESUMEN GLOBAL)'!G2123*(1-'[1]VENTAS(RESUMEN GLOBAL)'!H2123)</f>
        <v>0</v>
      </c>
      <c r="K2123" s="8">
        <f t="shared" si="33"/>
        <v>0</v>
      </c>
      <c r="L2123" s="8">
        <f>+'[1]VENTAS(RESUMEN GLOBAL)'!J2123</f>
        <v>0</v>
      </c>
      <c r="M2123" s="8">
        <f>+Tabla1[[#This Row],[utilidad x dia]]*7</f>
        <v>0</v>
      </c>
    </row>
    <row r="2124" spans="1:13" x14ac:dyDescent="0.3">
      <c r="A2124" s="6">
        <f>+'[1]VENTAS(RESUMEN GLOBAL)'!L2124</f>
        <v>0</v>
      </c>
      <c r="B2124" s="6">
        <f>+'[1]VENTAS(RESUMEN GLOBAL)'!M2124</f>
        <v>0</v>
      </c>
      <c r="C2124">
        <f>+'[1]VENTAS(RESUMEN GLOBAL)'!B2124</f>
        <v>0</v>
      </c>
      <c r="D2124" t="e">
        <f>INDEX('[1]CÓDIGOS DE PRODUCTO'!$D$3:$D$1000,MATCH(C2124,'[1]CÓDIGOS DE PRODUCTO'!$A$3:$A$1000,0))</f>
        <v>#N/A</v>
      </c>
      <c r="E2124">
        <f>VLOOKUP(C2124,'[1]CÓDIGOS DE PRODUCTO'!$A$4:$B$156,2,FALSE)</f>
        <v>0</v>
      </c>
      <c r="F2124">
        <f>INDEX('[1]CÓDIGOS DE PRODUCTO'!$C$3:$C$1000,MATCH(C2124,'[1]CÓDIGOS DE PRODUCTO'!$A$3:$A$1000,0))</f>
        <v>0</v>
      </c>
      <c r="G2124">
        <f>+'[1]VENTAS(RESUMEN GLOBAL)'!D2124-'[1]VENTAS(RESUMEN GLOBAL)'!E2124</f>
        <v>0</v>
      </c>
      <c r="H2124" s="9">
        <f>+'[1]VENTAS(RESUMEN GLOBAL)'!K2124</f>
        <v>0</v>
      </c>
      <c r="I2124" s="8">
        <f>+G2124*'[1]VENTAS(RESUMEN GLOBAL)'!F2124</f>
        <v>0</v>
      </c>
      <c r="J2124" s="8">
        <f>'[1]VENTAS(RESUMEN GLOBAL)'!G2124*(1-'[1]VENTAS(RESUMEN GLOBAL)'!H2124)</f>
        <v>0</v>
      </c>
      <c r="K2124" s="8">
        <f t="shared" si="33"/>
        <v>0</v>
      </c>
      <c r="L2124" s="8">
        <f>+'[1]VENTAS(RESUMEN GLOBAL)'!J2124</f>
        <v>0</v>
      </c>
      <c r="M2124" s="8">
        <f>+Tabla1[[#This Row],[utilidad x dia]]*7</f>
        <v>0</v>
      </c>
    </row>
    <row r="2125" spans="1:13" x14ac:dyDescent="0.3">
      <c r="A2125" s="6">
        <f>+'[1]VENTAS(RESUMEN GLOBAL)'!L2125</f>
        <v>0</v>
      </c>
      <c r="B2125" s="6">
        <f>+'[1]VENTAS(RESUMEN GLOBAL)'!M2125</f>
        <v>0</v>
      </c>
      <c r="C2125">
        <f>+'[1]VENTAS(RESUMEN GLOBAL)'!B2125</f>
        <v>0</v>
      </c>
      <c r="D2125" t="e">
        <f>INDEX('[1]CÓDIGOS DE PRODUCTO'!$D$3:$D$1000,MATCH(C2125,'[1]CÓDIGOS DE PRODUCTO'!$A$3:$A$1000,0))</f>
        <v>#N/A</v>
      </c>
      <c r="E2125">
        <f>VLOOKUP(C2125,'[1]CÓDIGOS DE PRODUCTO'!$A$4:$B$156,2,FALSE)</f>
        <v>0</v>
      </c>
      <c r="F2125">
        <f>INDEX('[1]CÓDIGOS DE PRODUCTO'!$C$3:$C$1000,MATCH(C2125,'[1]CÓDIGOS DE PRODUCTO'!$A$3:$A$1000,0))</f>
        <v>0</v>
      </c>
      <c r="G2125">
        <f>+'[1]VENTAS(RESUMEN GLOBAL)'!D2125-'[1]VENTAS(RESUMEN GLOBAL)'!E2125</f>
        <v>0</v>
      </c>
      <c r="H2125" s="9">
        <f>+'[1]VENTAS(RESUMEN GLOBAL)'!K2125</f>
        <v>0</v>
      </c>
      <c r="I2125" s="8">
        <f>+G2125*'[1]VENTAS(RESUMEN GLOBAL)'!F2125</f>
        <v>0</v>
      </c>
      <c r="J2125" s="8">
        <f>'[1]VENTAS(RESUMEN GLOBAL)'!G2125*(1-'[1]VENTAS(RESUMEN GLOBAL)'!H2125)</f>
        <v>0</v>
      </c>
      <c r="K2125" s="8">
        <f t="shared" si="33"/>
        <v>0</v>
      </c>
      <c r="L2125" s="8">
        <f>+'[1]VENTAS(RESUMEN GLOBAL)'!J2125</f>
        <v>0</v>
      </c>
      <c r="M2125" s="8">
        <f>+Tabla1[[#This Row],[utilidad x dia]]*7</f>
        <v>0</v>
      </c>
    </row>
    <row r="2126" spans="1:13" x14ac:dyDescent="0.3">
      <c r="A2126" s="6">
        <f>+'[1]VENTAS(RESUMEN GLOBAL)'!L2126</f>
        <v>0</v>
      </c>
      <c r="B2126" s="6">
        <f>+'[1]VENTAS(RESUMEN GLOBAL)'!M2126</f>
        <v>0</v>
      </c>
      <c r="C2126">
        <f>+'[1]VENTAS(RESUMEN GLOBAL)'!B2126</f>
        <v>0</v>
      </c>
      <c r="D2126" t="e">
        <f>INDEX('[1]CÓDIGOS DE PRODUCTO'!$D$3:$D$1000,MATCH(C2126,'[1]CÓDIGOS DE PRODUCTO'!$A$3:$A$1000,0))</f>
        <v>#N/A</v>
      </c>
      <c r="E2126">
        <f>VLOOKUP(C2126,'[1]CÓDIGOS DE PRODUCTO'!$A$4:$B$156,2,FALSE)</f>
        <v>0</v>
      </c>
      <c r="F2126">
        <f>INDEX('[1]CÓDIGOS DE PRODUCTO'!$C$3:$C$1000,MATCH(C2126,'[1]CÓDIGOS DE PRODUCTO'!$A$3:$A$1000,0))</f>
        <v>0</v>
      </c>
      <c r="G2126">
        <f>+'[1]VENTAS(RESUMEN GLOBAL)'!D2126-'[1]VENTAS(RESUMEN GLOBAL)'!E2126</f>
        <v>0</v>
      </c>
      <c r="H2126" s="9">
        <f>+'[1]VENTAS(RESUMEN GLOBAL)'!K2126</f>
        <v>0</v>
      </c>
      <c r="I2126" s="8">
        <f>+G2126*'[1]VENTAS(RESUMEN GLOBAL)'!F2126</f>
        <v>0</v>
      </c>
      <c r="J2126" s="8">
        <f>'[1]VENTAS(RESUMEN GLOBAL)'!G2126*(1-'[1]VENTAS(RESUMEN GLOBAL)'!H2126)</f>
        <v>0</v>
      </c>
      <c r="K2126" s="8">
        <f t="shared" si="33"/>
        <v>0</v>
      </c>
      <c r="L2126" s="8">
        <f>+'[1]VENTAS(RESUMEN GLOBAL)'!J2126</f>
        <v>0</v>
      </c>
      <c r="M2126" s="8">
        <f>+Tabla1[[#This Row],[utilidad x dia]]*7</f>
        <v>0</v>
      </c>
    </row>
    <row r="2127" spans="1:13" x14ac:dyDescent="0.3">
      <c r="A2127" s="6">
        <f>+'[1]VENTAS(RESUMEN GLOBAL)'!L2127</f>
        <v>0</v>
      </c>
      <c r="B2127" s="6">
        <f>+'[1]VENTAS(RESUMEN GLOBAL)'!M2127</f>
        <v>0</v>
      </c>
      <c r="C2127">
        <f>+'[1]VENTAS(RESUMEN GLOBAL)'!B2127</f>
        <v>0</v>
      </c>
      <c r="D2127" t="e">
        <f>INDEX('[1]CÓDIGOS DE PRODUCTO'!$D$3:$D$1000,MATCH(C2127,'[1]CÓDIGOS DE PRODUCTO'!$A$3:$A$1000,0))</f>
        <v>#N/A</v>
      </c>
      <c r="E2127">
        <f>VLOOKUP(C2127,'[1]CÓDIGOS DE PRODUCTO'!$A$4:$B$156,2,FALSE)</f>
        <v>0</v>
      </c>
      <c r="F2127">
        <f>INDEX('[1]CÓDIGOS DE PRODUCTO'!$C$3:$C$1000,MATCH(C2127,'[1]CÓDIGOS DE PRODUCTO'!$A$3:$A$1000,0))</f>
        <v>0</v>
      </c>
      <c r="G2127">
        <f>+'[1]VENTAS(RESUMEN GLOBAL)'!D2127-'[1]VENTAS(RESUMEN GLOBAL)'!E2127</f>
        <v>0</v>
      </c>
      <c r="H2127" s="9">
        <f>+'[1]VENTAS(RESUMEN GLOBAL)'!K2127</f>
        <v>0</v>
      </c>
      <c r="I2127" s="8">
        <f>+G2127*'[1]VENTAS(RESUMEN GLOBAL)'!F2127</f>
        <v>0</v>
      </c>
      <c r="J2127" s="8">
        <f>'[1]VENTAS(RESUMEN GLOBAL)'!G2127*(1-'[1]VENTAS(RESUMEN GLOBAL)'!H2127)</f>
        <v>0</v>
      </c>
      <c r="K2127" s="8">
        <f t="shared" si="33"/>
        <v>0</v>
      </c>
      <c r="L2127" s="8">
        <f>+'[1]VENTAS(RESUMEN GLOBAL)'!J2127</f>
        <v>0</v>
      </c>
      <c r="M2127" s="8">
        <f>+Tabla1[[#This Row],[utilidad x dia]]*7</f>
        <v>0</v>
      </c>
    </row>
    <row r="2128" spans="1:13" x14ac:dyDescent="0.3">
      <c r="A2128" s="6">
        <f>+'[1]VENTAS(RESUMEN GLOBAL)'!L2128</f>
        <v>0</v>
      </c>
      <c r="B2128" s="6">
        <f>+'[1]VENTAS(RESUMEN GLOBAL)'!M2128</f>
        <v>0</v>
      </c>
      <c r="C2128">
        <f>+'[1]VENTAS(RESUMEN GLOBAL)'!B2128</f>
        <v>0</v>
      </c>
      <c r="D2128" t="e">
        <f>INDEX('[1]CÓDIGOS DE PRODUCTO'!$D$3:$D$1000,MATCH(C2128,'[1]CÓDIGOS DE PRODUCTO'!$A$3:$A$1000,0))</f>
        <v>#N/A</v>
      </c>
      <c r="E2128">
        <f>VLOOKUP(C2128,'[1]CÓDIGOS DE PRODUCTO'!$A$4:$B$156,2,FALSE)</f>
        <v>0</v>
      </c>
      <c r="F2128">
        <f>INDEX('[1]CÓDIGOS DE PRODUCTO'!$C$3:$C$1000,MATCH(C2128,'[1]CÓDIGOS DE PRODUCTO'!$A$3:$A$1000,0))</f>
        <v>0</v>
      </c>
      <c r="G2128">
        <f>+'[1]VENTAS(RESUMEN GLOBAL)'!D2128-'[1]VENTAS(RESUMEN GLOBAL)'!E2128</f>
        <v>0</v>
      </c>
      <c r="H2128" s="9">
        <f>+'[1]VENTAS(RESUMEN GLOBAL)'!K2128</f>
        <v>0</v>
      </c>
      <c r="I2128" s="8">
        <f>+G2128*'[1]VENTAS(RESUMEN GLOBAL)'!F2128</f>
        <v>0</v>
      </c>
      <c r="J2128" s="8">
        <f>'[1]VENTAS(RESUMEN GLOBAL)'!G2128*(1-'[1]VENTAS(RESUMEN GLOBAL)'!H2128)</f>
        <v>0</v>
      </c>
      <c r="K2128" s="8">
        <f t="shared" si="33"/>
        <v>0</v>
      </c>
      <c r="L2128" s="8">
        <f>+'[1]VENTAS(RESUMEN GLOBAL)'!J2128</f>
        <v>0</v>
      </c>
      <c r="M2128" s="8">
        <f>+Tabla1[[#This Row],[utilidad x dia]]*7</f>
        <v>0</v>
      </c>
    </row>
    <row r="2129" spans="1:13" x14ac:dyDescent="0.3">
      <c r="A2129" s="6">
        <f>+'[1]VENTAS(RESUMEN GLOBAL)'!L2129</f>
        <v>0</v>
      </c>
      <c r="B2129" s="6">
        <f>+'[1]VENTAS(RESUMEN GLOBAL)'!M2129</f>
        <v>0</v>
      </c>
      <c r="C2129">
        <f>+'[1]VENTAS(RESUMEN GLOBAL)'!B2129</f>
        <v>0</v>
      </c>
      <c r="D2129" t="e">
        <f>INDEX('[1]CÓDIGOS DE PRODUCTO'!$D$3:$D$1000,MATCH(C2129,'[1]CÓDIGOS DE PRODUCTO'!$A$3:$A$1000,0))</f>
        <v>#N/A</v>
      </c>
      <c r="E2129">
        <f>VLOOKUP(C2129,'[1]CÓDIGOS DE PRODUCTO'!$A$4:$B$156,2,FALSE)</f>
        <v>0</v>
      </c>
      <c r="F2129">
        <f>INDEX('[1]CÓDIGOS DE PRODUCTO'!$C$3:$C$1000,MATCH(C2129,'[1]CÓDIGOS DE PRODUCTO'!$A$3:$A$1000,0))</f>
        <v>0</v>
      </c>
      <c r="G2129">
        <f>+'[1]VENTAS(RESUMEN GLOBAL)'!D2129-'[1]VENTAS(RESUMEN GLOBAL)'!E2129</f>
        <v>0</v>
      </c>
      <c r="H2129" s="9">
        <f>+'[1]VENTAS(RESUMEN GLOBAL)'!K2129</f>
        <v>0</v>
      </c>
      <c r="I2129" s="8">
        <f>+G2129*'[1]VENTAS(RESUMEN GLOBAL)'!F2129</f>
        <v>0</v>
      </c>
      <c r="J2129" s="8">
        <f>'[1]VENTAS(RESUMEN GLOBAL)'!G2129*(1-'[1]VENTAS(RESUMEN GLOBAL)'!H2129)</f>
        <v>0</v>
      </c>
      <c r="K2129" s="8">
        <f t="shared" si="33"/>
        <v>0</v>
      </c>
      <c r="L2129" s="8">
        <f>+'[1]VENTAS(RESUMEN GLOBAL)'!J2129</f>
        <v>0</v>
      </c>
      <c r="M2129" s="8">
        <f>+Tabla1[[#This Row],[utilidad x dia]]*7</f>
        <v>0</v>
      </c>
    </row>
    <row r="2130" spans="1:13" x14ac:dyDescent="0.3">
      <c r="A2130" s="6">
        <f>+'[1]VENTAS(RESUMEN GLOBAL)'!L2130</f>
        <v>0</v>
      </c>
      <c r="B2130" s="6">
        <f>+'[1]VENTAS(RESUMEN GLOBAL)'!M2130</f>
        <v>0</v>
      </c>
      <c r="C2130">
        <f>+'[1]VENTAS(RESUMEN GLOBAL)'!B2130</f>
        <v>0</v>
      </c>
      <c r="D2130" t="e">
        <f>INDEX('[1]CÓDIGOS DE PRODUCTO'!$D$3:$D$1000,MATCH(C2130,'[1]CÓDIGOS DE PRODUCTO'!$A$3:$A$1000,0))</f>
        <v>#N/A</v>
      </c>
      <c r="E2130">
        <f>VLOOKUP(C2130,'[1]CÓDIGOS DE PRODUCTO'!$A$4:$B$156,2,FALSE)</f>
        <v>0</v>
      </c>
      <c r="F2130">
        <f>INDEX('[1]CÓDIGOS DE PRODUCTO'!$C$3:$C$1000,MATCH(C2130,'[1]CÓDIGOS DE PRODUCTO'!$A$3:$A$1000,0))</f>
        <v>0</v>
      </c>
      <c r="G2130">
        <f>+'[1]VENTAS(RESUMEN GLOBAL)'!D2130-'[1]VENTAS(RESUMEN GLOBAL)'!E2130</f>
        <v>0</v>
      </c>
      <c r="H2130" s="9">
        <f>+'[1]VENTAS(RESUMEN GLOBAL)'!K2130</f>
        <v>0</v>
      </c>
      <c r="I2130" s="8">
        <f>+G2130*'[1]VENTAS(RESUMEN GLOBAL)'!F2130</f>
        <v>0</v>
      </c>
      <c r="J2130" s="8">
        <f>'[1]VENTAS(RESUMEN GLOBAL)'!G2130*(1-'[1]VENTAS(RESUMEN GLOBAL)'!H2130)</f>
        <v>0</v>
      </c>
      <c r="K2130" s="8">
        <f t="shared" si="33"/>
        <v>0</v>
      </c>
      <c r="L2130" s="8">
        <f>+'[1]VENTAS(RESUMEN GLOBAL)'!J2130</f>
        <v>0</v>
      </c>
      <c r="M2130" s="8">
        <f>+Tabla1[[#This Row],[utilidad x dia]]*7</f>
        <v>0</v>
      </c>
    </row>
    <row r="2131" spans="1:13" x14ac:dyDescent="0.3">
      <c r="A2131" s="6">
        <f>+'[1]VENTAS(RESUMEN GLOBAL)'!L2131</f>
        <v>0</v>
      </c>
      <c r="B2131" s="6">
        <f>+'[1]VENTAS(RESUMEN GLOBAL)'!M2131</f>
        <v>0</v>
      </c>
      <c r="C2131">
        <f>+'[1]VENTAS(RESUMEN GLOBAL)'!B2131</f>
        <v>0</v>
      </c>
      <c r="D2131" t="e">
        <f>INDEX('[1]CÓDIGOS DE PRODUCTO'!$D$3:$D$1000,MATCH(C2131,'[1]CÓDIGOS DE PRODUCTO'!$A$3:$A$1000,0))</f>
        <v>#N/A</v>
      </c>
      <c r="E2131">
        <f>VLOOKUP(C2131,'[1]CÓDIGOS DE PRODUCTO'!$A$4:$B$156,2,FALSE)</f>
        <v>0</v>
      </c>
      <c r="F2131">
        <f>INDEX('[1]CÓDIGOS DE PRODUCTO'!$C$3:$C$1000,MATCH(C2131,'[1]CÓDIGOS DE PRODUCTO'!$A$3:$A$1000,0))</f>
        <v>0</v>
      </c>
      <c r="G2131">
        <f>+'[1]VENTAS(RESUMEN GLOBAL)'!D2131-'[1]VENTAS(RESUMEN GLOBAL)'!E2131</f>
        <v>0</v>
      </c>
      <c r="H2131" s="9">
        <f>+'[1]VENTAS(RESUMEN GLOBAL)'!K2131</f>
        <v>0</v>
      </c>
      <c r="I2131" s="8">
        <f>+G2131*'[1]VENTAS(RESUMEN GLOBAL)'!F2131</f>
        <v>0</v>
      </c>
      <c r="J2131" s="8">
        <f>'[1]VENTAS(RESUMEN GLOBAL)'!G2131*(1-'[1]VENTAS(RESUMEN GLOBAL)'!H2131)</f>
        <v>0</v>
      </c>
      <c r="K2131" s="8">
        <f t="shared" si="33"/>
        <v>0</v>
      </c>
      <c r="L2131" s="8">
        <f>+'[1]VENTAS(RESUMEN GLOBAL)'!J2131</f>
        <v>0</v>
      </c>
      <c r="M2131" s="8">
        <f>+Tabla1[[#This Row],[utilidad x dia]]*7</f>
        <v>0</v>
      </c>
    </row>
    <row r="2132" spans="1:13" x14ac:dyDescent="0.3">
      <c r="A2132" s="6">
        <f>+'[1]VENTAS(RESUMEN GLOBAL)'!L2132</f>
        <v>0</v>
      </c>
      <c r="B2132" s="6">
        <f>+'[1]VENTAS(RESUMEN GLOBAL)'!M2132</f>
        <v>0</v>
      </c>
      <c r="C2132">
        <f>+'[1]VENTAS(RESUMEN GLOBAL)'!B2132</f>
        <v>0</v>
      </c>
      <c r="D2132" t="e">
        <f>INDEX('[1]CÓDIGOS DE PRODUCTO'!$D$3:$D$1000,MATCH(C2132,'[1]CÓDIGOS DE PRODUCTO'!$A$3:$A$1000,0))</f>
        <v>#N/A</v>
      </c>
      <c r="E2132">
        <f>VLOOKUP(C2132,'[1]CÓDIGOS DE PRODUCTO'!$A$4:$B$156,2,FALSE)</f>
        <v>0</v>
      </c>
      <c r="F2132">
        <f>INDEX('[1]CÓDIGOS DE PRODUCTO'!$C$3:$C$1000,MATCH(C2132,'[1]CÓDIGOS DE PRODUCTO'!$A$3:$A$1000,0))</f>
        <v>0</v>
      </c>
      <c r="G2132">
        <f>+'[1]VENTAS(RESUMEN GLOBAL)'!D2132-'[1]VENTAS(RESUMEN GLOBAL)'!E2132</f>
        <v>0</v>
      </c>
      <c r="H2132" s="9">
        <f>+'[1]VENTAS(RESUMEN GLOBAL)'!K2132</f>
        <v>0</v>
      </c>
      <c r="I2132" s="8">
        <f>+G2132*'[1]VENTAS(RESUMEN GLOBAL)'!F2132</f>
        <v>0</v>
      </c>
      <c r="J2132" s="8">
        <f>'[1]VENTAS(RESUMEN GLOBAL)'!G2132*(1-'[1]VENTAS(RESUMEN GLOBAL)'!H2132)</f>
        <v>0</v>
      </c>
      <c r="K2132" s="8">
        <f t="shared" si="33"/>
        <v>0</v>
      </c>
      <c r="L2132" s="8">
        <f>+'[1]VENTAS(RESUMEN GLOBAL)'!J2132</f>
        <v>0</v>
      </c>
      <c r="M2132" s="8">
        <f>+Tabla1[[#This Row],[utilidad x dia]]*7</f>
        <v>0</v>
      </c>
    </row>
    <row r="2133" spans="1:13" x14ac:dyDescent="0.3">
      <c r="A2133" s="6">
        <f>+'[1]VENTAS(RESUMEN GLOBAL)'!L2133</f>
        <v>0</v>
      </c>
      <c r="B2133" s="6">
        <f>+'[1]VENTAS(RESUMEN GLOBAL)'!M2133</f>
        <v>0</v>
      </c>
      <c r="C2133">
        <f>+'[1]VENTAS(RESUMEN GLOBAL)'!B2133</f>
        <v>0</v>
      </c>
      <c r="D2133" t="e">
        <f>INDEX('[1]CÓDIGOS DE PRODUCTO'!$D$3:$D$1000,MATCH(C2133,'[1]CÓDIGOS DE PRODUCTO'!$A$3:$A$1000,0))</f>
        <v>#N/A</v>
      </c>
      <c r="E2133">
        <f>VLOOKUP(C2133,'[1]CÓDIGOS DE PRODUCTO'!$A$4:$B$156,2,FALSE)</f>
        <v>0</v>
      </c>
      <c r="F2133">
        <f>INDEX('[1]CÓDIGOS DE PRODUCTO'!$C$3:$C$1000,MATCH(C2133,'[1]CÓDIGOS DE PRODUCTO'!$A$3:$A$1000,0))</f>
        <v>0</v>
      </c>
      <c r="G2133">
        <f>+'[1]VENTAS(RESUMEN GLOBAL)'!D2133-'[1]VENTAS(RESUMEN GLOBAL)'!E2133</f>
        <v>0</v>
      </c>
      <c r="H2133" s="9">
        <f>+'[1]VENTAS(RESUMEN GLOBAL)'!K2133</f>
        <v>0</v>
      </c>
      <c r="I2133" s="8">
        <f>+G2133*'[1]VENTAS(RESUMEN GLOBAL)'!F2133</f>
        <v>0</v>
      </c>
      <c r="J2133" s="8">
        <f>'[1]VENTAS(RESUMEN GLOBAL)'!G2133*(1-'[1]VENTAS(RESUMEN GLOBAL)'!H2133)</f>
        <v>0</v>
      </c>
      <c r="K2133" s="8">
        <f t="shared" si="33"/>
        <v>0</v>
      </c>
      <c r="L2133" s="8">
        <f>+'[1]VENTAS(RESUMEN GLOBAL)'!J2133</f>
        <v>0</v>
      </c>
      <c r="M2133" s="8">
        <f>+Tabla1[[#This Row],[utilidad x dia]]*7</f>
        <v>0</v>
      </c>
    </row>
    <row r="2134" spans="1:13" x14ac:dyDescent="0.3">
      <c r="A2134" s="6">
        <f>+'[1]VENTAS(RESUMEN GLOBAL)'!L2134</f>
        <v>0</v>
      </c>
      <c r="B2134" s="6">
        <f>+'[1]VENTAS(RESUMEN GLOBAL)'!M2134</f>
        <v>0</v>
      </c>
      <c r="C2134">
        <f>+'[1]VENTAS(RESUMEN GLOBAL)'!B2134</f>
        <v>0</v>
      </c>
      <c r="D2134" t="e">
        <f>INDEX('[1]CÓDIGOS DE PRODUCTO'!$D$3:$D$1000,MATCH(C2134,'[1]CÓDIGOS DE PRODUCTO'!$A$3:$A$1000,0))</f>
        <v>#N/A</v>
      </c>
      <c r="E2134">
        <f>VLOOKUP(C2134,'[1]CÓDIGOS DE PRODUCTO'!$A$4:$B$156,2,FALSE)</f>
        <v>0</v>
      </c>
      <c r="F2134">
        <f>INDEX('[1]CÓDIGOS DE PRODUCTO'!$C$3:$C$1000,MATCH(C2134,'[1]CÓDIGOS DE PRODUCTO'!$A$3:$A$1000,0))</f>
        <v>0</v>
      </c>
      <c r="G2134">
        <f>+'[1]VENTAS(RESUMEN GLOBAL)'!D2134-'[1]VENTAS(RESUMEN GLOBAL)'!E2134</f>
        <v>0</v>
      </c>
      <c r="H2134" s="9">
        <f>+'[1]VENTAS(RESUMEN GLOBAL)'!K2134</f>
        <v>0</v>
      </c>
      <c r="I2134" s="8">
        <f>+G2134*'[1]VENTAS(RESUMEN GLOBAL)'!F2134</f>
        <v>0</v>
      </c>
      <c r="J2134" s="8">
        <f>'[1]VENTAS(RESUMEN GLOBAL)'!G2134*(1-'[1]VENTAS(RESUMEN GLOBAL)'!H2134)</f>
        <v>0</v>
      </c>
      <c r="K2134" s="8">
        <f t="shared" si="33"/>
        <v>0</v>
      </c>
      <c r="L2134" s="8">
        <f>+'[1]VENTAS(RESUMEN GLOBAL)'!J2134</f>
        <v>0</v>
      </c>
      <c r="M2134" s="8">
        <f>+Tabla1[[#This Row],[utilidad x dia]]*7</f>
        <v>0</v>
      </c>
    </row>
    <row r="2135" spans="1:13" x14ac:dyDescent="0.3">
      <c r="A2135" s="6">
        <f>+'[1]VENTAS(RESUMEN GLOBAL)'!L2135</f>
        <v>0</v>
      </c>
      <c r="B2135" s="6">
        <f>+'[1]VENTAS(RESUMEN GLOBAL)'!M2135</f>
        <v>0</v>
      </c>
      <c r="C2135">
        <f>+'[1]VENTAS(RESUMEN GLOBAL)'!B2135</f>
        <v>0</v>
      </c>
      <c r="D2135" t="e">
        <f>INDEX('[1]CÓDIGOS DE PRODUCTO'!$D$3:$D$1000,MATCH(C2135,'[1]CÓDIGOS DE PRODUCTO'!$A$3:$A$1000,0))</f>
        <v>#N/A</v>
      </c>
      <c r="E2135">
        <f>VLOOKUP(C2135,'[1]CÓDIGOS DE PRODUCTO'!$A$4:$B$156,2,FALSE)</f>
        <v>0</v>
      </c>
      <c r="F2135">
        <f>INDEX('[1]CÓDIGOS DE PRODUCTO'!$C$3:$C$1000,MATCH(C2135,'[1]CÓDIGOS DE PRODUCTO'!$A$3:$A$1000,0))</f>
        <v>0</v>
      </c>
      <c r="G2135">
        <f>+'[1]VENTAS(RESUMEN GLOBAL)'!D2135-'[1]VENTAS(RESUMEN GLOBAL)'!E2135</f>
        <v>0</v>
      </c>
      <c r="H2135" s="9">
        <f>+'[1]VENTAS(RESUMEN GLOBAL)'!K2135</f>
        <v>0</v>
      </c>
      <c r="I2135" s="8">
        <f>+G2135*'[1]VENTAS(RESUMEN GLOBAL)'!F2135</f>
        <v>0</v>
      </c>
      <c r="J2135" s="8">
        <f>'[1]VENTAS(RESUMEN GLOBAL)'!G2135*(1-'[1]VENTAS(RESUMEN GLOBAL)'!H2135)</f>
        <v>0</v>
      </c>
      <c r="K2135" s="8">
        <f t="shared" si="33"/>
        <v>0</v>
      </c>
      <c r="L2135" s="8">
        <f>+'[1]VENTAS(RESUMEN GLOBAL)'!J2135</f>
        <v>0</v>
      </c>
      <c r="M2135" s="8">
        <f>+Tabla1[[#This Row],[utilidad x dia]]*7</f>
        <v>0</v>
      </c>
    </row>
    <row r="2136" spans="1:13" x14ac:dyDescent="0.3">
      <c r="A2136" s="6">
        <f>+'[1]VENTAS(RESUMEN GLOBAL)'!L2136</f>
        <v>0</v>
      </c>
      <c r="B2136" s="6">
        <f>+'[1]VENTAS(RESUMEN GLOBAL)'!M2136</f>
        <v>0</v>
      </c>
      <c r="C2136">
        <f>+'[1]VENTAS(RESUMEN GLOBAL)'!B2136</f>
        <v>0</v>
      </c>
      <c r="D2136" t="e">
        <f>INDEX('[1]CÓDIGOS DE PRODUCTO'!$D$3:$D$1000,MATCH(C2136,'[1]CÓDIGOS DE PRODUCTO'!$A$3:$A$1000,0))</f>
        <v>#N/A</v>
      </c>
      <c r="E2136">
        <f>VLOOKUP(C2136,'[1]CÓDIGOS DE PRODUCTO'!$A$4:$B$156,2,FALSE)</f>
        <v>0</v>
      </c>
      <c r="F2136">
        <f>INDEX('[1]CÓDIGOS DE PRODUCTO'!$C$3:$C$1000,MATCH(C2136,'[1]CÓDIGOS DE PRODUCTO'!$A$3:$A$1000,0))</f>
        <v>0</v>
      </c>
      <c r="G2136">
        <f>+'[1]VENTAS(RESUMEN GLOBAL)'!D2136-'[1]VENTAS(RESUMEN GLOBAL)'!E2136</f>
        <v>0</v>
      </c>
      <c r="H2136" s="9">
        <f>+'[1]VENTAS(RESUMEN GLOBAL)'!K2136</f>
        <v>0</v>
      </c>
      <c r="I2136" s="8">
        <f>+G2136*'[1]VENTAS(RESUMEN GLOBAL)'!F2136</f>
        <v>0</v>
      </c>
      <c r="J2136" s="8">
        <f>'[1]VENTAS(RESUMEN GLOBAL)'!G2136*(1-'[1]VENTAS(RESUMEN GLOBAL)'!H2136)</f>
        <v>0</v>
      </c>
      <c r="K2136" s="8">
        <f t="shared" si="33"/>
        <v>0</v>
      </c>
      <c r="L2136" s="8">
        <f>+'[1]VENTAS(RESUMEN GLOBAL)'!J2136</f>
        <v>0</v>
      </c>
      <c r="M2136" s="8">
        <f>+Tabla1[[#This Row],[utilidad x dia]]*7</f>
        <v>0</v>
      </c>
    </row>
    <row r="2137" spans="1:13" x14ac:dyDescent="0.3">
      <c r="A2137" s="6">
        <f>+'[1]VENTAS(RESUMEN GLOBAL)'!L2137</f>
        <v>0</v>
      </c>
      <c r="B2137" s="6">
        <f>+'[1]VENTAS(RESUMEN GLOBAL)'!M2137</f>
        <v>0</v>
      </c>
      <c r="C2137">
        <f>+'[1]VENTAS(RESUMEN GLOBAL)'!B2137</f>
        <v>0</v>
      </c>
      <c r="D2137" t="e">
        <f>INDEX('[1]CÓDIGOS DE PRODUCTO'!$D$3:$D$1000,MATCH(C2137,'[1]CÓDIGOS DE PRODUCTO'!$A$3:$A$1000,0))</f>
        <v>#N/A</v>
      </c>
      <c r="E2137">
        <f>VLOOKUP(C2137,'[1]CÓDIGOS DE PRODUCTO'!$A$4:$B$156,2,FALSE)</f>
        <v>0</v>
      </c>
      <c r="F2137">
        <f>INDEX('[1]CÓDIGOS DE PRODUCTO'!$C$3:$C$1000,MATCH(C2137,'[1]CÓDIGOS DE PRODUCTO'!$A$3:$A$1000,0))</f>
        <v>0</v>
      </c>
      <c r="G2137">
        <f>+'[1]VENTAS(RESUMEN GLOBAL)'!D2137-'[1]VENTAS(RESUMEN GLOBAL)'!E2137</f>
        <v>0</v>
      </c>
      <c r="H2137" s="9">
        <f>+'[1]VENTAS(RESUMEN GLOBAL)'!K2137</f>
        <v>0</v>
      </c>
      <c r="I2137" s="8">
        <f>+G2137*'[1]VENTAS(RESUMEN GLOBAL)'!F2137</f>
        <v>0</v>
      </c>
      <c r="J2137" s="8">
        <f>'[1]VENTAS(RESUMEN GLOBAL)'!G2137*(1-'[1]VENTAS(RESUMEN GLOBAL)'!H2137)</f>
        <v>0</v>
      </c>
      <c r="K2137" s="8">
        <f t="shared" si="33"/>
        <v>0</v>
      </c>
      <c r="L2137" s="8">
        <f>+'[1]VENTAS(RESUMEN GLOBAL)'!J2137</f>
        <v>0</v>
      </c>
      <c r="M2137" s="8">
        <f>+Tabla1[[#This Row],[utilidad x dia]]*7</f>
        <v>0</v>
      </c>
    </row>
    <row r="2138" spans="1:13" x14ac:dyDescent="0.3">
      <c r="A2138" s="6">
        <f>+'[1]VENTAS(RESUMEN GLOBAL)'!L2138</f>
        <v>0</v>
      </c>
      <c r="B2138" s="6">
        <f>+'[1]VENTAS(RESUMEN GLOBAL)'!M2138</f>
        <v>0</v>
      </c>
      <c r="C2138">
        <f>+'[1]VENTAS(RESUMEN GLOBAL)'!B2138</f>
        <v>0</v>
      </c>
      <c r="D2138" t="e">
        <f>INDEX('[1]CÓDIGOS DE PRODUCTO'!$D$3:$D$1000,MATCH(C2138,'[1]CÓDIGOS DE PRODUCTO'!$A$3:$A$1000,0))</f>
        <v>#N/A</v>
      </c>
      <c r="E2138">
        <f>VLOOKUP(C2138,'[1]CÓDIGOS DE PRODUCTO'!$A$4:$B$156,2,FALSE)</f>
        <v>0</v>
      </c>
      <c r="F2138">
        <f>INDEX('[1]CÓDIGOS DE PRODUCTO'!$C$3:$C$1000,MATCH(C2138,'[1]CÓDIGOS DE PRODUCTO'!$A$3:$A$1000,0))</f>
        <v>0</v>
      </c>
      <c r="G2138">
        <f>+'[1]VENTAS(RESUMEN GLOBAL)'!D2138-'[1]VENTAS(RESUMEN GLOBAL)'!E2138</f>
        <v>0</v>
      </c>
      <c r="H2138" s="9">
        <f>+'[1]VENTAS(RESUMEN GLOBAL)'!K2138</f>
        <v>0</v>
      </c>
      <c r="I2138" s="8">
        <f>+G2138*'[1]VENTAS(RESUMEN GLOBAL)'!F2138</f>
        <v>0</v>
      </c>
      <c r="J2138" s="8">
        <f>'[1]VENTAS(RESUMEN GLOBAL)'!G2138*(1-'[1]VENTAS(RESUMEN GLOBAL)'!H2138)</f>
        <v>0</v>
      </c>
      <c r="K2138" s="8">
        <f t="shared" si="33"/>
        <v>0</v>
      </c>
      <c r="L2138" s="8">
        <f>+'[1]VENTAS(RESUMEN GLOBAL)'!J2138</f>
        <v>0</v>
      </c>
      <c r="M2138" s="8">
        <f>+Tabla1[[#This Row],[utilidad x dia]]*7</f>
        <v>0</v>
      </c>
    </row>
    <row r="2139" spans="1:13" x14ac:dyDescent="0.3">
      <c r="A2139" s="6">
        <f>+'[1]VENTAS(RESUMEN GLOBAL)'!L2139</f>
        <v>0</v>
      </c>
      <c r="B2139" s="6">
        <f>+'[1]VENTAS(RESUMEN GLOBAL)'!M2139</f>
        <v>0</v>
      </c>
      <c r="C2139">
        <f>+'[1]VENTAS(RESUMEN GLOBAL)'!B2139</f>
        <v>0</v>
      </c>
      <c r="D2139" t="e">
        <f>INDEX('[1]CÓDIGOS DE PRODUCTO'!$D$3:$D$1000,MATCH(C2139,'[1]CÓDIGOS DE PRODUCTO'!$A$3:$A$1000,0))</f>
        <v>#N/A</v>
      </c>
      <c r="E2139">
        <f>VLOOKUP(C2139,'[1]CÓDIGOS DE PRODUCTO'!$A$4:$B$156,2,FALSE)</f>
        <v>0</v>
      </c>
      <c r="F2139">
        <f>INDEX('[1]CÓDIGOS DE PRODUCTO'!$C$3:$C$1000,MATCH(C2139,'[1]CÓDIGOS DE PRODUCTO'!$A$3:$A$1000,0))</f>
        <v>0</v>
      </c>
      <c r="G2139">
        <f>+'[1]VENTAS(RESUMEN GLOBAL)'!D2139-'[1]VENTAS(RESUMEN GLOBAL)'!E2139</f>
        <v>0</v>
      </c>
      <c r="H2139" s="9">
        <f>+'[1]VENTAS(RESUMEN GLOBAL)'!K2139</f>
        <v>0</v>
      </c>
      <c r="I2139" s="8">
        <f>+G2139*'[1]VENTAS(RESUMEN GLOBAL)'!F2139</f>
        <v>0</v>
      </c>
      <c r="J2139" s="8">
        <f>'[1]VENTAS(RESUMEN GLOBAL)'!G2139*(1-'[1]VENTAS(RESUMEN GLOBAL)'!H2139)</f>
        <v>0</v>
      </c>
      <c r="K2139" s="8">
        <f t="shared" si="33"/>
        <v>0</v>
      </c>
      <c r="L2139" s="8">
        <f>+'[1]VENTAS(RESUMEN GLOBAL)'!J2139</f>
        <v>0</v>
      </c>
      <c r="M2139" s="8">
        <f>+Tabla1[[#This Row],[utilidad x dia]]*7</f>
        <v>0</v>
      </c>
    </row>
    <row r="2140" spans="1:13" x14ac:dyDescent="0.3">
      <c r="A2140" s="6">
        <f>+'[1]VENTAS(RESUMEN GLOBAL)'!L2140</f>
        <v>0</v>
      </c>
      <c r="B2140" s="6">
        <f>+'[1]VENTAS(RESUMEN GLOBAL)'!M2140</f>
        <v>0</v>
      </c>
      <c r="C2140">
        <f>+'[1]VENTAS(RESUMEN GLOBAL)'!B2140</f>
        <v>0</v>
      </c>
      <c r="D2140" t="e">
        <f>INDEX('[1]CÓDIGOS DE PRODUCTO'!$D$3:$D$1000,MATCH(C2140,'[1]CÓDIGOS DE PRODUCTO'!$A$3:$A$1000,0))</f>
        <v>#N/A</v>
      </c>
      <c r="E2140">
        <f>VLOOKUP(C2140,'[1]CÓDIGOS DE PRODUCTO'!$A$4:$B$156,2,FALSE)</f>
        <v>0</v>
      </c>
      <c r="F2140">
        <f>INDEX('[1]CÓDIGOS DE PRODUCTO'!$C$3:$C$1000,MATCH(C2140,'[1]CÓDIGOS DE PRODUCTO'!$A$3:$A$1000,0))</f>
        <v>0</v>
      </c>
      <c r="G2140">
        <f>+'[1]VENTAS(RESUMEN GLOBAL)'!D2140-'[1]VENTAS(RESUMEN GLOBAL)'!E2140</f>
        <v>0</v>
      </c>
      <c r="H2140" s="9">
        <f>+'[1]VENTAS(RESUMEN GLOBAL)'!K2140</f>
        <v>0</v>
      </c>
      <c r="I2140" s="8">
        <f>+G2140*'[1]VENTAS(RESUMEN GLOBAL)'!F2140</f>
        <v>0</v>
      </c>
      <c r="J2140" s="8">
        <f>'[1]VENTAS(RESUMEN GLOBAL)'!G2140*(1-'[1]VENTAS(RESUMEN GLOBAL)'!H2140)</f>
        <v>0</v>
      </c>
      <c r="K2140" s="8">
        <f t="shared" si="33"/>
        <v>0</v>
      </c>
      <c r="L2140" s="8">
        <f>+'[1]VENTAS(RESUMEN GLOBAL)'!J2140</f>
        <v>0</v>
      </c>
      <c r="M2140" s="8">
        <f>+Tabla1[[#This Row],[utilidad x dia]]*7</f>
        <v>0</v>
      </c>
    </row>
    <row r="2141" spans="1:13" x14ac:dyDescent="0.3">
      <c r="A2141" s="6">
        <f>+'[1]VENTAS(RESUMEN GLOBAL)'!L2141</f>
        <v>0</v>
      </c>
      <c r="B2141" s="6">
        <f>+'[1]VENTAS(RESUMEN GLOBAL)'!M2141</f>
        <v>0</v>
      </c>
      <c r="C2141">
        <f>+'[1]VENTAS(RESUMEN GLOBAL)'!B2141</f>
        <v>0</v>
      </c>
      <c r="D2141" t="e">
        <f>INDEX('[1]CÓDIGOS DE PRODUCTO'!$D$3:$D$1000,MATCH(C2141,'[1]CÓDIGOS DE PRODUCTO'!$A$3:$A$1000,0))</f>
        <v>#N/A</v>
      </c>
      <c r="E2141">
        <f>VLOOKUP(C2141,'[1]CÓDIGOS DE PRODUCTO'!$A$4:$B$156,2,FALSE)</f>
        <v>0</v>
      </c>
      <c r="F2141">
        <f>INDEX('[1]CÓDIGOS DE PRODUCTO'!$C$3:$C$1000,MATCH(C2141,'[1]CÓDIGOS DE PRODUCTO'!$A$3:$A$1000,0))</f>
        <v>0</v>
      </c>
      <c r="G2141">
        <f>+'[1]VENTAS(RESUMEN GLOBAL)'!D2141-'[1]VENTAS(RESUMEN GLOBAL)'!E2141</f>
        <v>0</v>
      </c>
      <c r="H2141" s="9">
        <f>+'[1]VENTAS(RESUMEN GLOBAL)'!K2141</f>
        <v>0</v>
      </c>
      <c r="I2141" s="8">
        <f>+G2141*'[1]VENTAS(RESUMEN GLOBAL)'!F2141</f>
        <v>0</v>
      </c>
      <c r="J2141" s="8">
        <f>'[1]VENTAS(RESUMEN GLOBAL)'!G2141*(1-'[1]VENTAS(RESUMEN GLOBAL)'!H2141)</f>
        <v>0</v>
      </c>
      <c r="K2141" s="8">
        <f t="shared" si="33"/>
        <v>0</v>
      </c>
      <c r="L2141" s="8">
        <f>+'[1]VENTAS(RESUMEN GLOBAL)'!J2141</f>
        <v>0</v>
      </c>
      <c r="M2141" s="8">
        <f>+Tabla1[[#This Row],[utilidad x dia]]*7</f>
        <v>0</v>
      </c>
    </row>
    <row r="2142" spans="1:13" x14ac:dyDescent="0.3">
      <c r="A2142" s="6">
        <f>+'[1]VENTAS(RESUMEN GLOBAL)'!L2142</f>
        <v>0</v>
      </c>
      <c r="B2142" s="6">
        <f>+'[1]VENTAS(RESUMEN GLOBAL)'!M2142</f>
        <v>0</v>
      </c>
      <c r="C2142">
        <f>+'[1]VENTAS(RESUMEN GLOBAL)'!B2142</f>
        <v>0</v>
      </c>
      <c r="D2142" t="e">
        <f>INDEX('[1]CÓDIGOS DE PRODUCTO'!$D$3:$D$1000,MATCH(C2142,'[1]CÓDIGOS DE PRODUCTO'!$A$3:$A$1000,0))</f>
        <v>#N/A</v>
      </c>
      <c r="E2142">
        <f>VLOOKUP(C2142,'[1]CÓDIGOS DE PRODUCTO'!$A$4:$B$156,2,FALSE)</f>
        <v>0</v>
      </c>
      <c r="F2142">
        <f>INDEX('[1]CÓDIGOS DE PRODUCTO'!$C$3:$C$1000,MATCH(C2142,'[1]CÓDIGOS DE PRODUCTO'!$A$3:$A$1000,0))</f>
        <v>0</v>
      </c>
      <c r="G2142">
        <f>+'[1]VENTAS(RESUMEN GLOBAL)'!D2142-'[1]VENTAS(RESUMEN GLOBAL)'!E2142</f>
        <v>0</v>
      </c>
      <c r="H2142" s="9">
        <f>+'[1]VENTAS(RESUMEN GLOBAL)'!K2142</f>
        <v>0</v>
      </c>
      <c r="I2142" s="8">
        <f>+G2142*'[1]VENTAS(RESUMEN GLOBAL)'!F2142</f>
        <v>0</v>
      </c>
      <c r="J2142" s="8">
        <f>'[1]VENTAS(RESUMEN GLOBAL)'!G2142*(1-'[1]VENTAS(RESUMEN GLOBAL)'!H2142)</f>
        <v>0</v>
      </c>
      <c r="K2142" s="8">
        <f t="shared" si="33"/>
        <v>0</v>
      </c>
      <c r="L2142" s="8">
        <f>+'[1]VENTAS(RESUMEN GLOBAL)'!J2142</f>
        <v>0</v>
      </c>
      <c r="M2142" s="8">
        <f>+Tabla1[[#This Row],[utilidad x dia]]*7</f>
        <v>0</v>
      </c>
    </row>
    <row r="2143" spans="1:13" x14ac:dyDescent="0.3">
      <c r="A2143" s="6">
        <f>+'[1]VENTAS(RESUMEN GLOBAL)'!L2143</f>
        <v>0</v>
      </c>
      <c r="B2143" s="6">
        <f>+'[1]VENTAS(RESUMEN GLOBAL)'!M2143</f>
        <v>0</v>
      </c>
      <c r="C2143">
        <f>+'[1]VENTAS(RESUMEN GLOBAL)'!B2143</f>
        <v>0</v>
      </c>
      <c r="D2143" t="e">
        <f>INDEX('[1]CÓDIGOS DE PRODUCTO'!$D$3:$D$1000,MATCH(C2143,'[1]CÓDIGOS DE PRODUCTO'!$A$3:$A$1000,0))</f>
        <v>#N/A</v>
      </c>
      <c r="E2143">
        <f>VLOOKUP(C2143,'[1]CÓDIGOS DE PRODUCTO'!$A$4:$B$156,2,FALSE)</f>
        <v>0</v>
      </c>
      <c r="F2143">
        <f>INDEX('[1]CÓDIGOS DE PRODUCTO'!$C$3:$C$1000,MATCH(C2143,'[1]CÓDIGOS DE PRODUCTO'!$A$3:$A$1000,0))</f>
        <v>0</v>
      </c>
      <c r="G2143">
        <f>+'[1]VENTAS(RESUMEN GLOBAL)'!D2143-'[1]VENTAS(RESUMEN GLOBAL)'!E2143</f>
        <v>0</v>
      </c>
      <c r="H2143" s="9">
        <f>+'[1]VENTAS(RESUMEN GLOBAL)'!K2143</f>
        <v>0</v>
      </c>
      <c r="I2143" s="8">
        <f>+G2143*'[1]VENTAS(RESUMEN GLOBAL)'!F2143</f>
        <v>0</v>
      </c>
      <c r="J2143" s="8">
        <f>'[1]VENTAS(RESUMEN GLOBAL)'!G2143*(1-'[1]VENTAS(RESUMEN GLOBAL)'!H2143)</f>
        <v>0</v>
      </c>
      <c r="K2143" s="8">
        <f t="shared" si="33"/>
        <v>0</v>
      </c>
      <c r="L2143" s="8">
        <f>+'[1]VENTAS(RESUMEN GLOBAL)'!J2143</f>
        <v>0</v>
      </c>
      <c r="M2143" s="8">
        <f>+Tabla1[[#This Row],[utilidad x dia]]*7</f>
        <v>0</v>
      </c>
    </row>
    <row r="2144" spans="1:13" x14ac:dyDescent="0.3">
      <c r="A2144" s="6">
        <f>+'[1]VENTAS(RESUMEN GLOBAL)'!L2144</f>
        <v>0</v>
      </c>
      <c r="B2144" s="6">
        <f>+'[1]VENTAS(RESUMEN GLOBAL)'!M2144</f>
        <v>0</v>
      </c>
      <c r="C2144">
        <f>+'[1]VENTAS(RESUMEN GLOBAL)'!B2144</f>
        <v>0</v>
      </c>
      <c r="D2144" t="e">
        <f>INDEX('[1]CÓDIGOS DE PRODUCTO'!$D$3:$D$1000,MATCH(C2144,'[1]CÓDIGOS DE PRODUCTO'!$A$3:$A$1000,0))</f>
        <v>#N/A</v>
      </c>
      <c r="E2144">
        <f>VLOOKUP(C2144,'[1]CÓDIGOS DE PRODUCTO'!$A$4:$B$156,2,FALSE)</f>
        <v>0</v>
      </c>
      <c r="F2144">
        <f>INDEX('[1]CÓDIGOS DE PRODUCTO'!$C$3:$C$1000,MATCH(C2144,'[1]CÓDIGOS DE PRODUCTO'!$A$3:$A$1000,0))</f>
        <v>0</v>
      </c>
      <c r="G2144">
        <f>+'[1]VENTAS(RESUMEN GLOBAL)'!D2144-'[1]VENTAS(RESUMEN GLOBAL)'!E2144</f>
        <v>0</v>
      </c>
      <c r="H2144" s="9">
        <f>+'[1]VENTAS(RESUMEN GLOBAL)'!K2144</f>
        <v>0</v>
      </c>
      <c r="I2144" s="8">
        <f>+G2144*'[1]VENTAS(RESUMEN GLOBAL)'!F2144</f>
        <v>0</v>
      </c>
      <c r="J2144" s="8">
        <f>'[1]VENTAS(RESUMEN GLOBAL)'!G2144*(1-'[1]VENTAS(RESUMEN GLOBAL)'!H2144)</f>
        <v>0</v>
      </c>
      <c r="K2144" s="8">
        <f t="shared" si="33"/>
        <v>0</v>
      </c>
      <c r="L2144" s="8">
        <f>+'[1]VENTAS(RESUMEN GLOBAL)'!J2144</f>
        <v>0</v>
      </c>
      <c r="M2144" s="8">
        <f>+Tabla1[[#This Row],[utilidad x dia]]*7</f>
        <v>0</v>
      </c>
    </row>
    <row r="2145" spans="1:13" x14ac:dyDescent="0.3">
      <c r="A2145" s="6">
        <f>+'[1]VENTAS(RESUMEN GLOBAL)'!L2145</f>
        <v>0</v>
      </c>
      <c r="B2145" s="6">
        <f>+'[1]VENTAS(RESUMEN GLOBAL)'!M2145</f>
        <v>0</v>
      </c>
      <c r="C2145">
        <f>+'[1]VENTAS(RESUMEN GLOBAL)'!B2145</f>
        <v>0</v>
      </c>
      <c r="D2145" t="e">
        <f>INDEX('[1]CÓDIGOS DE PRODUCTO'!$D$3:$D$1000,MATCH(C2145,'[1]CÓDIGOS DE PRODUCTO'!$A$3:$A$1000,0))</f>
        <v>#N/A</v>
      </c>
      <c r="E2145">
        <f>VLOOKUP(C2145,'[1]CÓDIGOS DE PRODUCTO'!$A$4:$B$156,2,FALSE)</f>
        <v>0</v>
      </c>
      <c r="F2145">
        <f>INDEX('[1]CÓDIGOS DE PRODUCTO'!$C$3:$C$1000,MATCH(C2145,'[1]CÓDIGOS DE PRODUCTO'!$A$3:$A$1000,0))</f>
        <v>0</v>
      </c>
      <c r="G2145">
        <f>+'[1]VENTAS(RESUMEN GLOBAL)'!D2145-'[1]VENTAS(RESUMEN GLOBAL)'!E2145</f>
        <v>0</v>
      </c>
      <c r="H2145" s="9">
        <f>+'[1]VENTAS(RESUMEN GLOBAL)'!K2145</f>
        <v>0</v>
      </c>
      <c r="I2145" s="8">
        <f>+G2145*'[1]VENTAS(RESUMEN GLOBAL)'!F2145</f>
        <v>0</v>
      </c>
      <c r="J2145" s="8">
        <f>'[1]VENTAS(RESUMEN GLOBAL)'!G2145*(1-'[1]VENTAS(RESUMEN GLOBAL)'!H2145)</f>
        <v>0</v>
      </c>
      <c r="K2145" s="8">
        <f t="shared" si="33"/>
        <v>0</v>
      </c>
      <c r="L2145" s="8">
        <f>+'[1]VENTAS(RESUMEN GLOBAL)'!J2145</f>
        <v>0</v>
      </c>
      <c r="M2145" s="8">
        <f>+Tabla1[[#This Row],[utilidad x dia]]*7</f>
        <v>0</v>
      </c>
    </row>
    <row r="2146" spans="1:13" x14ac:dyDescent="0.3">
      <c r="A2146" s="6">
        <f>+'[1]VENTAS(RESUMEN GLOBAL)'!L2146</f>
        <v>0</v>
      </c>
      <c r="B2146" s="6">
        <f>+'[1]VENTAS(RESUMEN GLOBAL)'!M2146</f>
        <v>0</v>
      </c>
      <c r="C2146">
        <f>+'[1]VENTAS(RESUMEN GLOBAL)'!B2146</f>
        <v>0</v>
      </c>
      <c r="D2146" t="e">
        <f>INDEX('[1]CÓDIGOS DE PRODUCTO'!$D$3:$D$1000,MATCH(C2146,'[1]CÓDIGOS DE PRODUCTO'!$A$3:$A$1000,0))</f>
        <v>#N/A</v>
      </c>
      <c r="E2146">
        <f>VLOOKUP(C2146,'[1]CÓDIGOS DE PRODUCTO'!$A$4:$B$156,2,FALSE)</f>
        <v>0</v>
      </c>
      <c r="F2146">
        <f>INDEX('[1]CÓDIGOS DE PRODUCTO'!$C$3:$C$1000,MATCH(C2146,'[1]CÓDIGOS DE PRODUCTO'!$A$3:$A$1000,0))</f>
        <v>0</v>
      </c>
      <c r="G2146">
        <f>+'[1]VENTAS(RESUMEN GLOBAL)'!D2146-'[1]VENTAS(RESUMEN GLOBAL)'!E2146</f>
        <v>0</v>
      </c>
      <c r="H2146" s="9">
        <f>+'[1]VENTAS(RESUMEN GLOBAL)'!K2146</f>
        <v>0</v>
      </c>
      <c r="I2146" s="8">
        <f>+G2146*'[1]VENTAS(RESUMEN GLOBAL)'!F2146</f>
        <v>0</v>
      </c>
      <c r="J2146" s="8">
        <f>'[1]VENTAS(RESUMEN GLOBAL)'!G2146*(1-'[1]VENTAS(RESUMEN GLOBAL)'!H2146)</f>
        <v>0</v>
      </c>
      <c r="K2146" s="8">
        <f t="shared" si="33"/>
        <v>0</v>
      </c>
      <c r="L2146" s="8">
        <f>+'[1]VENTAS(RESUMEN GLOBAL)'!J2146</f>
        <v>0</v>
      </c>
      <c r="M2146" s="8">
        <f>+Tabla1[[#This Row],[utilidad x dia]]*7</f>
        <v>0</v>
      </c>
    </row>
    <row r="2147" spans="1:13" x14ac:dyDescent="0.3">
      <c r="A2147" s="6">
        <f>+'[1]VENTAS(RESUMEN GLOBAL)'!L2147</f>
        <v>0</v>
      </c>
      <c r="B2147" s="6">
        <f>+'[1]VENTAS(RESUMEN GLOBAL)'!M2147</f>
        <v>0</v>
      </c>
      <c r="C2147">
        <f>+'[1]VENTAS(RESUMEN GLOBAL)'!B2147</f>
        <v>0</v>
      </c>
      <c r="D2147" t="e">
        <f>INDEX('[1]CÓDIGOS DE PRODUCTO'!$D$3:$D$1000,MATCH(C2147,'[1]CÓDIGOS DE PRODUCTO'!$A$3:$A$1000,0))</f>
        <v>#N/A</v>
      </c>
      <c r="E2147">
        <f>VLOOKUP(C2147,'[1]CÓDIGOS DE PRODUCTO'!$A$4:$B$156,2,FALSE)</f>
        <v>0</v>
      </c>
      <c r="F2147">
        <f>INDEX('[1]CÓDIGOS DE PRODUCTO'!$C$3:$C$1000,MATCH(C2147,'[1]CÓDIGOS DE PRODUCTO'!$A$3:$A$1000,0))</f>
        <v>0</v>
      </c>
      <c r="G2147">
        <f>+'[1]VENTAS(RESUMEN GLOBAL)'!D2147-'[1]VENTAS(RESUMEN GLOBAL)'!E2147</f>
        <v>0</v>
      </c>
      <c r="H2147" s="9">
        <f>+'[1]VENTAS(RESUMEN GLOBAL)'!K2147</f>
        <v>0</v>
      </c>
      <c r="I2147" s="8">
        <f>+G2147*'[1]VENTAS(RESUMEN GLOBAL)'!F2147</f>
        <v>0</v>
      </c>
      <c r="J2147" s="8">
        <f>'[1]VENTAS(RESUMEN GLOBAL)'!G2147*(1-'[1]VENTAS(RESUMEN GLOBAL)'!H2147)</f>
        <v>0</v>
      </c>
      <c r="K2147" s="8">
        <f t="shared" si="33"/>
        <v>0</v>
      </c>
      <c r="L2147" s="8">
        <f>+'[1]VENTAS(RESUMEN GLOBAL)'!J2147</f>
        <v>0</v>
      </c>
      <c r="M2147" s="8">
        <f>+Tabla1[[#This Row],[utilidad x dia]]*7</f>
        <v>0</v>
      </c>
    </row>
    <row r="2148" spans="1:13" x14ac:dyDescent="0.3">
      <c r="A2148" s="6">
        <f>+'[1]VENTAS(RESUMEN GLOBAL)'!L2148</f>
        <v>0</v>
      </c>
      <c r="B2148" s="6">
        <f>+'[1]VENTAS(RESUMEN GLOBAL)'!M2148</f>
        <v>0</v>
      </c>
      <c r="C2148">
        <f>+'[1]VENTAS(RESUMEN GLOBAL)'!B2148</f>
        <v>0</v>
      </c>
      <c r="D2148" t="e">
        <f>INDEX('[1]CÓDIGOS DE PRODUCTO'!$D$3:$D$1000,MATCH(C2148,'[1]CÓDIGOS DE PRODUCTO'!$A$3:$A$1000,0))</f>
        <v>#N/A</v>
      </c>
      <c r="E2148">
        <f>VLOOKUP(C2148,'[1]CÓDIGOS DE PRODUCTO'!$A$4:$B$156,2,FALSE)</f>
        <v>0</v>
      </c>
      <c r="F2148">
        <f>INDEX('[1]CÓDIGOS DE PRODUCTO'!$C$3:$C$1000,MATCH(C2148,'[1]CÓDIGOS DE PRODUCTO'!$A$3:$A$1000,0))</f>
        <v>0</v>
      </c>
      <c r="G2148">
        <f>+'[1]VENTAS(RESUMEN GLOBAL)'!D2148-'[1]VENTAS(RESUMEN GLOBAL)'!E2148</f>
        <v>0</v>
      </c>
      <c r="H2148" s="9">
        <f>+'[1]VENTAS(RESUMEN GLOBAL)'!K2148</f>
        <v>0</v>
      </c>
      <c r="I2148" s="8">
        <f>+G2148*'[1]VENTAS(RESUMEN GLOBAL)'!F2148</f>
        <v>0</v>
      </c>
      <c r="J2148" s="8">
        <f>'[1]VENTAS(RESUMEN GLOBAL)'!G2148*(1-'[1]VENTAS(RESUMEN GLOBAL)'!H2148)</f>
        <v>0</v>
      </c>
      <c r="K2148" s="8">
        <f t="shared" si="33"/>
        <v>0</v>
      </c>
      <c r="L2148" s="8">
        <f>+'[1]VENTAS(RESUMEN GLOBAL)'!J2148</f>
        <v>0</v>
      </c>
      <c r="M2148" s="8">
        <f>+Tabla1[[#This Row],[utilidad x dia]]*7</f>
        <v>0</v>
      </c>
    </row>
    <row r="2149" spans="1:13" x14ac:dyDescent="0.3">
      <c r="A2149" s="6">
        <f>+'[1]VENTAS(RESUMEN GLOBAL)'!L2149</f>
        <v>0</v>
      </c>
      <c r="B2149" s="6">
        <f>+'[1]VENTAS(RESUMEN GLOBAL)'!M2149</f>
        <v>0</v>
      </c>
      <c r="C2149">
        <f>+'[1]VENTAS(RESUMEN GLOBAL)'!B2149</f>
        <v>0</v>
      </c>
      <c r="D2149" t="e">
        <f>INDEX('[1]CÓDIGOS DE PRODUCTO'!$D$3:$D$1000,MATCH(C2149,'[1]CÓDIGOS DE PRODUCTO'!$A$3:$A$1000,0))</f>
        <v>#N/A</v>
      </c>
      <c r="E2149">
        <f>VLOOKUP(C2149,'[1]CÓDIGOS DE PRODUCTO'!$A$4:$B$156,2,FALSE)</f>
        <v>0</v>
      </c>
      <c r="F2149">
        <f>INDEX('[1]CÓDIGOS DE PRODUCTO'!$C$3:$C$1000,MATCH(C2149,'[1]CÓDIGOS DE PRODUCTO'!$A$3:$A$1000,0))</f>
        <v>0</v>
      </c>
      <c r="G2149">
        <f>+'[1]VENTAS(RESUMEN GLOBAL)'!D2149-'[1]VENTAS(RESUMEN GLOBAL)'!E2149</f>
        <v>0</v>
      </c>
      <c r="H2149" s="9">
        <f>+'[1]VENTAS(RESUMEN GLOBAL)'!K2149</f>
        <v>0</v>
      </c>
      <c r="I2149" s="8">
        <f>+G2149*'[1]VENTAS(RESUMEN GLOBAL)'!F2149</f>
        <v>0</v>
      </c>
      <c r="J2149" s="8">
        <f>'[1]VENTAS(RESUMEN GLOBAL)'!G2149*(1-'[1]VENTAS(RESUMEN GLOBAL)'!H2149)</f>
        <v>0</v>
      </c>
      <c r="K2149" s="8">
        <f t="shared" si="33"/>
        <v>0</v>
      </c>
      <c r="L2149" s="8">
        <f>+'[1]VENTAS(RESUMEN GLOBAL)'!J2149</f>
        <v>0</v>
      </c>
      <c r="M2149" s="8">
        <f>+Tabla1[[#This Row],[utilidad x dia]]*7</f>
        <v>0</v>
      </c>
    </row>
    <row r="2150" spans="1:13" x14ac:dyDescent="0.3">
      <c r="A2150" s="6">
        <f>+'[1]VENTAS(RESUMEN GLOBAL)'!L2150</f>
        <v>0</v>
      </c>
      <c r="B2150" s="6">
        <f>+'[1]VENTAS(RESUMEN GLOBAL)'!M2150</f>
        <v>0</v>
      </c>
      <c r="C2150">
        <f>+'[1]VENTAS(RESUMEN GLOBAL)'!B2150</f>
        <v>0</v>
      </c>
      <c r="D2150" t="e">
        <f>INDEX('[1]CÓDIGOS DE PRODUCTO'!$D$3:$D$1000,MATCH(C2150,'[1]CÓDIGOS DE PRODUCTO'!$A$3:$A$1000,0))</f>
        <v>#N/A</v>
      </c>
      <c r="E2150">
        <f>VLOOKUP(C2150,'[1]CÓDIGOS DE PRODUCTO'!$A$4:$B$156,2,FALSE)</f>
        <v>0</v>
      </c>
      <c r="F2150">
        <f>INDEX('[1]CÓDIGOS DE PRODUCTO'!$C$3:$C$1000,MATCH(C2150,'[1]CÓDIGOS DE PRODUCTO'!$A$3:$A$1000,0))</f>
        <v>0</v>
      </c>
      <c r="G2150">
        <f>+'[1]VENTAS(RESUMEN GLOBAL)'!D2150-'[1]VENTAS(RESUMEN GLOBAL)'!E2150</f>
        <v>0</v>
      </c>
      <c r="H2150" s="9">
        <f>+'[1]VENTAS(RESUMEN GLOBAL)'!K2150</f>
        <v>0</v>
      </c>
      <c r="I2150" s="8">
        <f>+G2150*'[1]VENTAS(RESUMEN GLOBAL)'!F2150</f>
        <v>0</v>
      </c>
      <c r="J2150" s="8">
        <f>'[1]VENTAS(RESUMEN GLOBAL)'!G2150*(1-'[1]VENTAS(RESUMEN GLOBAL)'!H2150)</f>
        <v>0</v>
      </c>
      <c r="K2150" s="8">
        <f t="shared" si="33"/>
        <v>0</v>
      </c>
      <c r="L2150" s="8">
        <f>+'[1]VENTAS(RESUMEN GLOBAL)'!J2150</f>
        <v>0</v>
      </c>
      <c r="M2150" s="8">
        <f>+Tabla1[[#This Row],[utilidad x dia]]*7</f>
        <v>0</v>
      </c>
    </row>
    <row r="2151" spans="1:13" x14ac:dyDescent="0.3">
      <c r="A2151" s="6">
        <f>+'[1]VENTAS(RESUMEN GLOBAL)'!L2151</f>
        <v>0</v>
      </c>
      <c r="B2151" s="6">
        <f>+'[1]VENTAS(RESUMEN GLOBAL)'!M2151</f>
        <v>0</v>
      </c>
      <c r="C2151">
        <f>+'[1]VENTAS(RESUMEN GLOBAL)'!B2151</f>
        <v>0</v>
      </c>
      <c r="D2151" t="e">
        <f>INDEX('[1]CÓDIGOS DE PRODUCTO'!$D$3:$D$1000,MATCH(C2151,'[1]CÓDIGOS DE PRODUCTO'!$A$3:$A$1000,0))</f>
        <v>#N/A</v>
      </c>
      <c r="E2151">
        <f>VLOOKUP(C2151,'[1]CÓDIGOS DE PRODUCTO'!$A$4:$B$156,2,FALSE)</f>
        <v>0</v>
      </c>
      <c r="F2151">
        <f>INDEX('[1]CÓDIGOS DE PRODUCTO'!$C$3:$C$1000,MATCH(C2151,'[1]CÓDIGOS DE PRODUCTO'!$A$3:$A$1000,0))</f>
        <v>0</v>
      </c>
      <c r="G2151">
        <f>+'[1]VENTAS(RESUMEN GLOBAL)'!D2151-'[1]VENTAS(RESUMEN GLOBAL)'!E2151</f>
        <v>0</v>
      </c>
      <c r="H2151" s="9">
        <f>+'[1]VENTAS(RESUMEN GLOBAL)'!K2151</f>
        <v>0</v>
      </c>
      <c r="I2151" s="8">
        <f>+G2151*'[1]VENTAS(RESUMEN GLOBAL)'!F2151</f>
        <v>0</v>
      </c>
      <c r="J2151" s="8">
        <f>'[1]VENTAS(RESUMEN GLOBAL)'!G2151*(1-'[1]VENTAS(RESUMEN GLOBAL)'!H2151)</f>
        <v>0</v>
      </c>
      <c r="K2151" s="8">
        <f t="shared" si="33"/>
        <v>0</v>
      </c>
      <c r="L2151" s="8">
        <f>+'[1]VENTAS(RESUMEN GLOBAL)'!J2151</f>
        <v>0</v>
      </c>
      <c r="M2151" s="8">
        <f>+Tabla1[[#This Row],[utilidad x dia]]*7</f>
        <v>0</v>
      </c>
    </row>
    <row r="2152" spans="1:13" x14ac:dyDescent="0.3">
      <c r="A2152" s="6">
        <f>+'[1]VENTAS(RESUMEN GLOBAL)'!L2152</f>
        <v>0</v>
      </c>
      <c r="B2152" s="6">
        <f>+'[1]VENTAS(RESUMEN GLOBAL)'!M2152</f>
        <v>0</v>
      </c>
      <c r="C2152">
        <f>+'[1]VENTAS(RESUMEN GLOBAL)'!B2152</f>
        <v>0</v>
      </c>
      <c r="D2152" t="e">
        <f>INDEX('[1]CÓDIGOS DE PRODUCTO'!$D$3:$D$1000,MATCH(C2152,'[1]CÓDIGOS DE PRODUCTO'!$A$3:$A$1000,0))</f>
        <v>#N/A</v>
      </c>
      <c r="E2152">
        <f>VLOOKUP(C2152,'[1]CÓDIGOS DE PRODUCTO'!$A$4:$B$156,2,FALSE)</f>
        <v>0</v>
      </c>
      <c r="F2152">
        <f>INDEX('[1]CÓDIGOS DE PRODUCTO'!$C$3:$C$1000,MATCH(C2152,'[1]CÓDIGOS DE PRODUCTO'!$A$3:$A$1000,0))</f>
        <v>0</v>
      </c>
      <c r="G2152">
        <f>+'[1]VENTAS(RESUMEN GLOBAL)'!D2152-'[1]VENTAS(RESUMEN GLOBAL)'!E2152</f>
        <v>0</v>
      </c>
      <c r="H2152" s="9">
        <f>+'[1]VENTAS(RESUMEN GLOBAL)'!K2152</f>
        <v>0</v>
      </c>
      <c r="I2152" s="8">
        <f>+G2152*'[1]VENTAS(RESUMEN GLOBAL)'!F2152</f>
        <v>0</v>
      </c>
      <c r="J2152" s="8">
        <f>'[1]VENTAS(RESUMEN GLOBAL)'!G2152*(1-'[1]VENTAS(RESUMEN GLOBAL)'!H2152)</f>
        <v>0</v>
      </c>
      <c r="K2152" s="8">
        <f t="shared" si="33"/>
        <v>0</v>
      </c>
      <c r="L2152" s="8">
        <f>+'[1]VENTAS(RESUMEN GLOBAL)'!J2152</f>
        <v>0</v>
      </c>
      <c r="M2152" s="8">
        <f>+Tabla1[[#This Row],[utilidad x dia]]*7</f>
        <v>0</v>
      </c>
    </row>
    <row r="2153" spans="1:13" x14ac:dyDescent="0.3">
      <c r="A2153" s="6">
        <f>+'[1]VENTAS(RESUMEN GLOBAL)'!L2153</f>
        <v>0</v>
      </c>
      <c r="B2153" s="6">
        <f>+'[1]VENTAS(RESUMEN GLOBAL)'!M2153</f>
        <v>0</v>
      </c>
      <c r="C2153">
        <f>+'[1]VENTAS(RESUMEN GLOBAL)'!B2153</f>
        <v>0</v>
      </c>
      <c r="D2153" t="e">
        <f>INDEX('[1]CÓDIGOS DE PRODUCTO'!$D$3:$D$1000,MATCH(C2153,'[1]CÓDIGOS DE PRODUCTO'!$A$3:$A$1000,0))</f>
        <v>#N/A</v>
      </c>
      <c r="E2153">
        <f>VLOOKUP(C2153,'[1]CÓDIGOS DE PRODUCTO'!$A$4:$B$156,2,FALSE)</f>
        <v>0</v>
      </c>
      <c r="F2153">
        <f>INDEX('[1]CÓDIGOS DE PRODUCTO'!$C$3:$C$1000,MATCH(C2153,'[1]CÓDIGOS DE PRODUCTO'!$A$3:$A$1000,0))</f>
        <v>0</v>
      </c>
      <c r="G2153">
        <f>+'[1]VENTAS(RESUMEN GLOBAL)'!D2153-'[1]VENTAS(RESUMEN GLOBAL)'!E2153</f>
        <v>0</v>
      </c>
      <c r="H2153" s="9">
        <f>+'[1]VENTAS(RESUMEN GLOBAL)'!K2153</f>
        <v>0</v>
      </c>
      <c r="I2153" s="8">
        <f>+G2153*'[1]VENTAS(RESUMEN GLOBAL)'!F2153</f>
        <v>0</v>
      </c>
      <c r="J2153" s="8">
        <f>'[1]VENTAS(RESUMEN GLOBAL)'!G2153*(1-'[1]VENTAS(RESUMEN GLOBAL)'!H2153)</f>
        <v>0</v>
      </c>
      <c r="K2153" s="8">
        <f t="shared" si="33"/>
        <v>0</v>
      </c>
      <c r="L2153" s="8">
        <f>+'[1]VENTAS(RESUMEN GLOBAL)'!J2153</f>
        <v>0</v>
      </c>
      <c r="M2153" s="8">
        <f>+Tabla1[[#This Row],[utilidad x dia]]*7</f>
        <v>0</v>
      </c>
    </row>
    <row r="2154" spans="1:13" x14ac:dyDescent="0.3">
      <c r="A2154" s="6">
        <f>+'[1]VENTAS(RESUMEN GLOBAL)'!L2154</f>
        <v>0</v>
      </c>
      <c r="B2154" s="6">
        <f>+'[1]VENTAS(RESUMEN GLOBAL)'!M2154</f>
        <v>0</v>
      </c>
      <c r="C2154">
        <f>+'[1]VENTAS(RESUMEN GLOBAL)'!B2154</f>
        <v>0</v>
      </c>
      <c r="D2154" t="e">
        <f>INDEX('[1]CÓDIGOS DE PRODUCTO'!$D$3:$D$1000,MATCH(C2154,'[1]CÓDIGOS DE PRODUCTO'!$A$3:$A$1000,0))</f>
        <v>#N/A</v>
      </c>
      <c r="E2154">
        <f>VLOOKUP(C2154,'[1]CÓDIGOS DE PRODUCTO'!$A$4:$B$156,2,FALSE)</f>
        <v>0</v>
      </c>
      <c r="F2154">
        <f>INDEX('[1]CÓDIGOS DE PRODUCTO'!$C$3:$C$1000,MATCH(C2154,'[1]CÓDIGOS DE PRODUCTO'!$A$3:$A$1000,0))</f>
        <v>0</v>
      </c>
      <c r="G2154">
        <f>+'[1]VENTAS(RESUMEN GLOBAL)'!D2154-'[1]VENTAS(RESUMEN GLOBAL)'!E2154</f>
        <v>0</v>
      </c>
      <c r="H2154" s="9">
        <f>+'[1]VENTAS(RESUMEN GLOBAL)'!K2154</f>
        <v>0</v>
      </c>
      <c r="I2154" s="8">
        <f>+G2154*'[1]VENTAS(RESUMEN GLOBAL)'!F2154</f>
        <v>0</v>
      </c>
      <c r="J2154" s="8">
        <f>'[1]VENTAS(RESUMEN GLOBAL)'!G2154*(1-'[1]VENTAS(RESUMEN GLOBAL)'!H2154)</f>
        <v>0</v>
      </c>
      <c r="K2154" s="8">
        <f t="shared" si="33"/>
        <v>0</v>
      </c>
      <c r="L2154" s="8">
        <f>+'[1]VENTAS(RESUMEN GLOBAL)'!J2154</f>
        <v>0</v>
      </c>
      <c r="M2154" s="8">
        <f>+Tabla1[[#This Row],[utilidad x dia]]*7</f>
        <v>0</v>
      </c>
    </row>
    <row r="2155" spans="1:13" x14ac:dyDescent="0.3">
      <c r="A2155" s="6">
        <f>+'[1]VENTAS(RESUMEN GLOBAL)'!L2155</f>
        <v>0</v>
      </c>
      <c r="B2155" s="6">
        <f>+'[1]VENTAS(RESUMEN GLOBAL)'!M2155</f>
        <v>0</v>
      </c>
      <c r="C2155">
        <f>+'[1]VENTAS(RESUMEN GLOBAL)'!B2155</f>
        <v>0</v>
      </c>
      <c r="D2155" t="e">
        <f>INDEX('[1]CÓDIGOS DE PRODUCTO'!$D$3:$D$1000,MATCH(C2155,'[1]CÓDIGOS DE PRODUCTO'!$A$3:$A$1000,0))</f>
        <v>#N/A</v>
      </c>
      <c r="E2155">
        <f>VLOOKUP(C2155,'[1]CÓDIGOS DE PRODUCTO'!$A$4:$B$156,2,FALSE)</f>
        <v>0</v>
      </c>
      <c r="F2155">
        <f>INDEX('[1]CÓDIGOS DE PRODUCTO'!$C$3:$C$1000,MATCH(C2155,'[1]CÓDIGOS DE PRODUCTO'!$A$3:$A$1000,0))</f>
        <v>0</v>
      </c>
      <c r="G2155">
        <f>+'[1]VENTAS(RESUMEN GLOBAL)'!D2155-'[1]VENTAS(RESUMEN GLOBAL)'!E2155</f>
        <v>0</v>
      </c>
      <c r="H2155" s="9">
        <f>+'[1]VENTAS(RESUMEN GLOBAL)'!K2155</f>
        <v>0</v>
      </c>
      <c r="I2155" s="8">
        <f>+G2155*'[1]VENTAS(RESUMEN GLOBAL)'!F2155</f>
        <v>0</v>
      </c>
      <c r="J2155" s="8">
        <f>'[1]VENTAS(RESUMEN GLOBAL)'!G2155*(1-'[1]VENTAS(RESUMEN GLOBAL)'!H2155)</f>
        <v>0</v>
      </c>
      <c r="K2155" s="8">
        <f t="shared" si="33"/>
        <v>0</v>
      </c>
      <c r="L2155" s="8">
        <f>+'[1]VENTAS(RESUMEN GLOBAL)'!J2155</f>
        <v>0</v>
      </c>
      <c r="M2155" s="8">
        <f>+Tabla1[[#This Row],[utilidad x dia]]*7</f>
        <v>0</v>
      </c>
    </row>
    <row r="2156" spans="1:13" x14ac:dyDescent="0.3">
      <c r="A2156" s="6">
        <f>+'[1]VENTAS(RESUMEN GLOBAL)'!L2156</f>
        <v>0</v>
      </c>
      <c r="B2156" s="6">
        <f>+'[1]VENTAS(RESUMEN GLOBAL)'!M2156</f>
        <v>0</v>
      </c>
      <c r="C2156">
        <f>+'[1]VENTAS(RESUMEN GLOBAL)'!B2156</f>
        <v>0</v>
      </c>
      <c r="D2156" t="e">
        <f>INDEX('[1]CÓDIGOS DE PRODUCTO'!$D$3:$D$1000,MATCH(C2156,'[1]CÓDIGOS DE PRODUCTO'!$A$3:$A$1000,0))</f>
        <v>#N/A</v>
      </c>
      <c r="E2156">
        <f>VLOOKUP(C2156,'[1]CÓDIGOS DE PRODUCTO'!$A$4:$B$156,2,FALSE)</f>
        <v>0</v>
      </c>
      <c r="F2156">
        <f>INDEX('[1]CÓDIGOS DE PRODUCTO'!$C$3:$C$1000,MATCH(C2156,'[1]CÓDIGOS DE PRODUCTO'!$A$3:$A$1000,0))</f>
        <v>0</v>
      </c>
      <c r="G2156">
        <f>+'[1]VENTAS(RESUMEN GLOBAL)'!D2156-'[1]VENTAS(RESUMEN GLOBAL)'!E2156</f>
        <v>0</v>
      </c>
      <c r="H2156" s="9">
        <f>+'[1]VENTAS(RESUMEN GLOBAL)'!K2156</f>
        <v>0</v>
      </c>
      <c r="I2156" s="8">
        <f>+G2156*'[1]VENTAS(RESUMEN GLOBAL)'!F2156</f>
        <v>0</v>
      </c>
      <c r="J2156" s="8">
        <f>'[1]VENTAS(RESUMEN GLOBAL)'!G2156*(1-'[1]VENTAS(RESUMEN GLOBAL)'!H2156)</f>
        <v>0</v>
      </c>
      <c r="K2156" s="8">
        <f t="shared" si="33"/>
        <v>0</v>
      </c>
      <c r="L2156" s="8">
        <f>+'[1]VENTAS(RESUMEN GLOBAL)'!J2156</f>
        <v>0</v>
      </c>
      <c r="M2156" s="8">
        <f>+Tabla1[[#This Row],[utilidad x dia]]*7</f>
        <v>0</v>
      </c>
    </row>
    <row r="2157" spans="1:13" x14ac:dyDescent="0.3">
      <c r="A2157" s="6">
        <f>+'[1]VENTAS(RESUMEN GLOBAL)'!L2157</f>
        <v>0</v>
      </c>
      <c r="B2157" s="6">
        <f>+'[1]VENTAS(RESUMEN GLOBAL)'!M2157</f>
        <v>0</v>
      </c>
      <c r="C2157">
        <f>+'[1]VENTAS(RESUMEN GLOBAL)'!B2157</f>
        <v>0</v>
      </c>
      <c r="D2157" t="e">
        <f>INDEX('[1]CÓDIGOS DE PRODUCTO'!$D$3:$D$1000,MATCH(C2157,'[1]CÓDIGOS DE PRODUCTO'!$A$3:$A$1000,0))</f>
        <v>#N/A</v>
      </c>
      <c r="E2157">
        <f>VLOOKUP(C2157,'[1]CÓDIGOS DE PRODUCTO'!$A$4:$B$156,2,FALSE)</f>
        <v>0</v>
      </c>
      <c r="F2157">
        <f>INDEX('[1]CÓDIGOS DE PRODUCTO'!$C$3:$C$1000,MATCH(C2157,'[1]CÓDIGOS DE PRODUCTO'!$A$3:$A$1000,0))</f>
        <v>0</v>
      </c>
      <c r="G2157">
        <f>+'[1]VENTAS(RESUMEN GLOBAL)'!D2157-'[1]VENTAS(RESUMEN GLOBAL)'!E2157</f>
        <v>0</v>
      </c>
      <c r="H2157" s="9">
        <f>+'[1]VENTAS(RESUMEN GLOBAL)'!K2157</f>
        <v>0</v>
      </c>
      <c r="I2157" s="8">
        <f>+G2157*'[1]VENTAS(RESUMEN GLOBAL)'!F2157</f>
        <v>0</v>
      </c>
      <c r="J2157" s="8">
        <f>'[1]VENTAS(RESUMEN GLOBAL)'!G2157*(1-'[1]VENTAS(RESUMEN GLOBAL)'!H2157)</f>
        <v>0</v>
      </c>
      <c r="K2157" s="8">
        <f t="shared" si="33"/>
        <v>0</v>
      </c>
      <c r="L2157" s="8">
        <f>+'[1]VENTAS(RESUMEN GLOBAL)'!J2157</f>
        <v>0</v>
      </c>
      <c r="M2157" s="8">
        <f>+Tabla1[[#This Row],[utilidad x dia]]*7</f>
        <v>0</v>
      </c>
    </row>
    <row r="2158" spans="1:13" x14ac:dyDescent="0.3">
      <c r="A2158" s="6">
        <f>+'[1]VENTAS(RESUMEN GLOBAL)'!L2158</f>
        <v>0</v>
      </c>
      <c r="B2158" s="6">
        <f>+'[1]VENTAS(RESUMEN GLOBAL)'!M2158</f>
        <v>0</v>
      </c>
      <c r="C2158">
        <f>+'[1]VENTAS(RESUMEN GLOBAL)'!B2158</f>
        <v>0</v>
      </c>
      <c r="D2158" t="e">
        <f>INDEX('[1]CÓDIGOS DE PRODUCTO'!$D$3:$D$1000,MATCH(C2158,'[1]CÓDIGOS DE PRODUCTO'!$A$3:$A$1000,0))</f>
        <v>#N/A</v>
      </c>
      <c r="E2158">
        <f>VLOOKUP(C2158,'[1]CÓDIGOS DE PRODUCTO'!$A$4:$B$156,2,FALSE)</f>
        <v>0</v>
      </c>
      <c r="F2158">
        <f>INDEX('[1]CÓDIGOS DE PRODUCTO'!$C$3:$C$1000,MATCH(C2158,'[1]CÓDIGOS DE PRODUCTO'!$A$3:$A$1000,0))</f>
        <v>0</v>
      </c>
      <c r="G2158">
        <f>+'[1]VENTAS(RESUMEN GLOBAL)'!D2158-'[1]VENTAS(RESUMEN GLOBAL)'!E2158</f>
        <v>0</v>
      </c>
      <c r="H2158" s="9">
        <f>+'[1]VENTAS(RESUMEN GLOBAL)'!K2158</f>
        <v>0</v>
      </c>
      <c r="I2158" s="8">
        <f>+G2158*'[1]VENTAS(RESUMEN GLOBAL)'!F2158</f>
        <v>0</v>
      </c>
      <c r="J2158" s="8">
        <f>'[1]VENTAS(RESUMEN GLOBAL)'!G2158*(1-'[1]VENTAS(RESUMEN GLOBAL)'!H2158)</f>
        <v>0</v>
      </c>
      <c r="K2158" s="8">
        <f t="shared" si="33"/>
        <v>0</v>
      </c>
      <c r="L2158" s="8">
        <f>+'[1]VENTAS(RESUMEN GLOBAL)'!J2158</f>
        <v>0</v>
      </c>
      <c r="M2158" s="8">
        <f>+Tabla1[[#This Row],[utilidad x dia]]*7</f>
        <v>0</v>
      </c>
    </row>
    <row r="2159" spans="1:13" x14ac:dyDescent="0.3">
      <c r="A2159" s="6">
        <f>+'[1]VENTAS(RESUMEN GLOBAL)'!L2159</f>
        <v>0</v>
      </c>
      <c r="B2159" s="6">
        <f>+'[1]VENTAS(RESUMEN GLOBAL)'!M2159</f>
        <v>0</v>
      </c>
      <c r="C2159">
        <f>+'[1]VENTAS(RESUMEN GLOBAL)'!B2159</f>
        <v>0</v>
      </c>
      <c r="D2159" t="e">
        <f>INDEX('[1]CÓDIGOS DE PRODUCTO'!$D$3:$D$1000,MATCH(C2159,'[1]CÓDIGOS DE PRODUCTO'!$A$3:$A$1000,0))</f>
        <v>#N/A</v>
      </c>
      <c r="E2159">
        <f>VLOOKUP(C2159,'[1]CÓDIGOS DE PRODUCTO'!$A$4:$B$156,2,FALSE)</f>
        <v>0</v>
      </c>
      <c r="F2159">
        <f>INDEX('[1]CÓDIGOS DE PRODUCTO'!$C$3:$C$1000,MATCH(C2159,'[1]CÓDIGOS DE PRODUCTO'!$A$3:$A$1000,0))</f>
        <v>0</v>
      </c>
      <c r="G2159">
        <f>+'[1]VENTAS(RESUMEN GLOBAL)'!D2159-'[1]VENTAS(RESUMEN GLOBAL)'!E2159</f>
        <v>0</v>
      </c>
      <c r="H2159" s="9">
        <f>+'[1]VENTAS(RESUMEN GLOBAL)'!K2159</f>
        <v>0</v>
      </c>
      <c r="I2159" s="8">
        <f>+G2159*'[1]VENTAS(RESUMEN GLOBAL)'!F2159</f>
        <v>0</v>
      </c>
      <c r="J2159" s="8">
        <f>'[1]VENTAS(RESUMEN GLOBAL)'!G2159*(1-'[1]VENTAS(RESUMEN GLOBAL)'!H2159)</f>
        <v>0</v>
      </c>
      <c r="K2159" s="8">
        <f t="shared" si="33"/>
        <v>0</v>
      </c>
      <c r="L2159" s="8">
        <f>+'[1]VENTAS(RESUMEN GLOBAL)'!J2159</f>
        <v>0</v>
      </c>
      <c r="M2159" s="8">
        <f>+Tabla1[[#This Row],[utilidad x dia]]*7</f>
        <v>0</v>
      </c>
    </row>
    <row r="2160" spans="1:13" x14ac:dyDescent="0.3">
      <c r="A2160" s="6">
        <f>+'[1]VENTAS(RESUMEN GLOBAL)'!L2160</f>
        <v>0</v>
      </c>
      <c r="B2160" s="6">
        <f>+'[1]VENTAS(RESUMEN GLOBAL)'!M2160</f>
        <v>0</v>
      </c>
      <c r="C2160">
        <f>+'[1]VENTAS(RESUMEN GLOBAL)'!B2160</f>
        <v>0</v>
      </c>
      <c r="D2160" t="e">
        <f>INDEX('[1]CÓDIGOS DE PRODUCTO'!$D$3:$D$1000,MATCH(C2160,'[1]CÓDIGOS DE PRODUCTO'!$A$3:$A$1000,0))</f>
        <v>#N/A</v>
      </c>
      <c r="E2160">
        <f>VLOOKUP(C2160,'[1]CÓDIGOS DE PRODUCTO'!$A$4:$B$156,2,FALSE)</f>
        <v>0</v>
      </c>
      <c r="F2160">
        <f>INDEX('[1]CÓDIGOS DE PRODUCTO'!$C$3:$C$1000,MATCH(C2160,'[1]CÓDIGOS DE PRODUCTO'!$A$3:$A$1000,0))</f>
        <v>0</v>
      </c>
      <c r="G2160">
        <f>+'[1]VENTAS(RESUMEN GLOBAL)'!D2160-'[1]VENTAS(RESUMEN GLOBAL)'!E2160</f>
        <v>0</v>
      </c>
      <c r="H2160" s="9">
        <f>+'[1]VENTAS(RESUMEN GLOBAL)'!K2160</f>
        <v>0</v>
      </c>
      <c r="I2160" s="8">
        <f>+G2160*'[1]VENTAS(RESUMEN GLOBAL)'!F2160</f>
        <v>0</v>
      </c>
      <c r="J2160" s="8">
        <f>'[1]VENTAS(RESUMEN GLOBAL)'!G2160*(1-'[1]VENTAS(RESUMEN GLOBAL)'!H2160)</f>
        <v>0</v>
      </c>
      <c r="K2160" s="8">
        <f t="shared" si="33"/>
        <v>0</v>
      </c>
      <c r="L2160" s="8">
        <f>+'[1]VENTAS(RESUMEN GLOBAL)'!J2160</f>
        <v>0</v>
      </c>
      <c r="M2160" s="8">
        <f>+Tabla1[[#This Row],[utilidad x dia]]*7</f>
        <v>0</v>
      </c>
    </row>
    <row r="2161" spans="1:13" x14ac:dyDescent="0.3">
      <c r="A2161" s="6">
        <f>+'[1]VENTAS(RESUMEN GLOBAL)'!L2161</f>
        <v>0</v>
      </c>
      <c r="B2161" s="6">
        <f>+'[1]VENTAS(RESUMEN GLOBAL)'!M2161</f>
        <v>0</v>
      </c>
      <c r="C2161">
        <f>+'[1]VENTAS(RESUMEN GLOBAL)'!B2161</f>
        <v>0</v>
      </c>
      <c r="D2161" t="e">
        <f>INDEX('[1]CÓDIGOS DE PRODUCTO'!$D$3:$D$1000,MATCH(C2161,'[1]CÓDIGOS DE PRODUCTO'!$A$3:$A$1000,0))</f>
        <v>#N/A</v>
      </c>
      <c r="E2161">
        <f>VLOOKUP(C2161,'[1]CÓDIGOS DE PRODUCTO'!$A$4:$B$156,2,FALSE)</f>
        <v>0</v>
      </c>
      <c r="F2161">
        <f>INDEX('[1]CÓDIGOS DE PRODUCTO'!$C$3:$C$1000,MATCH(C2161,'[1]CÓDIGOS DE PRODUCTO'!$A$3:$A$1000,0))</f>
        <v>0</v>
      </c>
      <c r="G2161">
        <f>+'[1]VENTAS(RESUMEN GLOBAL)'!D2161-'[1]VENTAS(RESUMEN GLOBAL)'!E2161</f>
        <v>0</v>
      </c>
      <c r="H2161" s="9">
        <f>+'[1]VENTAS(RESUMEN GLOBAL)'!K2161</f>
        <v>0</v>
      </c>
      <c r="I2161" s="8">
        <f>+G2161*'[1]VENTAS(RESUMEN GLOBAL)'!F2161</f>
        <v>0</v>
      </c>
      <c r="J2161" s="8">
        <f>'[1]VENTAS(RESUMEN GLOBAL)'!G2161*(1-'[1]VENTAS(RESUMEN GLOBAL)'!H2161)</f>
        <v>0</v>
      </c>
      <c r="K2161" s="8">
        <f t="shared" si="33"/>
        <v>0</v>
      </c>
      <c r="L2161" s="8">
        <f>+'[1]VENTAS(RESUMEN GLOBAL)'!J2161</f>
        <v>0</v>
      </c>
      <c r="M2161" s="8">
        <f>+Tabla1[[#This Row],[utilidad x dia]]*7</f>
        <v>0</v>
      </c>
    </row>
    <row r="2162" spans="1:13" x14ac:dyDescent="0.3">
      <c r="A2162" s="6">
        <f>+'[1]VENTAS(RESUMEN GLOBAL)'!L2162</f>
        <v>0</v>
      </c>
      <c r="B2162" s="6">
        <f>+'[1]VENTAS(RESUMEN GLOBAL)'!M2162</f>
        <v>0</v>
      </c>
      <c r="C2162">
        <f>+'[1]VENTAS(RESUMEN GLOBAL)'!B2162</f>
        <v>0</v>
      </c>
      <c r="D2162" t="e">
        <f>INDEX('[1]CÓDIGOS DE PRODUCTO'!$D$3:$D$1000,MATCH(C2162,'[1]CÓDIGOS DE PRODUCTO'!$A$3:$A$1000,0))</f>
        <v>#N/A</v>
      </c>
      <c r="E2162">
        <f>VLOOKUP(C2162,'[1]CÓDIGOS DE PRODUCTO'!$A$4:$B$156,2,FALSE)</f>
        <v>0</v>
      </c>
      <c r="F2162">
        <f>INDEX('[1]CÓDIGOS DE PRODUCTO'!$C$3:$C$1000,MATCH(C2162,'[1]CÓDIGOS DE PRODUCTO'!$A$3:$A$1000,0))</f>
        <v>0</v>
      </c>
      <c r="G2162">
        <f>+'[1]VENTAS(RESUMEN GLOBAL)'!D2162-'[1]VENTAS(RESUMEN GLOBAL)'!E2162</f>
        <v>0</v>
      </c>
      <c r="H2162" s="9">
        <f>+'[1]VENTAS(RESUMEN GLOBAL)'!K2162</f>
        <v>0</v>
      </c>
      <c r="I2162" s="8">
        <f>+G2162*'[1]VENTAS(RESUMEN GLOBAL)'!F2162</f>
        <v>0</v>
      </c>
      <c r="J2162" s="8">
        <f>'[1]VENTAS(RESUMEN GLOBAL)'!G2162*(1-'[1]VENTAS(RESUMEN GLOBAL)'!H2162)</f>
        <v>0</v>
      </c>
      <c r="K2162" s="8">
        <f t="shared" si="33"/>
        <v>0</v>
      </c>
      <c r="L2162" s="8">
        <f>+'[1]VENTAS(RESUMEN GLOBAL)'!J2162</f>
        <v>0</v>
      </c>
      <c r="M2162" s="8">
        <f>+Tabla1[[#This Row],[utilidad x dia]]*7</f>
        <v>0</v>
      </c>
    </row>
    <row r="2163" spans="1:13" x14ac:dyDescent="0.3">
      <c r="A2163" s="6">
        <f>+'[1]VENTAS(RESUMEN GLOBAL)'!L2163</f>
        <v>0</v>
      </c>
      <c r="B2163" s="6">
        <f>+'[1]VENTAS(RESUMEN GLOBAL)'!M2163</f>
        <v>0</v>
      </c>
      <c r="C2163">
        <f>+'[1]VENTAS(RESUMEN GLOBAL)'!B2163</f>
        <v>0</v>
      </c>
      <c r="D2163" t="e">
        <f>INDEX('[1]CÓDIGOS DE PRODUCTO'!$D$3:$D$1000,MATCH(C2163,'[1]CÓDIGOS DE PRODUCTO'!$A$3:$A$1000,0))</f>
        <v>#N/A</v>
      </c>
      <c r="E2163">
        <f>VLOOKUP(C2163,'[1]CÓDIGOS DE PRODUCTO'!$A$4:$B$156,2,FALSE)</f>
        <v>0</v>
      </c>
      <c r="F2163">
        <f>INDEX('[1]CÓDIGOS DE PRODUCTO'!$C$3:$C$1000,MATCH(C2163,'[1]CÓDIGOS DE PRODUCTO'!$A$3:$A$1000,0))</f>
        <v>0</v>
      </c>
      <c r="G2163">
        <f>+'[1]VENTAS(RESUMEN GLOBAL)'!D2163-'[1]VENTAS(RESUMEN GLOBAL)'!E2163</f>
        <v>0</v>
      </c>
      <c r="H2163" s="9">
        <f>+'[1]VENTAS(RESUMEN GLOBAL)'!K2163</f>
        <v>0</v>
      </c>
      <c r="I2163" s="8">
        <f>+G2163*'[1]VENTAS(RESUMEN GLOBAL)'!F2163</f>
        <v>0</v>
      </c>
      <c r="J2163" s="8">
        <f>'[1]VENTAS(RESUMEN GLOBAL)'!G2163*(1-'[1]VENTAS(RESUMEN GLOBAL)'!H2163)</f>
        <v>0</v>
      </c>
      <c r="K2163" s="8">
        <f t="shared" si="33"/>
        <v>0</v>
      </c>
      <c r="L2163" s="8">
        <f>+'[1]VENTAS(RESUMEN GLOBAL)'!J2163</f>
        <v>0</v>
      </c>
      <c r="M2163" s="8">
        <f>+Tabla1[[#This Row],[utilidad x dia]]*7</f>
        <v>0</v>
      </c>
    </row>
    <row r="2164" spans="1:13" x14ac:dyDescent="0.3">
      <c r="A2164" s="6">
        <f>+'[1]VENTAS(RESUMEN GLOBAL)'!L2164</f>
        <v>0</v>
      </c>
      <c r="B2164" s="6">
        <f>+'[1]VENTAS(RESUMEN GLOBAL)'!M2164</f>
        <v>0</v>
      </c>
      <c r="C2164">
        <f>+'[1]VENTAS(RESUMEN GLOBAL)'!B2164</f>
        <v>0</v>
      </c>
      <c r="D2164" t="e">
        <f>INDEX('[1]CÓDIGOS DE PRODUCTO'!$D$3:$D$1000,MATCH(C2164,'[1]CÓDIGOS DE PRODUCTO'!$A$3:$A$1000,0))</f>
        <v>#N/A</v>
      </c>
      <c r="E2164">
        <f>VLOOKUP(C2164,'[1]CÓDIGOS DE PRODUCTO'!$A$4:$B$156,2,FALSE)</f>
        <v>0</v>
      </c>
      <c r="F2164">
        <f>INDEX('[1]CÓDIGOS DE PRODUCTO'!$C$3:$C$1000,MATCH(C2164,'[1]CÓDIGOS DE PRODUCTO'!$A$3:$A$1000,0))</f>
        <v>0</v>
      </c>
      <c r="G2164">
        <f>+'[1]VENTAS(RESUMEN GLOBAL)'!D2164-'[1]VENTAS(RESUMEN GLOBAL)'!E2164</f>
        <v>0</v>
      </c>
      <c r="H2164" s="9">
        <f>+'[1]VENTAS(RESUMEN GLOBAL)'!K2164</f>
        <v>0</v>
      </c>
      <c r="I2164" s="8">
        <f>+G2164*'[1]VENTAS(RESUMEN GLOBAL)'!F2164</f>
        <v>0</v>
      </c>
      <c r="J2164" s="8">
        <f>'[1]VENTAS(RESUMEN GLOBAL)'!G2164*(1-'[1]VENTAS(RESUMEN GLOBAL)'!H2164)</f>
        <v>0</v>
      </c>
      <c r="K2164" s="8">
        <f t="shared" si="33"/>
        <v>0</v>
      </c>
      <c r="L2164" s="8">
        <f>+'[1]VENTAS(RESUMEN GLOBAL)'!J2164</f>
        <v>0</v>
      </c>
      <c r="M2164" s="8">
        <f>+Tabla1[[#This Row],[utilidad x dia]]*7</f>
        <v>0</v>
      </c>
    </row>
    <row r="2165" spans="1:13" x14ac:dyDescent="0.3">
      <c r="A2165" s="6">
        <f>+'[1]VENTAS(RESUMEN GLOBAL)'!L2165</f>
        <v>0</v>
      </c>
      <c r="B2165" s="6">
        <f>+'[1]VENTAS(RESUMEN GLOBAL)'!M2165</f>
        <v>0</v>
      </c>
      <c r="C2165">
        <f>+'[1]VENTAS(RESUMEN GLOBAL)'!B2165</f>
        <v>0</v>
      </c>
      <c r="D2165" t="e">
        <f>INDEX('[1]CÓDIGOS DE PRODUCTO'!$D$3:$D$1000,MATCH(C2165,'[1]CÓDIGOS DE PRODUCTO'!$A$3:$A$1000,0))</f>
        <v>#N/A</v>
      </c>
      <c r="E2165">
        <f>VLOOKUP(C2165,'[1]CÓDIGOS DE PRODUCTO'!$A$4:$B$156,2,FALSE)</f>
        <v>0</v>
      </c>
      <c r="F2165">
        <f>INDEX('[1]CÓDIGOS DE PRODUCTO'!$C$3:$C$1000,MATCH(C2165,'[1]CÓDIGOS DE PRODUCTO'!$A$3:$A$1000,0))</f>
        <v>0</v>
      </c>
      <c r="G2165">
        <f>+'[1]VENTAS(RESUMEN GLOBAL)'!D2165-'[1]VENTAS(RESUMEN GLOBAL)'!E2165</f>
        <v>0</v>
      </c>
      <c r="H2165" s="9">
        <f>+'[1]VENTAS(RESUMEN GLOBAL)'!K2165</f>
        <v>0</v>
      </c>
      <c r="I2165" s="8">
        <f>+G2165*'[1]VENTAS(RESUMEN GLOBAL)'!F2165</f>
        <v>0</v>
      </c>
      <c r="J2165" s="8">
        <f>'[1]VENTAS(RESUMEN GLOBAL)'!G2165*(1-'[1]VENTAS(RESUMEN GLOBAL)'!H2165)</f>
        <v>0</v>
      </c>
      <c r="K2165" s="8">
        <f t="shared" si="33"/>
        <v>0</v>
      </c>
      <c r="L2165" s="8">
        <f>+'[1]VENTAS(RESUMEN GLOBAL)'!J2165</f>
        <v>0</v>
      </c>
      <c r="M2165" s="8">
        <f>+Tabla1[[#This Row],[utilidad x dia]]*7</f>
        <v>0</v>
      </c>
    </row>
    <row r="2166" spans="1:13" x14ac:dyDescent="0.3">
      <c r="A2166" s="6">
        <f>+'[1]VENTAS(RESUMEN GLOBAL)'!L2166</f>
        <v>0</v>
      </c>
      <c r="B2166" s="6">
        <f>+'[1]VENTAS(RESUMEN GLOBAL)'!M2166</f>
        <v>0</v>
      </c>
      <c r="C2166">
        <f>+'[1]VENTAS(RESUMEN GLOBAL)'!B2166</f>
        <v>0</v>
      </c>
      <c r="D2166" t="e">
        <f>INDEX('[1]CÓDIGOS DE PRODUCTO'!$D$3:$D$1000,MATCH(C2166,'[1]CÓDIGOS DE PRODUCTO'!$A$3:$A$1000,0))</f>
        <v>#N/A</v>
      </c>
      <c r="E2166">
        <f>VLOOKUP(C2166,'[1]CÓDIGOS DE PRODUCTO'!$A$4:$B$156,2,FALSE)</f>
        <v>0</v>
      </c>
      <c r="F2166">
        <f>INDEX('[1]CÓDIGOS DE PRODUCTO'!$C$3:$C$1000,MATCH(C2166,'[1]CÓDIGOS DE PRODUCTO'!$A$3:$A$1000,0))</f>
        <v>0</v>
      </c>
      <c r="G2166">
        <f>+'[1]VENTAS(RESUMEN GLOBAL)'!D2166-'[1]VENTAS(RESUMEN GLOBAL)'!E2166</f>
        <v>0</v>
      </c>
      <c r="H2166" s="9">
        <f>+'[1]VENTAS(RESUMEN GLOBAL)'!K2166</f>
        <v>0</v>
      </c>
      <c r="I2166" s="8">
        <f>+G2166*'[1]VENTAS(RESUMEN GLOBAL)'!F2166</f>
        <v>0</v>
      </c>
      <c r="J2166" s="8">
        <f>'[1]VENTAS(RESUMEN GLOBAL)'!G2166*(1-'[1]VENTAS(RESUMEN GLOBAL)'!H2166)</f>
        <v>0</v>
      </c>
      <c r="K2166" s="8">
        <f t="shared" si="33"/>
        <v>0</v>
      </c>
      <c r="L2166" s="8">
        <f>+'[1]VENTAS(RESUMEN GLOBAL)'!J2166</f>
        <v>0</v>
      </c>
      <c r="M2166" s="8">
        <f>+Tabla1[[#This Row],[utilidad x dia]]*7</f>
        <v>0</v>
      </c>
    </row>
    <row r="2167" spans="1:13" x14ac:dyDescent="0.3">
      <c r="A2167" s="6">
        <f>+'[1]VENTAS(RESUMEN GLOBAL)'!L2167</f>
        <v>0</v>
      </c>
      <c r="B2167" s="6">
        <f>+'[1]VENTAS(RESUMEN GLOBAL)'!M2167</f>
        <v>0</v>
      </c>
      <c r="C2167">
        <f>+'[1]VENTAS(RESUMEN GLOBAL)'!B2167</f>
        <v>0</v>
      </c>
      <c r="D2167" t="e">
        <f>INDEX('[1]CÓDIGOS DE PRODUCTO'!$D$3:$D$1000,MATCH(C2167,'[1]CÓDIGOS DE PRODUCTO'!$A$3:$A$1000,0))</f>
        <v>#N/A</v>
      </c>
      <c r="E2167">
        <f>VLOOKUP(C2167,'[1]CÓDIGOS DE PRODUCTO'!$A$4:$B$156,2,FALSE)</f>
        <v>0</v>
      </c>
      <c r="F2167">
        <f>INDEX('[1]CÓDIGOS DE PRODUCTO'!$C$3:$C$1000,MATCH(C2167,'[1]CÓDIGOS DE PRODUCTO'!$A$3:$A$1000,0))</f>
        <v>0</v>
      </c>
      <c r="G2167">
        <f>+'[1]VENTAS(RESUMEN GLOBAL)'!D2167-'[1]VENTAS(RESUMEN GLOBAL)'!E2167</f>
        <v>0</v>
      </c>
      <c r="H2167" s="9">
        <f>+'[1]VENTAS(RESUMEN GLOBAL)'!K2167</f>
        <v>0</v>
      </c>
      <c r="I2167" s="8">
        <f>+G2167*'[1]VENTAS(RESUMEN GLOBAL)'!F2167</f>
        <v>0</v>
      </c>
      <c r="J2167" s="8">
        <f>'[1]VENTAS(RESUMEN GLOBAL)'!G2167*(1-'[1]VENTAS(RESUMEN GLOBAL)'!H2167)</f>
        <v>0</v>
      </c>
      <c r="K2167" s="8">
        <f t="shared" si="33"/>
        <v>0</v>
      </c>
      <c r="L2167" s="8">
        <f>+'[1]VENTAS(RESUMEN GLOBAL)'!J2167</f>
        <v>0</v>
      </c>
      <c r="M2167" s="8">
        <f>+Tabla1[[#This Row],[utilidad x dia]]*7</f>
        <v>0</v>
      </c>
    </row>
    <row r="2168" spans="1:13" x14ac:dyDescent="0.3">
      <c r="A2168" s="6">
        <f>+'[1]VENTAS(RESUMEN GLOBAL)'!L2168</f>
        <v>0</v>
      </c>
      <c r="B2168" s="6">
        <f>+'[1]VENTAS(RESUMEN GLOBAL)'!M2168</f>
        <v>0</v>
      </c>
      <c r="C2168">
        <f>+'[1]VENTAS(RESUMEN GLOBAL)'!B2168</f>
        <v>0</v>
      </c>
      <c r="D2168" t="e">
        <f>INDEX('[1]CÓDIGOS DE PRODUCTO'!$D$3:$D$1000,MATCH(C2168,'[1]CÓDIGOS DE PRODUCTO'!$A$3:$A$1000,0))</f>
        <v>#N/A</v>
      </c>
      <c r="E2168">
        <f>VLOOKUP(C2168,'[1]CÓDIGOS DE PRODUCTO'!$A$4:$B$156,2,FALSE)</f>
        <v>0</v>
      </c>
      <c r="F2168">
        <f>INDEX('[1]CÓDIGOS DE PRODUCTO'!$C$3:$C$1000,MATCH(C2168,'[1]CÓDIGOS DE PRODUCTO'!$A$3:$A$1000,0))</f>
        <v>0</v>
      </c>
      <c r="G2168">
        <f>+'[1]VENTAS(RESUMEN GLOBAL)'!D2168-'[1]VENTAS(RESUMEN GLOBAL)'!E2168</f>
        <v>0</v>
      </c>
      <c r="H2168" s="9">
        <f>+'[1]VENTAS(RESUMEN GLOBAL)'!K2168</f>
        <v>0</v>
      </c>
      <c r="I2168" s="8">
        <f>+G2168*'[1]VENTAS(RESUMEN GLOBAL)'!F2168</f>
        <v>0</v>
      </c>
      <c r="J2168" s="8">
        <f>'[1]VENTAS(RESUMEN GLOBAL)'!G2168*(1-'[1]VENTAS(RESUMEN GLOBAL)'!H2168)</f>
        <v>0</v>
      </c>
      <c r="K2168" s="8">
        <f t="shared" si="33"/>
        <v>0</v>
      </c>
      <c r="L2168" s="8">
        <f>+'[1]VENTAS(RESUMEN GLOBAL)'!J2168</f>
        <v>0</v>
      </c>
      <c r="M2168" s="8">
        <f>+Tabla1[[#This Row],[utilidad x dia]]*7</f>
        <v>0</v>
      </c>
    </row>
    <row r="2169" spans="1:13" x14ac:dyDescent="0.3">
      <c r="A2169" s="6">
        <f>+'[1]VENTAS(RESUMEN GLOBAL)'!L2169</f>
        <v>0</v>
      </c>
      <c r="B2169" s="6">
        <f>+'[1]VENTAS(RESUMEN GLOBAL)'!M2169</f>
        <v>0</v>
      </c>
      <c r="C2169">
        <f>+'[1]VENTAS(RESUMEN GLOBAL)'!B2169</f>
        <v>0</v>
      </c>
      <c r="D2169" t="e">
        <f>INDEX('[1]CÓDIGOS DE PRODUCTO'!$D$3:$D$1000,MATCH(C2169,'[1]CÓDIGOS DE PRODUCTO'!$A$3:$A$1000,0))</f>
        <v>#N/A</v>
      </c>
      <c r="E2169">
        <f>VLOOKUP(C2169,'[1]CÓDIGOS DE PRODUCTO'!$A$4:$B$156,2,FALSE)</f>
        <v>0</v>
      </c>
      <c r="F2169">
        <f>INDEX('[1]CÓDIGOS DE PRODUCTO'!$C$3:$C$1000,MATCH(C2169,'[1]CÓDIGOS DE PRODUCTO'!$A$3:$A$1000,0))</f>
        <v>0</v>
      </c>
      <c r="G2169">
        <f>+'[1]VENTAS(RESUMEN GLOBAL)'!D2169-'[1]VENTAS(RESUMEN GLOBAL)'!E2169</f>
        <v>0</v>
      </c>
      <c r="H2169" s="9">
        <f>+'[1]VENTAS(RESUMEN GLOBAL)'!K2169</f>
        <v>0</v>
      </c>
      <c r="I2169" s="8">
        <f>+G2169*'[1]VENTAS(RESUMEN GLOBAL)'!F2169</f>
        <v>0</v>
      </c>
      <c r="J2169" s="8">
        <f>'[1]VENTAS(RESUMEN GLOBAL)'!G2169*(1-'[1]VENTAS(RESUMEN GLOBAL)'!H2169)</f>
        <v>0</v>
      </c>
      <c r="K2169" s="8">
        <f t="shared" si="33"/>
        <v>0</v>
      </c>
      <c r="L2169" s="8">
        <f>+'[1]VENTAS(RESUMEN GLOBAL)'!J2169</f>
        <v>0</v>
      </c>
      <c r="M2169" s="8">
        <f>+Tabla1[[#This Row],[utilidad x dia]]*7</f>
        <v>0</v>
      </c>
    </row>
    <row r="2170" spans="1:13" x14ac:dyDescent="0.3">
      <c r="A2170" s="6">
        <f>+'[1]VENTAS(RESUMEN GLOBAL)'!L2170</f>
        <v>0</v>
      </c>
      <c r="B2170" s="6">
        <f>+'[1]VENTAS(RESUMEN GLOBAL)'!M2170</f>
        <v>0</v>
      </c>
      <c r="C2170">
        <f>+'[1]VENTAS(RESUMEN GLOBAL)'!B2170</f>
        <v>0</v>
      </c>
      <c r="D2170" t="e">
        <f>INDEX('[1]CÓDIGOS DE PRODUCTO'!$D$3:$D$1000,MATCH(C2170,'[1]CÓDIGOS DE PRODUCTO'!$A$3:$A$1000,0))</f>
        <v>#N/A</v>
      </c>
      <c r="E2170">
        <f>VLOOKUP(C2170,'[1]CÓDIGOS DE PRODUCTO'!$A$4:$B$156,2,FALSE)</f>
        <v>0</v>
      </c>
      <c r="F2170">
        <f>INDEX('[1]CÓDIGOS DE PRODUCTO'!$C$3:$C$1000,MATCH(C2170,'[1]CÓDIGOS DE PRODUCTO'!$A$3:$A$1000,0))</f>
        <v>0</v>
      </c>
      <c r="G2170">
        <f>+'[1]VENTAS(RESUMEN GLOBAL)'!D2170-'[1]VENTAS(RESUMEN GLOBAL)'!E2170</f>
        <v>0</v>
      </c>
      <c r="H2170" s="9">
        <f>+'[1]VENTAS(RESUMEN GLOBAL)'!K2170</f>
        <v>0</v>
      </c>
      <c r="I2170" s="8">
        <f>+G2170*'[1]VENTAS(RESUMEN GLOBAL)'!F2170</f>
        <v>0</v>
      </c>
      <c r="J2170" s="8">
        <f>'[1]VENTAS(RESUMEN GLOBAL)'!G2170*(1-'[1]VENTAS(RESUMEN GLOBAL)'!H2170)</f>
        <v>0</v>
      </c>
      <c r="K2170" s="8">
        <f t="shared" si="33"/>
        <v>0</v>
      </c>
      <c r="L2170" s="8">
        <f>+'[1]VENTAS(RESUMEN GLOBAL)'!J2170</f>
        <v>0</v>
      </c>
      <c r="M2170" s="8">
        <f>+Tabla1[[#This Row],[utilidad x dia]]*7</f>
        <v>0</v>
      </c>
    </row>
    <row r="2171" spans="1:13" x14ac:dyDescent="0.3">
      <c r="A2171" s="6">
        <f>+'[1]VENTAS(RESUMEN GLOBAL)'!L2171</f>
        <v>0</v>
      </c>
      <c r="B2171" s="6">
        <f>+'[1]VENTAS(RESUMEN GLOBAL)'!M2171</f>
        <v>0</v>
      </c>
      <c r="C2171">
        <f>+'[1]VENTAS(RESUMEN GLOBAL)'!B2171</f>
        <v>0</v>
      </c>
      <c r="D2171" t="e">
        <f>INDEX('[1]CÓDIGOS DE PRODUCTO'!$D$3:$D$1000,MATCH(C2171,'[1]CÓDIGOS DE PRODUCTO'!$A$3:$A$1000,0))</f>
        <v>#N/A</v>
      </c>
      <c r="E2171">
        <f>VLOOKUP(C2171,'[1]CÓDIGOS DE PRODUCTO'!$A$4:$B$156,2,FALSE)</f>
        <v>0</v>
      </c>
      <c r="F2171">
        <f>INDEX('[1]CÓDIGOS DE PRODUCTO'!$C$3:$C$1000,MATCH(C2171,'[1]CÓDIGOS DE PRODUCTO'!$A$3:$A$1000,0))</f>
        <v>0</v>
      </c>
      <c r="G2171">
        <f>+'[1]VENTAS(RESUMEN GLOBAL)'!D2171-'[1]VENTAS(RESUMEN GLOBAL)'!E2171</f>
        <v>0</v>
      </c>
      <c r="H2171" s="9">
        <f>+'[1]VENTAS(RESUMEN GLOBAL)'!K2171</f>
        <v>0</v>
      </c>
      <c r="I2171" s="8">
        <f>+G2171*'[1]VENTAS(RESUMEN GLOBAL)'!F2171</f>
        <v>0</v>
      </c>
      <c r="J2171" s="8">
        <f>'[1]VENTAS(RESUMEN GLOBAL)'!G2171*(1-'[1]VENTAS(RESUMEN GLOBAL)'!H2171)</f>
        <v>0</v>
      </c>
      <c r="K2171" s="8">
        <f t="shared" si="33"/>
        <v>0</v>
      </c>
      <c r="L2171" s="8">
        <f>+'[1]VENTAS(RESUMEN GLOBAL)'!J2171</f>
        <v>0</v>
      </c>
      <c r="M2171" s="8">
        <f>+Tabla1[[#This Row],[utilidad x dia]]*7</f>
        <v>0</v>
      </c>
    </row>
    <row r="2172" spans="1:13" x14ac:dyDescent="0.3">
      <c r="A2172" s="6">
        <f>+'[1]VENTAS(RESUMEN GLOBAL)'!L2172</f>
        <v>0</v>
      </c>
      <c r="B2172" s="6">
        <f>+'[1]VENTAS(RESUMEN GLOBAL)'!M2172</f>
        <v>0</v>
      </c>
      <c r="C2172">
        <f>+'[1]VENTAS(RESUMEN GLOBAL)'!B2172</f>
        <v>0</v>
      </c>
      <c r="D2172" t="e">
        <f>INDEX('[1]CÓDIGOS DE PRODUCTO'!$D$3:$D$1000,MATCH(C2172,'[1]CÓDIGOS DE PRODUCTO'!$A$3:$A$1000,0))</f>
        <v>#N/A</v>
      </c>
      <c r="E2172">
        <f>VLOOKUP(C2172,'[1]CÓDIGOS DE PRODUCTO'!$A$4:$B$156,2,FALSE)</f>
        <v>0</v>
      </c>
      <c r="F2172">
        <f>INDEX('[1]CÓDIGOS DE PRODUCTO'!$C$3:$C$1000,MATCH(C2172,'[1]CÓDIGOS DE PRODUCTO'!$A$3:$A$1000,0))</f>
        <v>0</v>
      </c>
      <c r="G2172">
        <f>+'[1]VENTAS(RESUMEN GLOBAL)'!D2172-'[1]VENTAS(RESUMEN GLOBAL)'!E2172</f>
        <v>0</v>
      </c>
      <c r="H2172" s="9">
        <f>+'[1]VENTAS(RESUMEN GLOBAL)'!K2172</f>
        <v>0</v>
      </c>
      <c r="I2172" s="8">
        <f>+G2172*'[1]VENTAS(RESUMEN GLOBAL)'!F2172</f>
        <v>0</v>
      </c>
      <c r="J2172" s="8">
        <f>'[1]VENTAS(RESUMEN GLOBAL)'!G2172*(1-'[1]VENTAS(RESUMEN GLOBAL)'!H2172)</f>
        <v>0</v>
      </c>
      <c r="K2172" s="8">
        <f t="shared" si="33"/>
        <v>0</v>
      </c>
      <c r="L2172" s="8">
        <f>+'[1]VENTAS(RESUMEN GLOBAL)'!J2172</f>
        <v>0</v>
      </c>
      <c r="M2172" s="8">
        <f>+Tabla1[[#This Row],[utilidad x dia]]*7</f>
        <v>0</v>
      </c>
    </row>
    <row r="2173" spans="1:13" x14ac:dyDescent="0.3">
      <c r="A2173" s="6">
        <f>+'[1]VENTAS(RESUMEN GLOBAL)'!L2173</f>
        <v>0</v>
      </c>
      <c r="B2173" s="6">
        <f>+'[1]VENTAS(RESUMEN GLOBAL)'!M2173</f>
        <v>0</v>
      </c>
      <c r="C2173">
        <f>+'[1]VENTAS(RESUMEN GLOBAL)'!B2173</f>
        <v>0</v>
      </c>
      <c r="D2173" t="e">
        <f>INDEX('[1]CÓDIGOS DE PRODUCTO'!$D$3:$D$1000,MATCH(C2173,'[1]CÓDIGOS DE PRODUCTO'!$A$3:$A$1000,0))</f>
        <v>#N/A</v>
      </c>
      <c r="E2173">
        <f>VLOOKUP(C2173,'[1]CÓDIGOS DE PRODUCTO'!$A$4:$B$156,2,FALSE)</f>
        <v>0</v>
      </c>
      <c r="F2173">
        <f>INDEX('[1]CÓDIGOS DE PRODUCTO'!$C$3:$C$1000,MATCH(C2173,'[1]CÓDIGOS DE PRODUCTO'!$A$3:$A$1000,0))</f>
        <v>0</v>
      </c>
      <c r="G2173">
        <f>+'[1]VENTAS(RESUMEN GLOBAL)'!D2173-'[1]VENTAS(RESUMEN GLOBAL)'!E2173</f>
        <v>0</v>
      </c>
      <c r="H2173" s="9">
        <f>+'[1]VENTAS(RESUMEN GLOBAL)'!K2173</f>
        <v>0</v>
      </c>
      <c r="I2173" s="8">
        <f>+G2173*'[1]VENTAS(RESUMEN GLOBAL)'!F2173</f>
        <v>0</v>
      </c>
      <c r="J2173" s="8">
        <f>'[1]VENTAS(RESUMEN GLOBAL)'!G2173*(1-'[1]VENTAS(RESUMEN GLOBAL)'!H2173)</f>
        <v>0</v>
      </c>
      <c r="K2173" s="8">
        <f t="shared" si="33"/>
        <v>0</v>
      </c>
      <c r="L2173" s="8">
        <f>+'[1]VENTAS(RESUMEN GLOBAL)'!J2173</f>
        <v>0</v>
      </c>
      <c r="M2173" s="8">
        <f>+Tabla1[[#This Row],[utilidad x dia]]*7</f>
        <v>0</v>
      </c>
    </row>
    <row r="2174" spans="1:13" x14ac:dyDescent="0.3">
      <c r="A2174" s="6">
        <f>+'[1]VENTAS(RESUMEN GLOBAL)'!L2174</f>
        <v>0</v>
      </c>
      <c r="B2174" s="6">
        <f>+'[1]VENTAS(RESUMEN GLOBAL)'!M2174</f>
        <v>0</v>
      </c>
      <c r="C2174">
        <f>+'[1]VENTAS(RESUMEN GLOBAL)'!B2174</f>
        <v>0</v>
      </c>
      <c r="D2174" t="e">
        <f>INDEX('[1]CÓDIGOS DE PRODUCTO'!$D$3:$D$1000,MATCH(C2174,'[1]CÓDIGOS DE PRODUCTO'!$A$3:$A$1000,0))</f>
        <v>#N/A</v>
      </c>
      <c r="E2174">
        <f>VLOOKUP(C2174,'[1]CÓDIGOS DE PRODUCTO'!$A$4:$B$156,2,FALSE)</f>
        <v>0</v>
      </c>
      <c r="F2174">
        <f>INDEX('[1]CÓDIGOS DE PRODUCTO'!$C$3:$C$1000,MATCH(C2174,'[1]CÓDIGOS DE PRODUCTO'!$A$3:$A$1000,0))</f>
        <v>0</v>
      </c>
      <c r="G2174">
        <f>+'[1]VENTAS(RESUMEN GLOBAL)'!D2174-'[1]VENTAS(RESUMEN GLOBAL)'!E2174</f>
        <v>0</v>
      </c>
      <c r="H2174" s="9">
        <f>+'[1]VENTAS(RESUMEN GLOBAL)'!K2174</f>
        <v>0</v>
      </c>
      <c r="I2174" s="8">
        <f>+G2174*'[1]VENTAS(RESUMEN GLOBAL)'!F2174</f>
        <v>0</v>
      </c>
      <c r="J2174" s="8">
        <f>'[1]VENTAS(RESUMEN GLOBAL)'!G2174*(1-'[1]VENTAS(RESUMEN GLOBAL)'!H2174)</f>
        <v>0</v>
      </c>
      <c r="K2174" s="8">
        <f t="shared" si="33"/>
        <v>0</v>
      </c>
      <c r="L2174" s="8">
        <f>+'[1]VENTAS(RESUMEN GLOBAL)'!J2174</f>
        <v>0</v>
      </c>
      <c r="M2174" s="8">
        <f>+Tabla1[[#This Row],[utilidad x dia]]*7</f>
        <v>0</v>
      </c>
    </row>
    <row r="2175" spans="1:13" x14ac:dyDescent="0.3">
      <c r="A2175" s="6">
        <f>+'[1]VENTAS(RESUMEN GLOBAL)'!L2175</f>
        <v>0</v>
      </c>
      <c r="B2175" s="6">
        <f>+'[1]VENTAS(RESUMEN GLOBAL)'!M2175</f>
        <v>0</v>
      </c>
      <c r="C2175">
        <f>+'[1]VENTAS(RESUMEN GLOBAL)'!B2175</f>
        <v>0</v>
      </c>
      <c r="D2175" t="e">
        <f>INDEX('[1]CÓDIGOS DE PRODUCTO'!$D$3:$D$1000,MATCH(C2175,'[1]CÓDIGOS DE PRODUCTO'!$A$3:$A$1000,0))</f>
        <v>#N/A</v>
      </c>
      <c r="E2175">
        <f>VLOOKUP(C2175,'[1]CÓDIGOS DE PRODUCTO'!$A$4:$B$156,2,FALSE)</f>
        <v>0</v>
      </c>
      <c r="F2175">
        <f>INDEX('[1]CÓDIGOS DE PRODUCTO'!$C$3:$C$1000,MATCH(C2175,'[1]CÓDIGOS DE PRODUCTO'!$A$3:$A$1000,0))</f>
        <v>0</v>
      </c>
      <c r="G2175">
        <f>+'[1]VENTAS(RESUMEN GLOBAL)'!D2175-'[1]VENTAS(RESUMEN GLOBAL)'!E2175</f>
        <v>0</v>
      </c>
      <c r="H2175" s="9">
        <f>+'[1]VENTAS(RESUMEN GLOBAL)'!K2175</f>
        <v>0</v>
      </c>
      <c r="I2175" s="8">
        <f>+G2175*'[1]VENTAS(RESUMEN GLOBAL)'!F2175</f>
        <v>0</v>
      </c>
      <c r="J2175" s="8">
        <f>'[1]VENTAS(RESUMEN GLOBAL)'!G2175*(1-'[1]VENTAS(RESUMEN GLOBAL)'!H2175)</f>
        <v>0</v>
      </c>
      <c r="K2175" s="8">
        <f t="shared" si="33"/>
        <v>0</v>
      </c>
      <c r="L2175" s="8">
        <f>+'[1]VENTAS(RESUMEN GLOBAL)'!J2175</f>
        <v>0</v>
      </c>
      <c r="M2175" s="8">
        <f>+Tabla1[[#This Row],[utilidad x dia]]*7</f>
        <v>0</v>
      </c>
    </row>
    <row r="2176" spans="1:13" x14ac:dyDescent="0.3">
      <c r="A2176" s="6">
        <f>+'[1]VENTAS(RESUMEN GLOBAL)'!L2176</f>
        <v>0</v>
      </c>
      <c r="B2176" s="6">
        <f>+'[1]VENTAS(RESUMEN GLOBAL)'!M2176</f>
        <v>0</v>
      </c>
      <c r="C2176">
        <f>+'[1]VENTAS(RESUMEN GLOBAL)'!B2176</f>
        <v>0</v>
      </c>
      <c r="D2176" t="e">
        <f>INDEX('[1]CÓDIGOS DE PRODUCTO'!$D$3:$D$1000,MATCH(C2176,'[1]CÓDIGOS DE PRODUCTO'!$A$3:$A$1000,0))</f>
        <v>#N/A</v>
      </c>
      <c r="E2176">
        <f>VLOOKUP(C2176,'[1]CÓDIGOS DE PRODUCTO'!$A$4:$B$156,2,FALSE)</f>
        <v>0</v>
      </c>
      <c r="F2176">
        <f>INDEX('[1]CÓDIGOS DE PRODUCTO'!$C$3:$C$1000,MATCH(C2176,'[1]CÓDIGOS DE PRODUCTO'!$A$3:$A$1000,0))</f>
        <v>0</v>
      </c>
      <c r="G2176">
        <f>+'[1]VENTAS(RESUMEN GLOBAL)'!D2176-'[1]VENTAS(RESUMEN GLOBAL)'!E2176</f>
        <v>0</v>
      </c>
      <c r="H2176" s="9">
        <f>+'[1]VENTAS(RESUMEN GLOBAL)'!K2176</f>
        <v>0</v>
      </c>
      <c r="I2176" s="8">
        <f>+G2176*'[1]VENTAS(RESUMEN GLOBAL)'!F2176</f>
        <v>0</v>
      </c>
      <c r="J2176" s="8">
        <f>'[1]VENTAS(RESUMEN GLOBAL)'!G2176*(1-'[1]VENTAS(RESUMEN GLOBAL)'!H2176)</f>
        <v>0</v>
      </c>
      <c r="K2176" s="8">
        <f t="shared" si="33"/>
        <v>0</v>
      </c>
      <c r="L2176" s="8">
        <f>+'[1]VENTAS(RESUMEN GLOBAL)'!J2176</f>
        <v>0</v>
      </c>
      <c r="M2176" s="8">
        <f>+Tabla1[[#This Row],[utilidad x dia]]*7</f>
        <v>0</v>
      </c>
    </row>
    <row r="2177" spans="1:13" x14ac:dyDescent="0.3">
      <c r="A2177" s="6">
        <f>+'[1]VENTAS(RESUMEN GLOBAL)'!L2177</f>
        <v>0</v>
      </c>
      <c r="B2177" s="6">
        <f>+'[1]VENTAS(RESUMEN GLOBAL)'!M2177</f>
        <v>0</v>
      </c>
      <c r="C2177">
        <f>+'[1]VENTAS(RESUMEN GLOBAL)'!B2177</f>
        <v>0</v>
      </c>
      <c r="D2177" t="e">
        <f>INDEX('[1]CÓDIGOS DE PRODUCTO'!$D$3:$D$1000,MATCH(C2177,'[1]CÓDIGOS DE PRODUCTO'!$A$3:$A$1000,0))</f>
        <v>#N/A</v>
      </c>
      <c r="E2177">
        <f>VLOOKUP(C2177,'[1]CÓDIGOS DE PRODUCTO'!$A$4:$B$156,2,FALSE)</f>
        <v>0</v>
      </c>
      <c r="F2177">
        <f>INDEX('[1]CÓDIGOS DE PRODUCTO'!$C$3:$C$1000,MATCH(C2177,'[1]CÓDIGOS DE PRODUCTO'!$A$3:$A$1000,0))</f>
        <v>0</v>
      </c>
      <c r="G2177">
        <f>+'[1]VENTAS(RESUMEN GLOBAL)'!D2177-'[1]VENTAS(RESUMEN GLOBAL)'!E2177</f>
        <v>0</v>
      </c>
      <c r="H2177" s="9">
        <f>+'[1]VENTAS(RESUMEN GLOBAL)'!K2177</f>
        <v>0</v>
      </c>
      <c r="I2177" s="8">
        <f>+G2177*'[1]VENTAS(RESUMEN GLOBAL)'!F2177</f>
        <v>0</v>
      </c>
      <c r="J2177" s="8">
        <f>'[1]VENTAS(RESUMEN GLOBAL)'!G2177*(1-'[1]VENTAS(RESUMEN GLOBAL)'!H2177)</f>
        <v>0</v>
      </c>
      <c r="K2177" s="8">
        <f t="shared" si="33"/>
        <v>0</v>
      </c>
      <c r="L2177" s="8">
        <f>+'[1]VENTAS(RESUMEN GLOBAL)'!J2177</f>
        <v>0</v>
      </c>
      <c r="M2177" s="8">
        <f>+Tabla1[[#This Row],[utilidad x dia]]*7</f>
        <v>0</v>
      </c>
    </row>
    <row r="2178" spans="1:13" x14ac:dyDescent="0.3">
      <c r="A2178" s="6">
        <f>+'[1]VENTAS(RESUMEN GLOBAL)'!L2178</f>
        <v>0</v>
      </c>
      <c r="B2178" s="6">
        <f>+'[1]VENTAS(RESUMEN GLOBAL)'!M2178</f>
        <v>0</v>
      </c>
      <c r="C2178">
        <f>+'[1]VENTAS(RESUMEN GLOBAL)'!B2178</f>
        <v>0</v>
      </c>
      <c r="D2178" t="e">
        <f>INDEX('[1]CÓDIGOS DE PRODUCTO'!$D$3:$D$1000,MATCH(C2178,'[1]CÓDIGOS DE PRODUCTO'!$A$3:$A$1000,0))</f>
        <v>#N/A</v>
      </c>
      <c r="E2178">
        <f>VLOOKUP(C2178,'[1]CÓDIGOS DE PRODUCTO'!$A$4:$B$156,2,FALSE)</f>
        <v>0</v>
      </c>
      <c r="F2178">
        <f>INDEX('[1]CÓDIGOS DE PRODUCTO'!$C$3:$C$1000,MATCH(C2178,'[1]CÓDIGOS DE PRODUCTO'!$A$3:$A$1000,0))</f>
        <v>0</v>
      </c>
      <c r="G2178">
        <f>+'[1]VENTAS(RESUMEN GLOBAL)'!D2178-'[1]VENTAS(RESUMEN GLOBAL)'!E2178</f>
        <v>0</v>
      </c>
      <c r="H2178" s="9">
        <f>+'[1]VENTAS(RESUMEN GLOBAL)'!K2178</f>
        <v>0</v>
      </c>
      <c r="I2178" s="8">
        <f>+G2178*'[1]VENTAS(RESUMEN GLOBAL)'!F2178</f>
        <v>0</v>
      </c>
      <c r="J2178" s="8">
        <f>'[1]VENTAS(RESUMEN GLOBAL)'!G2178*(1-'[1]VENTAS(RESUMEN GLOBAL)'!H2178)</f>
        <v>0</v>
      </c>
      <c r="K2178" s="8">
        <f t="shared" si="33"/>
        <v>0</v>
      </c>
      <c r="L2178" s="8">
        <f>+'[1]VENTAS(RESUMEN GLOBAL)'!J2178</f>
        <v>0</v>
      </c>
      <c r="M2178" s="8">
        <f>+Tabla1[[#This Row],[utilidad x dia]]*7</f>
        <v>0</v>
      </c>
    </row>
    <row r="2179" spans="1:13" x14ac:dyDescent="0.3">
      <c r="A2179" s="6">
        <f>+'[1]VENTAS(RESUMEN GLOBAL)'!L2179</f>
        <v>0</v>
      </c>
      <c r="B2179" s="6">
        <f>+'[1]VENTAS(RESUMEN GLOBAL)'!M2179</f>
        <v>0</v>
      </c>
      <c r="C2179">
        <f>+'[1]VENTAS(RESUMEN GLOBAL)'!B2179</f>
        <v>0</v>
      </c>
      <c r="D2179" t="e">
        <f>INDEX('[1]CÓDIGOS DE PRODUCTO'!$D$3:$D$1000,MATCH(C2179,'[1]CÓDIGOS DE PRODUCTO'!$A$3:$A$1000,0))</f>
        <v>#N/A</v>
      </c>
      <c r="E2179">
        <f>VLOOKUP(C2179,'[1]CÓDIGOS DE PRODUCTO'!$A$4:$B$156,2,FALSE)</f>
        <v>0</v>
      </c>
      <c r="F2179">
        <f>INDEX('[1]CÓDIGOS DE PRODUCTO'!$C$3:$C$1000,MATCH(C2179,'[1]CÓDIGOS DE PRODUCTO'!$A$3:$A$1000,0))</f>
        <v>0</v>
      </c>
      <c r="G2179">
        <f>+'[1]VENTAS(RESUMEN GLOBAL)'!D2179-'[1]VENTAS(RESUMEN GLOBAL)'!E2179</f>
        <v>0</v>
      </c>
      <c r="H2179" s="9">
        <f>+'[1]VENTAS(RESUMEN GLOBAL)'!K2179</f>
        <v>0</v>
      </c>
      <c r="I2179" s="8">
        <f>+G2179*'[1]VENTAS(RESUMEN GLOBAL)'!F2179</f>
        <v>0</v>
      </c>
      <c r="J2179" s="8">
        <f>'[1]VENTAS(RESUMEN GLOBAL)'!G2179*(1-'[1]VENTAS(RESUMEN GLOBAL)'!H2179)</f>
        <v>0</v>
      </c>
      <c r="K2179" s="8">
        <f t="shared" ref="K2179:K2242" si="34">+I2179-J2179</f>
        <v>0</v>
      </c>
      <c r="L2179" s="8">
        <f>+'[1]VENTAS(RESUMEN GLOBAL)'!J2179</f>
        <v>0</v>
      </c>
      <c r="M2179" s="8">
        <f>+Tabla1[[#This Row],[utilidad x dia]]*7</f>
        <v>0</v>
      </c>
    </row>
    <row r="2180" spans="1:13" x14ac:dyDescent="0.3">
      <c r="A2180" s="6">
        <f>+'[1]VENTAS(RESUMEN GLOBAL)'!L2180</f>
        <v>0</v>
      </c>
      <c r="B2180" s="6">
        <f>+'[1]VENTAS(RESUMEN GLOBAL)'!M2180</f>
        <v>0</v>
      </c>
      <c r="C2180">
        <f>+'[1]VENTAS(RESUMEN GLOBAL)'!B2180</f>
        <v>0</v>
      </c>
      <c r="D2180" t="e">
        <f>INDEX('[1]CÓDIGOS DE PRODUCTO'!$D$3:$D$1000,MATCH(C2180,'[1]CÓDIGOS DE PRODUCTO'!$A$3:$A$1000,0))</f>
        <v>#N/A</v>
      </c>
      <c r="E2180">
        <f>VLOOKUP(C2180,'[1]CÓDIGOS DE PRODUCTO'!$A$4:$B$156,2,FALSE)</f>
        <v>0</v>
      </c>
      <c r="F2180">
        <f>INDEX('[1]CÓDIGOS DE PRODUCTO'!$C$3:$C$1000,MATCH(C2180,'[1]CÓDIGOS DE PRODUCTO'!$A$3:$A$1000,0))</f>
        <v>0</v>
      </c>
      <c r="G2180">
        <f>+'[1]VENTAS(RESUMEN GLOBAL)'!D2180-'[1]VENTAS(RESUMEN GLOBAL)'!E2180</f>
        <v>0</v>
      </c>
      <c r="H2180" s="9">
        <f>+'[1]VENTAS(RESUMEN GLOBAL)'!K2180</f>
        <v>0</v>
      </c>
      <c r="I2180" s="8">
        <f>+G2180*'[1]VENTAS(RESUMEN GLOBAL)'!F2180</f>
        <v>0</v>
      </c>
      <c r="J2180" s="8">
        <f>'[1]VENTAS(RESUMEN GLOBAL)'!G2180*(1-'[1]VENTAS(RESUMEN GLOBAL)'!H2180)</f>
        <v>0</v>
      </c>
      <c r="K2180" s="8">
        <f t="shared" si="34"/>
        <v>0</v>
      </c>
      <c r="L2180" s="8">
        <f>+'[1]VENTAS(RESUMEN GLOBAL)'!J2180</f>
        <v>0</v>
      </c>
      <c r="M2180" s="8">
        <f>+Tabla1[[#This Row],[utilidad x dia]]*7</f>
        <v>0</v>
      </c>
    </row>
    <row r="2181" spans="1:13" x14ac:dyDescent="0.3">
      <c r="A2181" s="6">
        <f>+'[1]VENTAS(RESUMEN GLOBAL)'!L2181</f>
        <v>0</v>
      </c>
      <c r="B2181" s="6">
        <f>+'[1]VENTAS(RESUMEN GLOBAL)'!M2181</f>
        <v>0</v>
      </c>
      <c r="C2181">
        <f>+'[1]VENTAS(RESUMEN GLOBAL)'!B2181</f>
        <v>0</v>
      </c>
      <c r="D2181" t="e">
        <f>INDEX('[1]CÓDIGOS DE PRODUCTO'!$D$3:$D$1000,MATCH(C2181,'[1]CÓDIGOS DE PRODUCTO'!$A$3:$A$1000,0))</f>
        <v>#N/A</v>
      </c>
      <c r="E2181">
        <f>VLOOKUP(C2181,'[1]CÓDIGOS DE PRODUCTO'!$A$4:$B$156,2,FALSE)</f>
        <v>0</v>
      </c>
      <c r="F2181">
        <f>INDEX('[1]CÓDIGOS DE PRODUCTO'!$C$3:$C$1000,MATCH(C2181,'[1]CÓDIGOS DE PRODUCTO'!$A$3:$A$1000,0))</f>
        <v>0</v>
      </c>
      <c r="G2181">
        <f>+'[1]VENTAS(RESUMEN GLOBAL)'!D2181-'[1]VENTAS(RESUMEN GLOBAL)'!E2181</f>
        <v>0</v>
      </c>
      <c r="H2181" s="9">
        <f>+'[1]VENTAS(RESUMEN GLOBAL)'!K2181</f>
        <v>0</v>
      </c>
      <c r="I2181" s="8">
        <f>+G2181*'[1]VENTAS(RESUMEN GLOBAL)'!F2181</f>
        <v>0</v>
      </c>
      <c r="J2181" s="8">
        <f>'[1]VENTAS(RESUMEN GLOBAL)'!G2181*(1-'[1]VENTAS(RESUMEN GLOBAL)'!H2181)</f>
        <v>0</v>
      </c>
      <c r="K2181" s="8">
        <f t="shared" si="34"/>
        <v>0</v>
      </c>
      <c r="L2181" s="8">
        <f>+'[1]VENTAS(RESUMEN GLOBAL)'!J2181</f>
        <v>0</v>
      </c>
      <c r="M2181" s="8">
        <f>+Tabla1[[#This Row],[utilidad x dia]]*7</f>
        <v>0</v>
      </c>
    </row>
    <row r="2182" spans="1:13" x14ac:dyDescent="0.3">
      <c r="A2182" s="6">
        <f>+'[1]VENTAS(RESUMEN GLOBAL)'!L2182</f>
        <v>0</v>
      </c>
      <c r="B2182" s="6">
        <f>+'[1]VENTAS(RESUMEN GLOBAL)'!M2182</f>
        <v>0</v>
      </c>
      <c r="C2182">
        <f>+'[1]VENTAS(RESUMEN GLOBAL)'!B2182</f>
        <v>0</v>
      </c>
      <c r="D2182" t="e">
        <f>INDEX('[1]CÓDIGOS DE PRODUCTO'!$D$3:$D$1000,MATCH(C2182,'[1]CÓDIGOS DE PRODUCTO'!$A$3:$A$1000,0))</f>
        <v>#N/A</v>
      </c>
      <c r="E2182">
        <f>VLOOKUP(C2182,'[1]CÓDIGOS DE PRODUCTO'!$A$4:$B$156,2,FALSE)</f>
        <v>0</v>
      </c>
      <c r="F2182">
        <f>INDEX('[1]CÓDIGOS DE PRODUCTO'!$C$3:$C$1000,MATCH(C2182,'[1]CÓDIGOS DE PRODUCTO'!$A$3:$A$1000,0))</f>
        <v>0</v>
      </c>
      <c r="G2182">
        <f>+'[1]VENTAS(RESUMEN GLOBAL)'!D2182-'[1]VENTAS(RESUMEN GLOBAL)'!E2182</f>
        <v>0</v>
      </c>
      <c r="H2182" s="9">
        <f>+'[1]VENTAS(RESUMEN GLOBAL)'!K2182</f>
        <v>0</v>
      </c>
      <c r="I2182" s="8">
        <f>+G2182*'[1]VENTAS(RESUMEN GLOBAL)'!F2182</f>
        <v>0</v>
      </c>
      <c r="J2182" s="8">
        <f>'[1]VENTAS(RESUMEN GLOBAL)'!G2182*(1-'[1]VENTAS(RESUMEN GLOBAL)'!H2182)</f>
        <v>0</v>
      </c>
      <c r="K2182" s="8">
        <f t="shared" si="34"/>
        <v>0</v>
      </c>
      <c r="L2182" s="8">
        <f>+'[1]VENTAS(RESUMEN GLOBAL)'!J2182</f>
        <v>0</v>
      </c>
      <c r="M2182" s="8">
        <f>+Tabla1[[#This Row],[utilidad x dia]]*7</f>
        <v>0</v>
      </c>
    </row>
    <row r="2183" spans="1:13" x14ac:dyDescent="0.3">
      <c r="A2183" s="6">
        <f>+'[1]VENTAS(RESUMEN GLOBAL)'!L2183</f>
        <v>0</v>
      </c>
      <c r="B2183" s="6">
        <f>+'[1]VENTAS(RESUMEN GLOBAL)'!M2183</f>
        <v>0</v>
      </c>
      <c r="C2183">
        <f>+'[1]VENTAS(RESUMEN GLOBAL)'!B2183</f>
        <v>0</v>
      </c>
      <c r="D2183" t="e">
        <f>INDEX('[1]CÓDIGOS DE PRODUCTO'!$D$3:$D$1000,MATCH(C2183,'[1]CÓDIGOS DE PRODUCTO'!$A$3:$A$1000,0))</f>
        <v>#N/A</v>
      </c>
      <c r="E2183">
        <f>VLOOKUP(C2183,'[1]CÓDIGOS DE PRODUCTO'!$A$4:$B$156,2,FALSE)</f>
        <v>0</v>
      </c>
      <c r="F2183">
        <f>INDEX('[1]CÓDIGOS DE PRODUCTO'!$C$3:$C$1000,MATCH(C2183,'[1]CÓDIGOS DE PRODUCTO'!$A$3:$A$1000,0))</f>
        <v>0</v>
      </c>
      <c r="G2183">
        <f>+'[1]VENTAS(RESUMEN GLOBAL)'!D2183-'[1]VENTAS(RESUMEN GLOBAL)'!E2183</f>
        <v>0</v>
      </c>
      <c r="H2183" s="9">
        <f>+'[1]VENTAS(RESUMEN GLOBAL)'!K2183</f>
        <v>0</v>
      </c>
      <c r="I2183" s="8">
        <f>+G2183*'[1]VENTAS(RESUMEN GLOBAL)'!F2183</f>
        <v>0</v>
      </c>
      <c r="J2183" s="8">
        <f>'[1]VENTAS(RESUMEN GLOBAL)'!G2183*(1-'[1]VENTAS(RESUMEN GLOBAL)'!H2183)</f>
        <v>0</v>
      </c>
      <c r="K2183" s="8">
        <f t="shared" si="34"/>
        <v>0</v>
      </c>
      <c r="L2183" s="8">
        <f>+'[1]VENTAS(RESUMEN GLOBAL)'!J2183</f>
        <v>0</v>
      </c>
      <c r="M2183" s="8">
        <f>+Tabla1[[#This Row],[utilidad x dia]]*7</f>
        <v>0</v>
      </c>
    </row>
    <row r="2184" spans="1:13" x14ac:dyDescent="0.3">
      <c r="A2184" s="6">
        <f>+'[1]VENTAS(RESUMEN GLOBAL)'!L2184</f>
        <v>0</v>
      </c>
      <c r="B2184" s="6">
        <f>+'[1]VENTAS(RESUMEN GLOBAL)'!M2184</f>
        <v>0</v>
      </c>
      <c r="C2184">
        <f>+'[1]VENTAS(RESUMEN GLOBAL)'!B2184</f>
        <v>0</v>
      </c>
      <c r="D2184" t="e">
        <f>INDEX('[1]CÓDIGOS DE PRODUCTO'!$D$3:$D$1000,MATCH(C2184,'[1]CÓDIGOS DE PRODUCTO'!$A$3:$A$1000,0))</f>
        <v>#N/A</v>
      </c>
      <c r="E2184">
        <f>VLOOKUP(C2184,'[1]CÓDIGOS DE PRODUCTO'!$A$4:$B$156,2,FALSE)</f>
        <v>0</v>
      </c>
      <c r="F2184">
        <f>INDEX('[1]CÓDIGOS DE PRODUCTO'!$C$3:$C$1000,MATCH(C2184,'[1]CÓDIGOS DE PRODUCTO'!$A$3:$A$1000,0))</f>
        <v>0</v>
      </c>
      <c r="G2184">
        <f>+'[1]VENTAS(RESUMEN GLOBAL)'!D2184-'[1]VENTAS(RESUMEN GLOBAL)'!E2184</f>
        <v>0</v>
      </c>
      <c r="H2184" s="9">
        <f>+'[1]VENTAS(RESUMEN GLOBAL)'!K2184</f>
        <v>0</v>
      </c>
      <c r="I2184" s="8">
        <f>+G2184*'[1]VENTAS(RESUMEN GLOBAL)'!F2184</f>
        <v>0</v>
      </c>
      <c r="J2184" s="8">
        <f>'[1]VENTAS(RESUMEN GLOBAL)'!G2184*(1-'[1]VENTAS(RESUMEN GLOBAL)'!H2184)</f>
        <v>0</v>
      </c>
      <c r="K2184" s="8">
        <f t="shared" si="34"/>
        <v>0</v>
      </c>
      <c r="L2184" s="8">
        <f>+'[1]VENTAS(RESUMEN GLOBAL)'!J2184</f>
        <v>0</v>
      </c>
      <c r="M2184" s="8">
        <f>+Tabla1[[#This Row],[utilidad x dia]]*7</f>
        <v>0</v>
      </c>
    </row>
    <row r="2185" spans="1:13" x14ac:dyDescent="0.3">
      <c r="A2185" s="6">
        <f>+'[1]VENTAS(RESUMEN GLOBAL)'!L2185</f>
        <v>0</v>
      </c>
      <c r="B2185" s="6">
        <f>+'[1]VENTAS(RESUMEN GLOBAL)'!M2185</f>
        <v>0</v>
      </c>
      <c r="C2185">
        <f>+'[1]VENTAS(RESUMEN GLOBAL)'!B2185</f>
        <v>0</v>
      </c>
      <c r="D2185" t="e">
        <f>INDEX('[1]CÓDIGOS DE PRODUCTO'!$D$3:$D$1000,MATCH(C2185,'[1]CÓDIGOS DE PRODUCTO'!$A$3:$A$1000,0))</f>
        <v>#N/A</v>
      </c>
      <c r="E2185">
        <f>VLOOKUP(C2185,'[1]CÓDIGOS DE PRODUCTO'!$A$4:$B$156,2,FALSE)</f>
        <v>0</v>
      </c>
      <c r="F2185">
        <f>INDEX('[1]CÓDIGOS DE PRODUCTO'!$C$3:$C$1000,MATCH(C2185,'[1]CÓDIGOS DE PRODUCTO'!$A$3:$A$1000,0))</f>
        <v>0</v>
      </c>
      <c r="G2185">
        <f>+'[1]VENTAS(RESUMEN GLOBAL)'!D2185-'[1]VENTAS(RESUMEN GLOBAL)'!E2185</f>
        <v>0</v>
      </c>
      <c r="H2185" s="9">
        <f>+'[1]VENTAS(RESUMEN GLOBAL)'!K2185</f>
        <v>0</v>
      </c>
      <c r="I2185" s="8">
        <f>+G2185*'[1]VENTAS(RESUMEN GLOBAL)'!F2185</f>
        <v>0</v>
      </c>
      <c r="J2185" s="8">
        <f>'[1]VENTAS(RESUMEN GLOBAL)'!G2185*(1-'[1]VENTAS(RESUMEN GLOBAL)'!H2185)</f>
        <v>0</v>
      </c>
      <c r="K2185" s="8">
        <f t="shared" si="34"/>
        <v>0</v>
      </c>
      <c r="L2185" s="8">
        <f>+'[1]VENTAS(RESUMEN GLOBAL)'!J2185</f>
        <v>0</v>
      </c>
      <c r="M2185" s="8">
        <f>+Tabla1[[#This Row],[utilidad x dia]]*7</f>
        <v>0</v>
      </c>
    </row>
    <row r="2186" spans="1:13" x14ac:dyDescent="0.3">
      <c r="A2186" s="6">
        <f>+'[1]VENTAS(RESUMEN GLOBAL)'!L2186</f>
        <v>0</v>
      </c>
      <c r="B2186" s="6">
        <f>+'[1]VENTAS(RESUMEN GLOBAL)'!M2186</f>
        <v>0</v>
      </c>
      <c r="C2186">
        <f>+'[1]VENTAS(RESUMEN GLOBAL)'!B2186</f>
        <v>0</v>
      </c>
      <c r="D2186" t="e">
        <f>INDEX('[1]CÓDIGOS DE PRODUCTO'!$D$3:$D$1000,MATCH(C2186,'[1]CÓDIGOS DE PRODUCTO'!$A$3:$A$1000,0))</f>
        <v>#N/A</v>
      </c>
      <c r="E2186">
        <f>VLOOKUP(C2186,'[1]CÓDIGOS DE PRODUCTO'!$A$4:$B$156,2,FALSE)</f>
        <v>0</v>
      </c>
      <c r="F2186">
        <f>INDEX('[1]CÓDIGOS DE PRODUCTO'!$C$3:$C$1000,MATCH(C2186,'[1]CÓDIGOS DE PRODUCTO'!$A$3:$A$1000,0))</f>
        <v>0</v>
      </c>
      <c r="G2186">
        <f>+'[1]VENTAS(RESUMEN GLOBAL)'!D2186-'[1]VENTAS(RESUMEN GLOBAL)'!E2186</f>
        <v>0</v>
      </c>
      <c r="H2186" s="9">
        <f>+'[1]VENTAS(RESUMEN GLOBAL)'!K2186</f>
        <v>0</v>
      </c>
      <c r="I2186" s="8">
        <f>+G2186*'[1]VENTAS(RESUMEN GLOBAL)'!F2186</f>
        <v>0</v>
      </c>
      <c r="J2186" s="8">
        <f>'[1]VENTAS(RESUMEN GLOBAL)'!G2186*(1-'[1]VENTAS(RESUMEN GLOBAL)'!H2186)</f>
        <v>0</v>
      </c>
      <c r="K2186" s="8">
        <f t="shared" si="34"/>
        <v>0</v>
      </c>
      <c r="L2186" s="8">
        <f>+'[1]VENTAS(RESUMEN GLOBAL)'!J2186</f>
        <v>0</v>
      </c>
      <c r="M2186" s="8">
        <f>+Tabla1[[#This Row],[utilidad x dia]]*7</f>
        <v>0</v>
      </c>
    </row>
    <row r="2187" spans="1:13" x14ac:dyDescent="0.3">
      <c r="A2187" s="6">
        <f>+'[1]VENTAS(RESUMEN GLOBAL)'!L2187</f>
        <v>0</v>
      </c>
      <c r="B2187" s="6">
        <f>+'[1]VENTAS(RESUMEN GLOBAL)'!M2187</f>
        <v>0</v>
      </c>
      <c r="C2187">
        <f>+'[1]VENTAS(RESUMEN GLOBAL)'!B2187</f>
        <v>0</v>
      </c>
      <c r="D2187" t="e">
        <f>INDEX('[1]CÓDIGOS DE PRODUCTO'!$D$3:$D$1000,MATCH(C2187,'[1]CÓDIGOS DE PRODUCTO'!$A$3:$A$1000,0))</f>
        <v>#N/A</v>
      </c>
      <c r="E2187">
        <f>VLOOKUP(C2187,'[1]CÓDIGOS DE PRODUCTO'!$A$4:$B$156,2,FALSE)</f>
        <v>0</v>
      </c>
      <c r="F2187">
        <f>INDEX('[1]CÓDIGOS DE PRODUCTO'!$C$3:$C$1000,MATCH(C2187,'[1]CÓDIGOS DE PRODUCTO'!$A$3:$A$1000,0))</f>
        <v>0</v>
      </c>
      <c r="G2187">
        <f>+'[1]VENTAS(RESUMEN GLOBAL)'!D2187-'[1]VENTAS(RESUMEN GLOBAL)'!E2187</f>
        <v>0</v>
      </c>
      <c r="H2187" s="9">
        <f>+'[1]VENTAS(RESUMEN GLOBAL)'!K2187</f>
        <v>0</v>
      </c>
      <c r="I2187" s="8">
        <f>+G2187*'[1]VENTAS(RESUMEN GLOBAL)'!F2187</f>
        <v>0</v>
      </c>
      <c r="J2187" s="8">
        <f>'[1]VENTAS(RESUMEN GLOBAL)'!G2187*(1-'[1]VENTAS(RESUMEN GLOBAL)'!H2187)</f>
        <v>0</v>
      </c>
      <c r="K2187" s="8">
        <f t="shared" si="34"/>
        <v>0</v>
      </c>
      <c r="L2187" s="8">
        <f>+'[1]VENTAS(RESUMEN GLOBAL)'!J2187</f>
        <v>0</v>
      </c>
      <c r="M2187" s="8">
        <f>+Tabla1[[#This Row],[utilidad x dia]]*7</f>
        <v>0</v>
      </c>
    </row>
    <row r="2188" spans="1:13" x14ac:dyDescent="0.3">
      <c r="A2188" s="6">
        <f>+'[1]VENTAS(RESUMEN GLOBAL)'!L2188</f>
        <v>0</v>
      </c>
      <c r="B2188" s="6">
        <f>+'[1]VENTAS(RESUMEN GLOBAL)'!M2188</f>
        <v>0</v>
      </c>
      <c r="C2188">
        <f>+'[1]VENTAS(RESUMEN GLOBAL)'!B2188</f>
        <v>0</v>
      </c>
      <c r="D2188" t="e">
        <f>INDEX('[1]CÓDIGOS DE PRODUCTO'!$D$3:$D$1000,MATCH(C2188,'[1]CÓDIGOS DE PRODUCTO'!$A$3:$A$1000,0))</f>
        <v>#N/A</v>
      </c>
      <c r="E2188">
        <f>VLOOKUP(C2188,'[1]CÓDIGOS DE PRODUCTO'!$A$4:$B$156,2,FALSE)</f>
        <v>0</v>
      </c>
      <c r="F2188">
        <f>INDEX('[1]CÓDIGOS DE PRODUCTO'!$C$3:$C$1000,MATCH(C2188,'[1]CÓDIGOS DE PRODUCTO'!$A$3:$A$1000,0))</f>
        <v>0</v>
      </c>
      <c r="G2188">
        <f>+'[1]VENTAS(RESUMEN GLOBAL)'!D2188-'[1]VENTAS(RESUMEN GLOBAL)'!E2188</f>
        <v>0</v>
      </c>
      <c r="H2188" s="9">
        <f>+'[1]VENTAS(RESUMEN GLOBAL)'!K2188</f>
        <v>0</v>
      </c>
      <c r="I2188" s="8">
        <f>+G2188*'[1]VENTAS(RESUMEN GLOBAL)'!F2188</f>
        <v>0</v>
      </c>
      <c r="J2188" s="8">
        <f>'[1]VENTAS(RESUMEN GLOBAL)'!G2188*(1-'[1]VENTAS(RESUMEN GLOBAL)'!H2188)</f>
        <v>0</v>
      </c>
      <c r="K2188" s="8">
        <f t="shared" si="34"/>
        <v>0</v>
      </c>
      <c r="L2188" s="8">
        <f>+'[1]VENTAS(RESUMEN GLOBAL)'!J2188</f>
        <v>0</v>
      </c>
      <c r="M2188" s="8">
        <f>+Tabla1[[#This Row],[utilidad x dia]]*7</f>
        <v>0</v>
      </c>
    </row>
    <row r="2189" spans="1:13" x14ac:dyDescent="0.3">
      <c r="A2189" s="6">
        <f>+'[1]VENTAS(RESUMEN GLOBAL)'!L2189</f>
        <v>0</v>
      </c>
      <c r="B2189" s="6">
        <f>+'[1]VENTAS(RESUMEN GLOBAL)'!M2189</f>
        <v>0</v>
      </c>
      <c r="C2189">
        <f>+'[1]VENTAS(RESUMEN GLOBAL)'!B2189</f>
        <v>0</v>
      </c>
      <c r="D2189" t="e">
        <f>INDEX('[1]CÓDIGOS DE PRODUCTO'!$D$3:$D$1000,MATCH(C2189,'[1]CÓDIGOS DE PRODUCTO'!$A$3:$A$1000,0))</f>
        <v>#N/A</v>
      </c>
      <c r="E2189">
        <f>VLOOKUP(C2189,'[1]CÓDIGOS DE PRODUCTO'!$A$4:$B$156,2,FALSE)</f>
        <v>0</v>
      </c>
      <c r="F2189">
        <f>INDEX('[1]CÓDIGOS DE PRODUCTO'!$C$3:$C$1000,MATCH(C2189,'[1]CÓDIGOS DE PRODUCTO'!$A$3:$A$1000,0))</f>
        <v>0</v>
      </c>
      <c r="G2189">
        <f>+'[1]VENTAS(RESUMEN GLOBAL)'!D2189-'[1]VENTAS(RESUMEN GLOBAL)'!E2189</f>
        <v>0</v>
      </c>
      <c r="H2189" s="9">
        <f>+'[1]VENTAS(RESUMEN GLOBAL)'!K2189</f>
        <v>0</v>
      </c>
      <c r="I2189" s="8">
        <f>+G2189*'[1]VENTAS(RESUMEN GLOBAL)'!F2189</f>
        <v>0</v>
      </c>
      <c r="J2189" s="8">
        <f>'[1]VENTAS(RESUMEN GLOBAL)'!G2189*(1-'[1]VENTAS(RESUMEN GLOBAL)'!H2189)</f>
        <v>0</v>
      </c>
      <c r="K2189" s="8">
        <f t="shared" si="34"/>
        <v>0</v>
      </c>
      <c r="L2189" s="8">
        <f>+'[1]VENTAS(RESUMEN GLOBAL)'!J2189</f>
        <v>0</v>
      </c>
      <c r="M2189" s="8">
        <f>+Tabla1[[#This Row],[utilidad x dia]]*7</f>
        <v>0</v>
      </c>
    </row>
    <row r="2190" spans="1:13" x14ac:dyDescent="0.3">
      <c r="A2190" s="6">
        <f>+'[1]VENTAS(RESUMEN GLOBAL)'!L2190</f>
        <v>0</v>
      </c>
      <c r="B2190" s="6">
        <f>+'[1]VENTAS(RESUMEN GLOBAL)'!M2190</f>
        <v>0</v>
      </c>
      <c r="C2190">
        <f>+'[1]VENTAS(RESUMEN GLOBAL)'!B2190</f>
        <v>0</v>
      </c>
      <c r="D2190" t="e">
        <f>INDEX('[1]CÓDIGOS DE PRODUCTO'!$D$3:$D$1000,MATCH(C2190,'[1]CÓDIGOS DE PRODUCTO'!$A$3:$A$1000,0))</f>
        <v>#N/A</v>
      </c>
      <c r="E2190">
        <f>VLOOKUP(C2190,'[1]CÓDIGOS DE PRODUCTO'!$A$4:$B$156,2,FALSE)</f>
        <v>0</v>
      </c>
      <c r="F2190">
        <f>INDEX('[1]CÓDIGOS DE PRODUCTO'!$C$3:$C$1000,MATCH(C2190,'[1]CÓDIGOS DE PRODUCTO'!$A$3:$A$1000,0))</f>
        <v>0</v>
      </c>
      <c r="G2190">
        <f>+'[1]VENTAS(RESUMEN GLOBAL)'!D2190-'[1]VENTAS(RESUMEN GLOBAL)'!E2190</f>
        <v>0</v>
      </c>
      <c r="H2190" s="9">
        <f>+'[1]VENTAS(RESUMEN GLOBAL)'!K2190</f>
        <v>0</v>
      </c>
      <c r="I2190" s="8">
        <f>+G2190*'[1]VENTAS(RESUMEN GLOBAL)'!F2190</f>
        <v>0</v>
      </c>
      <c r="J2190" s="8">
        <f>'[1]VENTAS(RESUMEN GLOBAL)'!G2190*(1-'[1]VENTAS(RESUMEN GLOBAL)'!H2190)</f>
        <v>0</v>
      </c>
      <c r="K2190" s="8">
        <f t="shared" si="34"/>
        <v>0</v>
      </c>
      <c r="L2190" s="8">
        <f>+'[1]VENTAS(RESUMEN GLOBAL)'!J2190</f>
        <v>0</v>
      </c>
      <c r="M2190" s="8">
        <f>+Tabla1[[#This Row],[utilidad x dia]]*7</f>
        <v>0</v>
      </c>
    </row>
    <row r="2191" spans="1:13" x14ac:dyDescent="0.3">
      <c r="A2191" s="6">
        <f>+'[1]VENTAS(RESUMEN GLOBAL)'!L2191</f>
        <v>0</v>
      </c>
      <c r="B2191" s="6">
        <f>+'[1]VENTAS(RESUMEN GLOBAL)'!M2191</f>
        <v>0</v>
      </c>
      <c r="C2191">
        <f>+'[1]VENTAS(RESUMEN GLOBAL)'!B2191</f>
        <v>0</v>
      </c>
      <c r="D2191" t="e">
        <f>INDEX('[1]CÓDIGOS DE PRODUCTO'!$D$3:$D$1000,MATCH(C2191,'[1]CÓDIGOS DE PRODUCTO'!$A$3:$A$1000,0))</f>
        <v>#N/A</v>
      </c>
      <c r="E2191">
        <f>VLOOKUP(C2191,'[1]CÓDIGOS DE PRODUCTO'!$A$4:$B$156,2,FALSE)</f>
        <v>0</v>
      </c>
      <c r="F2191">
        <f>INDEX('[1]CÓDIGOS DE PRODUCTO'!$C$3:$C$1000,MATCH(C2191,'[1]CÓDIGOS DE PRODUCTO'!$A$3:$A$1000,0))</f>
        <v>0</v>
      </c>
      <c r="G2191">
        <f>+'[1]VENTAS(RESUMEN GLOBAL)'!D2191-'[1]VENTAS(RESUMEN GLOBAL)'!E2191</f>
        <v>0</v>
      </c>
      <c r="H2191" s="9">
        <f>+'[1]VENTAS(RESUMEN GLOBAL)'!K2191</f>
        <v>0</v>
      </c>
      <c r="I2191" s="8">
        <f>+G2191*'[1]VENTAS(RESUMEN GLOBAL)'!F2191</f>
        <v>0</v>
      </c>
      <c r="J2191" s="8">
        <f>'[1]VENTAS(RESUMEN GLOBAL)'!G2191*(1-'[1]VENTAS(RESUMEN GLOBAL)'!H2191)</f>
        <v>0</v>
      </c>
      <c r="K2191" s="8">
        <f t="shared" si="34"/>
        <v>0</v>
      </c>
      <c r="L2191" s="8">
        <f>+'[1]VENTAS(RESUMEN GLOBAL)'!J2191</f>
        <v>0</v>
      </c>
      <c r="M2191" s="8">
        <f>+Tabla1[[#This Row],[utilidad x dia]]*7</f>
        <v>0</v>
      </c>
    </row>
    <row r="2192" spans="1:13" x14ac:dyDescent="0.3">
      <c r="A2192" s="6">
        <f>+'[1]VENTAS(RESUMEN GLOBAL)'!L2192</f>
        <v>0</v>
      </c>
      <c r="B2192" s="6">
        <f>+'[1]VENTAS(RESUMEN GLOBAL)'!M2192</f>
        <v>0</v>
      </c>
      <c r="C2192">
        <f>+'[1]VENTAS(RESUMEN GLOBAL)'!B2192</f>
        <v>0</v>
      </c>
      <c r="D2192" t="e">
        <f>INDEX('[1]CÓDIGOS DE PRODUCTO'!$D$3:$D$1000,MATCH(C2192,'[1]CÓDIGOS DE PRODUCTO'!$A$3:$A$1000,0))</f>
        <v>#N/A</v>
      </c>
      <c r="E2192">
        <f>VLOOKUP(C2192,'[1]CÓDIGOS DE PRODUCTO'!$A$4:$B$156,2,FALSE)</f>
        <v>0</v>
      </c>
      <c r="F2192">
        <f>INDEX('[1]CÓDIGOS DE PRODUCTO'!$C$3:$C$1000,MATCH(C2192,'[1]CÓDIGOS DE PRODUCTO'!$A$3:$A$1000,0))</f>
        <v>0</v>
      </c>
      <c r="G2192">
        <f>+'[1]VENTAS(RESUMEN GLOBAL)'!D2192-'[1]VENTAS(RESUMEN GLOBAL)'!E2192</f>
        <v>0</v>
      </c>
      <c r="H2192" s="9">
        <f>+'[1]VENTAS(RESUMEN GLOBAL)'!K2192</f>
        <v>0</v>
      </c>
      <c r="I2192" s="8">
        <f>+G2192*'[1]VENTAS(RESUMEN GLOBAL)'!F2192</f>
        <v>0</v>
      </c>
      <c r="J2192" s="8">
        <f>'[1]VENTAS(RESUMEN GLOBAL)'!G2192*(1-'[1]VENTAS(RESUMEN GLOBAL)'!H2192)</f>
        <v>0</v>
      </c>
      <c r="K2192" s="8">
        <f t="shared" si="34"/>
        <v>0</v>
      </c>
      <c r="L2192" s="8">
        <f>+'[1]VENTAS(RESUMEN GLOBAL)'!J2192</f>
        <v>0</v>
      </c>
      <c r="M2192" s="8">
        <f>+Tabla1[[#This Row],[utilidad x dia]]*7</f>
        <v>0</v>
      </c>
    </row>
    <row r="2193" spans="1:13" x14ac:dyDescent="0.3">
      <c r="A2193" s="6">
        <f>+'[1]VENTAS(RESUMEN GLOBAL)'!L2193</f>
        <v>0</v>
      </c>
      <c r="B2193" s="6">
        <f>+'[1]VENTAS(RESUMEN GLOBAL)'!M2193</f>
        <v>0</v>
      </c>
      <c r="C2193">
        <f>+'[1]VENTAS(RESUMEN GLOBAL)'!B2193</f>
        <v>0</v>
      </c>
      <c r="D2193" t="e">
        <f>INDEX('[1]CÓDIGOS DE PRODUCTO'!$D$3:$D$1000,MATCH(C2193,'[1]CÓDIGOS DE PRODUCTO'!$A$3:$A$1000,0))</f>
        <v>#N/A</v>
      </c>
      <c r="E2193">
        <f>VLOOKUP(C2193,'[1]CÓDIGOS DE PRODUCTO'!$A$4:$B$156,2,FALSE)</f>
        <v>0</v>
      </c>
      <c r="F2193">
        <f>INDEX('[1]CÓDIGOS DE PRODUCTO'!$C$3:$C$1000,MATCH(C2193,'[1]CÓDIGOS DE PRODUCTO'!$A$3:$A$1000,0))</f>
        <v>0</v>
      </c>
      <c r="G2193">
        <f>+'[1]VENTAS(RESUMEN GLOBAL)'!D2193-'[1]VENTAS(RESUMEN GLOBAL)'!E2193</f>
        <v>0</v>
      </c>
      <c r="H2193" s="9">
        <f>+'[1]VENTAS(RESUMEN GLOBAL)'!K2193</f>
        <v>0</v>
      </c>
      <c r="I2193" s="8">
        <f>+G2193*'[1]VENTAS(RESUMEN GLOBAL)'!F2193</f>
        <v>0</v>
      </c>
      <c r="J2193" s="8">
        <f>'[1]VENTAS(RESUMEN GLOBAL)'!G2193*(1-'[1]VENTAS(RESUMEN GLOBAL)'!H2193)</f>
        <v>0</v>
      </c>
      <c r="K2193" s="8">
        <f t="shared" si="34"/>
        <v>0</v>
      </c>
      <c r="L2193" s="8">
        <f>+'[1]VENTAS(RESUMEN GLOBAL)'!J2193</f>
        <v>0</v>
      </c>
      <c r="M2193" s="8">
        <f>+Tabla1[[#This Row],[utilidad x dia]]*7</f>
        <v>0</v>
      </c>
    </row>
    <row r="2194" spans="1:13" x14ac:dyDescent="0.3">
      <c r="A2194" s="6">
        <f>+'[1]VENTAS(RESUMEN GLOBAL)'!L2194</f>
        <v>0</v>
      </c>
      <c r="B2194" s="6">
        <f>+'[1]VENTAS(RESUMEN GLOBAL)'!M2194</f>
        <v>0</v>
      </c>
      <c r="C2194">
        <f>+'[1]VENTAS(RESUMEN GLOBAL)'!B2194</f>
        <v>0</v>
      </c>
      <c r="D2194" t="e">
        <f>INDEX('[1]CÓDIGOS DE PRODUCTO'!$D$3:$D$1000,MATCH(C2194,'[1]CÓDIGOS DE PRODUCTO'!$A$3:$A$1000,0))</f>
        <v>#N/A</v>
      </c>
      <c r="E2194">
        <f>VLOOKUP(C2194,'[1]CÓDIGOS DE PRODUCTO'!$A$4:$B$156,2,FALSE)</f>
        <v>0</v>
      </c>
      <c r="F2194">
        <f>INDEX('[1]CÓDIGOS DE PRODUCTO'!$C$3:$C$1000,MATCH(C2194,'[1]CÓDIGOS DE PRODUCTO'!$A$3:$A$1000,0))</f>
        <v>0</v>
      </c>
      <c r="G2194">
        <f>+'[1]VENTAS(RESUMEN GLOBAL)'!D2194-'[1]VENTAS(RESUMEN GLOBAL)'!E2194</f>
        <v>0</v>
      </c>
      <c r="H2194" s="9">
        <f>+'[1]VENTAS(RESUMEN GLOBAL)'!K2194</f>
        <v>0</v>
      </c>
      <c r="I2194" s="8">
        <f>+G2194*'[1]VENTAS(RESUMEN GLOBAL)'!F2194</f>
        <v>0</v>
      </c>
      <c r="J2194" s="8">
        <f>'[1]VENTAS(RESUMEN GLOBAL)'!G2194*(1-'[1]VENTAS(RESUMEN GLOBAL)'!H2194)</f>
        <v>0</v>
      </c>
      <c r="K2194" s="8">
        <f t="shared" si="34"/>
        <v>0</v>
      </c>
      <c r="L2194" s="8">
        <f>+'[1]VENTAS(RESUMEN GLOBAL)'!J2194</f>
        <v>0</v>
      </c>
      <c r="M2194" s="8">
        <f>+Tabla1[[#This Row],[utilidad x dia]]*7</f>
        <v>0</v>
      </c>
    </row>
    <row r="2195" spans="1:13" x14ac:dyDescent="0.3">
      <c r="A2195" s="6">
        <f>+'[1]VENTAS(RESUMEN GLOBAL)'!L2195</f>
        <v>0</v>
      </c>
      <c r="B2195" s="6">
        <f>+'[1]VENTAS(RESUMEN GLOBAL)'!M2195</f>
        <v>0</v>
      </c>
      <c r="C2195">
        <f>+'[1]VENTAS(RESUMEN GLOBAL)'!B2195</f>
        <v>0</v>
      </c>
      <c r="D2195" t="e">
        <f>INDEX('[1]CÓDIGOS DE PRODUCTO'!$D$3:$D$1000,MATCH(C2195,'[1]CÓDIGOS DE PRODUCTO'!$A$3:$A$1000,0))</f>
        <v>#N/A</v>
      </c>
      <c r="E2195">
        <f>VLOOKUP(C2195,'[1]CÓDIGOS DE PRODUCTO'!$A$4:$B$156,2,FALSE)</f>
        <v>0</v>
      </c>
      <c r="F2195">
        <f>INDEX('[1]CÓDIGOS DE PRODUCTO'!$C$3:$C$1000,MATCH(C2195,'[1]CÓDIGOS DE PRODUCTO'!$A$3:$A$1000,0))</f>
        <v>0</v>
      </c>
      <c r="G2195">
        <f>+'[1]VENTAS(RESUMEN GLOBAL)'!D2195-'[1]VENTAS(RESUMEN GLOBAL)'!E2195</f>
        <v>0</v>
      </c>
      <c r="H2195" s="9">
        <f>+'[1]VENTAS(RESUMEN GLOBAL)'!K2195</f>
        <v>0</v>
      </c>
      <c r="I2195" s="8">
        <f>+G2195*'[1]VENTAS(RESUMEN GLOBAL)'!F2195</f>
        <v>0</v>
      </c>
      <c r="J2195" s="8">
        <f>'[1]VENTAS(RESUMEN GLOBAL)'!G2195*(1-'[1]VENTAS(RESUMEN GLOBAL)'!H2195)</f>
        <v>0</v>
      </c>
      <c r="K2195" s="8">
        <f t="shared" si="34"/>
        <v>0</v>
      </c>
      <c r="L2195" s="8">
        <f>+'[1]VENTAS(RESUMEN GLOBAL)'!J2195</f>
        <v>0</v>
      </c>
      <c r="M2195" s="8">
        <f>+Tabla1[[#This Row],[utilidad x dia]]*7</f>
        <v>0</v>
      </c>
    </row>
    <row r="2196" spans="1:13" x14ac:dyDescent="0.3">
      <c r="A2196" s="6">
        <f>+'[1]VENTAS(RESUMEN GLOBAL)'!L2196</f>
        <v>0</v>
      </c>
      <c r="B2196" s="6">
        <f>+'[1]VENTAS(RESUMEN GLOBAL)'!M2196</f>
        <v>0</v>
      </c>
      <c r="C2196">
        <f>+'[1]VENTAS(RESUMEN GLOBAL)'!B2196</f>
        <v>0</v>
      </c>
      <c r="D2196" t="e">
        <f>INDEX('[1]CÓDIGOS DE PRODUCTO'!$D$3:$D$1000,MATCH(C2196,'[1]CÓDIGOS DE PRODUCTO'!$A$3:$A$1000,0))</f>
        <v>#N/A</v>
      </c>
      <c r="E2196">
        <f>VLOOKUP(C2196,'[1]CÓDIGOS DE PRODUCTO'!$A$4:$B$156,2,FALSE)</f>
        <v>0</v>
      </c>
      <c r="F2196">
        <f>INDEX('[1]CÓDIGOS DE PRODUCTO'!$C$3:$C$1000,MATCH(C2196,'[1]CÓDIGOS DE PRODUCTO'!$A$3:$A$1000,0))</f>
        <v>0</v>
      </c>
      <c r="G2196">
        <f>+'[1]VENTAS(RESUMEN GLOBAL)'!D2196-'[1]VENTAS(RESUMEN GLOBAL)'!E2196</f>
        <v>0</v>
      </c>
      <c r="H2196" s="9">
        <f>+'[1]VENTAS(RESUMEN GLOBAL)'!K2196</f>
        <v>0</v>
      </c>
      <c r="I2196" s="8">
        <f>+G2196*'[1]VENTAS(RESUMEN GLOBAL)'!F2196</f>
        <v>0</v>
      </c>
      <c r="J2196" s="8">
        <f>'[1]VENTAS(RESUMEN GLOBAL)'!G2196*(1-'[1]VENTAS(RESUMEN GLOBAL)'!H2196)</f>
        <v>0</v>
      </c>
      <c r="K2196" s="8">
        <f t="shared" si="34"/>
        <v>0</v>
      </c>
      <c r="L2196" s="8">
        <f>+'[1]VENTAS(RESUMEN GLOBAL)'!J2196</f>
        <v>0</v>
      </c>
      <c r="M2196" s="8">
        <f>+Tabla1[[#This Row],[utilidad x dia]]*7</f>
        <v>0</v>
      </c>
    </row>
    <row r="2197" spans="1:13" x14ac:dyDescent="0.3">
      <c r="A2197" s="6">
        <f>+'[1]VENTAS(RESUMEN GLOBAL)'!L2197</f>
        <v>0</v>
      </c>
      <c r="B2197" s="6">
        <f>+'[1]VENTAS(RESUMEN GLOBAL)'!M2197</f>
        <v>0</v>
      </c>
      <c r="C2197">
        <f>+'[1]VENTAS(RESUMEN GLOBAL)'!B2197</f>
        <v>0</v>
      </c>
      <c r="D2197" t="e">
        <f>INDEX('[1]CÓDIGOS DE PRODUCTO'!$D$3:$D$1000,MATCH(C2197,'[1]CÓDIGOS DE PRODUCTO'!$A$3:$A$1000,0))</f>
        <v>#N/A</v>
      </c>
      <c r="E2197">
        <f>VLOOKUP(C2197,'[1]CÓDIGOS DE PRODUCTO'!$A$4:$B$156,2,FALSE)</f>
        <v>0</v>
      </c>
      <c r="F2197">
        <f>INDEX('[1]CÓDIGOS DE PRODUCTO'!$C$3:$C$1000,MATCH(C2197,'[1]CÓDIGOS DE PRODUCTO'!$A$3:$A$1000,0))</f>
        <v>0</v>
      </c>
      <c r="G2197">
        <f>+'[1]VENTAS(RESUMEN GLOBAL)'!D2197-'[1]VENTAS(RESUMEN GLOBAL)'!E2197</f>
        <v>0</v>
      </c>
      <c r="H2197" s="9">
        <f>+'[1]VENTAS(RESUMEN GLOBAL)'!K2197</f>
        <v>0</v>
      </c>
      <c r="I2197" s="8">
        <f>+G2197*'[1]VENTAS(RESUMEN GLOBAL)'!F2197</f>
        <v>0</v>
      </c>
      <c r="J2197" s="8">
        <f>'[1]VENTAS(RESUMEN GLOBAL)'!G2197*(1-'[1]VENTAS(RESUMEN GLOBAL)'!H2197)</f>
        <v>0</v>
      </c>
      <c r="K2197" s="8">
        <f t="shared" si="34"/>
        <v>0</v>
      </c>
      <c r="L2197" s="8">
        <f>+'[1]VENTAS(RESUMEN GLOBAL)'!J2197</f>
        <v>0</v>
      </c>
      <c r="M2197" s="8">
        <f>+Tabla1[[#This Row],[utilidad x dia]]*7</f>
        <v>0</v>
      </c>
    </row>
    <row r="2198" spans="1:13" x14ac:dyDescent="0.3">
      <c r="A2198" s="6">
        <f>+'[1]VENTAS(RESUMEN GLOBAL)'!L2198</f>
        <v>0</v>
      </c>
      <c r="B2198" s="6">
        <f>+'[1]VENTAS(RESUMEN GLOBAL)'!M2198</f>
        <v>0</v>
      </c>
      <c r="C2198">
        <f>+'[1]VENTAS(RESUMEN GLOBAL)'!B2198</f>
        <v>0</v>
      </c>
      <c r="D2198" t="e">
        <f>INDEX('[1]CÓDIGOS DE PRODUCTO'!$D$3:$D$1000,MATCH(C2198,'[1]CÓDIGOS DE PRODUCTO'!$A$3:$A$1000,0))</f>
        <v>#N/A</v>
      </c>
      <c r="E2198">
        <f>VLOOKUP(C2198,'[1]CÓDIGOS DE PRODUCTO'!$A$4:$B$156,2,FALSE)</f>
        <v>0</v>
      </c>
      <c r="F2198">
        <f>INDEX('[1]CÓDIGOS DE PRODUCTO'!$C$3:$C$1000,MATCH(C2198,'[1]CÓDIGOS DE PRODUCTO'!$A$3:$A$1000,0))</f>
        <v>0</v>
      </c>
      <c r="G2198">
        <f>+'[1]VENTAS(RESUMEN GLOBAL)'!D2198-'[1]VENTAS(RESUMEN GLOBAL)'!E2198</f>
        <v>0</v>
      </c>
      <c r="H2198" s="9">
        <f>+'[1]VENTAS(RESUMEN GLOBAL)'!K2198</f>
        <v>0</v>
      </c>
      <c r="I2198" s="8">
        <f>+G2198*'[1]VENTAS(RESUMEN GLOBAL)'!F2198</f>
        <v>0</v>
      </c>
      <c r="J2198" s="8">
        <f>'[1]VENTAS(RESUMEN GLOBAL)'!G2198*(1-'[1]VENTAS(RESUMEN GLOBAL)'!H2198)</f>
        <v>0</v>
      </c>
      <c r="K2198" s="8">
        <f t="shared" si="34"/>
        <v>0</v>
      </c>
      <c r="L2198" s="8">
        <f>+'[1]VENTAS(RESUMEN GLOBAL)'!J2198</f>
        <v>0</v>
      </c>
      <c r="M2198" s="8">
        <f>+Tabla1[[#This Row],[utilidad x dia]]*7</f>
        <v>0</v>
      </c>
    </row>
    <row r="2199" spans="1:13" x14ac:dyDescent="0.3">
      <c r="A2199" s="6">
        <f>+'[1]VENTAS(RESUMEN GLOBAL)'!L2199</f>
        <v>0</v>
      </c>
      <c r="B2199" s="6">
        <f>+'[1]VENTAS(RESUMEN GLOBAL)'!M2199</f>
        <v>0</v>
      </c>
      <c r="C2199">
        <f>+'[1]VENTAS(RESUMEN GLOBAL)'!B2199</f>
        <v>0</v>
      </c>
      <c r="D2199" t="e">
        <f>INDEX('[1]CÓDIGOS DE PRODUCTO'!$D$3:$D$1000,MATCH(C2199,'[1]CÓDIGOS DE PRODUCTO'!$A$3:$A$1000,0))</f>
        <v>#N/A</v>
      </c>
      <c r="E2199">
        <f>VLOOKUP(C2199,'[1]CÓDIGOS DE PRODUCTO'!$A$4:$B$156,2,FALSE)</f>
        <v>0</v>
      </c>
      <c r="F2199">
        <f>INDEX('[1]CÓDIGOS DE PRODUCTO'!$C$3:$C$1000,MATCH(C2199,'[1]CÓDIGOS DE PRODUCTO'!$A$3:$A$1000,0))</f>
        <v>0</v>
      </c>
      <c r="G2199">
        <f>+'[1]VENTAS(RESUMEN GLOBAL)'!D2199-'[1]VENTAS(RESUMEN GLOBAL)'!E2199</f>
        <v>0</v>
      </c>
      <c r="H2199" s="9">
        <f>+'[1]VENTAS(RESUMEN GLOBAL)'!K2199</f>
        <v>0</v>
      </c>
      <c r="I2199" s="8">
        <f>+G2199*'[1]VENTAS(RESUMEN GLOBAL)'!F2199</f>
        <v>0</v>
      </c>
      <c r="J2199" s="8">
        <f>'[1]VENTAS(RESUMEN GLOBAL)'!G2199*(1-'[1]VENTAS(RESUMEN GLOBAL)'!H2199)</f>
        <v>0</v>
      </c>
      <c r="K2199" s="8">
        <f t="shared" si="34"/>
        <v>0</v>
      </c>
      <c r="L2199" s="8">
        <f>+'[1]VENTAS(RESUMEN GLOBAL)'!J2199</f>
        <v>0</v>
      </c>
      <c r="M2199" s="8">
        <f>+Tabla1[[#This Row],[utilidad x dia]]*7</f>
        <v>0</v>
      </c>
    </row>
    <row r="2200" spans="1:13" x14ac:dyDescent="0.3">
      <c r="A2200" s="6">
        <f>+'[1]VENTAS(RESUMEN GLOBAL)'!L2200</f>
        <v>0</v>
      </c>
      <c r="B2200" s="6">
        <f>+'[1]VENTAS(RESUMEN GLOBAL)'!M2200</f>
        <v>0</v>
      </c>
      <c r="C2200">
        <f>+'[1]VENTAS(RESUMEN GLOBAL)'!B2200</f>
        <v>0</v>
      </c>
      <c r="D2200" t="e">
        <f>INDEX('[1]CÓDIGOS DE PRODUCTO'!$D$3:$D$1000,MATCH(C2200,'[1]CÓDIGOS DE PRODUCTO'!$A$3:$A$1000,0))</f>
        <v>#N/A</v>
      </c>
      <c r="E2200">
        <f>VLOOKUP(C2200,'[1]CÓDIGOS DE PRODUCTO'!$A$4:$B$156,2,FALSE)</f>
        <v>0</v>
      </c>
      <c r="F2200">
        <f>INDEX('[1]CÓDIGOS DE PRODUCTO'!$C$3:$C$1000,MATCH(C2200,'[1]CÓDIGOS DE PRODUCTO'!$A$3:$A$1000,0))</f>
        <v>0</v>
      </c>
      <c r="G2200">
        <f>+'[1]VENTAS(RESUMEN GLOBAL)'!D2200-'[1]VENTAS(RESUMEN GLOBAL)'!E2200</f>
        <v>0</v>
      </c>
      <c r="H2200" s="9">
        <f>+'[1]VENTAS(RESUMEN GLOBAL)'!K2200</f>
        <v>0</v>
      </c>
      <c r="I2200" s="8">
        <f>+G2200*'[1]VENTAS(RESUMEN GLOBAL)'!F2200</f>
        <v>0</v>
      </c>
      <c r="J2200" s="8">
        <f>'[1]VENTAS(RESUMEN GLOBAL)'!G2200*(1-'[1]VENTAS(RESUMEN GLOBAL)'!H2200)</f>
        <v>0</v>
      </c>
      <c r="K2200" s="8">
        <f t="shared" si="34"/>
        <v>0</v>
      </c>
      <c r="L2200" s="8">
        <f>+'[1]VENTAS(RESUMEN GLOBAL)'!J2200</f>
        <v>0</v>
      </c>
      <c r="M2200" s="8">
        <f>+Tabla1[[#This Row],[utilidad x dia]]*7</f>
        <v>0</v>
      </c>
    </row>
    <row r="2201" spans="1:13" x14ac:dyDescent="0.3">
      <c r="A2201" s="6">
        <f>+'[1]VENTAS(RESUMEN GLOBAL)'!L2201</f>
        <v>0</v>
      </c>
      <c r="B2201" s="6">
        <f>+'[1]VENTAS(RESUMEN GLOBAL)'!M2201</f>
        <v>0</v>
      </c>
      <c r="C2201">
        <f>+'[1]VENTAS(RESUMEN GLOBAL)'!B2201</f>
        <v>0</v>
      </c>
      <c r="D2201" t="e">
        <f>INDEX('[1]CÓDIGOS DE PRODUCTO'!$D$3:$D$1000,MATCH(C2201,'[1]CÓDIGOS DE PRODUCTO'!$A$3:$A$1000,0))</f>
        <v>#N/A</v>
      </c>
      <c r="E2201">
        <f>VLOOKUP(C2201,'[1]CÓDIGOS DE PRODUCTO'!$A$4:$B$156,2,FALSE)</f>
        <v>0</v>
      </c>
      <c r="F2201">
        <f>INDEX('[1]CÓDIGOS DE PRODUCTO'!$C$3:$C$1000,MATCH(C2201,'[1]CÓDIGOS DE PRODUCTO'!$A$3:$A$1000,0))</f>
        <v>0</v>
      </c>
      <c r="G2201">
        <f>+'[1]VENTAS(RESUMEN GLOBAL)'!D2201-'[1]VENTAS(RESUMEN GLOBAL)'!E2201</f>
        <v>0</v>
      </c>
      <c r="H2201" s="9">
        <f>+'[1]VENTAS(RESUMEN GLOBAL)'!K2201</f>
        <v>0</v>
      </c>
      <c r="I2201" s="8">
        <f>+G2201*'[1]VENTAS(RESUMEN GLOBAL)'!F2201</f>
        <v>0</v>
      </c>
      <c r="J2201" s="8">
        <f>'[1]VENTAS(RESUMEN GLOBAL)'!G2201*(1-'[1]VENTAS(RESUMEN GLOBAL)'!H2201)</f>
        <v>0</v>
      </c>
      <c r="K2201" s="8">
        <f t="shared" si="34"/>
        <v>0</v>
      </c>
      <c r="L2201" s="8">
        <f>+'[1]VENTAS(RESUMEN GLOBAL)'!J2201</f>
        <v>0</v>
      </c>
      <c r="M2201" s="8">
        <f>+Tabla1[[#This Row],[utilidad x dia]]*7</f>
        <v>0</v>
      </c>
    </row>
    <row r="2202" spans="1:13" x14ac:dyDescent="0.3">
      <c r="A2202" s="6">
        <f>+'[1]VENTAS(RESUMEN GLOBAL)'!L2202</f>
        <v>0</v>
      </c>
      <c r="B2202" s="6">
        <f>+'[1]VENTAS(RESUMEN GLOBAL)'!M2202</f>
        <v>0</v>
      </c>
      <c r="C2202">
        <f>+'[1]VENTAS(RESUMEN GLOBAL)'!B2202</f>
        <v>0</v>
      </c>
      <c r="D2202" t="e">
        <f>INDEX('[1]CÓDIGOS DE PRODUCTO'!$D$3:$D$1000,MATCH(C2202,'[1]CÓDIGOS DE PRODUCTO'!$A$3:$A$1000,0))</f>
        <v>#N/A</v>
      </c>
      <c r="E2202">
        <f>VLOOKUP(C2202,'[1]CÓDIGOS DE PRODUCTO'!$A$4:$B$156,2,FALSE)</f>
        <v>0</v>
      </c>
      <c r="F2202">
        <f>INDEX('[1]CÓDIGOS DE PRODUCTO'!$C$3:$C$1000,MATCH(C2202,'[1]CÓDIGOS DE PRODUCTO'!$A$3:$A$1000,0))</f>
        <v>0</v>
      </c>
      <c r="G2202">
        <f>+'[1]VENTAS(RESUMEN GLOBAL)'!D2202-'[1]VENTAS(RESUMEN GLOBAL)'!E2202</f>
        <v>0</v>
      </c>
      <c r="H2202" s="9">
        <f>+'[1]VENTAS(RESUMEN GLOBAL)'!K2202</f>
        <v>0</v>
      </c>
      <c r="I2202" s="8">
        <f>+G2202*'[1]VENTAS(RESUMEN GLOBAL)'!F2202</f>
        <v>0</v>
      </c>
      <c r="J2202" s="8">
        <f>'[1]VENTAS(RESUMEN GLOBAL)'!G2202*(1-'[1]VENTAS(RESUMEN GLOBAL)'!H2202)</f>
        <v>0</v>
      </c>
      <c r="K2202" s="8">
        <f t="shared" si="34"/>
        <v>0</v>
      </c>
      <c r="L2202" s="8">
        <f>+'[1]VENTAS(RESUMEN GLOBAL)'!J2202</f>
        <v>0</v>
      </c>
      <c r="M2202" s="8">
        <f>+Tabla1[[#This Row],[utilidad x dia]]*7</f>
        <v>0</v>
      </c>
    </row>
    <row r="2203" spans="1:13" x14ac:dyDescent="0.3">
      <c r="A2203" s="6">
        <f>+'[1]VENTAS(RESUMEN GLOBAL)'!L2203</f>
        <v>0</v>
      </c>
      <c r="B2203" s="6">
        <f>+'[1]VENTAS(RESUMEN GLOBAL)'!M2203</f>
        <v>0</v>
      </c>
      <c r="C2203">
        <f>+'[1]VENTAS(RESUMEN GLOBAL)'!B2203</f>
        <v>0</v>
      </c>
      <c r="D2203" t="e">
        <f>INDEX('[1]CÓDIGOS DE PRODUCTO'!$D$3:$D$1000,MATCH(C2203,'[1]CÓDIGOS DE PRODUCTO'!$A$3:$A$1000,0))</f>
        <v>#N/A</v>
      </c>
      <c r="E2203">
        <f>VLOOKUP(C2203,'[1]CÓDIGOS DE PRODUCTO'!$A$4:$B$156,2,FALSE)</f>
        <v>0</v>
      </c>
      <c r="F2203">
        <f>INDEX('[1]CÓDIGOS DE PRODUCTO'!$C$3:$C$1000,MATCH(C2203,'[1]CÓDIGOS DE PRODUCTO'!$A$3:$A$1000,0))</f>
        <v>0</v>
      </c>
      <c r="G2203">
        <f>+'[1]VENTAS(RESUMEN GLOBAL)'!D2203-'[1]VENTAS(RESUMEN GLOBAL)'!E2203</f>
        <v>0</v>
      </c>
      <c r="H2203" s="9">
        <f>+'[1]VENTAS(RESUMEN GLOBAL)'!K2203</f>
        <v>0</v>
      </c>
      <c r="I2203" s="8">
        <f>+G2203*'[1]VENTAS(RESUMEN GLOBAL)'!F2203</f>
        <v>0</v>
      </c>
      <c r="J2203" s="8">
        <f>'[1]VENTAS(RESUMEN GLOBAL)'!G2203*(1-'[1]VENTAS(RESUMEN GLOBAL)'!H2203)</f>
        <v>0</v>
      </c>
      <c r="K2203" s="8">
        <f t="shared" si="34"/>
        <v>0</v>
      </c>
      <c r="L2203" s="8">
        <f>+'[1]VENTAS(RESUMEN GLOBAL)'!J2203</f>
        <v>0</v>
      </c>
      <c r="M2203" s="8">
        <f>+Tabla1[[#This Row],[utilidad x dia]]*7</f>
        <v>0</v>
      </c>
    </row>
    <row r="2204" spans="1:13" x14ac:dyDescent="0.3">
      <c r="A2204" s="6">
        <f>+'[1]VENTAS(RESUMEN GLOBAL)'!L2204</f>
        <v>0</v>
      </c>
      <c r="B2204" s="6">
        <f>+'[1]VENTAS(RESUMEN GLOBAL)'!M2204</f>
        <v>0</v>
      </c>
      <c r="C2204">
        <f>+'[1]VENTAS(RESUMEN GLOBAL)'!B2204</f>
        <v>0</v>
      </c>
      <c r="D2204" t="e">
        <f>INDEX('[1]CÓDIGOS DE PRODUCTO'!$D$3:$D$1000,MATCH(C2204,'[1]CÓDIGOS DE PRODUCTO'!$A$3:$A$1000,0))</f>
        <v>#N/A</v>
      </c>
      <c r="E2204">
        <f>VLOOKUP(C2204,'[1]CÓDIGOS DE PRODUCTO'!$A$4:$B$156,2,FALSE)</f>
        <v>0</v>
      </c>
      <c r="F2204">
        <f>INDEX('[1]CÓDIGOS DE PRODUCTO'!$C$3:$C$1000,MATCH(C2204,'[1]CÓDIGOS DE PRODUCTO'!$A$3:$A$1000,0))</f>
        <v>0</v>
      </c>
      <c r="G2204">
        <f>+'[1]VENTAS(RESUMEN GLOBAL)'!D2204-'[1]VENTAS(RESUMEN GLOBAL)'!E2204</f>
        <v>0</v>
      </c>
      <c r="H2204" s="9">
        <f>+'[1]VENTAS(RESUMEN GLOBAL)'!K2204</f>
        <v>0</v>
      </c>
      <c r="I2204" s="8">
        <f>+G2204*'[1]VENTAS(RESUMEN GLOBAL)'!F2204</f>
        <v>0</v>
      </c>
      <c r="J2204" s="8">
        <f>'[1]VENTAS(RESUMEN GLOBAL)'!G2204*(1-'[1]VENTAS(RESUMEN GLOBAL)'!H2204)</f>
        <v>0</v>
      </c>
      <c r="K2204" s="8">
        <f t="shared" si="34"/>
        <v>0</v>
      </c>
      <c r="L2204" s="8">
        <f>+'[1]VENTAS(RESUMEN GLOBAL)'!J2204</f>
        <v>0</v>
      </c>
      <c r="M2204" s="8">
        <f>+Tabla1[[#This Row],[utilidad x dia]]*7</f>
        <v>0</v>
      </c>
    </row>
    <row r="2205" spans="1:13" x14ac:dyDescent="0.3">
      <c r="A2205" s="6">
        <f>+'[1]VENTAS(RESUMEN GLOBAL)'!L2205</f>
        <v>0</v>
      </c>
      <c r="B2205" s="6">
        <f>+'[1]VENTAS(RESUMEN GLOBAL)'!M2205</f>
        <v>0</v>
      </c>
      <c r="C2205">
        <f>+'[1]VENTAS(RESUMEN GLOBAL)'!B2205</f>
        <v>0</v>
      </c>
      <c r="D2205" t="e">
        <f>INDEX('[1]CÓDIGOS DE PRODUCTO'!$D$3:$D$1000,MATCH(C2205,'[1]CÓDIGOS DE PRODUCTO'!$A$3:$A$1000,0))</f>
        <v>#N/A</v>
      </c>
      <c r="E2205">
        <f>VLOOKUP(C2205,'[1]CÓDIGOS DE PRODUCTO'!$A$4:$B$156,2,FALSE)</f>
        <v>0</v>
      </c>
      <c r="F2205">
        <f>INDEX('[1]CÓDIGOS DE PRODUCTO'!$C$3:$C$1000,MATCH(C2205,'[1]CÓDIGOS DE PRODUCTO'!$A$3:$A$1000,0))</f>
        <v>0</v>
      </c>
      <c r="G2205">
        <f>+'[1]VENTAS(RESUMEN GLOBAL)'!D2205-'[1]VENTAS(RESUMEN GLOBAL)'!E2205</f>
        <v>0</v>
      </c>
      <c r="H2205" s="9">
        <f>+'[1]VENTAS(RESUMEN GLOBAL)'!K2205</f>
        <v>0</v>
      </c>
      <c r="I2205" s="8">
        <f>+G2205*'[1]VENTAS(RESUMEN GLOBAL)'!F2205</f>
        <v>0</v>
      </c>
      <c r="J2205" s="8">
        <f>'[1]VENTAS(RESUMEN GLOBAL)'!G2205*(1-'[1]VENTAS(RESUMEN GLOBAL)'!H2205)</f>
        <v>0</v>
      </c>
      <c r="K2205" s="8">
        <f t="shared" si="34"/>
        <v>0</v>
      </c>
      <c r="L2205" s="8">
        <f>+'[1]VENTAS(RESUMEN GLOBAL)'!J2205</f>
        <v>0</v>
      </c>
      <c r="M2205" s="8">
        <f>+Tabla1[[#This Row],[utilidad x dia]]*7</f>
        <v>0</v>
      </c>
    </row>
    <row r="2206" spans="1:13" x14ac:dyDescent="0.3">
      <c r="A2206" s="6">
        <f>+'[1]VENTAS(RESUMEN GLOBAL)'!L2206</f>
        <v>0</v>
      </c>
      <c r="B2206" s="6">
        <f>+'[1]VENTAS(RESUMEN GLOBAL)'!M2206</f>
        <v>0</v>
      </c>
      <c r="C2206">
        <f>+'[1]VENTAS(RESUMEN GLOBAL)'!B2206</f>
        <v>0</v>
      </c>
      <c r="D2206" t="e">
        <f>INDEX('[1]CÓDIGOS DE PRODUCTO'!$D$3:$D$1000,MATCH(C2206,'[1]CÓDIGOS DE PRODUCTO'!$A$3:$A$1000,0))</f>
        <v>#N/A</v>
      </c>
      <c r="E2206">
        <f>VLOOKUP(C2206,'[1]CÓDIGOS DE PRODUCTO'!$A$4:$B$156,2,FALSE)</f>
        <v>0</v>
      </c>
      <c r="F2206">
        <f>INDEX('[1]CÓDIGOS DE PRODUCTO'!$C$3:$C$1000,MATCH(C2206,'[1]CÓDIGOS DE PRODUCTO'!$A$3:$A$1000,0))</f>
        <v>0</v>
      </c>
      <c r="G2206">
        <f>+'[1]VENTAS(RESUMEN GLOBAL)'!D2206-'[1]VENTAS(RESUMEN GLOBAL)'!E2206</f>
        <v>0</v>
      </c>
      <c r="H2206" s="9">
        <f>+'[1]VENTAS(RESUMEN GLOBAL)'!K2206</f>
        <v>0</v>
      </c>
      <c r="I2206" s="8">
        <f>+G2206*'[1]VENTAS(RESUMEN GLOBAL)'!F2206</f>
        <v>0</v>
      </c>
      <c r="J2206" s="8">
        <f>'[1]VENTAS(RESUMEN GLOBAL)'!G2206*(1-'[1]VENTAS(RESUMEN GLOBAL)'!H2206)</f>
        <v>0</v>
      </c>
      <c r="K2206" s="8">
        <f t="shared" si="34"/>
        <v>0</v>
      </c>
      <c r="L2206" s="8">
        <f>+'[1]VENTAS(RESUMEN GLOBAL)'!J2206</f>
        <v>0</v>
      </c>
      <c r="M2206" s="8">
        <f>+Tabla1[[#This Row],[utilidad x dia]]*7</f>
        <v>0</v>
      </c>
    </row>
    <row r="2207" spans="1:13" x14ac:dyDescent="0.3">
      <c r="A2207" s="6">
        <f>+'[1]VENTAS(RESUMEN GLOBAL)'!L2207</f>
        <v>0</v>
      </c>
      <c r="B2207" s="6">
        <f>+'[1]VENTAS(RESUMEN GLOBAL)'!M2207</f>
        <v>0</v>
      </c>
      <c r="C2207">
        <f>+'[1]VENTAS(RESUMEN GLOBAL)'!B2207</f>
        <v>0</v>
      </c>
      <c r="D2207" t="e">
        <f>INDEX('[1]CÓDIGOS DE PRODUCTO'!$D$3:$D$1000,MATCH(C2207,'[1]CÓDIGOS DE PRODUCTO'!$A$3:$A$1000,0))</f>
        <v>#N/A</v>
      </c>
      <c r="E2207">
        <f>VLOOKUP(C2207,'[1]CÓDIGOS DE PRODUCTO'!$A$4:$B$156,2,FALSE)</f>
        <v>0</v>
      </c>
      <c r="F2207">
        <f>INDEX('[1]CÓDIGOS DE PRODUCTO'!$C$3:$C$1000,MATCH(C2207,'[1]CÓDIGOS DE PRODUCTO'!$A$3:$A$1000,0))</f>
        <v>0</v>
      </c>
      <c r="G2207">
        <f>+'[1]VENTAS(RESUMEN GLOBAL)'!D2207-'[1]VENTAS(RESUMEN GLOBAL)'!E2207</f>
        <v>0</v>
      </c>
      <c r="H2207" s="9">
        <f>+'[1]VENTAS(RESUMEN GLOBAL)'!K2207</f>
        <v>0</v>
      </c>
      <c r="I2207" s="8">
        <f>+G2207*'[1]VENTAS(RESUMEN GLOBAL)'!F2207</f>
        <v>0</v>
      </c>
      <c r="J2207" s="8">
        <f>'[1]VENTAS(RESUMEN GLOBAL)'!G2207*(1-'[1]VENTAS(RESUMEN GLOBAL)'!H2207)</f>
        <v>0</v>
      </c>
      <c r="K2207" s="8">
        <f t="shared" si="34"/>
        <v>0</v>
      </c>
      <c r="L2207" s="8">
        <f>+'[1]VENTAS(RESUMEN GLOBAL)'!J2207</f>
        <v>0</v>
      </c>
      <c r="M2207" s="8">
        <f>+Tabla1[[#This Row],[utilidad x dia]]*7</f>
        <v>0</v>
      </c>
    </row>
    <row r="2208" spans="1:13" x14ac:dyDescent="0.3">
      <c r="A2208" s="6">
        <f>+'[1]VENTAS(RESUMEN GLOBAL)'!L2208</f>
        <v>0</v>
      </c>
      <c r="B2208" s="6">
        <f>+'[1]VENTAS(RESUMEN GLOBAL)'!M2208</f>
        <v>0</v>
      </c>
      <c r="C2208">
        <f>+'[1]VENTAS(RESUMEN GLOBAL)'!B2208</f>
        <v>0</v>
      </c>
      <c r="D2208" t="e">
        <f>INDEX('[1]CÓDIGOS DE PRODUCTO'!$D$3:$D$1000,MATCH(C2208,'[1]CÓDIGOS DE PRODUCTO'!$A$3:$A$1000,0))</f>
        <v>#N/A</v>
      </c>
      <c r="E2208">
        <f>VLOOKUP(C2208,'[1]CÓDIGOS DE PRODUCTO'!$A$4:$B$156,2,FALSE)</f>
        <v>0</v>
      </c>
      <c r="F2208">
        <f>INDEX('[1]CÓDIGOS DE PRODUCTO'!$C$3:$C$1000,MATCH(C2208,'[1]CÓDIGOS DE PRODUCTO'!$A$3:$A$1000,0))</f>
        <v>0</v>
      </c>
      <c r="G2208">
        <f>+'[1]VENTAS(RESUMEN GLOBAL)'!D2208-'[1]VENTAS(RESUMEN GLOBAL)'!E2208</f>
        <v>0</v>
      </c>
      <c r="H2208" s="9">
        <f>+'[1]VENTAS(RESUMEN GLOBAL)'!K2208</f>
        <v>0</v>
      </c>
      <c r="I2208" s="8">
        <f>+G2208*'[1]VENTAS(RESUMEN GLOBAL)'!F2208</f>
        <v>0</v>
      </c>
      <c r="J2208" s="8">
        <f>'[1]VENTAS(RESUMEN GLOBAL)'!G2208*(1-'[1]VENTAS(RESUMEN GLOBAL)'!H2208)</f>
        <v>0</v>
      </c>
      <c r="K2208" s="8">
        <f t="shared" si="34"/>
        <v>0</v>
      </c>
      <c r="L2208" s="8">
        <f>+'[1]VENTAS(RESUMEN GLOBAL)'!J2208</f>
        <v>0</v>
      </c>
      <c r="M2208" s="8">
        <f>+Tabla1[[#This Row],[utilidad x dia]]*7</f>
        <v>0</v>
      </c>
    </row>
    <row r="2209" spans="1:13" x14ac:dyDescent="0.3">
      <c r="A2209" s="6">
        <f>+'[1]VENTAS(RESUMEN GLOBAL)'!L2209</f>
        <v>0</v>
      </c>
      <c r="B2209" s="6">
        <f>+'[1]VENTAS(RESUMEN GLOBAL)'!M2209</f>
        <v>0</v>
      </c>
      <c r="C2209">
        <f>+'[1]VENTAS(RESUMEN GLOBAL)'!B2209</f>
        <v>0</v>
      </c>
      <c r="D2209" t="e">
        <f>INDEX('[1]CÓDIGOS DE PRODUCTO'!$D$3:$D$1000,MATCH(C2209,'[1]CÓDIGOS DE PRODUCTO'!$A$3:$A$1000,0))</f>
        <v>#N/A</v>
      </c>
      <c r="E2209">
        <f>VLOOKUP(C2209,'[1]CÓDIGOS DE PRODUCTO'!$A$4:$B$156,2,FALSE)</f>
        <v>0</v>
      </c>
      <c r="F2209">
        <f>INDEX('[1]CÓDIGOS DE PRODUCTO'!$C$3:$C$1000,MATCH(C2209,'[1]CÓDIGOS DE PRODUCTO'!$A$3:$A$1000,0))</f>
        <v>0</v>
      </c>
      <c r="G2209">
        <f>+'[1]VENTAS(RESUMEN GLOBAL)'!D2209-'[1]VENTAS(RESUMEN GLOBAL)'!E2209</f>
        <v>0</v>
      </c>
      <c r="H2209" s="9">
        <f>+'[1]VENTAS(RESUMEN GLOBAL)'!K2209</f>
        <v>0</v>
      </c>
      <c r="I2209" s="8">
        <f>+G2209*'[1]VENTAS(RESUMEN GLOBAL)'!F2209</f>
        <v>0</v>
      </c>
      <c r="J2209" s="8">
        <f>'[1]VENTAS(RESUMEN GLOBAL)'!G2209*(1-'[1]VENTAS(RESUMEN GLOBAL)'!H2209)</f>
        <v>0</v>
      </c>
      <c r="K2209" s="8">
        <f t="shared" si="34"/>
        <v>0</v>
      </c>
      <c r="L2209" s="8">
        <f>+'[1]VENTAS(RESUMEN GLOBAL)'!J2209</f>
        <v>0</v>
      </c>
      <c r="M2209" s="8">
        <f>+Tabla1[[#This Row],[utilidad x dia]]*7</f>
        <v>0</v>
      </c>
    </row>
    <row r="2210" spans="1:13" x14ac:dyDescent="0.3">
      <c r="A2210" s="6">
        <f>+'[1]VENTAS(RESUMEN GLOBAL)'!L2210</f>
        <v>0</v>
      </c>
      <c r="B2210" s="6">
        <f>+'[1]VENTAS(RESUMEN GLOBAL)'!M2210</f>
        <v>0</v>
      </c>
      <c r="C2210">
        <f>+'[1]VENTAS(RESUMEN GLOBAL)'!B2210</f>
        <v>0</v>
      </c>
      <c r="D2210" t="e">
        <f>INDEX('[1]CÓDIGOS DE PRODUCTO'!$D$3:$D$1000,MATCH(C2210,'[1]CÓDIGOS DE PRODUCTO'!$A$3:$A$1000,0))</f>
        <v>#N/A</v>
      </c>
      <c r="E2210">
        <f>VLOOKUP(C2210,'[1]CÓDIGOS DE PRODUCTO'!$A$4:$B$156,2,FALSE)</f>
        <v>0</v>
      </c>
      <c r="F2210">
        <f>INDEX('[1]CÓDIGOS DE PRODUCTO'!$C$3:$C$1000,MATCH(C2210,'[1]CÓDIGOS DE PRODUCTO'!$A$3:$A$1000,0))</f>
        <v>0</v>
      </c>
      <c r="G2210">
        <f>+'[1]VENTAS(RESUMEN GLOBAL)'!D2210-'[1]VENTAS(RESUMEN GLOBAL)'!E2210</f>
        <v>0</v>
      </c>
      <c r="H2210" s="9">
        <f>+'[1]VENTAS(RESUMEN GLOBAL)'!K2210</f>
        <v>0</v>
      </c>
      <c r="I2210" s="8">
        <f>+G2210*'[1]VENTAS(RESUMEN GLOBAL)'!F2210</f>
        <v>0</v>
      </c>
      <c r="J2210" s="8">
        <f>'[1]VENTAS(RESUMEN GLOBAL)'!G2210*(1-'[1]VENTAS(RESUMEN GLOBAL)'!H2210)</f>
        <v>0</v>
      </c>
      <c r="K2210" s="8">
        <f t="shared" si="34"/>
        <v>0</v>
      </c>
      <c r="L2210" s="8">
        <f>+'[1]VENTAS(RESUMEN GLOBAL)'!J2210</f>
        <v>0</v>
      </c>
      <c r="M2210" s="8">
        <f>+Tabla1[[#This Row],[utilidad x dia]]*7</f>
        <v>0</v>
      </c>
    </row>
    <row r="2211" spans="1:13" x14ac:dyDescent="0.3">
      <c r="A2211" s="6">
        <f>+'[1]VENTAS(RESUMEN GLOBAL)'!L2211</f>
        <v>0</v>
      </c>
      <c r="B2211" s="6">
        <f>+'[1]VENTAS(RESUMEN GLOBAL)'!M2211</f>
        <v>0</v>
      </c>
      <c r="C2211">
        <f>+'[1]VENTAS(RESUMEN GLOBAL)'!B2211</f>
        <v>0</v>
      </c>
      <c r="D2211" t="e">
        <f>INDEX('[1]CÓDIGOS DE PRODUCTO'!$D$3:$D$1000,MATCH(C2211,'[1]CÓDIGOS DE PRODUCTO'!$A$3:$A$1000,0))</f>
        <v>#N/A</v>
      </c>
      <c r="E2211">
        <f>VLOOKUP(C2211,'[1]CÓDIGOS DE PRODUCTO'!$A$4:$B$156,2,FALSE)</f>
        <v>0</v>
      </c>
      <c r="F2211">
        <f>INDEX('[1]CÓDIGOS DE PRODUCTO'!$C$3:$C$1000,MATCH(C2211,'[1]CÓDIGOS DE PRODUCTO'!$A$3:$A$1000,0))</f>
        <v>0</v>
      </c>
      <c r="G2211">
        <f>+'[1]VENTAS(RESUMEN GLOBAL)'!D2211-'[1]VENTAS(RESUMEN GLOBAL)'!E2211</f>
        <v>0</v>
      </c>
      <c r="H2211" s="9">
        <f>+'[1]VENTAS(RESUMEN GLOBAL)'!K2211</f>
        <v>0</v>
      </c>
      <c r="I2211" s="8">
        <f>+G2211*'[1]VENTAS(RESUMEN GLOBAL)'!F2211</f>
        <v>0</v>
      </c>
      <c r="J2211" s="8">
        <f>'[1]VENTAS(RESUMEN GLOBAL)'!G2211*(1-'[1]VENTAS(RESUMEN GLOBAL)'!H2211)</f>
        <v>0</v>
      </c>
      <c r="K2211" s="8">
        <f t="shared" si="34"/>
        <v>0</v>
      </c>
      <c r="L2211" s="8">
        <f>+'[1]VENTAS(RESUMEN GLOBAL)'!J2211</f>
        <v>0</v>
      </c>
      <c r="M2211" s="8">
        <f>+Tabla1[[#This Row],[utilidad x dia]]*7</f>
        <v>0</v>
      </c>
    </row>
    <row r="2212" spans="1:13" x14ac:dyDescent="0.3">
      <c r="A2212" s="6">
        <f>+'[1]VENTAS(RESUMEN GLOBAL)'!L2212</f>
        <v>0</v>
      </c>
      <c r="B2212" s="6">
        <f>+'[1]VENTAS(RESUMEN GLOBAL)'!M2212</f>
        <v>0</v>
      </c>
      <c r="C2212">
        <f>+'[1]VENTAS(RESUMEN GLOBAL)'!B2212</f>
        <v>0</v>
      </c>
      <c r="D2212" t="e">
        <f>INDEX('[1]CÓDIGOS DE PRODUCTO'!$D$3:$D$1000,MATCH(C2212,'[1]CÓDIGOS DE PRODUCTO'!$A$3:$A$1000,0))</f>
        <v>#N/A</v>
      </c>
      <c r="E2212">
        <f>VLOOKUP(C2212,'[1]CÓDIGOS DE PRODUCTO'!$A$4:$B$156,2,FALSE)</f>
        <v>0</v>
      </c>
      <c r="F2212">
        <f>INDEX('[1]CÓDIGOS DE PRODUCTO'!$C$3:$C$1000,MATCH(C2212,'[1]CÓDIGOS DE PRODUCTO'!$A$3:$A$1000,0))</f>
        <v>0</v>
      </c>
      <c r="G2212">
        <f>+'[1]VENTAS(RESUMEN GLOBAL)'!D2212-'[1]VENTAS(RESUMEN GLOBAL)'!E2212</f>
        <v>0</v>
      </c>
      <c r="H2212" s="9">
        <f>+'[1]VENTAS(RESUMEN GLOBAL)'!K2212</f>
        <v>0</v>
      </c>
      <c r="I2212" s="8">
        <f>+G2212*'[1]VENTAS(RESUMEN GLOBAL)'!F2212</f>
        <v>0</v>
      </c>
      <c r="J2212" s="8">
        <f>'[1]VENTAS(RESUMEN GLOBAL)'!G2212*(1-'[1]VENTAS(RESUMEN GLOBAL)'!H2212)</f>
        <v>0</v>
      </c>
      <c r="K2212" s="8">
        <f t="shared" si="34"/>
        <v>0</v>
      </c>
      <c r="L2212" s="8">
        <f>+'[1]VENTAS(RESUMEN GLOBAL)'!J2212</f>
        <v>0</v>
      </c>
      <c r="M2212" s="8">
        <f>+Tabla1[[#This Row],[utilidad x dia]]*7</f>
        <v>0</v>
      </c>
    </row>
    <row r="2213" spans="1:13" x14ac:dyDescent="0.3">
      <c r="A2213" s="6">
        <f>+'[1]VENTAS(RESUMEN GLOBAL)'!L2213</f>
        <v>0</v>
      </c>
      <c r="B2213" s="6">
        <f>+'[1]VENTAS(RESUMEN GLOBAL)'!M2213</f>
        <v>0</v>
      </c>
      <c r="C2213">
        <f>+'[1]VENTAS(RESUMEN GLOBAL)'!B2213</f>
        <v>0</v>
      </c>
      <c r="D2213" t="e">
        <f>INDEX('[1]CÓDIGOS DE PRODUCTO'!$D$3:$D$1000,MATCH(C2213,'[1]CÓDIGOS DE PRODUCTO'!$A$3:$A$1000,0))</f>
        <v>#N/A</v>
      </c>
      <c r="E2213">
        <f>VLOOKUP(C2213,'[1]CÓDIGOS DE PRODUCTO'!$A$4:$B$156,2,FALSE)</f>
        <v>0</v>
      </c>
      <c r="F2213">
        <f>INDEX('[1]CÓDIGOS DE PRODUCTO'!$C$3:$C$1000,MATCH(C2213,'[1]CÓDIGOS DE PRODUCTO'!$A$3:$A$1000,0))</f>
        <v>0</v>
      </c>
      <c r="G2213">
        <f>+'[1]VENTAS(RESUMEN GLOBAL)'!D2213-'[1]VENTAS(RESUMEN GLOBAL)'!E2213</f>
        <v>0</v>
      </c>
      <c r="H2213" s="9">
        <f>+'[1]VENTAS(RESUMEN GLOBAL)'!K2213</f>
        <v>0</v>
      </c>
      <c r="I2213" s="8">
        <f>+G2213*'[1]VENTAS(RESUMEN GLOBAL)'!F2213</f>
        <v>0</v>
      </c>
      <c r="J2213" s="8">
        <f>'[1]VENTAS(RESUMEN GLOBAL)'!G2213*(1-'[1]VENTAS(RESUMEN GLOBAL)'!H2213)</f>
        <v>0</v>
      </c>
      <c r="K2213" s="8">
        <f t="shared" si="34"/>
        <v>0</v>
      </c>
      <c r="L2213" s="8">
        <f>+'[1]VENTAS(RESUMEN GLOBAL)'!J2213</f>
        <v>0</v>
      </c>
      <c r="M2213" s="8">
        <f>+Tabla1[[#This Row],[utilidad x dia]]*7</f>
        <v>0</v>
      </c>
    </row>
    <row r="2214" spans="1:13" x14ac:dyDescent="0.3">
      <c r="A2214" s="6">
        <f>+'[1]VENTAS(RESUMEN GLOBAL)'!L2214</f>
        <v>0</v>
      </c>
      <c r="B2214" s="6">
        <f>+'[1]VENTAS(RESUMEN GLOBAL)'!M2214</f>
        <v>0</v>
      </c>
      <c r="C2214">
        <f>+'[1]VENTAS(RESUMEN GLOBAL)'!B2214</f>
        <v>0</v>
      </c>
      <c r="D2214" t="e">
        <f>INDEX('[1]CÓDIGOS DE PRODUCTO'!$D$3:$D$1000,MATCH(C2214,'[1]CÓDIGOS DE PRODUCTO'!$A$3:$A$1000,0))</f>
        <v>#N/A</v>
      </c>
      <c r="E2214">
        <f>VLOOKUP(C2214,'[1]CÓDIGOS DE PRODUCTO'!$A$4:$B$156,2,FALSE)</f>
        <v>0</v>
      </c>
      <c r="F2214">
        <f>INDEX('[1]CÓDIGOS DE PRODUCTO'!$C$3:$C$1000,MATCH(C2214,'[1]CÓDIGOS DE PRODUCTO'!$A$3:$A$1000,0))</f>
        <v>0</v>
      </c>
      <c r="G2214">
        <f>+'[1]VENTAS(RESUMEN GLOBAL)'!D2214-'[1]VENTAS(RESUMEN GLOBAL)'!E2214</f>
        <v>0</v>
      </c>
      <c r="H2214" s="9">
        <f>+'[1]VENTAS(RESUMEN GLOBAL)'!K2214</f>
        <v>0</v>
      </c>
      <c r="I2214" s="8">
        <f>+G2214*'[1]VENTAS(RESUMEN GLOBAL)'!F2214</f>
        <v>0</v>
      </c>
      <c r="J2214" s="8">
        <f>'[1]VENTAS(RESUMEN GLOBAL)'!G2214*(1-'[1]VENTAS(RESUMEN GLOBAL)'!H2214)</f>
        <v>0</v>
      </c>
      <c r="K2214" s="8">
        <f t="shared" si="34"/>
        <v>0</v>
      </c>
      <c r="L2214" s="8">
        <f>+'[1]VENTAS(RESUMEN GLOBAL)'!J2214</f>
        <v>0</v>
      </c>
      <c r="M2214" s="8">
        <f>+Tabla1[[#This Row],[utilidad x dia]]*7</f>
        <v>0</v>
      </c>
    </row>
    <row r="2215" spans="1:13" x14ac:dyDescent="0.3">
      <c r="A2215" s="6">
        <f>+'[1]VENTAS(RESUMEN GLOBAL)'!L2215</f>
        <v>0</v>
      </c>
      <c r="B2215" s="6">
        <f>+'[1]VENTAS(RESUMEN GLOBAL)'!M2215</f>
        <v>0</v>
      </c>
      <c r="C2215">
        <f>+'[1]VENTAS(RESUMEN GLOBAL)'!B2215</f>
        <v>0</v>
      </c>
      <c r="D2215" t="e">
        <f>INDEX('[1]CÓDIGOS DE PRODUCTO'!$D$3:$D$1000,MATCH(C2215,'[1]CÓDIGOS DE PRODUCTO'!$A$3:$A$1000,0))</f>
        <v>#N/A</v>
      </c>
      <c r="E2215">
        <f>VLOOKUP(C2215,'[1]CÓDIGOS DE PRODUCTO'!$A$4:$B$156,2,FALSE)</f>
        <v>0</v>
      </c>
      <c r="F2215">
        <f>INDEX('[1]CÓDIGOS DE PRODUCTO'!$C$3:$C$1000,MATCH(C2215,'[1]CÓDIGOS DE PRODUCTO'!$A$3:$A$1000,0))</f>
        <v>0</v>
      </c>
      <c r="G2215">
        <f>+'[1]VENTAS(RESUMEN GLOBAL)'!D2215-'[1]VENTAS(RESUMEN GLOBAL)'!E2215</f>
        <v>0</v>
      </c>
      <c r="H2215" s="9">
        <f>+'[1]VENTAS(RESUMEN GLOBAL)'!K2215</f>
        <v>0</v>
      </c>
      <c r="I2215" s="8">
        <f>+G2215*'[1]VENTAS(RESUMEN GLOBAL)'!F2215</f>
        <v>0</v>
      </c>
      <c r="J2215" s="8">
        <f>'[1]VENTAS(RESUMEN GLOBAL)'!G2215*(1-'[1]VENTAS(RESUMEN GLOBAL)'!H2215)</f>
        <v>0</v>
      </c>
      <c r="K2215" s="8">
        <f t="shared" si="34"/>
        <v>0</v>
      </c>
      <c r="L2215" s="8">
        <f>+'[1]VENTAS(RESUMEN GLOBAL)'!J2215</f>
        <v>0</v>
      </c>
      <c r="M2215" s="8">
        <f>+Tabla1[[#This Row],[utilidad x dia]]*7</f>
        <v>0</v>
      </c>
    </row>
    <row r="2216" spans="1:13" x14ac:dyDescent="0.3">
      <c r="A2216" s="6">
        <f>+'[1]VENTAS(RESUMEN GLOBAL)'!L2216</f>
        <v>0</v>
      </c>
      <c r="B2216" s="6">
        <f>+'[1]VENTAS(RESUMEN GLOBAL)'!M2216</f>
        <v>0</v>
      </c>
      <c r="C2216">
        <f>+'[1]VENTAS(RESUMEN GLOBAL)'!B2216</f>
        <v>0</v>
      </c>
      <c r="D2216" t="e">
        <f>INDEX('[1]CÓDIGOS DE PRODUCTO'!$D$3:$D$1000,MATCH(C2216,'[1]CÓDIGOS DE PRODUCTO'!$A$3:$A$1000,0))</f>
        <v>#N/A</v>
      </c>
      <c r="E2216">
        <f>VLOOKUP(C2216,'[1]CÓDIGOS DE PRODUCTO'!$A$4:$B$156,2,FALSE)</f>
        <v>0</v>
      </c>
      <c r="F2216">
        <f>INDEX('[1]CÓDIGOS DE PRODUCTO'!$C$3:$C$1000,MATCH(C2216,'[1]CÓDIGOS DE PRODUCTO'!$A$3:$A$1000,0))</f>
        <v>0</v>
      </c>
      <c r="G2216">
        <f>+'[1]VENTAS(RESUMEN GLOBAL)'!D2216-'[1]VENTAS(RESUMEN GLOBAL)'!E2216</f>
        <v>0</v>
      </c>
      <c r="H2216" s="9">
        <f>+'[1]VENTAS(RESUMEN GLOBAL)'!K2216</f>
        <v>0</v>
      </c>
      <c r="I2216" s="8">
        <f>+G2216*'[1]VENTAS(RESUMEN GLOBAL)'!F2216</f>
        <v>0</v>
      </c>
      <c r="J2216" s="8">
        <f>'[1]VENTAS(RESUMEN GLOBAL)'!G2216*(1-'[1]VENTAS(RESUMEN GLOBAL)'!H2216)</f>
        <v>0</v>
      </c>
      <c r="K2216" s="8">
        <f t="shared" si="34"/>
        <v>0</v>
      </c>
      <c r="L2216" s="8">
        <f>+'[1]VENTAS(RESUMEN GLOBAL)'!J2216</f>
        <v>0</v>
      </c>
      <c r="M2216" s="8">
        <f>+Tabla1[[#This Row],[utilidad x dia]]*7</f>
        <v>0</v>
      </c>
    </row>
    <row r="2217" spans="1:13" x14ac:dyDescent="0.3">
      <c r="A2217" s="6">
        <f>+'[1]VENTAS(RESUMEN GLOBAL)'!L2217</f>
        <v>0</v>
      </c>
      <c r="B2217" s="6">
        <f>+'[1]VENTAS(RESUMEN GLOBAL)'!M2217</f>
        <v>0</v>
      </c>
      <c r="C2217">
        <f>+'[1]VENTAS(RESUMEN GLOBAL)'!B2217</f>
        <v>0</v>
      </c>
      <c r="D2217" t="e">
        <f>INDEX('[1]CÓDIGOS DE PRODUCTO'!$D$3:$D$1000,MATCH(C2217,'[1]CÓDIGOS DE PRODUCTO'!$A$3:$A$1000,0))</f>
        <v>#N/A</v>
      </c>
      <c r="E2217">
        <f>VLOOKUP(C2217,'[1]CÓDIGOS DE PRODUCTO'!$A$4:$B$156,2,FALSE)</f>
        <v>0</v>
      </c>
      <c r="F2217">
        <f>INDEX('[1]CÓDIGOS DE PRODUCTO'!$C$3:$C$1000,MATCH(C2217,'[1]CÓDIGOS DE PRODUCTO'!$A$3:$A$1000,0))</f>
        <v>0</v>
      </c>
      <c r="G2217">
        <f>+'[1]VENTAS(RESUMEN GLOBAL)'!D2217-'[1]VENTAS(RESUMEN GLOBAL)'!E2217</f>
        <v>0</v>
      </c>
      <c r="H2217" s="9">
        <f>+'[1]VENTAS(RESUMEN GLOBAL)'!K2217</f>
        <v>0</v>
      </c>
      <c r="I2217" s="8">
        <f>+G2217*'[1]VENTAS(RESUMEN GLOBAL)'!F2217</f>
        <v>0</v>
      </c>
      <c r="J2217" s="8">
        <f>'[1]VENTAS(RESUMEN GLOBAL)'!G2217*(1-'[1]VENTAS(RESUMEN GLOBAL)'!H2217)</f>
        <v>0</v>
      </c>
      <c r="K2217" s="8">
        <f t="shared" si="34"/>
        <v>0</v>
      </c>
      <c r="L2217" s="8">
        <f>+'[1]VENTAS(RESUMEN GLOBAL)'!J2217</f>
        <v>0</v>
      </c>
      <c r="M2217" s="8">
        <f>+Tabla1[[#This Row],[utilidad x dia]]*7</f>
        <v>0</v>
      </c>
    </row>
    <row r="2218" spans="1:13" x14ac:dyDescent="0.3">
      <c r="A2218" s="6">
        <f>+'[1]VENTAS(RESUMEN GLOBAL)'!L2218</f>
        <v>0</v>
      </c>
      <c r="B2218" s="6">
        <f>+'[1]VENTAS(RESUMEN GLOBAL)'!M2218</f>
        <v>0</v>
      </c>
      <c r="C2218">
        <f>+'[1]VENTAS(RESUMEN GLOBAL)'!B2218</f>
        <v>0</v>
      </c>
      <c r="D2218" t="e">
        <f>INDEX('[1]CÓDIGOS DE PRODUCTO'!$D$3:$D$1000,MATCH(C2218,'[1]CÓDIGOS DE PRODUCTO'!$A$3:$A$1000,0))</f>
        <v>#N/A</v>
      </c>
      <c r="E2218">
        <f>VLOOKUP(C2218,'[1]CÓDIGOS DE PRODUCTO'!$A$4:$B$156,2,FALSE)</f>
        <v>0</v>
      </c>
      <c r="F2218">
        <f>INDEX('[1]CÓDIGOS DE PRODUCTO'!$C$3:$C$1000,MATCH(C2218,'[1]CÓDIGOS DE PRODUCTO'!$A$3:$A$1000,0))</f>
        <v>0</v>
      </c>
      <c r="G2218">
        <f>+'[1]VENTAS(RESUMEN GLOBAL)'!D2218-'[1]VENTAS(RESUMEN GLOBAL)'!E2218</f>
        <v>0</v>
      </c>
      <c r="H2218" s="9">
        <f>+'[1]VENTAS(RESUMEN GLOBAL)'!K2218</f>
        <v>0</v>
      </c>
      <c r="I2218" s="8">
        <f>+G2218*'[1]VENTAS(RESUMEN GLOBAL)'!F2218</f>
        <v>0</v>
      </c>
      <c r="J2218" s="8">
        <f>'[1]VENTAS(RESUMEN GLOBAL)'!G2218*(1-'[1]VENTAS(RESUMEN GLOBAL)'!H2218)</f>
        <v>0</v>
      </c>
      <c r="K2218" s="8">
        <f t="shared" si="34"/>
        <v>0</v>
      </c>
      <c r="L2218" s="8">
        <f>+'[1]VENTAS(RESUMEN GLOBAL)'!J2218</f>
        <v>0</v>
      </c>
      <c r="M2218" s="8">
        <f>+Tabla1[[#This Row],[utilidad x dia]]*7</f>
        <v>0</v>
      </c>
    </row>
    <row r="2219" spans="1:13" x14ac:dyDescent="0.3">
      <c r="A2219" s="6">
        <f>+'[1]VENTAS(RESUMEN GLOBAL)'!L2219</f>
        <v>0</v>
      </c>
      <c r="B2219" s="6">
        <f>+'[1]VENTAS(RESUMEN GLOBAL)'!M2219</f>
        <v>0</v>
      </c>
      <c r="C2219">
        <f>+'[1]VENTAS(RESUMEN GLOBAL)'!B2219</f>
        <v>0</v>
      </c>
      <c r="D2219" t="e">
        <f>INDEX('[1]CÓDIGOS DE PRODUCTO'!$D$3:$D$1000,MATCH(C2219,'[1]CÓDIGOS DE PRODUCTO'!$A$3:$A$1000,0))</f>
        <v>#N/A</v>
      </c>
      <c r="E2219">
        <f>VLOOKUP(C2219,'[1]CÓDIGOS DE PRODUCTO'!$A$4:$B$156,2,FALSE)</f>
        <v>0</v>
      </c>
      <c r="F2219">
        <f>INDEX('[1]CÓDIGOS DE PRODUCTO'!$C$3:$C$1000,MATCH(C2219,'[1]CÓDIGOS DE PRODUCTO'!$A$3:$A$1000,0))</f>
        <v>0</v>
      </c>
      <c r="G2219">
        <f>+'[1]VENTAS(RESUMEN GLOBAL)'!D2219-'[1]VENTAS(RESUMEN GLOBAL)'!E2219</f>
        <v>0</v>
      </c>
      <c r="H2219" s="9">
        <f>+'[1]VENTAS(RESUMEN GLOBAL)'!K2219</f>
        <v>0</v>
      </c>
      <c r="I2219" s="8">
        <f>+G2219*'[1]VENTAS(RESUMEN GLOBAL)'!F2219</f>
        <v>0</v>
      </c>
      <c r="J2219" s="8">
        <f>'[1]VENTAS(RESUMEN GLOBAL)'!G2219*(1-'[1]VENTAS(RESUMEN GLOBAL)'!H2219)</f>
        <v>0</v>
      </c>
      <c r="K2219" s="8">
        <f t="shared" si="34"/>
        <v>0</v>
      </c>
      <c r="L2219" s="8">
        <f>+'[1]VENTAS(RESUMEN GLOBAL)'!J2219</f>
        <v>0</v>
      </c>
      <c r="M2219" s="8">
        <f>+Tabla1[[#This Row],[utilidad x dia]]*7</f>
        <v>0</v>
      </c>
    </row>
    <row r="2220" spans="1:13" x14ac:dyDescent="0.3">
      <c r="A2220" s="6">
        <f>+'[1]VENTAS(RESUMEN GLOBAL)'!L2220</f>
        <v>0</v>
      </c>
      <c r="B2220" s="6">
        <f>+'[1]VENTAS(RESUMEN GLOBAL)'!M2220</f>
        <v>0</v>
      </c>
      <c r="C2220">
        <f>+'[1]VENTAS(RESUMEN GLOBAL)'!B2220</f>
        <v>0</v>
      </c>
      <c r="D2220" t="e">
        <f>INDEX('[1]CÓDIGOS DE PRODUCTO'!$D$3:$D$1000,MATCH(C2220,'[1]CÓDIGOS DE PRODUCTO'!$A$3:$A$1000,0))</f>
        <v>#N/A</v>
      </c>
      <c r="E2220">
        <f>VLOOKUP(C2220,'[1]CÓDIGOS DE PRODUCTO'!$A$4:$B$156,2,FALSE)</f>
        <v>0</v>
      </c>
      <c r="F2220">
        <f>INDEX('[1]CÓDIGOS DE PRODUCTO'!$C$3:$C$1000,MATCH(C2220,'[1]CÓDIGOS DE PRODUCTO'!$A$3:$A$1000,0))</f>
        <v>0</v>
      </c>
      <c r="G2220">
        <f>+'[1]VENTAS(RESUMEN GLOBAL)'!D2220-'[1]VENTAS(RESUMEN GLOBAL)'!E2220</f>
        <v>0</v>
      </c>
      <c r="H2220" s="9">
        <f>+'[1]VENTAS(RESUMEN GLOBAL)'!K2220</f>
        <v>0</v>
      </c>
      <c r="I2220" s="8">
        <f>+G2220*'[1]VENTAS(RESUMEN GLOBAL)'!F2220</f>
        <v>0</v>
      </c>
      <c r="J2220" s="8">
        <f>'[1]VENTAS(RESUMEN GLOBAL)'!G2220*(1-'[1]VENTAS(RESUMEN GLOBAL)'!H2220)</f>
        <v>0</v>
      </c>
      <c r="K2220" s="8">
        <f t="shared" si="34"/>
        <v>0</v>
      </c>
      <c r="L2220" s="8">
        <f>+'[1]VENTAS(RESUMEN GLOBAL)'!J2220</f>
        <v>0</v>
      </c>
      <c r="M2220" s="8">
        <f>+Tabla1[[#This Row],[utilidad x dia]]*7</f>
        <v>0</v>
      </c>
    </row>
    <row r="2221" spans="1:13" x14ac:dyDescent="0.3">
      <c r="A2221" s="6">
        <f>+'[1]VENTAS(RESUMEN GLOBAL)'!L2221</f>
        <v>0</v>
      </c>
      <c r="B2221" s="6">
        <f>+'[1]VENTAS(RESUMEN GLOBAL)'!M2221</f>
        <v>0</v>
      </c>
      <c r="C2221">
        <f>+'[1]VENTAS(RESUMEN GLOBAL)'!B2221</f>
        <v>0</v>
      </c>
      <c r="D2221" t="e">
        <f>INDEX('[1]CÓDIGOS DE PRODUCTO'!$D$3:$D$1000,MATCH(C2221,'[1]CÓDIGOS DE PRODUCTO'!$A$3:$A$1000,0))</f>
        <v>#N/A</v>
      </c>
      <c r="E2221">
        <f>VLOOKUP(C2221,'[1]CÓDIGOS DE PRODUCTO'!$A$4:$B$156,2,FALSE)</f>
        <v>0</v>
      </c>
      <c r="F2221">
        <f>INDEX('[1]CÓDIGOS DE PRODUCTO'!$C$3:$C$1000,MATCH(C2221,'[1]CÓDIGOS DE PRODUCTO'!$A$3:$A$1000,0))</f>
        <v>0</v>
      </c>
      <c r="G2221">
        <f>+'[1]VENTAS(RESUMEN GLOBAL)'!D2221-'[1]VENTAS(RESUMEN GLOBAL)'!E2221</f>
        <v>0</v>
      </c>
      <c r="H2221" s="9">
        <f>+'[1]VENTAS(RESUMEN GLOBAL)'!K2221</f>
        <v>0</v>
      </c>
      <c r="I2221" s="8">
        <f>+G2221*'[1]VENTAS(RESUMEN GLOBAL)'!F2221</f>
        <v>0</v>
      </c>
      <c r="J2221" s="8">
        <f>'[1]VENTAS(RESUMEN GLOBAL)'!G2221*(1-'[1]VENTAS(RESUMEN GLOBAL)'!H2221)</f>
        <v>0</v>
      </c>
      <c r="K2221" s="8">
        <f t="shared" si="34"/>
        <v>0</v>
      </c>
      <c r="L2221" s="8">
        <f>+'[1]VENTAS(RESUMEN GLOBAL)'!J2221</f>
        <v>0</v>
      </c>
      <c r="M2221" s="8">
        <f>+Tabla1[[#This Row],[utilidad x dia]]*7</f>
        <v>0</v>
      </c>
    </row>
    <row r="2222" spans="1:13" x14ac:dyDescent="0.3">
      <c r="A2222" s="6">
        <f>+'[1]VENTAS(RESUMEN GLOBAL)'!L2222</f>
        <v>0</v>
      </c>
      <c r="B2222" s="6">
        <f>+'[1]VENTAS(RESUMEN GLOBAL)'!M2222</f>
        <v>0</v>
      </c>
      <c r="C2222">
        <f>+'[1]VENTAS(RESUMEN GLOBAL)'!B2222</f>
        <v>0</v>
      </c>
      <c r="D2222" t="e">
        <f>INDEX('[1]CÓDIGOS DE PRODUCTO'!$D$3:$D$1000,MATCH(C2222,'[1]CÓDIGOS DE PRODUCTO'!$A$3:$A$1000,0))</f>
        <v>#N/A</v>
      </c>
      <c r="E2222">
        <f>VLOOKUP(C2222,'[1]CÓDIGOS DE PRODUCTO'!$A$4:$B$156,2,FALSE)</f>
        <v>0</v>
      </c>
      <c r="F2222">
        <f>INDEX('[1]CÓDIGOS DE PRODUCTO'!$C$3:$C$1000,MATCH(C2222,'[1]CÓDIGOS DE PRODUCTO'!$A$3:$A$1000,0))</f>
        <v>0</v>
      </c>
      <c r="G2222">
        <f>+'[1]VENTAS(RESUMEN GLOBAL)'!D2222-'[1]VENTAS(RESUMEN GLOBAL)'!E2222</f>
        <v>0</v>
      </c>
      <c r="H2222" s="9">
        <f>+'[1]VENTAS(RESUMEN GLOBAL)'!K2222</f>
        <v>0</v>
      </c>
      <c r="I2222" s="8">
        <f>+G2222*'[1]VENTAS(RESUMEN GLOBAL)'!F2222</f>
        <v>0</v>
      </c>
      <c r="J2222" s="8">
        <f>'[1]VENTAS(RESUMEN GLOBAL)'!G2222*(1-'[1]VENTAS(RESUMEN GLOBAL)'!H2222)</f>
        <v>0</v>
      </c>
      <c r="K2222" s="8">
        <f t="shared" si="34"/>
        <v>0</v>
      </c>
      <c r="L2222" s="8">
        <f>+'[1]VENTAS(RESUMEN GLOBAL)'!J2222</f>
        <v>0</v>
      </c>
      <c r="M2222" s="8">
        <f>+Tabla1[[#This Row],[utilidad x dia]]*7</f>
        <v>0</v>
      </c>
    </row>
    <row r="2223" spans="1:13" x14ac:dyDescent="0.3">
      <c r="A2223" s="6">
        <f>+'[1]VENTAS(RESUMEN GLOBAL)'!L2223</f>
        <v>0</v>
      </c>
      <c r="B2223" s="6">
        <f>+'[1]VENTAS(RESUMEN GLOBAL)'!M2223</f>
        <v>0</v>
      </c>
      <c r="C2223">
        <f>+'[1]VENTAS(RESUMEN GLOBAL)'!B2223</f>
        <v>0</v>
      </c>
      <c r="D2223" t="e">
        <f>INDEX('[1]CÓDIGOS DE PRODUCTO'!$D$3:$D$1000,MATCH(C2223,'[1]CÓDIGOS DE PRODUCTO'!$A$3:$A$1000,0))</f>
        <v>#N/A</v>
      </c>
      <c r="E2223">
        <f>VLOOKUP(C2223,'[1]CÓDIGOS DE PRODUCTO'!$A$4:$B$156,2,FALSE)</f>
        <v>0</v>
      </c>
      <c r="F2223">
        <f>INDEX('[1]CÓDIGOS DE PRODUCTO'!$C$3:$C$1000,MATCH(C2223,'[1]CÓDIGOS DE PRODUCTO'!$A$3:$A$1000,0))</f>
        <v>0</v>
      </c>
      <c r="G2223">
        <f>+'[1]VENTAS(RESUMEN GLOBAL)'!D2223-'[1]VENTAS(RESUMEN GLOBAL)'!E2223</f>
        <v>0</v>
      </c>
      <c r="H2223" s="9">
        <f>+'[1]VENTAS(RESUMEN GLOBAL)'!K2223</f>
        <v>0</v>
      </c>
      <c r="I2223" s="8">
        <f>+G2223*'[1]VENTAS(RESUMEN GLOBAL)'!F2223</f>
        <v>0</v>
      </c>
      <c r="J2223" s="8">
        <f>'[1]VENTAS(RESUMEN GLOBAL)'!G2223*(1-'[1]VENTAS(RESUMEN GLOBAL)'!H2223)</f>
        <v>0</v>
      </c>
      <c r="K2223" s="8">
        <f t="shared" si="34"/>
        <v>0</v>
      </c>
      <c r="L2223" s="8">
        <f>+'[1]VENTAS(RESUMEN GLOBAL)'!J2223</f>
        <v>0</v>
      </c>
      <c r="M2223" s="8">
        <f>+Tabla1[[#This Row],[utilidad x dia]]*7</f>
        <v>0</v>
      </c>
    </row>
    <row r="2224" spans="1:13" x14ac:dyDescent="0.3">
      <c r="A2224" s="6">
        <f>+'[1]VENTAS(RESUMEN GLOBAL)'!L2224</f>
        <v>0</v>
      </c>
      <c r="B2224" s="6">
        <f>+'[1]VENTAS(RESUMEN GLOBAL)'!M2224</f>
        <v>0</v>
      </c>
      <c r="C2224">
        <f>+'[1]VENTAS(RESUMEN GLOBAL)'!B2224</f>
        <v>0</v>
      </c>
      <c r="D2224" t="e">
        <f>INDEX('[1]CÓDIGOS DE PRODUCTO'!$D$3:$D$1000,MATCH(C2224,'[1]CÓDIGOS DE PRODUCTO'!$A$3:$A$1000,0))</f>
        <v>#N/A</v>
      </c>
      <c r="E2224">
        <f>VLOOKUP(C2224,'[1]CÓDIGOS DE PRODUCTO'!$A$4:$B$156,2,FALSE)</f>
        <v>0</v>
      </c>
      <c r="F2224">
        <f>INDEX('[1]CÓDIGOS DE PRODUCTO'!$C$3:$C$1000,MATCH(C2224,'[1]CÓDIGOS DE PRODUCTO'!$A$3:$A$1000,0))</f>
        <v>0</v>
      </c>
      <c r="G2224">
        <f>+'[1]VENTAS(RESUMEN GLOBAL)'!D2224-'[1]VENTAS(RESUMEN GLOBAL)'!E2224</f>
        <v>0</v>
      </c>
      <c r="H2224" s="9">
        <f>+'[1]VENTAS(RESUMEN GLOBAL)'!K2224</f>
        <v>0</v>
      </c>
      <c r="I2224" s="8">
        <f>+G2224*'[1]VENTAS(RESUMEN GLOBAL)'!F2224</f>
        <v>0</v>
      </c>
      <c r="J2224" s="8">
        <f>'[1]VENTAS(RESUMEN GLOBAL)'!G2224*(1-'[1]VENTAS(RESUMEN GLOBAL)'!H2224)</f>
        <v>0</v>
      </c>
      <c r="K2224" s="8">
        <f t="shared" si="34"/>
        <v>0</v>
      </c>
      <c r="L2224" s="8">
        <f>+'[1]VENTAS(RESUMEN GLOBAL)'!J2224</f>
        <v>0</v>
      </c>
      <c r="M2224" s="8">
        <f>+Tabla1[[#This Row],[utilidad x dia]]*7</f>
        <v>0</v>
      </c>
    </row>
    <row r="2225" spans="1:13" x14ac:dyDescent="0.3">
      <c r="A2225" s="6">
        <f>+'[1]VENTAS(RESUMEN GLOBAL)'!L2225</f>
        <v>0</v>
      </c>
      <c r="B2225" s="6">
        <f>+'[1]VENTAS(RESUMEN GLOBAL)'!M2225</f>
        <v>0</v>
      </c>
      <c r="C2225">
        <f>+'[1]VENTAS(RESUMEN GLOBAL)'!B2225</f>
        <v>0</v>
      </c>
      <c r="D2225" t="e">
        <f>INDEX('[1]CÓDIGOS DE PRODUCTO'!$D$3:$D$1000,MATCH(C2225,'[1]CÓDIGOS DE PRODUCTO'!$A$3:$A$1000,0))</f>
        <v>#N/A</v>
      </c>
      <c r="E2225">
        <f>VLOOKUP(C2225,'[1]CÓDIGOS DE PRODUCTO'!$A$4:$B$156,2,FALSE)</f>
        <v>0</v>
      </c>
      <c r="F2225">
        <f>INDEX('[1]CÓDIGOS DE PRODUCTO'!$C$3:$C$1000,MATCH(C2225,'[1]CÓDIGOS DE PRODUCTO'!$A$3:$A$1000,0))</f>
        <v>0</v>
      </c>
      <c r="G2225">
        <f>+'[1]VENTAS(RESUMEN GLOBAL)'!D2225-'[1]VENTAS(RESUMEN GLOBAL)'!E2225</f>
        <v>0</v>
      </c>
      <c r="H2225" s="9">
        <f>+'[1]VENTAS(RESUMEN GLOBAL)'!K2225</f>
        <v>0</v>
      </c>
      <c r="I2225" s="8">
        <f>+G2225*'[1]VENTAS(RESUMEN GLOBAL)'!F2225</f>
        <v>0</v>
      </c>
      <c r="J2225" s="8">
        <f>'[1]VENTAS(RESUMEN GLOBAL)'!G2225*(1-'[1]VENTAS(RESUMEN GLOBAL)'!H2225)</f>
        <v>0</v>
      </c>
      <c r="K2225" s="8">
        <f t="shared" si="34"/>
        <v>0</v>
      </c>
      <c r="L2225" s="8">
        <f>+'[1]VENTAS(RESUMEN GLOBAL)'!J2225</f>
        <v>0</v>
      </c>
      <c r="M2225" s="8">
        <f>+Tabla1[[#This Row],[utilidad x dia]]*7</f>
        <v>0</v>
      </c>
    </row>
    <row r="2226" spans="1:13" x14ac:dyDescent="0.3">
      <c r="A2226" s="6">
        <f>+'[1]VENTAS(RESUMEN GLOBAL)'!L2226</f>
        <v>0</v>
      </c>
      <c r="B2226" s="6">
        <f>+'[1]VENTAS(RESUMEN GLOBAL)'!M2226</f>
        <v>0</v>
      </c>
      <c r="C2226">
        <f>+'[1]VENTAS(RESUMEN GLOBAL)'!B2226</f>
        <v>0</v>
      </c>
      <c r="D2226" t="e">
        <f>INDEX('[1]CÓDIGOS DE PRODUCTO'!$D$3:$D$1000,MATCH(C2226,'[1]CÓDIGOS DE PRODUCTO'!$A$3:$A$1000,0))</f>
        <v>#N/A</v>
      </c>
      <c r="E2226">
        <f>VLOOKUP(C2226,'[1]CÓDIGOS DE PRODUCTO'!$A$4:$B$156,2,FALSE)</f>
        <v>0</v>
      </c>
      <c r="F2226">
        <f>INDEX('[1]CÓDIGOS DE PRODUCTO'!$C$3:$C$1000,MATCH(C2226,'[1]CÓDIGOS DE PRODUCTO'!$A$3:$A$1000,0))</f>
        <v>0</v>
      </c>
      <c r="G2226">
        <f>+'[1]VENTAS(RESUMEN GLOBAL)'!D2226-'[1]VENTAS(RESUMEN GLOBAL)'!E2226</f>
        <v>0</v>
      </c>
      <c r="H2226" s="9">
        <f>+'[1]VENTAS(RESUMEN GLOBAL)'!K2226</f>
        <v>0</v>
      </c>
      <c r="I2226" s="8">
        <f>+G2226*'[1]VENTAS(RESUMEN GLOBAL)'!F2226</f>
        <v>0</v>
      </c>
      <c r="J2226" s="8">
        <f>'[1]VENTAS(RESUMEN GLOBAL)'!G2226*(1-'[1]VENTAS(RESUMEN GLOBAL)'!H2226)</f>
        <v>0</v>
      </c>
      <c r="K2226" s="8">
        <f t="shared" si="34"/>
        <v>0</v>
      </c>
      <c r="L2226" s="8">
        <f>+'[1]VENTAS(RESUMEN GLOBAL)'!J2226</f>
        <v>0</v>
      </c>
      <c r="M2226" s="8">
        <f>+Tabla1[[#This Row],[utilidad x dia]]*7</f>
        <v>0</v>
      </c>
    </row>
    <row r="2227" spans="1:13" x14ac:dyDescent="0.3">
      <c r="A2227" s="6">
        <f>+'[1]VENTAS(RESUMEN GLOBAL)'!L2227</f>
        <v>0</v>
      </c>
      <c r="B2227" s="6">
        <f>+'[1]VENTAS(RESUMEN GLOBAL)'!M2227</f>
        <v>0</v>
      </c>
      <c r="C2227">
        <f>+'[1]VENTAS(RESUMEN GLOBAL)'!B2227</f>
        <v>0</v>
      </c>
      <c r="D2227" t="e">
        <f>INDEX('[1]CÓDIGOS DE PRODUCTO'!$D$3:$D$1000,MATCH(C2227,'[1]CÓDIGOS DE PRODUCTO'!$A$3:$A$1000,0))</f>
        <v>#N/A</v>
      </c>
      <c r="E2227">
        <f>VLOOKUP(C2227,'[1]CÓDIGOS DE PRODUCTO'!$A$4:$B$156,2,FALSE)</f>
        <v>0</v>
      </c>
      <c r="F2227">
        <f>INDEX('[1]CÓDIGOS DE PRODUCTO'!$C$3:$C$1000,MATCH(C2227,'[1]CÓDIGOS DE PRODUCTO'!$A$3:$A$1000,0))</f>
        <v>0</v>
      </c>
      <c r="G2227">
        <f>+'[1]VENTAS(RESUMEN GLOBAL)'!D2227-'[1]VENTAS(RESUMEN GLOBAL)'!E2227</f>
        <v>0</v>
      </c>
      <c r="H2227" s="9">
        <f>+'[1]VENTAS(RESUMEN GLOBAL)'!K2227</f>
        <v>0</v>
      </c>
      <c r="I2227" s="8">
        <f>+G2227*'[1]VENTAS(RESUMEN GLOBAL)'!F2227</f>
        <v>0</v>
      </c>
      <c r="J2227" s="8">
        <f>'[1]VENTAS(RESUMEN GLOBAL)'!G2227*(1-'[1]VENTAS(RESUMEN GLOBAL)'!H2227)</f>
        <v>0</v>
      </c>
      <c r="K2227" s="8">
        <f t="shared" si="34"/>
        <v>0</v>
      </c>
      <c r="L2227" s="8">
        <f>+'[1]VENTAS(RESUMEN GLOBAL)'!J2227</f>
        <v>0</v>
      </c>
      <c r="M2227" s="8">
        <f>+Tabla1[[#This Row],[utilidad x dia]]*7</f>
        <v>0</v>
      </c>
    </row>
    <row r="2228" spans="1:13" x14ac:dyDescent="0.3">
      <c r="A2228" s="6">
        <f>+'[1]VENTAS(RESUMEN GLOBAL)'!L2228</f>
        <v>0</v>
      </c>
      <c r="B2228" s="6">
        <f>+'[1]VENTAS(RESUMEN GLOBAL)'!M2228</f>
        <v>0</v>
      </c>
      <c r="C2228">
        <f>+'[1]VENTAS(RESUMEN GLOBAL)'!B2228</f>
        <v>0</v>
      </c>
      <c r="D2228" t="e">
        <f>INDEX('[1]CÓDIGOS DE PRODUCTO'!$D$3:$D$1000,MATCH(C2228,'[1]CÓDIGOS DE PRODUCTO'!$A$3:$A$1000,0))</f>
        <v>#N/A</v>
      </c>
      <c r="E2228">
        <f>VLOOKUP(C2228,'[1]CÓDIGOS DE PRODUCTO'!$A$4:$B$156,2,FALSE)</f>
        <v>0</v>
      </c>
      <c r="F2228">
        <f>INDEX('[1]CÓDIGOS DE PRODUCTO'!$C$3:$C$1000,MATCH(C2228,'[1]CÓDIGOS DE PRODUCTO'!$A$3:$A$1000,0))</f>
        <v>0</v>
      </c>
      <c r="G2228">
        <f>+'[1]VENTAS(RESUMEN GLOBAL)'!D2228-'[1]VENTAS(RESUMEN GLOBAL)'!E2228</f>
        <v>0</v>
      </c>
      <c r="H2228" s="9">
        <f>+'[1]VENTAS(RESUMEN GLOBAL)'!K2228</f>
        <v>0</v>
      </c>
      <c r="I2228" s="8">
        <f>+G2228*'[1]VENTAS(RESUMEN GLOBAL)'!F2228</f>
        <v>0</v>
      </c>
      <c r="J2228" s="8">
        <f>'[1]VENTAS(RESUMEN GLOBAL)'!G2228*(1-'[1]VENTAS(RESUMEN GLOBAL)'!H2228)</f>
        <v>0</v>
      </c>
      <c r="K2228" s="8">
        <f t="shared" si="34"/>
        <v>0</v>
      </c>
      <c r="L2228" s="8">
        <f>+'[1]VENTAS(RESUMEN GLOBAL)'!J2228</f>
        <v>0</v>
      </c>
      <c r="M2228" s="8">
        <f>+Tabla1[[#This Row],[utilidad x dia]]*7</f>
        <v>0</v>
      </c>
    </row>
    <row r="2229" spans="1:13" x14ac:dyDescent="0.3">
      <c r="A2229" s="6">
        <f>+'[1]VENTAS(RESUMEN GLOBAL)'!L2229</f>
        <v>0</v>
      </c>
      <c r="B2229" s="6">
        <f>+'[1]VENTAS(RESUMEN GLOBAL)'!M2229</f>
        <v>0</v>
      </c>
      <c r="C2229">
        <f>+'[1]VENTAS(RESUMEN GLOBAL)'!B2229</f>
        <v>0</v>
      </c>
      <c r="D2229" t="e">
        <f>INDEX('[1]CÓDIGOS DE PRODUCTO'!$D$3:$D$1000,MATCH(C2229,'[1]CÓDIGOS DE PRODUCTO'!$A$3:$A$1000,0))</f>
        <v>#N/A</v>
      </c>
      <c r="E2229">
        <f>VLOOKUP(C2229,'[1]CÓDIGOS DE PRODUCTO'!$A$4:$B$156,2,FALSE)</f>
        <v>0</v>
      </c>
      <c r="F2229">
        <f>INDEX('[1]CÓDIGOS DE PRODUCTO'!$C$3:$C$1000,MATCH(C2229,'[1]CÓDIGOS DE PRODUCTO'!$A$3:$A$1000,0))</f>
        <v>0</v>
      </c>
      <c r="G2229">
        <f>+'[1]VENTAS(RESUMEN GLOBAL)'!D2229-'[1]VENTAS(RESUMEN GLOBAL)'!E2229</f>
        <v>0</v>
      </c>
      <c r="H2229" s="9">
        <f>+'[1]VENTAS(RESUMEN GLOBAL)'!K2229</f>
        <v>0</v>
      </c>
      <c r="I2229" s="8">
        <f>+G2229*'[1]VENTAS(RESUMEN GLOBAL)'!F2229</f>
        <v>0</v>
      </c>
      <c r="J2229" s="8">
        <f>'[1]VENTAS(RESUMEN GLOBAL)'!G2229*(1-'[1]VENTAS(RESUMEN GLOBAL)'!H2229)</f>
        <v>0</v>
      </c>
      <c r="K2229" s="8">
        <f t="shared" si="34"/>
        <v>0</v>
      </c>
      <c r="L2229" s="8">
        <f>+'[1]VENTAS(RESUMEN GLOBAL)'!J2229</f>
        <v>0</v>
      </c>
      <c r="M2229" s="8">
        <f>+Tabla1[[#This Row],[utilidad x dia]]*7</f>
        <v>0</v>
      </c>
    </row>
    <row r="2230" spans="1:13" x14ac:dyDescent="0.3">
      <c r="A2230" s="6">
        <f>+'[1]VENTAS(RESUMEN GLOBAL)'!L2230</f>
        <v>0</v>
      </c>
      <c r="B2230" s="6">
        <f>+'[1]VENTAS(RESUMEN GLOBAL)'!M2230</f>
        <v>0</v>
      </c>
      <c r="C2230">
        <f>+'[1]VENTAS(RESUMEN GLOBAL)'!B2230</f>
        <v>0</v>
      </c>
      <c r="D2230" t="e">
        <f>INDEX('[1]CÓDIGOS DE PRODUCTO'!$D$3:$D$1000,MATCH(C2230,'[1]CÓDIGOS DE PRODUCTO'!$A$3:$A$1000,0))</f>
        <v>#N/A</v>
      </c>
      <c r="E2230">
        <f>VLOOKUP(C2230,'[1]CÓDIGOS DE PRODUCTO'!$A$4:$B$156,2,FALSE)</f>
        <v>0</v>
      </c>
      <c r="F2230">
        <f>INDEX('[1]CÓDIGOS DE PRODUCTO'!$C$3:$C$1000,MATCH(C2230,'[1]CÓDIGOS DE PRODUCTO'!$A$3:$A$1000,0))</f>
        <v>0</v>
      </c>
      <c r="G2230">
        <f>+'[1]VENTAS(RESUMEN GLOBAL)'!D2230-'[1]VENTAS(RESUMEN GLOBAL)'!E2230</f>
        <v>0</v>
      </c>
      <c r="H2230" s="9">
        <f>+'[1]VENTAS(RESUMEN GLOBAL)'!K2230</f>
        <v>0</v>
      </c>
      <c r="I2230" s="8">
        <f>+G2230*'[1]VENTAS(RESUMEN GLOBAL)'!F2230</f>
        <v>0</v>
      </c>
      <c r="J2230" s="8">
        <f>'[1]VENTAS(RESUMEN GLOBAL)'!G2230*(1-'[1]VENTAS(RESUMEN GLOBAL)'!H2230)</f>
        <v>0</v>
      </c>
      <c r="K2230" s="8">
        <f t="shared" si="34"/>
        <v>0</v>
      </c>
      <c r="L2230" s="8">
        <f>+'[1]VENTAS(RESUMEN GLOBAL)'!J2230</f>
        <v>0</v>
      </c>
      <c r="M2230" s="8">
        <f>+Tabla1[[#This Row],[utilidad x dia]]*7</f>
        <v>0</v>
      </c>
    </row>
    <row r="2231" spans="1:13" x14ac:dyDescent="0.3">
      <c r="A2231" s="6">
        <f>+'[1]VENTAS(RESUMEN GLOBAL)'!L2231</f>
        <v>0</v>
      </c>
      <c r="B2231" s="6">
        <f>+'[1]VENTAS(RESUMEN GLOBAL)'!M2231</f>
        <v>0</v>
      </c>
      <c r="C2231">
        <f>+'[1]VENTAS(RESUMEN GLOBAL)'!B2231</f>
        <v>0</v>
      </c>
      <c r="D2231" t="e">
        <f>INDEX('[1]CÓDIGOS DE PRODUCTO'!$D$3:$D$1000,MATCH(C2231,'[1]CÓDIGOS DE PRODUCTO'!$A$3:$A$1000,0))</f>
        <v>#N/A</v>
      </c>
      <c r="E2231">
        <f>VLOOKUP(C2231,'[1]CÓDIGOS DE PRODUCTO'!$A$4:$B$156,2,FALSE)</f>
        <v>0</v>
      </c>
      <c r="F2231">
        <f>INDEX('[1]CÓDIGOS DE PRODUCTO'!$C$3:$C$1000,MATCH(C2231,'[1]CÓDIGOS DE PRODUCTO'!$A$3:$A$1000,0))</f>
        <v>0</v>
      </c>
      <c r="G2231">
        <f>+'[1]VENTAS(RESUMEN GLOBAL)'!D2231-'[1]VENTAS(RESUMEN GLOBAL)'!E2231</f>
        <v>0</v>
      </c>
      <c r="H2231" s="9">
        <f>+'[1]VENTAS(RESUMEN GLOBAL)'!K2231</f>
        <v>0</v>
      </c>
      <c r="I2231" s="8">
        <f>+G2231*'[1]VENTAS(RESUMEN GLOBAL)'!F2231</f>
        <v>0</v>
      </c>
      <c r="J2231" s="8">
        <f>'[1]VENTAS(RESUMEN GLOBAL)'!G2231*(1-'[1]VENTAS(RESUMEN GLOBAL)'!H2231)</f>
        <v>0</v>
      </c>
      <c r="K2231" s="8">
        <f t="shared" si="34"/>
        <v>0</v>
      </c>
      <c r="L2231" s="8">
        <f>+'[1]VENTAS(RESUMEN GLOBAL)'!J2231</f>
        <v>0</v>
      </c>
      <c r="M2231" s="8">
        <f>+Tabla1[[#This Row],[utilidad x dia]]*7</f>
        <v>0</v>
      </c>
    </row>
    <row r="2232" spans="1:13" x14ac:dyDescent="0.3">
      <c r="A2232" s="6">
        <f>+'[1]VENTAS(RESUMEN GLOBAL)'!L2232</f>
        <v>0</v>
      </c>
      <c r="B2232" s="6">
        <f>+'[1]VENTAS(RESUMEN GLOBAL)'!M2232</f>
        <v>0</v>
      </c>
      <c r="C2232">
        <f>+'[1]VENTAS(RESUMEN GLOBAL)'!B2232</f>
        <v>0</v>
      </c>
      <c r="D2232" t="e">
        <f>INDEX('[1]CÓDIGOS DE PRODUCTO'!$D$3:$D$1000,MATCH(C2232,'[1]CÓDIGOS DE PRODUCTO'!$A$3:$A$1000,0))</f>
        <v>#N/A</v>
      </c>
      <c r="E2232">
        <f>VLOOKUP(C2232,'[1]CÓDIGOS DE PRODUCTO'!$A$4:$B$156,2,FALSE)</f>
        <v>0</v>
      </c>
      <c r="F2232">
        <f>INDEX('[1]CÓDIGOS DE PRODUCTO'!$C$3:$C$1000,MATCH(C2232,'[1]CÓDIGOS DE PRODUCTO'!$A$3:$A$1000,0))</f>
        <v>0</v>
      </c>
      <c r="G2232">
        <f>+'[1]VENTAS(RESUMEN GLOBAL)'!D2232-'[1]VENTAS(RESUMEN GLOBAL)'!E2232</f>
        <v>0</v>
      </c>
      <c r="H2232" s="9">
        <f>+'[1]VENTAS(RESUMEN GLOBAL)'!K2232</f>
        <v>0</v>
      </c>
      <c r="I2232" s="8">
        <f>+G2232*'[1]VENTAS(RESUMEN GLOBAL)'!F2232</f>
        <v>0</v>
      </c>
      <c r="J2232" s="8">
        <f>'[1]VENTAS(RESUMEN GLOBAL)'!G2232*(1-'[1]VENTAS(RESUMEN GLOBAL)'!H2232)</f>
        <v>0</v>
      </c>
      <c r="K2232" s="8">
        <f t="shared" si="34"/>
        <v>0</v>
      </c>
      <c r="L2232" s="8">
        <f>+'[1]VENTAS(RESUMEN GLOBAL)'!J2232</f>
        <v>0</v>
      </c>
      <c r="M2232" s="8">
        <f>+Tabla1[[#This Row],[utilidad x dia]]*7</f>
        <v>0</v>
      </c>
    </row>
    <row r="2233" spans="1:13" x14ac:dyDescent="0.3">
      <c r="A2233" s="6">
        <f>+'[1]VENTAS(RESUMEN GLOBAL)'!L2233</f>
        <v>0</v>
      </c>
      <c r="B2233" s="6">
        <f>+'[1]VENTAS(RESUMEN GLOBAL)'!M2233</f>
        <v>0</v>
      </c>
      <c r="C2233">
        <f>+'[1]VENTAS(RESUMEN GLOBAL)'!B2233</f>
        <v>0</v>
      </c>
      <c r="D2233" t="e">
        <f>INDEX('[1]CÓDIGOS DE PRODUCTO'!$D$3:$D$1000,MATCH(C2233,'[1]CÓDIGOS DE PRODUCTO'!$A$3:$A$1000,0))</f>
        <v>#N/A</v>
      </c>
      <c r="E2233">
        <f>VLOOKUP(C2233,'[1]CÓDIGOS DE PRODUCTO'!$A$4:$B$156,2,FALSE)</f>
        <v>0</v>
      </c>
      <c r="F2233">
        <f>INDEX('[1]CÓDIGOS DE PRODUCTO'!$C$3:$C$1000,MATCH(C2233,'[1]CÓDIGOS DE PRODUCTO'!$A$3:$A$1000,0))</f>
        <v>0</v>
      </c>
      <c r="G2233">
        <f>+'[1]VENTAS(RESUMEN GLOBAL)'!D2233-'[1]VENTAS(RESUMEN GLOBAL)'!E2233</f>
        <v>0</v>
      </c>
      <c r="H2233" s="9">
        <f>+'[1]VENTAS(RESUMEN GLOBAL)'!K2233</f>
        <v>0</v>
      </c>
      <c r="I2233" s="8">
        <f>+G2233*'[1]VENTAS(RESUMEN GLOBAL)'!F2233</f>
        <v>0</v>
      </c>
      <c r="J2233" s="8">
        <f>'[1]VENTAS(RESUMEN GLOBAL)'!G2233*(1-'[1]VENTAS(RESUMEN GLOBAL)'!H2233)</f>
        <v>0</v>
      </c>
      <c r="K2233" s="8">
        <f t="shared" si="34"/>
        <v>0</v>
      </c>
      <c r="L2233" s="8">
        <f>+'[1]VENTAS(RESUMEN GLOBAL)'!J2233</f>
        <v>0</v>
      </c>
      <c r="M2233" s="8">
        <f>+Tabla1[[#This Row],[utilidad x dia]]*7</f>
        <v>0</v>
      </c>
    </row>
    <row r="2234" spans="1:13" x14ac:dyDescent="0.3">
      <c r="A2234" s="6">
        <f>+'[1]VENTAS(RESUMEN GLOBAL)'!L2234</f>
        <v>0</v>
      </c>
      <c r="B2234" s="6">
        <f>+'[1]VENTAS(RESUMEN GLOBAL)'!M2234</f>
        <v>0</v>
      </c>
      <c r="C2234">
        <f>+'[1]VENTAS(RESUMEN GLOBAL)'!B2234</f>
        <v>0</v>
      </c>
      <c r="D2234" t="e">
        <f>INDEX('[1]CÓDIGOS DE PRODUCTO'!$D$3:$D$1000,MATCH(C2234,'[1]CÓDIGOS DE PRODUCTO'!$A$3:$A$1000,0))</f>
        <v>#N/A</v>
      </c>
      <c r="E2234">
        <f>VLOOKUP(C2234,'[1]CÓDIGOS DE PRODUCTO'!$A$4:$B$156,2,FALSE)</f>
        <v>0</v>
      </c>
      <c r="F2234">
        <f>INDEX('[1]CÓDIGOS DE PRODUCTO'!$C$3:$C$1000,MATCH(C2234,'[1]CÓDIGOS DE PRODUCTO'!$A$3:$A$1000,0))</f>
        <v>0</v>
      </c>
      <c r="G2234">
        <f>+'[1]VENTAS(RESUMEN GLOBAL)'!D2234-'[1]VENTAS(RESUMEN GLOBAL)'!E2234</f>
        <v>0</v>
      </c>
      <c r="H2234" s="9">
        <f>+'[1]VENTAS(RESUMEN GLOBAL)'!K2234</f>
        <v>0</v>
      </c>
      <c r="I2234" s="8">
        <f>+G2234*'[1]VENTAS(RESUMEN GLOBAL)'!F2234</f>
        <v>0</v>
      </c>
      <c r="J2234" s="8">
        <f>'[1]VENTAS(RESUMEN GLOBAL)'!G2234*(1-'[1]VENTAS(RESUMEN GLOBAL)'!H2234)</f>
        <v>0</v>
      </c>
      <c r="K2234" s="8">
        <f t="shared" si="34"/>
        <v>0</v>
      </c>
      <c r="L2234" s="8">
        <f>+'[1]VENTAS(RESUMEN GLOBAL)'!J2234</f>
        <v>0</v>
      </c>
      <c r="M2234" s="8">
        <f>+Tabla1[[#This Row],[utilidad x dia]]*7</f>
        <v>0</v>
      </c>
    </row>
    <row r="2235" spans="1:13" x14ac:dyDescent="0.3">
      <c r="A2235" s="6">
        <f>+'[1]VENTAS(RESUMEN GLOBAL)'!L2235</f>
        <v>0</v>
      </c>
      <c r="B2235" s="6">
        <f>+'[1]VENTAS(RESUMEN GLOBAL)'!M2235</f>
        <v>0</v>
      </c>
      <c r="C2235">
        <f>+'[1]VENTAS(RESUMEN GLOBAL)'!B2235</f>
        <v>0</v>
      </c>
      <c r="D2235" t="e">
        <f>INDEX('[1]CÓDIGOS DE PRODUCTO'!$D$3:$D$1000,MATCH(C2235,'[1]CÓDIGOS DE PRODUCTO'!$A$3:$A$1000,0))</f>
        <v>#N/A</v>
      </c>
      <c r="E2235">
        <f>VLOOKUP(C2235,'[1]CÓDIGOS DE PRODUCTO'!$A$4:$B$156,2,FALSE)</f>
        <v>0</v>
      </c>
      <c r="F2235">
        <f>INDEX('[1]CÓDIGOS DE PRODUCTO'!$C$3:$C$1000,MATCH(C2235,'[1]CÓDIGOS DE PRODUCTO'!$A$3:$A$1000,0))</f>
        <v>0</v>
      </c>
      <c r="G2235">
        <f>+'[1]VENTAS(RESUMEN GLOBAL)'!D2235-'[1]VENTAS(RESUMEN GLOBAL)'!E2235</f>
        <v>0</v>
      </c>
      <c r="H2235" s="9">
        <f>+'[1]VENTAS(RESUMEN GLOBAL)'!K2235</f>
        <v>0</v>
      </c>
      <c r="I2235" s="8">
        <f>+G2235*'[1]VENTAS(RESUMEN GLOBAL)'!F2235</f>
        <v>0</v>
      </c>
      <c r="J2235" s="8">
        <f>'[1]VENTAS(RESUMEN GLOBAL)'!G2235*(1-'[1]VENTAS(RESUMEN GLOBAL)'!H2235)</f>
        <v>0</v>
      </c>
      <c r="K2235" s="8">
        <f t="shared" si="34"/>
        <v>0</v>
      </c>
      <c r="L2235" s="8">
        <f>+'[1]VENTAS(RESUMEN GLOBAL)'!J2235</f>
        <v>0</v>
      </c>
      <c r="M2235" s="8">
        <f>+Tabla1[[#This Row],[utilidad x dia]]*7</f>
        <v>0</v>
      </c>
    </row>
    <row r="2236" spans="1:13" x14ac:dyDescent="0.3">
      <c r="A2236" s="6">
        <f>+'[1]VENTAS(RESUMEN GLOBAL)'!L2236</f>
        <v>0</v>
      </c>
      <c r="B2236" s="6">
        <f>+'[1]VENTAS(RESUMEN GLOBAL)'!M2236</f>
        <v>0</v>
      </c>
      <c r="C2236">
        <f>+'[1]VENTAS(RESUMEN GLOBAL)'!B2236</f>
        <v>0</v>
      </c>
      <c r="D2236" t="e">
        <f>INDEX('[1]CÓDIGOS DE PRODUCTO'!$D$3:$D$1000,MATCH(C2236,'[1]CÓDIGOS DE PRODUCTO'!$A$3:$A$1000,0))</f>
        <v>#N/A</v>
      </c>
      <c r="E2236">
        <f>VLOOKUP(C2236,'[1]CÓDIGOS DE PRODUCTO'!$A$4:$B$156,2,FALSE)</f>
        <v>0</v>
      </c>
      <c r="F2236">
        <f>INDEX('[1]CÓDIGOS DE PRODUCTO'!$C$3:$C$1000,MATCH(C2236,'[1]CÓDIGOS DE PRODUCTO'!$A$3:$A$1000,0))</f>
        <v>0</v>
      </c>
      <c r="G2236">
        <f>+'[1]VENTAS(RESUMEN GLOBAL)'!D2236-'[1]VENTAS(RESUMEN GLOBAL)'!E2236</f>
        <v>0</v>
      </c>
      <c r="H2236" s="9">
        <f>+'[1]VENTAS(RESUMEN GLOBAL)'!K2236</f>
        <v>0</v>
      </c>
      <c r="I2236" s="8">
        <f>+G2236*'[1]VENTAS(RESUMEN GLOBAL)'!F2236</f>
        <v>0</v>
      </c>
      <c r="J2236" s="8">
        <f>'[1]VENTAS(RESUMEN GLOBAL)'!G2236*(1-'[1]VENTAS(RESUMEN GLOBAL)'!H2236)</f>
        <v>0</v>
      </c>
      <c r="K2236" s="8">
        <f t="shared" si="34"/>
        <v>0</v>
      </c>
      <c r="L2236" s="8">
        <f>+'[1]VENTAS(RESUMEN GLOBAL)'!J2236</f>
        <v>0</v>
      </c>
      <c r="M2236" s="8">
        <f>+Tabla1[[#This Row],[utilidad x dia]]*7</f>
        <v>0</v>
      </c>
    </row>
    <row r="2237" spans="1:13" x14ac:dyDescent="0.3">
      <c r="A2237" s="6">
        <f>+'[1]VENTAS(RESUMEN GLOBAL)'!L2237</f>
        <v>0</v>
      </c>
      <c r="B2237" s="6">
        <f>+'[1]VENTAS(RESUMEN GLOBAL)'!M2237</f>
        <v>0</v>
      </c>
      <c r="C2237">
        <f>+'[1]VENTAS(RESUMEN GLOBAL)'!B2237</f>
        <v>0</v>
      </c>
      <c r="D2237" t="e">
        <f>INDEX('[1]CÓDIGOS DE PRODUCTO'!$D$3:$D$1000,MATCH(C2237,'[1]CÓDIGOS DE PRODUCTO'!$A$3:$A$1000,0))</f>
        <v>#N/A</v>
      </c>
      <c r="E2237">
        <f>VLOOKUP(C2237,'[1]CÓDIGOS DE PRODUCTO'!$A$4:$B$156,2,FALSE)</f>
        <v>0</v>
      </c>
      <c r="F2237">
        <f>INDEX('[1]CÓDIGOS DE PRODUCTO'!$C$3:$C$1000,MATCH(C2237,'[1]CÓDIGOS DE PRODUCTO'!$A$3:$A$1000,0))</f>
        <v>0</v>
      </c>
      <c r="G2237">
        <f>+'[1]VENTAS(RESUMEN GLOBAL)'!D2237-'[1]VENTAS(RESUMEN GLOBAL)'!E2237</f>
        <v>0</v>
      </c>
      <c r="H2237" s="9">
        <f>+'[1]VENTAS(RESUMEN GLOBAL)'!K2237</f>
        <v>0</v>
      </c>
      <c r="I2237" s="8">
        <f>+G2237*'[1]VENTAS(RESUMEN GLOBAL)'!F2237</f>
        <v>0</v>
      </c>
      <c r="J2237" s="8">
        <f>'[1]VENTAS(RESUMEN GLOBAL)'!G2237*(1-'[1]VENTAS(RESUMEN GLOBAL)'!H2237)</f>
        <v>0</v>
      </c>
      <c r="K2237" s="8">
        <f t="shared" si="34"/>
        <v>0</v>
      </c>
      <c r="L2237" s="8">
        <f>+'[1]VENTAS(RESUMEN GLOBAL)'!J2237</f>
        <v>0</v>
      </c>
      <c r="M2237" s="8">
        <f>+Tabla1[[#This Row],[utilidad x dia]]*7</f>
        <v>0</v>
      </c>
    </row>
    <row r="2238" spans="1:13" x14ac:dyDescent="0.3">
      <c r="A2238" s="6">
        <f>+'[1]VENTAS(RESUMEN GLOBAL)'!L2238</f>
        <v>0</v>
      </c>
      <c r="B2238" s="6">
        <f>+'[1]VENTAS(RESUMEN GLOBAL)'!M2238</f>
        <v>0</v>
      </c>
      <c r="C2238">
        <f>+'[1]VENTAS(RESUMEN GLOBAL)'!B2238</f>
        <v>0</v>
      </c>
      <c r="D2238" t="e">
        <f>INDEX('[1]CÓDIGOS DE PRODUCTO'!$D$3:$D$1000,MATCH(C2238,'[1]CÓDIGOS DE PRODUCTO'!$A$3:$A$1000,0))</f>
        <v>#N/A</v>
      </c>
      <c r="E2238">
        <f>VLOOKUP(C2238,'[1]CÓDIGOS DE PRODUCTO'!$A$4:$B$156,2,FALSE)</f>
        <v>0</v>
      </c>
      <c r="F2238">
        <f>INDEX('[1]CÓDIGOS DE PRODUCTO'!$C$3:$C$1000,MATCH(C2238,'[1]CÓDIGOS DE PRODUCTO'!$A$3:$A$1000,0))</f>
        <v>0</v>
      </c>
      <c r="G2238">
        <f>+'[1]VENTAS(RESUMEN GLOBAL)'!D2238-'[1]VENTAS(RESUMEN GLOBAL)'!E2238</f>
        <v>0</v>
      </c>
      <c r="H2238" s="9">
        <f>+'[1]VENTAS(RESUMEN GLOBAL)'!K2238</f>
        <v>0</v>
      </c>
      <c r="I2238" s="8">
        <f>+G2238*'[1]VENTAS(RESUMEN GLOBAL)'!F2238</f>
        <v>0</v>
      </c>
      <c r="J2238" s="8">
        <f>'[1]VENTAS(RESUMEN GLOBAL)'!G2238*(1-'[1]VENTAS(RESUMEN GLOBAL)'!H2238)</f>
        <v>0</v>
      </c>
      <c r="K2238" s="8">
        <f t="shared" si="34"/>
        <v>0</v>
      </c>
      <c r="L2238" s="8">
        <f>+'[1]VENTAS(RESUMEN GLOBAL)'!J2238</f>
        <v>0</v>
      </c>
      <c r="M2238" s="8">
        <f>+Tabla1[[#This Row],[utilidad x dia]]*7</f>
        <v>0</v>
      </c>
    </row>
    <row r="2239" spans="1:13" x14ac:dyDescent="0.3">
      <c r="A2239" s="6">
        <f>+'[1]VENTAS(RESUMEN GLOBAL)'!L2239</f>
        <v>0</v>
      </c>
      <c r="B2239" s="6">
        <f>+'[1]VENTAS(RESUMEN GLOBAL)'!M2239</f>
        <v>0</v>
      </c>
      <c r="C2239">
        <f>+'[1]VENTAS(RESUMEN GLOBAL)'!B2239</f>
        <v>0</v>
      </c>
      <c r="D2239" t="e">
        <f>INDEX('[1]CÓDIGOS DE PRODUCTO'!$D$3:$D$1000,MATCH(C2239,'[1]CÓDIGOS DE PRODUCTO'!$A$3:$A$1000,0))</f>
        <v>#N/A</v>
      </c>
      <c r="E2239">
        <f>VLOOKUP(C2239,'[1]CÓDIGOS DE PRODUCTO'!$A$4:$B$156,2,FALSE)</f>
        <v>0</v>
      </c>
      <c r="F2239">
        <f>INDEX('[1]CÓDIGOS DE PRODUCTO'!$C$3:$C$1000,MATCH(C2239,'[1]CÓDIGOS DE PRODUCTO'!$A$3:$A$1000,0))</f>
        <v>0</v>
      </c>
      <c r="G2239">
        <f>+'[1]VENTAS(RESUMEN GLOBAL)'!D2239-'[1]VENTAS(RESUMEN GLOBAL)'!E2239</f>
        <v>0</v>
      </c>
      <c r="H2239" s="9">
        <f>+'[1]VENTAS(RESUMEN GLOBAL)'!K2239</f>
        <v>0</v>
      </c>
      <c r="I2239" s="8">
        <f>+G2239*'[1]VENTAS(RESUMEN GLOBAL)'!F2239</f>
        <v>0</v>
      </c>
      <c r="J2239" s="8">
        <f>'[1]VENTAS(RESUMEN GLOBAL)'!G2239*(1-'[1]VENTAS(RESUMEN GLOBAL)'!H2239)</f>
        <v>0</v>
      </c>
      <c r="K2239" s="8">
        <f t="shared" si="34"/>
        <v>0</v>
      </c>
      <c r="L2239" s="8">
        <f>+'[1]VENTAS(RESUMEN GLOBAL)'!J2239</f>
        <v>0</v>
      </c>
      <c r="M2239" s="8">
        <f>+Tabla1[[#This Row],[utilidad x dia]]*7</f>
        <v>0</v>
      </c>
    </row>
    <row r="2240" spans="1:13" x14ac:dyDescent="0.3">
      <c r="A2240" s="6">
        <f>+'[1]VENTAS(RESUMEN GLOBAL)'!L2240</f>
        <v>0</v>
      </c>
      <c r="B2240" s="6">
        <f>+'[1]VENTAS(RESUMEN GLOBAL)'!M2240</f>
        <v>0</v>
      </c>
      <c r="C2240">
        <f>+'[1]VENTAS(RESUMEN GLOBAL)'!B2240</f>
        <v>0</v>
      </c>
      <c r="D2240" t="e">
        <f>INDEX('[1]CÓDIGOS DE PRODUCTO'!$D$3:$D$1000,MATCH(C2240,'[1]CÓDIGOS DE PRODUCTO'!$A$3:$A$1000,0))</f>
        <v>#N/A</v>
      </c>
      <c r="E2240">
        <f>VLOOKUP(C2240,'[1]CÓDIGOS DE PRODUCTO'!$A$4:$B$156,2,FALSE)</f>
        <v>0</v>
      </c>
      <c r="F2240">
        <f>INDEX('[1]CÓDIGOS DE PRODUCTO'!$C$3:$C$1000,MATCH(C2240,'[1]CÓDIGOS DE PRODUCTO'!$A$3:$A$1000,0))</f>
        <v>0</v>
      </c>
      <c r="G2240">
        <f>+'[1]VENTAS(RESUMEN GLOBAL)'!D2240-'[1]VENTAS(RESUMEN GLOBAL)'!E2240</f>
        <v>0</v>
      </c>
      <c r="H2240" s="9">
        <f>+'[1]VENTAS(RESUMEN GLOBAL)'!K2240</f>
        <v>0</v>
      </c>
      <c r="I2240" s="8">
        <f>+G2240*'[1]VENTAS(RESUMEN GLOBAL)'!F2240</f>
        <v>0</v>
      </c>
      <c r="J2240" s="8">
        <f>'[1]VENTAS(RESUMEN GLOBAL)'!G2240*(1-'[1]VENTAS(RESUMEN GLOBAL)'!H2240)</f>
        <v>0</v>
      </c>
      <c r="K2240" s="8">
        <f t="shared" si="34"/>
        <v>0</v>
      </c>
      <c r="L2240" s="8">
        <f>+'[1]VENTAS(RESUMEN GLOBAL)'!J2240</f>
        <v>0</v>
      </c>
      <c r="M2240" s="8">
        <f>+Tabla1[[#This Row],[utilidad x dia]]*7</f>
        <v>0</v>
      </c>
    </row>
    <row r="2241" spans="1:13" x14ac:dyDescent="0.3">
      <c r="A2241" s="6">
        <f>+'[1]VENTAS(RESUMEN GLOBAL)'!L2241</f>
        <v>0</v>
      </c>
      <c r="B2241" s="6">
        <f>+'[1]VENTAS(RESUMEN GLOBAL)'!M2241</f>
        <v>0</v>
      </c>
      <c r="C2241">
        <f>+'[1]VENTAS(RESUMEN GLOBAL)'!B2241</f>
        <v>0</v>
      </c>
      <c r="D2241" t="e">
        <f>INDEX('[1]CÓDIGOS DE PRODUCTO'!$D$3:$D$1000,MATCH(C2241,'[1]CÓDIGOS DE PRODUCTO'!$A$3:$A$1000,0))</f>
        <v>#N/A</v>
      </c>
      <c r="E2241">
        <f>VLOOKUP(C2241,'[1]CÓDIGOS DE PRODUCTO'!$A$4:$B$156,2,FALSE)</f>
        <v>0</v>
      </c>
      <c r="F2241">
        <f>INDEX('[1]CÓDIGOS DE PRODUCTO'!$C$3:$C$1000,MATCH(C2241,'[1]CÓDIGOS DE PRODUCTO'!$A$3:$A$1000,0))</f>
        <v>0</v>
      </c>
      <c r="G2241">
        <f>+'[1]VENTAS(RESUMEN GLOBAL)'!D2241-'[1]VENTAS(RESUMEN GLOBAL)'!E2241</f>
        <v>0</v>
      </c>
      <c r="H2241" s="9">
        <f>+'[1]VENTAS(RESUMEN GLOBAL)'!K2241</f>
        <v>0</v>
      </c>
      <c r="I2241" s="8">
        <f>+G2241*'[1]VENTAS(RESUMEN GLOBAL)'!F2241</f>
        <v>0</v>
      </c>
      <c r="J2241" s="8">
        <f>'[1]VENTAS(RESUMEN GLOBAL)'!G2241*(1-'[1]VENTAS(RESUMEN GLOBAL)'!H2241)</f>
        <v>0</v>
      </c>
      <c r="K2241" s="8">
        <f t="shared" si="34"/>
        <v>0</v>
      </c>
      <c r="L2241" s="8">
        <f>+'[1]VENTAS(RESUMEN GLOBAL)'!J2241</f>
        <v>0</v>
      </c>
      <c r="M2241" s="8">
        <f>+Tabla1[[#This Row],[utilidad x dia]]*7</f>
        <v>0</v>
      </c>
    </row>
    <row r="2242" spans="1:13" x14ac:dyDescent="0.3">
      <c r="A2242" s="6">
        <f>+'[1]VENTAS(RESUMEN GLOBAL)'!L2242</f>
        <v>0</v>
      </c>
      <c r="B2242" s="6">
        <f>+'[1]VENTAS(RESUMEN GLOBAL)'!M2242</f>
        <v>0</v>
      </c>
      <c r="C2242">
        <f>+'[1]VENTAS(RESUMEN GLOBAL)'!B2242</f>
        <v>0</v>
      </c>
      <c r="D2242" t="e">
        <f>INDEX('[1]CÓDIGOS DE PRODUCTO'!$D$3:$D$1000,MATCH(C2242,'[1]CÓDIGOS DE PRODUCTO'!$A$3:$A$1000,0))</f>
        <v>#N/A</v>
      </c>
      <c r="E2242">
        <f>VLOOKUP(C2242,'[1]CÓDIGOS DE PRODUCTO'!$A$4:$B$156,2,FALSE)</f>
        <v>0</v>
      </c>
      <c r="F2242">
        <f>INDEX('[1]CÓDIGOS DE PRODUCTO'!$C$3:$C$1000,MATCH(C2242,'[1]CÓDIGOS DE PRODUCTO'!$A$3:$A$1000,0))</f>
        <v>0</v>
      </c>
      <c r="G2242">
        <f>+'[1]VENTAS(RESUMEN GLOBAL)'!D2242-'[1]VENTAS(RESUMEN GLOBAL)'!E2242</f>
        <v>0</v>
      </c>
      <c r="H2242" s="9">
        <f>+'[1]VENTAS(RESUMEN GLOBAL)'!K2242</f>
        <v>0</v>
      </c>
      <c r="I2242" s="8">
        <f>+G2242*'[1]VENTAS(RESUMEN GLOBAL)'!F2242</f>
        <v>0</v>
      </c>
      <c r="J2242" s="8">
        <f>'[1]VENTAS(RESUMEN GLOBAL)'!G2242*(1-'[1]VENTAS(RESUMEN GLOBAL)'!H2242)</f>
        <v>0</v>
      </c>
      <c r="K2242" s="8">
        <f t="shared" si="34"/>
        <v>0</v>
      </c>
      <c r="L2242" s="8">
        <f>+'[1]VENTAS(RESUMEN GLOBAL)'!J2242</f>
        <v>0</v>
      </c>
      <c r="M2242" s="8">
        <f>+Tabla1[[#This Row],[utilidad x dia]]*7</f>
        <v>0</v>
      </c>
    </row>
    <row r="2243" spans="1:13" x14ac:dyDescent="0.3">
      <c r="A2243" s="6">
        <f>+'[1]VENTAS(RESUMEN GLOBAL)'!L2243</f>
        <v>0</v>
      </c>
      <c r="B2243" s="6">
        <f>+'[1]VENTAS(RESUMEN GLOBAL)'!M2243</f>
        <v>0</v>
      </c>
      <c r="C2243">
        <f>+'[1]VENTAS(RESUMEN GLOBAL)'!B2243</f>
        <v>0</v>
      </c>
      <c r="D2243" t="e">
        <f>INDEX('[1]CÓDIGOS DE PRODUCTO'!$D$3:$D$1000,MATCH(C2243,'[1]CÓDIGOS DE PRODUCTO'!$A$3:$A$1000,0))</f>
        <v>#N/A</v>
      </c>
      <c r="E2243">
        <f>VLOOKUP(C2243,'[1]CÓDIGOS DE PRODUCTO'!$A$4:$B$156,2,FALSE)</f>
        <v>0</v>
      </c>
      <c r="F2243">
        <f>INDEX('[1]CÓDIGOS DE PRODUCTO'!$C$3:$C$1000,MATCH(C2243,'[1]CÓDIGOS DE PRODUCTO'!$A$3:$A$1000,0))</f>
        <v>0</v>
      </c>
      <c r="G2243">
        <f>+'[1]VENTAS(RESUMEN GLOBAL)'!D2243-'[1]VENTAS(RESUMEN GLOBAL)'!E2243</f>
        <v>0</v>
      </c>
      <c r="H2243" s="9">
        <f>+'[1]VENTAS(RESUMEN GLOBAL)'!K2243</f>
        <v>0</v>
      </c>
      <c r="I2243" s="8">
        <f>+G2243*'[1]VENTAS(RESUMEN GLOBAL)'!F2243</f>
        <v>0</v>
      </c>
      <c r="J2243" s="8">
        <f>'[1]VENTAS(RESUMEN GLOBAL)'!G2243*(1-'[1]VENTAS(RESUMEN GLOBAL)'!H2243)</f>
        <v>0</v>
      </c>
      <c r="K2243" s="8">
        <f t="shared" ref="K2243:K2306" si="35">+I2243-J2243</f>
        <v>0</v>
      </c>
      <c r="L2243" s="8">
        <f>+'[1]VENTAS(RESUMEN GLOBAL)'!J2243</f>
        <v>0</v>
      </c>
      <c r="M2243" s="8">
        <f>+Tabla1[[#This Row],[utilidad x dia]]*7</f>
        <v>0</v>
      </c>
    </row>
    <row r="2244" spans="1:13" x14ac:dyDescent="0.3">
      <c r="A2244" s="6">
        <f>+'[1]VENTAS(RESUMEN GLOBAL)'!L2244</f>
        <v>0</v>
      </c>
      <c r="B2244" s="6">
        <f>+'[1]VENTAS(RESUMEN GLOBAL)'!M2244</f>
        <v>0</v>
      </c>
      <c r="C2244">
        <f>+'[1]VENTAS(RESUMEN GLOBAL)'!B2244</f>
        <v>0</v>
      </c>
      <c r="D2244" t="e">
        <f>INDEX('[1]CÓDIGOS DE PRODUCTO'!$D$3:$D$1000,MATCH(C2244,'[1]CÓDIGOS DE PRODUCTO'!$A$3:$A$1000,0))</f>
        <v>#N/A</v>
      </c>
      <c r="E2244">
        <f>VLOOKUP(C2244,'[1]CÓDIGOS DE PRODUCTO'!$A$4:$B$156,2,FALSE)</f>
        <v>0</v>
      </c>
      <c r="F2244">
        <f>INDEX('[1]CÓDIGOS DE PRODUCTO'!$C$3:$C$1000,MATCH(C2244,'[1]CÓDIGOS DE PRODUCTO'!$A$3:$A$1000,0))</f>
        <v>0</v>
      </c>
      <c r="G2244">
        <f>+'[1]VENTAS(RESUMEN GLOBAL)'!D2244-'[1]VENTAS(RESUMEN GLOBAL)'!E2244</f>
        <v>0</v>
      </c>
      <c r="H2244" s="9">
        <f>+'[1]VENTAS(RESUMEN GLOBAL)'!K2244</f>
        <v>0</v>
      </c>
      <c r="I2244" s="8">
        <f>+G2244*'[1]VENTAS(RESUMEN GLOBAL)'!F2244</f>
        <v>0</v>
      </c>
      <c r="J2244" s="8">
        <f>'[1]VENTAS(RESUMEN GLOBAL)'!G2244*(1-'[1]VENTAS(RESUMEN GLOBAL)'!H2244)</f>
        <v>0</v>
      </c>
      <c r="K2244" s="8">
        <f t="shared" si="35"/>
        <v>0</v>
      </c>
      <c r="L2244" s="8">
        <f>+'[1]VENTAS(RESUMEN GLOBAL)'!J2244</f>
        <v>0</v>
      </c>
      <c r="M2244" s="8">
        <f>+Tabla1[[#This Row],[utilidad x dia]]*7</f>
        <v>0</v>
      </c>
    </row>
    <row r="2245" spans="1:13" x14ac:dyDescent="0.3">
      <c r="A2245" s="6">
        <f>+'[1]VENTAS(RESUMEN GLOBAL)'!L2245</f>
        <v>0</v>
      </c>
      <c r="B2245" s="6">
        <f>+'[1]VENTAS(RESUMEN GLOBAL)'!M2245</f>
        <v>0</v>
      </c>
      <c r="C2245">
        <f>+'[1]VENTAS(RESUMEN GLOBAL)'!B2245</f>
        <v>0</v>
      </c>
      <c r="D2245" t="e">
        <f>INDEX('[1]CÓDIGOS DE PRODUCTO'!$D$3:$D$1000,MATCH(C2245,'[1]CÓDIGOS DE PRODUCTO'!$A$3:$A$1000,0))</f>
        <v>#N/A</v>
      </c>
      <c r="E2245">
        <f>VLOOKUP(C2245,'[1]CÓDIGOS DE PRODUCTO'!$A$4:$B$156,2,FALSE)</f>
        <v>0</v>
      </c>
      <c r="F2245">
        <f>INDEX('[1]CÓDIGOS DE PRODUCTO'!$C$3:$C$1000,MATCH(C2245,'[1]CÓDIGOS DE PRODUCTO'!$A$3:$A$1000,0))</f>
        <v>0</v>
      </c>
      <c r="G2245">
        <f>+'[1]VENTAS(RESUMEN GLOBAL)'!D2245-'[1]VENTAS(RESUMEN GLOBAL)'!E2245</f>
        <v>0</v>
      </c>
      <c r="H2245" s="9">
        <f>+'[1]VENTAS(RESUMEN GLOBAL)'!K2245</f>
        <v>0</v>
      </c>
      <c r="I2245" s="8">
        <f>+G2245*'[1]VENTAS(RESUMEN GLOBAL)'!F2245</f>
        <v>0</v>
      </c>
      <c r="J2245" s="8">
        <f>'[1]VENTAS(RESUMEN GLOBAL)'!G2245*(1-'[1]VENTAS(RESUMEN GLOBAL)'!H2245)</f>
        <v>0</v>
      </c>
      <c r="K2245" s="8">
        <f t="shared" si="35"/>
        <v>0</v>
      </c>
      <c r="L2245" s="8">
        <f>+'[1]VENTAS(RESUMEN GLOBAL)'!J2245</f>
        <v>0</v>
      </c>
      <c r="M2245" s="8">
        <f>+Tabla1[[#This Row],[utilidad x dia]]*7</f>
        <v>0</v>
      </c>
    </row>
    <row r="2246" spans="1:13" x14ac:dyDescent="0.3">
      <c r="A2246" s="6">
        <f>+'[1]VENTAS(RESUMEN GLOBAL)'!L2246</f>
        <v>0</v>
      </c>
      <c r="B2246" s="6">
        <f>+'[1]VENTAS(RESUMEN GLOBAL)'!M2246</f>
        <v>0</v>
      </c>
      <c r="C2246">
        <f>+'[1]VENTAS(RESUMEN GLOBAL)'!B2246</f>
        <v>0</v>
      </c>
      <c r="D2246" t="e">
        <f>INDEX('[1]CÓDIGOS DE PRODUCTO'!$D$3:$D$1000,MATCH(C2246,'[1]CÓDIGOS DE PRODUCTO'!$A$3:$A$1000,0))</f>
        <v>#N/A</v>
      </c>
      <c r="E2246">
        <f>VLOOKUP(C2246,'[1]CÓDIGOS DE PRODUCTO'!$A$4:$B$156,2,FALSE)</f>
        <v>0</v>
      </c>
      <c r="F2246">
        <f>INDEX('[1]CÓDIGOS DE PRODUCTO'!$C$3:$C$1000,MATCH(C2246,'[1]CÓDIGOS DE PRODUCTO'!$A$3:$A$1000,0))</f>
        <v>0</v>
      </c>
      <c r="G2246">
        <f>+'[1]VENTAS(RESUMEN GLOBAL)'!D2246-'[1]VENTAS(RESUMEN GLOBAL)'!E2246</f>
        <v>0</v>
      </c>
      <c r="H2246" s="9">
        <f>+'[1]VENTAS(RESUMEN GLOBAL)'!K2246</f>
        <v>0</v>
      </c>
      <c r="I2246" s="8">
        <f>+G2246*'[1]VENTAS(RESUMEN GLOBAL)'!F2246</f>
        <v>0</v>
      </c>
      <c r="J2246" s="8">
        <f>'[1]VENTAS(RESUMEN GLOBAL)'!G2246*(1-'[1]VENTAS(RESUMEN GLOBAL)'!H2246)</f>
        <v>0</v>
      </c>
      <c r="K2246" s="8">
        <f t="shared" si="35"/>
        <v>0</v>
      </c>
      <c r="L2246" s="8">
        <f>+'[1]VENTAS(RESUMEN GLOBAL)'!J2246</f>
        <v>0</v>
      </c>
      <c r="M2246" s="8">
        <f>+Tabla1[[#This Row],[utilidad x dia]]*7</f>
        <v>0</v>
      </c>
    </row>
    <row r="2247" spans="1:13" x14ac:dyDescent="0.3">
      <c r="A2247" s="6">
        <f>+'[1]VENTAS(RESUMEN GLOBAL)'!L2247</f>
        <v>0</v>
      </c>
      <c r="B2247" s="6">
        <f>+'[1]VENTAS(RESUMEN GLOBAL)'!M2247</f>
        <v>0</v>
      </c>
      <c r="C2247">
        <f>+'[1]VENTAS(RESUMEN GLOBAL)'!B2247</f>
        <v>0</v>
      </c>
      <c r="D2247" t="e">
        <f>INDEX('[1]CÓDIGOS DE PRODUCTO'!$D$3:$D$1000,MATCH(C2247,'[1]CÓDIGOS DE PRODUCTO'!$A$3:$A$1000,0))</f>
        <v>#N/A</v>
      </c>
      <c r="E2247">
        <f>VLOOKUP(C2247,'[1]CÓDIGOS DE PRODUCTO'!$A$4:$B$156,2,FALSE)</f>
        <v>0</v>
      </c>
      <c r="F2247">
        <f>INDEX('[1]CÓDIGOS DE PRODUCTO'!$C$3:$C$1000,MATCH(C2247,'[1]CÓDIGOS DE PRODUCTO'!$A$3:$A$1000,0))</f>
        <v>0</v>
      </c>
      <c r="G2247">
        <f>+'[1]VENTAS(RESUMEN GLOBAL)'!D2247-'[1]VENTAS(RESUMEN GLOBAL)'!E2247</f>
        <v>0</v>
      </c>
      <c r="H2247" s="9">
        <f>+'[1]VENTAS(RESUMEN GLOBAL)'!K2247</f>
        <v>0</v>
      </c>
      <c r="I2247" s="8">
        <f>+G2247*'[1]VENTAS(RESUMEN GLOBAL)'!F2247</f>
        <v>0</v>
      </c>
      <c r="J2247" s="8">
        <f>'[1]VENTAS(RESUMEN GLOBAL)'!G2247*(1-'[1]VENTAS(RESUMEN GLOBAL)'!H2247)</f>
        <v>0</v>
      </c>
      <c r="K2247" s="8">
        <f t="shared" si="35"/>
        <v>0</v>
      </c>
      <c r="L2247" s="8">
        <f>+'[1]VENTAS(RESUMEN GLOBAL)'!J2247</f>
        <v>0</v>
      </c>
      <c r="M2247" s="8">
        <f>+Tabla1[[#This Row],[utilidad x dia]]*7</f>
        <v>0</v>
      </c>
    </row>
    <row r="2248" spans="1:13" x14ac:dyDescent="0.3">
      <c r="A2248" s="6">
        <f>+'[1]VENTAS(RESUMEN GLOBAL)'!L2248</f>
        <v>0</v>
      </c>
      <c r="B2248" s="6">
        <f>+'[1]VENTAS(RESUMEN GLOBAL)'!M2248</f>
        <v>0</v>
      </c>
      <c r="C2248">
        <f>+'[1]VENTAS(RESUMEN GLOBAL)'!B2248</f>
        <v>0</v>
      </c>
      <c r="D2248" t="e">
        <f>INDEX('[1]CÓDIGOS DE PRODUCTO'!$D$3:$D$1000,MATCH(C2248,'[1]CÓDIGOS DE PRODUCTO'!$A$3:$A$1000,0))</f>
        <v>#N/A</v>
      </c>
      <c r="E2248">
        <f>VLOOKUP(C2248,'[1]CÓDIGOS DE PRODUCTO'!$A$4:$B$156,2,FALSE)</f>
        <v>0</v>
      </c>
      <c r="F2248">
        <f>INDEX('[1]CÓDIGOS DE PRODUCTO'!$C$3:$C$1000,MATCH(C2248,'[1]CÓDIGOS DE PRODUCTO'!$A$3:$A$1000,0))</f>
        <v>0</v>
      </c>
      <c r="G2248">
        <f>+'[1]VENTAS(RESUMEN GLOBAL)'!D2248-'[1]VENTAS(RESUMEN GLOBAL)'!E2248</f>
        <v>0</v>
      </c>
      <c r="H2248" s="9">
        <f>+'[1]VENTAS(RESUMEN GLOBAL)'!K2248</f>
        <v>0</v>
      </c>
      <c r="I2248" s="8">
        <f>+G2248*'[1]VENTAS(RESUMEN GLOBAL)'!F2248</f>
        <v>0</v>
      </c>
      <c r="J2248" s="8">
        <f>'[1]VENTAS(RESUMEN GLOBAL)'!G2248*(1-'[1]VENTAS(RESUMEN GLOBAL)'!H2248)</f>
        <v>0</v>
      </c>
      <c r="K2248" s="8">
        <f t="shared" si="35"/>
        <v>0</v>
      </c>
      <c r="L2248" s="8">
        <f>+'[1]VENTAS(RESUMEN GLOBAL)'!J2248</f>
        <v>0</v>
      </c>
      <c r="M2248" s="8">
        <f>+Tabla1[[#This Row],[utilidad x dia]]*7</f>
        <v>0</v>
      </c>
    </row>
    <row r="2249" spans="1:13" x14ac:dyDescent="0.3">
      <c r="A2249" s="6">
        <f>+'[1]VENTAS(RESUMEN GLOBAL)'!L2249</f>
        <v>0</v>
      </c>
      <c r="B2249" s="6">
        <f>+'[1]VENTAS(RESUMEN GLOBAL)'!M2249</f>
        <v>0</v>
      </c>
      <c r="C2249">
        <f>+'[1]VENTAS(RESUMEN GLOBAL)'!B2249</f>
        <v>0</v>
      </c>
      <c r="D2249" t="e">
        <f>INDEX('[1]CÓDIGOS DE PRODUCTO'!$D$3:$D$1000,MATCH(C2249,'[1]CÓDIGOS DE PRODUCTO'!$A$3:$A$1000,0))</f>
        <v>#N/A</v>
      </c>
      <c r="E2249">
        <f>VLOOKUP(C2249,'[1]CÓDIGOS DE PRODUCTO'!$A$4:$B$156,2,FALSE)</f>
        <v>0</v>
      </c>
      <c r="F2249">
        <f>INDEX('[1]CÓDIGOS DE PRODUCTO'!$C$3:$C$1000,MATCH(C2249,'[1]CÓDIGOS DE PRODUCTO'!$A$3:$A$1000,0))</f>
        <v>0</v>
      </c>
      <c r="G2249">
        <f>+'[1]VENTAS(RESUMEN GLOBAL)'!D2249-'[1]VENTAS(RESUMEN GLOBAL)'!E2249</f>
        <v>0</v>
      </c>
      <c r="H2249" s="9">
        <f>+'[1]VENTAS(RESUMEN GLOBAL)'!K2249</f>
        <v>0</v>
      </c>
      <c r="I2249" s="8">
        <f>+G2249*'[1]VENTAS(RESUMEN GLOBAL)'!F2249</f>
        <v>0</v>
      </c>
      <c r="J2249" s="8">
        <f>'[1]VENTAS(RESUMEN GLOBAL)'!G2249*(1-'[1]VENTAS(RESUMEN GLOBAL)'!H2249)</f>
        <v>0</v>
      </c>
      <c r="K2249" s="8">
        <f t="shared" si="35"/>
        <v>0</v>
      </c>
      <c r="L2249" s="8">
        <f>+'[1]VENTAS(RESUMEN GLOBAL)'!J2249</f>
        <v>0</v>
      </c>
      <c r="M2249" s="8">
        <f>+Tabla1[[#This Row],[utilidad x dia]]*7</f>
        <v>0</v>
      </c>
    </row>
    <row r="2250" spans="1:13" x14ac:dyDescent="0.3">
      <c r="A2250" s="6">
        <f>+'[1]VENTAS(RESUMEN GLOBAL)'!L2250</f>
        <v>0</v>
      </c>
      <c r="B2250" s="6">
        <f>+'[1]VENTAS(RESUMEN GLOBAL)'!M2250</f>
        <v>0</v>
      </c>
      <c r="C2250">
        <f>+'[1]VENTAS(RESUMEN GLOBAL)'!B2250</f>
        <v>0</v>
      </c>
      <c r="D2250" t="e">
        <f>INDEX('[1]CÓDIGOS DE PRODUCTO'!$D$3:$D$1000,MATCH(C2250,'[1]CÓDIGOS DE PRODUCTO'!$A$3:$A$1000,0))</f>
        <v>#N/A</v>
      </c>
      <c r="E2250">
        <f>VLOOKUP(C2250,'[1]CÓDIGOS DE PRODUCTO'!$A$4:$B$156,2,FALSE)</f>
        <v>0</v>
      </c>
      <c r="F2250">
        <f>INDEX('[1]CÓDIGOS DE PRODUCTO'!$C$3:$C$1000,MATCH(C2250,'[1]CÓDIGOS DE PRODUCTO'!$A$3:$A$1000,0))</f>
        <v>0</v>
      </c>
      <c r="G2250">
        <f>+'[1]VENTAS(RESUMEN GLOBAL)'!D2250-'[1]VENTAS(RESUMEN GLOBAL)'!E2250</f>
        <v>0</v>
      </c>
      <c r="H2250" s="9">
        <f>+'[1]VENTAS(RESUMEN GLOBAL)'!K2250</f>
        <v>0</v>
      </c>
      <c r="I2250" s="8">
        <f>+G2250*'[1]VENTAS(RESUMEN GLOBAL)'!F2250</f>
        <v>0</v>
      </c>
      <c r="J2250" s="8">
        <f>'[1]VENTAS(RESUMEN GLOBAL)'!G2250*(1-'[1]VENTAS(RESUMEN GLOBAL)'!H2250)</f>
        <v>0</v>
      </c>
      <c r="K2250" s="8">
        <f t="shared" si="35"/>
        <v>0</v>
      </c>
      <c r="L2250" s="8">
        <f>+'[1]VENTAS(RESUMEN GLOBAL)'!J2250</f>
        <v>0</v>
      </c>
      <c r="M2250" s="8">
        <f>+Tabla1[[#This Row],[utilidad x dia]]*7</f>
        <v>0</v>
      </c>
    </row>
    <row r="2251" spans="1:13" x14ac:dyDescent="0.3">
      <c r="A2251" s="6">
        <f>+'[1]VENTAS(RESUMEN GLOBAL)'!L2251</f>
        <v>0</v>
      </c>
      <c r="B2251" s="6">
        <f>+'[1]VENTAS(RESUMEN GLOBAL)'!M2251</f>
        <v>0</v>
      </c>
      <c r="C2251">
        <f>+'[1]VENTAS(RESUMEN GLOBAL)'!B2251</f>
        <v>0</v>
      </c>
      <c r="D2251" t="e">
        <f>INDEX('[1]CÓDIGOS DE PRODUCTO'!$D$3:$D$1000,MATCH(C2251,'[1]CÓDIGOS DE PRODUCTO'!$A$3:$A$1000,0))</f>
        <v>#N/A</v>
      </c>
      <c r="E2251">
        <f>VLOOKUP(C2251,'[1]CÓDIGOS DE PRODUCTO'!$A$4:$B$156,2,FALSE)</f>
        <v>0</v>
      </c>
      <c r="F2251">
        <f>INDEX('[1]CÓDIGOS DE PRODUCTO'!$C$3:$C$1000,MATCH(C2251,'[1]CÓDIGOS DE PRODUCTO'!$A$3:$A$1000,0))</f>
        <v>0</v>
      </c>
      <c r="G2251">
        <f>+'[1]VENTAS(RESUMEN GLOBAL)'!D2251-'[1]VENTAS(RESUMEN GLOBAL)'!E2251</f>
        <v>0</v>
      </c>
      <c r="H2251" s="9">
        <f>+'[1]VENTAS(RESUMEN GLOBAL)'!K2251</f>
        <v>0</v>
      </c>
      <c r="I2251" s="8">
        <f>+G2251*'[1]VENTAS(RESUMEN GLOBAL)'!F2251</f>
        <v>0</v>
      </c>
      <c r="J2251" s="8">
        <f>'[1]VENTAS(RESUMEN GLOBAL)'!G2251*(1-'[1]VENTAS(RESUMEN GLOBAL)'!H2251)</f>
        <v>0</v>
      </c>
      <c r="K2251" s="8">
        <f t="shared" si="35"/>
        <v>0</v>
      </c>
      <c r="L2251" s="8">
        <f>+'[1]VENTAS(RESUMEN GLOBAL)'!J2251</f>
        <v>0</v>
      </c>
      <c r="M2251" s="8">
        <f>+Tabla1[[#This Row],[utilidad x dia]]*7</f>
        <v>0</v>
      </c>
    </row>
    <row r="2252" spans="1:13" x14ac:dyDescent="0.3">
      <c r="A2252" s="6">
        <f>+'[1]VENTAS(RESUMEN GLOBAL)'!L2252</f>
        <v>0</v>
      </c>
      <c r="B2252" s="6">
        <f>+'[1]VENTAS(RESUMEN GLOBAL)'!M2252</f>
        <v>0</v>
      </c>
      <c r="C2252">
        <f>+'[1]VENTAS(RESUMEN GLOBAL)'!B2252</f>
        <v>0</v>
      </c>
      <c r="D2252" t="e">
        <f>INDEX('[1]CÓDIGOS DE PRODUCTO'!$D$3:$D$1000,MATCH(C2252,'[1]CÓDIGOS DE PRODUCTO'!$A$3:$A$1000,0))</f>
        <v>#N/A</v>
      </c>
      <c r="E2252">
        <f>VLOOKUP(C2252,'[1]CÓDIGOS DE PRODUCTO'!$A$4:$B$156,2,FALSE)</f>
        <v>0</v>
      </c>
      <c r="F2252">
        <f>INDEX('[1]CÓDIGOS DE PRODUCTO'!$C$3:$C$1000,MATCH(C2252,'[1]CÓDIGOS DE PRODUCTO'!$A$3:$A$1000,0))</f>
        <v>0</v>
      </c>
      <c r="G2252">
        <f>+'[1]VENTAS(RESUMEN GLOBAL)'!D2252-'[1]VENTAS(RESUMEN GLOBAL)'!E2252</f>
        <v>0</v>
      </c>
      <c r="H2252" s="9">
        <f>+'[1]VENTAS(RESUMEN GLOBAL)'!K2252</f>
        <v>0</v>
      </c>
      <c r="I2252" s="8">
        <f>+G2252*'[1]VENTAS(RESUMEN GLOBAL)'!F2252</f>
        <v>0</v>
      </c>
      <c r="J2252" s="8">
        <f>'[1]VENTAS(RESUMEN GLOBAL)'!G2252*(1-'[1]VENTAS(RESUMEN GLOBAL)'!H2252)</f>
        <v>0</v>
      </c>
      <c r="K2252" s="8">
        <f t="shared" si="35"/>
        <v>0</v>
      </c>
      <c r="L2252" s="8">
        <f>+'[1]VENTAS(RESUMEN GLOBAL)'!J2252</f>
        <v>0</v>
      </c>
      <c r="M2252" s="8">
        <f>+Tabla1[[#This Row],[utilidad x dia]]*7</f>
        <v>0</v>
      </c>
    </row>
    <row r="2253" spans="1:13" x14ac:dyDescent="0.3">
      <c r="A2253" s="6">
        <f>+'[1]VENTAS(RESUMEN GLOBAL)'!L2253</f>
        <v>0</v>
      </c>
      <c r="B2253" s="6">
        <f>+'[1]VENTAS(RESUMEN GLOBAL)'!M2253</f>
        <v>0</v>
      </c>
      <c r="C2253">
        <f>+'[1]VENTAS(RESUMEN GLOBAL)'!B2253</f>
        <v>0</v>
      </c>
      <c r="D2253" t="e">
        <f>INDEX('[1]CÓDIGOS DE PRODUCTO'!$D$3:$D$1000,MATCH(C2253,'[1]CÓDIGOS DE PRODUCTO'!$A$3:$A$1000,0))</f>
        <v>#N/A</v>
      </c>
      <c r="E2253">
        <f>VLOOKUP(C2253,'[1]CÓDIGOS DE PRODUCTO'!$A$4:$B$156,2,FALSE)</f>
        <v>0</v>
      </c>
      <c r="F2253">
        <f>INDEX('[1]CÓDIGOS DE PRODUCTO'!$C$3:$C$1000,MATCH(C2253,'[1]CÓDIGOS DE PRODUCTO'!$A$3:$A$1000,0))</f>
        <v>0</v>
      </c>
      <c r="G2253">
        <f>+'[1]VENTAS(RESUMEN GLOBAL)'!D2253-'[1]VENTAS(RESUMEN GLOBAL)'!E2253</f>
        <v>0</v>
      </c>
      <c r="H2253" s="9">
        <f>+'[1]VENTAS(RESUMEN GLOBAL)'!K2253</f>
        <v>0</v>
      </c>
      <c r="I2253" s="8">
        <f>+G2253*'[1]VENTAS(RESUMEN GLOBAL)'!F2253</f>
        <v>0</v>
      </c>
      <c r="J2253" s="8">
        <f>'[1]VENTAS(RESUMEN GLOBAL)'!G2253*(1-'[1]VENTAS(RESUMEN GLOBAL)'!H2253)</f>
        <v>0</v>
      </c>
      <c r="K2253" s="8">
        <f t="shared" si="35"/>
        <v>0</v>
      </c>
      <c r="L2253" s="8">
        <f>+'[1]VENTAS(RESUMEN GLOBAL)'!J2253</f>
        <v>0</v>
      </c>
      <c r="M2253" s="8">
        <f>+Tabla1[[#This Row],[utilidad x dia]]*7</f>
        <v>0</v>
      </c>
    </row>
    <row r="2254" spans="1:13" x14ac:dyDescent="0.3">
      <c r="A2254" s="6">
        <f>+'[1]VENTAS(RESUMEN GLOBAL)'!L2254</f>
        <v>0</v>
      </c>
      <c r="B2254" s="6">
        <f>+'[1]VENTAS(RESUMEN GLOBAL)'!M2254</f>
        <v>0</v>
      </c>
      <c r="C2254">
        <f>+'[1]VENTAS(RESUMEN GLOBAL)'!B2254</f>
        <v>0</v>
      </c>
      <c r="D2254" t="e">
        <f>INDEX('[1]CÓDIGOS DE PRODUCTO'!$D$3:$D$1000,MATCH(C2254,'[1]CÓDIGOS DE PRODUCTO'!$A$3:$A$1000,0))</f>
        <v>#N/A</v>
      </c>
      <c r="E2254">
        <f>VLOOKUP(C2254,'[1]CÓDIGOS DE PRODUCTO'!$A$4:$B$156,2,FALSE)</f>
        <v>0</v>
      </c>
      <c r="F2254">
        <f>INDEX('[1]CÓDIGOS DE PRODUCTO'!$C$3:$C$1000,MATCH(C2254,'[1]CÓDIGOS DE PRODUCTO'!$A$3:$A$1000,0))</f>
        <v>0</v>
      </c>
      <c r="G2254">
        <f>+'[1]VENTAS(RESUMEN GLOBAL)'!D2254-'[1]VENTAS(RESUMEN GLOBAL)'!E2254</f>
        <v>0</v>
      </c>
      <c r="H2254" s="9">
        <f>+'[1]VENTAS(RESUMEN GLOBAL)'!K2254</f>
        <v>0</v>
      </c>
      <c r="I2254" s="8">
        <f>+G2254*'[1]VENTAS(RESUMEN GLOBAL)'!F2254</f>
        <v>0</v>
      </c>
      <c r="J2254" s="8">
        <f>'[1]VENTAS(RESUMEN GLOBAL)'!G2254*(1-'[1]VENTAS(RESUMEN GLOBAL)'!H2254)</f>
        <v>0</v>
      </c>
      <c r="K2254" s="8">
        <f t="shared" si="35"/>
        <v>0</v>
      </c>
      <c r="L2254" s="8">
        <f>+'[1]VENTAS(RESUMEN GLOBAL)'!J2254</f>
        <v>0</v>
      </c>
      <c r="M2254" s="8">
        <f>+Tabla1[[#This Row],[utilidad x dia]]*7</f>
        <v>0</v>
      </c>
    </row>
    <row r="2255" spans="1:13" x14ac:dyDescent="0.3">
      <c r="A2255" s="6">
        <f>+'[1]VENTAS(RESUMEN GLOBAL)'!L2255</f>
        <v>0</v>
      </c>
      <c r="B2255" s="6">
        <f>+'[1]VENTAS(RESUMEN GLOBAL)'!M2255</f>
        <v>0</v>
      </c>
      <c r="C2255">
        <f>+'[1]VENTAS(RESUMEN GLOBAL)'!B2255</f>
        <v>0</v>
      </c>
      <c r="D2255" t="e">
        <f>INDEX('[1]CÓDIGOS DE PRODUCTO'!$D$3:$D$1000,MATCH(C2255,'[1]CÓDIGOS DE PRODUCTO'!$A$3:$A$1000,0))</f>
        <v>#N/A</v>
      </c>
      <c r="E2255">
        <f>VLOOKUP(C2255,'[1]CÓDIGOS DE PRODUCTO'!$A$4:$B$156,2,FALSE)</f>
        <v>0</v>
      </c>
      <c r="F2255">
        <f>INDEX('[1]CÓDIGOS DE PRODUCTO'!$C$3:$C$1000,MATCH(C2255,'[1]CÓDIGOS DE PRODUCTO'!$A$3:$A$1000,0))</f>
        <v>0</v>
      </c>
      <c r="G2255">
        <f>+'[1]VENTAS(RESUMEN GLOBAL)'!D2255-'[1]VENTAS(RESUMEN GLOBAL)'!E2255</f>
        <v>0</v>
      </c>
      <c r="H2255" s="9">
        <f>+'[1]VENTAS(RESUMEN GLOBAL)'!K2255</f>
        <v>0</v>
      </c>
      <c r="I2255" s="8">
        <f>+G2255*'[1]VENTAS(RESUMEN GLOBAL)'!F2255</f>
        <v>0</v>
      </c>
      <c r="J2255" s="8">
        <f>'[1]VENTAS(RESUMEN GLOBAL)'!G2255*(1-'[1]VENTAS(RESUMEN GLOBAL)'!H2255)</f>
        <v>0</v>
      </c>
      <c r="K2255" s="8">
        <f t="shared" si="35"/>
        <v>0</v>
      </c>
      <c r="L2255" s="8">
        <f>+'[1]VENTAS(RESUMEN GLOBAL)'!J2255</f>
        <v>0</v>
      </c>
      <c r="M2255" s="8">
        <f>+Tabla1[[#This Row],[utilidad x dia]]*7</f>
        <v>0</v>
      </c>
    </row>
    <row r="2256" spans="1:13" x14ac:dyDescent="0.3">
      <c r="A2256" s="6">
        <f>+'[1]VENTAS(RESUMEN GLOBAL)'!L2256</f>
        <v>0</v>
      </c>
      <c r="B2256" s="6">
        <f>+'[1]VENTAS(RESUMEN GLOBAL)'!M2256</f>
        <v>0</v>
      </c>
      <c r="C2256">
        <f>+'[1]VENTAS(RESUMEN GLOBAL)'!B2256</f>
        <v>0</v>
      </c>
      <c r="D2256" t="e">
        <f>INDEX('[1]CÓDIGOS DE PRODUCTO'!$D$3:$D$1000,MATCH(C2256,'[1]CÓDIGOS DE PRODUCTO'!$A$3:$A$1000,0))</f>
        <v>#N/A</v>
      </c>
      <c r="E2256">
        <f>VLOOKUP(C2256,'[1]CÓDIGOS DE PRODUCTO'!$A$4:$B$156,2,FALSE)</f>
        <v>0</v>
      </c>
      <c r="F2256">
        <f>INDEX('[1]CÓDIGOS DE PRODUCTO'!$C$3:$C$1000,MATCH(C2256,'[1]CÓDIGOS DE PRODUCTO'!$A$3:$A$1000,0))</f>
        <v>0</v>
      </c>
      <c r="G2256">
        <f>+'[1]VENTAS(RESUMEN GLOBAL)'!D2256-'[1]VENTAS(RESUMEN GLOBAL)'!E2256</f>
        <v>0</v>
      </c>
      <c r="H2256" s="9">
        <f>+'[1]VENTAS(RESUMEN GLOBAL)'!K2256</f>
        <v>0</v>
      </c>
      <c r="I2256" s="8">
        <f>+G2256*'[1]VENTAS(RESUMEN GLOBAL)'!F2256</f>
        <v>0</v>
      </c>
      <c r="J2256" s="8">
        <f>'[1]VENTAS(RESUMEN GLOBAL)'!G2256*(1-'[1]VENTAS(RESUMEN GLOBAL)'!H2256)</f>
        <v>0</v>
      </c>
      <c r="K2256" s="8">
        <f t="shared" si="35"/>
        <v>0</v>
      </c>
      <c r="L2256" s="8">
        <f>+'[1]VENTAS(RESUMEN GLOBAL)'!J2256</f>
        <v>0</v>
      </c>
      <c r="M2256" s="8">
        <f>+Tabla1[[#This Row],[utilidad x dia]]*7</f>
        <v>0</v>
      </c>
    </row>
    <row r="2257" spans="1:13" x14ac:dyDescent="0.3">
      <c r="A2257" s="6">
        <f>+'[1]VENTAS(RESUMEN GLOBAL)'!L2257</f>
        <v>0</v>
      </c>
      <c r="B2257" s="6">
        <f>+'[1]VENTAS(RESUMEN GLOBAL)'!M2257</f>
        <v>0</v>
      </c>
      <c r="C2257">
        <f>+'[1]VENTAS(RESUMEN GLOBAL)'!B2257</f>
        <v>0</v>
      </c>
      <c r="D2257" t="e">
        <f>INDEX('[1]CÓDIGOS DE PRODUCTO'!$D$3:$D$1000,MATCH(C2257,'[1]CÓDIGOS DE PRODUCTO'!$A$3:$A$1000,0))</f>
        <v>#N/A</v>
      </c>
      <c r="E2257">
        <f>VLOOKUP(C2257,'[1]CÓDIGOS DE PRODUCTO'!$A$4:$B$156,2,FALSE)</f>
        <v>0</v>
      </c>
      <c r="F2257">
        <f>INDEX('[1]CÓDIGOS DE PRODUCTO'!$C$3:$C$1000,MATCH(C2257,'[1]CÓDIGOS DE PRODUCTO'!$A$3:$A$1000,0))</f>
        <v>0</v>
      </c>
      <c r="G2257">
        <f>+'[1]VENTAS(RESUMEN GLOBAL)'!D2257-'[1]VENTAS(RESUMEN GLOBAL)'!E2257</f>
        <v>0</v>
      </c>
      <c r="H2257" s="9">
        <f>+'[1]VENTAS(RESUMEN GLOBAL)'!K2257</f>
        <v>0</v>
      </c>
      <c r="I2257" s="8">
        <f>+G2257*'[1]VENTAS(RESUMEN GLOBAL)'!F2257</f>
        <v>0</v>
      </c>
      <c r="J2257" s="8">
        <f>'[1]VENTAS(RESUMEN GLOBAL)'!G2257*(1-'[1]VENTAS(RESUMEN GLOBAL)'!H2257)</f>
        <v>0</v>
      </c>
      <c r="K2257" s="8">
        <f t="shared" si="35"/>
        <v>0</v>
      </c>
      <c r="L2257" s="8">
        <f>+'[1]VENTAS(RESUMEN GLOBAL)'!J2257</f>
        <v>0</v>
      </c>
      <c r="M2257" s="8">
        <f>+Tabla1[[#This Row],[utilidad x dia]]*7</f>
        <v>0</v>
      </c>
    </row>
    <row r="2258" spans="1:13" x14ac:dyDescent="0.3">
      <c r="A2258" s="6">
        <f>+'[1]VENTAS(RESUMEN GLOBAL)'!L2258</f>
        <v>0</v>
      </c>
      <c r="B2258" s="6">
        <f>+'[1]VENTAS(RESUMEN GLOBAL)'!M2258</f>
        <v>0</v>
      </c>
      <c r="C2258">
        <f>+'[1]VENTAS(RESUMEN GLOBAL)'!B2258</f>
        <v>0</v>
      </c>
      <c r="D2258" t="e">
        <f>INDEX('[1]CÓDIGOS DE PRODUCTO'!$D$3:$D$1000,MATCH(C2258,'[1]CÓDIGOS DE PRODUCTO'!$A$3:$A$1000,0))</f>
        <v>#N/A</v>
      </c>
      <c r="E2258">
        <f>VLOOKUP(C2258,'[1]CÓDIGOS DE PRODUCTO'!$A$4:$B$156,2,FALSE)</f>
        <v>0</v>
      </c>
      <c r="F2258">
        <f>INDEX('[1]CÓDIGOS DE PRODUCTO'!$C$3:$C$1000,MATCH(C2258,'[1]CÓDIGOS DE PRODUCTO'!$A$3:$A$1000,0))</f>
        <v>0</v>
      </c>
      <c r="G2258">
        <f>+'[1]VENTAS(RESUMEN GLOBAL)'!D2258-'[1]VENTAS(RESUMEN GLOBAL)'!E2258</f>
        <v>0</v>
      </c>
      <c r="H2258" s="9">
        <f>+'[1]VENTAS(RESUMEN GLOBAL)'!K2258</f>
        <v>0</v>
      </c>
      <c r="I2258" s="8">
        <f>+G2258*'[1]VENTAS(RESUMEN GLOBAL)'!F2258</f>
        <v>0</v>
      </c>
      <c r="J2258" s="8">
        <f>'[1]VENTAS(RESUMEN GLOBAL)'!G2258*(1-'[1]VENTAS(RESUMEN GLOBAL)'!H2258)</f>
        <v>0</v>
      </c>
      <c r="K2258" s="8">
        <f t="shared" si="35"/>
        <v>0</v>
      </c>
      <c r="L2258" s="8">
        <f>+'[1]VENTAS(RESUMEN GLOBAL)'!J2258</f>
        <v>0</v>
      </c>
      <c r="M2258" s="8">
        <f>+Tabla1[[#This Row],[utilidad x dia]]*7</f>
        <v>0</v>
      </c>
    </row>
    <row r="2259" spans="1:13" x14ac:dyDescent="0.3">
      <c r="A2259" s="6">
        <f>+'[1]VENTAS(RESUMEN GLOBAL)'!L2259</f>
        <v>0</v>
      </c>
      <c r="B2259" s="6">
        <f>+'[1]VENTAS(RESUMEN GLOBAL)'!M2259</f>
        <v>0</v>
      </c>
      <c r="C2259">
        <f>+'[1]VENTAS(RESUMEN GLOBAL)'!B2259</f>
        <v>0</v>
      </c>
      <c r="D2259" t="e">
        <f>INDEX('[1]CÓDIGOS DE PRODUCTO'!$D$3:$D$1000,MATCH(C2259,'[1]CÓDIGOS DE PRODUCTO'!$A$3:$A$1000,0))</f>
        <v>#N/A</v>
      </c>
      <c r="E2259">
        <f>VLOOKUP(C2259,'[1]CÓDIGOS DE PRODUCTO'!$A$4:$B$156,2,FALSE)</f>
        <v>0</v>
      </c>
      <c r="F2259">
        <f>INDEX('[1]CÓDIGOS DE PRODUCTO'!$C$3:$C$1000,MATCH(C2259,'[1]CÓDIGOS DE PRODUCTO'!$A$3:$A$1000,0))</f>
        <v>0</v>
      </c>
      <c r="G2259">
        <f>+'[1]VENTAS(RESUMEN GLOBAL)'!D2259-'[1]VENTAS(RESUMEN GLOBAL)'!E2259</f>
        <v>0</v>
      </c>
      <c r="H2259" s="9">
        <f>+'[1]VENTAS(RESUMEN GLOBAL)'!K2259</f>
        <v>0</v>
      </c>
      <c r="I2259" s="8">
        <f>+G2259*'[1]VENTAS(RESUMEN GLOBAL)'!F2259</f>
        <v>0</v>
      </c>
      <c r="J2259" s="8">
        <f>'[1]VENTAS(RESUMEN GLOBAL)'!G2259*(1-'[1]VENTAS(RESUMEN GLOBAL)'!H2259)</f>
        <v>0</v>
      </c>
      <c r="K2259" s="8">
        <f t="shared" si="35"/>
        <v>0</v>
      </c>
      <c r="L2259" s="8">
        <f>+'[1]VENTAS(RESUMEN GLOBAL)'!J2259</f>
        <v>0</v>
      </c>
      <c r="M2259" s="8">
        <f>+Tabla1[[#This Row],[utilidad x dia]]*7</f>
        <v>0</v>
      </c>
    </row>
    <row r="2260" spans="1:13" x14ac:dyDescent="0.3">
      <c r="A2260" s="6">
        <f>+'[1]VENTAS(RESUMEN GLOBAL)'!L2260</f>
        <v>0</v>
      </c>
      <c r="B2260" s="6">
        <f>+'[1]VENTAS(RESUMEN GLOBAL)'!M2260</f>
        <v>0</v>
      </c>
      <c r="C2260">
        <f>+'[1]VENTAS(RESUMEN GLOBAL)'!B2260</f>
        <v>0</v>
      </c>
      <c r="D2260" t="e">
        <f>INDEX('[1]CÓDIGOS DE PRODUCTO'!$D$3:$D$1000,MATCH(C2260,'[1]CÓDIGOS DE PRODUCTO'!$A$3:$A$1000,0))</f>
        <v>#N/A</v>
      </c>
      <c r="E2260">
        <f>VLOOKUP(C2260,'[1]CÓDIGOS DE PRODUCTO'!$A$4:$B$156,2,FALSE)</f>
        <v>0</v>
      </c>
      <c r="F2260">
        <f>INDEX('[1]CÓDIGOS DE PRODUCTO'!$C$3:$C$1000,MATCH(C2260,'[1]CÓDIGOS DE PRODUCTO'!$A$3:$A$1000,0))</f>
        <v>0</v>
      </c>
      <c r="G2260">
        <f>+'[1]VENTAS(RESUMEN GLOBAL)'!D2260-'[1]VENTAS(RESUMEN GLOBAL)'!E2260</f>
        <v>0</v>
      </c>
      <c r="H2260" s="9">
        <f>+'[1]VENTAS(RESUMEN GLOBAL)'!K2260</f>
        <v>0</v>
      </c>
      <c r="I2260" s="8">
        <f>+G2260*'[1]VENTAS(RESUMEN GLOBAL)'!F2260</f>
        <v>0</v>
      </c>
      <c r="J2260" s="8">
        <f>'[1]VENTAS(RESUMEN GLOBAL)'!G2260*(1-'[1]VENTAS(RESUMEN GLOBAL)'!H2260)</f>
        <v>0</v>
      </c>
      <c r="K2260" s="8">
        <f t="shared" si="35"/>
        <v>0</v>
      </c>
      <c r="L2260" s="8">
        <f>+'[1]VENTAS(RESUMEN GLOBAL)'!J2260</f>
        <v>0</v>
      </c>
      <c r="M2260" s="8">
        <f>+Tabla1[[#This Row],[utilidad x dia]]*7</f>
        <v>0</v>
      </c>
    </row>
    <row r="2261" spans="1:13" x14ac:dyDescent="0.3">
      <c r="A2261" s="6">
        <f>+'[1]VENTAS(RESUMEN GLOBAL)'!L2261</f>
        <v>0</v>
      </c>
      <c r="B2261" s="6">
        <f>+'[1]VENTAS(RESUMEN GLOBAL)'!M2261</f>
        <v>0</v>
      </c>
      <c r="C2261">
        <f>+'[1]VENTAS(RESUMEN GLOBAL)'!B2261</f>
        <v>0</v>
      </c>
      <c r="D2261" t="e">
        <f>INDEX('[1]CÓDIGOS DE PRODUCTO'!$D$3:$D$1000,MATCH(C2261,'[1]CÓDIGOS DE PRODUCTO'!$A$3:$A$1000,0))</f>
        <v>#N/A</v>
      </c>
      <c r="E2261">
        <f>VLOOKUP(C2261,'[1]CÓDIGOS DE PRODUCTO'!$A$4:$B$156,2,FALSE)</f>
        <v>0</v>
      </c>
      <c r="F2261">
        <f>INDEX('[1]CÓDIGOS DE PRODUCTO'!$C$3:$C$1000,MATCH(C2261,'[1]CÓDIGOS DE PRODUCTO'!$A$3:$A$1000,0))</f>
        <v>0</v>
      </c>
      <c r="G2261">
        <f>+'[1]VENTAS(RESUMEN GLOBAL)'!D2261-'[1]VENTAS(RESUMEN GLOBAL)'!E2261</f>
        <v>0</v>
      </c>
      <c r="H2261" s="9">
        <f>+'[1]VENTAS(RESUMEN GLOBAL)'!K2261</f>
        <v>0</v>
      </c>
      <c r="I2261" s="8">
        <f>+G2261*'[1]VENTAS(RESUMEN GLOBAL)'!F2261</f>
        <v>0</v>
      </c>
      <c r="J2261" s="8">
        <f>'[1]VENTAS(RESUMEN GLOBAL)'!G2261*(1-'[1]VENTAS(RESUMEN GLOBAL)'!H2261)</f>
        <v>0</v>
      </c>
      <c r="K2261" s="8">
        <f t="shared" si="35"/>
        <v>0</v>
      </c>
      <c r="L2261" s="8">
        <f>+'[1]VENTAS(RESUMEN GLOBAL)'!J2261</f>
        <v>0</v>
      </c>
      <c r="M2261" s="8">
        <f>+Tabla1[[#This Row],[utilidad x dia]]*7</f>
        <v>0</v>
      </c>
    </row>
    <row r="2262" spans="1:13" x14ac:dyDescent="0.3">
      <c r="A2262" s="6">
        <f>+'[1]VENTAS(RESUMEN GLOBAL)'!L2262</f>
        <v>0</v>
      </c>
      <c r="B2262" s="6">
        <f>+'[1]VENTAS(RESUMEN GLOBAL)'!M2262</f>
        <v>0</v>
      </c>
      <c r="C2262">
        <f>+'[1]VENTAS(RESUMEN GLOBAL)'!B2262</f>
        <v>0</v>
      </c>
      <c r="D2262" t="e">
        <f>INDEX('[1]CÓDIGOS DE PRODUCTO'!$D$3:$D$1000,MATCH(C2262,'[1]CÓDIGOS DE PRODUCTO'!$A$3:$A$1000,0))</f>
        <v>#N/A</v>
      </c>
      <c r="E2262">
        <f>VLOOKUP(C2262,'[1]CÓDIGOS DE PRODUCTO'!$A$4:$B$156,2,FALSE)</f>
        <v>0</v>
      </c>
      <c r="F2262">
        <f>INDEX('[1]CÓDIGOS DE PRODUCTO'!$C$3:$C$1000,MATCH(C2262,'[1]CÓDIGOS DE PRODUCTO'!$A$3:$A$1000,0))</f>
        <v>0</v>
      </c>
      <c r="G2262">
        <f>+'[1]VENTAS(RESUMEN GLOBAL)'!D2262-'[1]VENTAS(RESUMEN GLOBAL)'!E2262</f>
        <v>0</v>
      </c>
      <c r="H2262" s="9">
        <f>+'[1]VENTAS(RESUMEN GLOBAL)'!K2262</f>
        <v>0</v>
      </c>
      <c r="I2262" s="8">
        <f>+G2262*'[1]VENTAS(RESUMEN GLOBAL)'!F2262</f>
        <v>0</v>
      </c>
      <c r="J2262" s="8">
        <f>'[1]VENTAS(RESUMEN GLOBAL)'!G2262*(1-'[1]VENTAS(RESUMEN GLOBAL)'!H2262)</f>
        <v>0</v>
      </c>
      <c r="K2262" s="8">
        <f t="shared" si="35"/>
        <v>0</v>
      </c>
      <c r="L2262" s="8">
        <f>+'[1]VENTAS(RESUMEN GLOBAL)'!J2262</f>
        <v>0</v>
      </c>
      <c r="M2262" s="8">
        <f>+Tabla1[[#This Row],[utilidad x dia]]*7</f>
        <v>0</v>
      </c>
    </row>
    <row r="2263" spans="1:13" x14ac:dyDescent="0.3">
      <c r="A2263" s="6">
        <f>+'[1]VENTAS(RESUMEN GLOBAL)'!L2263</f>
        <v>0</v>
      </c>
      <c r="B2263" s="6">
        <f>+'[1]VENTAS(RESUMEN GLOBAL)'!M2263</f>
        <v>0</v>
      </c>
      <c r="C2263">
        <f>+'[1]VENTAS(RESUMEN GLOBAL)'!B2263</f>
        <v>0</v>
      </c>
      <c r="D2263" t="e">
        <f>INDEX('[1]CÓDIGOS DE PRODUCTO'!$D$3:$D$1000,MATCH(C2263,'[1]CÓDIGOS DE PRODUCTO'!$A$3:$A$1000,0))</f>
        <v>#N/A</v>
      </c>
      <c r="E2263">
        <f>VLOOKUP(C2263,'[1]CÓDIGOS DE PRODUCTO'!$A$4:$B$156,2,FALSE)</f>
        <v>0</v>
      </c>
      <c r="F2263">
        <f>INDEX('[1]CÓDIGOS DE PRODUCTO'!$C$3:$C$1000,MATCH(C2263,'[1]CÓDIGOS DE PRODUCTO'!$A$3:$A$1000,0))</f>
        <v>0</v>
      </c>
      <c r="G2263">
        <f>+'[1]VENTAS(RESUMEN GLOBAL)'!D2263-'[1]VENTAS(RESUMEN GLOBAL)'!E2263</f>
        <v>0</v>
      </c>
      <c r="H2263" s="9">
        <f>+'[1]VENTAS(RESUMEN GLOBAL)'!K2263</f>
        <v>0</v>
      </c>
      <c r="I2263" s="8">
        <f>+G2263*'[1]VENTAS(RESUMEN GLOBAL)'!F2263</f>
        <v>0</v>
      </c>
      <c r="J2263" s="8">
        <f>'[1]VENTAS(RESUMEN GLOBAL)'!G2263*(1-'[1]VENTAS(RESUMEN GLOBAL)'!H2263)</f>
        <v>0</v>
      </c>
      <c r="K2263" s="8">
        <f t="shared" si="35"/>
        <v>0</v>
      </c>
      <c r="L2263" s="8">
        <f>+'[1]VENTAS(RESUMEN GLOBAL)'!J2263</f>
        <v>0</v>
      </c>
      <c r="M2263" s="8">
        <f>+Tabla1[[#This Row],[utilidad x dia]]*7</f>
        <v>0</v>
      </c>
    </row>
    <row r="2264" spans="1:13" x14ac:dyDescent="0.3">
      <c r="A2264" s="6">
        <f>+'[1]VENTAS(RESUMEN GLOBAL)'!L2264</f>
        <v>0</v>
      </c>
      <c r="B2264" s="6">
        <f>+'[1]VENTAS(RESUMEN GLOBAL)'!M2264</f>
        <v>0</v>
      </c>
      <c r="C2264">
        <f>+'[1]VENTAS(RESUMEN GLOBAL)'!B2264</f>
        <v>0</v>
      </c>
      <c r="D2264" t="e">
        <f>INDEX('[1]CÓDIGOS DE PRODUCTO'!$D$3:$D$1000,MATCH(C2264,'[1]CÓDIGOS DE PRODUCTO'!$A$3:$A$1000,0))</f>
        <v>#N/A</v>
      </c>
      <c r="E2264">
        <f>VLOOKUP(C2264,'[1]CÓDIGOS DE PRODUCTO'!$A$4:$B$156,2,FALSE)</f>
        <v>0</v>
      </c>
      <c r="F2264">
        <f>INDEX('[1]CÓDIGOS DE PRODUCTO'!$C$3:$C$1000,MATCH(C2264,'[1]CÓDIGOS DE PRODUCTO'!$A$3:$A$1000,0))</f>
        <v>0</v>
      </c>
      <c r="G2264">
        <f>+'[1]VENTAS(RESUMEN GLOBAL)'!D2264-'[1]VENTAS(RESUMEN GLOBAL)'!E2264</f>
        <v>0</v>
      </c>
      <c r="H2264" s="9">
        <f>+'[1]VENTAS(RESUMEN GLOBAL)'!K2264</f>
        <v>0</v>
      </c>
      <c r="I2264" s="8">
        <f>+G2264*'[1]VENTAS(RESUMEN GLOBAL)'!F2264</f>
        <v>0</v>
      </c>
      <c r="J2264" s="8">
        <f>'[1]VENTAS(RESUMEN GLOBAL)'!G2264*(1-'[1]VENTAS(RESUMEN GLOBAL)'!H2264)</f>
        <v>0</v>
      </c>
      <c r="K2264" s="8">
        <f t="shared" si="35"/>
        <v>0</v>
      </c>
      <c r="L2264" s="8">
        <f>+'[1]VENTAS(RESUMEN GLOBAL)'!J2264</f>
        <v>0</v>
      </c>
      <c r="M2264" s="8">
        <f>+Tabla1[[#This Row],[utilidad x dia]]*7</f>
        <v>0</v>
      </c>
    </row>
    <row r="2265" spans="1:13" x14ac:dyDescent="0.3">
      <c r="A2265" s="6">
        <f>+'[1]VENTAS(RESUMEN GLOBAL)'!L2265</f>
        <v>0</v>
      </c>
      <c r="B2265" s="6">
        <f>+'[1]VENTAS(RESUMEN GLOBAL)'!M2265</f>
        <v>0</v>
      </c>
      <c r="C2265">
        <f>+'[1]VENTAS(RESUMEN GLOBAL)'!B2265</f>
        <v>0</v>
      </c>
      <c r="D2265" t="e">
        <f>INDEX('[1]CÓDIGOS DE PRODUCTO'!$D$3:$D$1000,MATCH(C2265,'[1]CÓDIGOS DE PRODUCTO'!$A$3:$A$1000,0))</f>
        <v>#N/A</v>
      </c>
      <c r="E2265">
        <f>VLOOKUP(C2265,'[1]CÓDIGOS DE PRODUCTO'!$A$4:$B$156,2,FALSE)</f>
        <v>0</v>
      </c>
      <c r="F2265">
        <f>INDEX('[1]CÓDIGOS DE PRODUCTO'!$C$3:$C$1000,MATCH(C2265,'[1]CÓDIGOS DE PRODUCTO'!$A$3:$A$1000,0))</f>
        <v>0</v>
      </c>
      <c r="G2265">
        <f>+'[1]VENTAS(RESUMEN GLOBAL)'!D2265-'[1]VENTAS(RESUMEN GLOBAL)'!E2265</f>
        <v>0</v>
      </c>
      <c r="H2265" s="9">
        <f>+'[1]VENTAS(RESUMEN GLOBAL)'!K2265</f>
        <v>0</v>
      </c>
      <c r="I2265" s="8">
        <f>+G2265*'[1]VENTAS(RESUMEN GLOBAL)'!F2265</f>
        <v>0</v>
      </c>
      <c r="J2265" s="8">
        <f>'[1]VENTAS(RESUMEN GLOBAL)'!G2265*(1-'[1]VENTAS(RESUMEN GLOBAL)'!H2265)</f>
        <v>0</v>
      </c>
      <c r="K2265" s="8">
        <f t="shared" si="35"/>
        <v>0</v>
      </c>
      <c r="L2265" s="8">
        <f>+'[1]VENTAS(RESUMEN GLOBAL)'!J2265</f>
        <v>0</v>
      </c>
      <c r="M2265" s="8">
        <f>+Tabla1[[#This Row],[utilidad x dia]]*7</f>
        <v>0</v>
      </c>
    </row>
    <row r="2266" spans="1:13" x14ac:dyDescent="0.3">
      <c r="A2266" s="6">
        <f>+'[1]VENTAS(RESUMEN GLOBAL)'!L2266</f>
        <v>0</v>
      </c>
      <c r="B2266" s="6">
        <f>+'[1]VENTAS(RESUMEN GLOBAL)'!M2266</f>
        <v>0</v>
      </c>
      <c r="C2266">
        <f>+'[1]VENTAS(RESUMEN GLOBAL)'!B2266</f>
        <v>0</v>
      </c>
      <c r="D2266" t="e">
        <f>INDEX('[1]CÓDIGOS DE PRODUCTO'!$D$3:$D$1000,MATCH(C2266,'[1]CÓDIGOS DE PRODUCTO'!$A$3:$A$1000,0))</f>
        <v>#N/A</v>
      </c>
      <c r="E2266">
        <f>VLOOKUP(C2266,'[1]CÓDIGOS DE PRODUCTO'!$A$4:$B$156,2,FALSE)</f>
        <v>0</v>
      </c>
      <c r="F2266">
        <f>INDEX('[1]CÓDIGOS DE PRODUCTO'!$C$3:$C$1000,MATCH(C2266,'[1]CÓDIGOS DE PRODUCTO'!$A$3:$A$1000,0))</f>
        <v>0</v>
      </c>
      <c r="G2266">
        <f>+'[1]VENTAS(RESUMEN GLOBAL)'!D2266-'[1]VENTAS(RESUMEN GLOBAL)'!E2266</f>
        <v>0</v>
      </c>
      <c r="H2266" s="9">
        <f>+'[1]VENTAS(RESUMEN GLOBAL)'!K2266</f>
        <v>0</v>
      </c>
      <c r="I2266" s="8">
        <f>+G2266*'[1]VENTAS(RESUMEN GLOBAL)'!F2266</f>
        <v>0</v>
      </c>
      <c r="J2266" s="8">
        <f>'[1]VENTAS(RESUMEN GLOBAL)'!G2266*(1-'[1]VENTAS(RESUMEN GLOBAL)'!H2266)</f>
        <v>0</v>
      </c>
      <c r="K2266" s="8">
        <f t="shared" si="35"/>
        <v>0</v>
      </c>
      <c r="L2266" s="8">
        <f>+'[1]VENTAS(RESUMEN GLOBAL)'!J2266</f>
        <v>0</v>
      </c>
      <c r="M2266" s="8">
        <f>+Tabla1[[#This Row],[utilidad x dia]]*7</f>
        <v>0</v>
      </c>
    </row>
    <row r="2267" spans="1:13" x14ac:dyDescent="0.3">
      <c r="A2267" s="6">
        <f>+'[1]VENTAS(RESUMEN GLOBAL)'!L2267</f>
        <v>0</v>
      </c>
      <c r="B2267" s="6">
        <f>+'[1]VENTAS(RESUMEN GLOBAL)'!M2267</f>
        <v>0</v>
      </c>
      <c r="C2267">
        <f>+'[1]VENTAS(RESUMEN GLOBAL)'!B2267</f>
        <v>0</v>
      </c>
      <c r="D2267" t="e">
        <f>INDEX('[1]CÓDIGOS DE PRODUCTO'!$D$3:$D$1000,MATCH(C2267,'[1]CÓDIGOS DE PRODUCTO'!$A$3:$A$1000,0))</f>
        <v>#N/A</v>
      </c>
      <c r="E2267">
        <f>VLOOKUP(C2267,'[1]CÓDIGOS DE PRODUCTO'!$A$4:$B$156,2,FALSE)</f>
        <v>0</v>
      </c>
      <c r="F2267">
        <f>INDEX('[1]CÓDIGOS DE PRODUCTO'!$C$3:$C$1000,MATCH(C2267,'[1]CÓDIGOS DE PRODUCTO'!$A$3:$A$1000,0))</f>
        <v>0</v>
      </c>
      <c r="G2267">
        <f>+'[1]VENTAS(RESUMEN GLOBAL)'!D2267-'[1]VENTAS(RESUMEN GLOBAL)'!E2267</f>
        <v>0</v>
      </c>
      <c r="H2267" s="9">
        <f>+'[1]VENTAS(RESUMEN GLOBAL)'!K2267</f>
        <v>0</v>
      </c>
      <c r="I2267" s="8">
        <f>+G2267*'[1]VENTAS(RESUMEN GLOBAL)'!F2267</f>
        <v>0</v>
      </c>
      <c r="J2267" s="8">
        <f>'[1]VENTAS(RESUMEN GLOBAL)'!G2267*(1-'[1]VENTAS(RESUMEN GLOBAL)'!H2267)</f>
        <v>0</v>
      </c>
      <c r="K2267" s="8">
        <f t="shared" si="35"/>
        <v>0</v>
      </c>
      <c r="L2267" s="8">
        <f>+'[1]VENTAS(RESUMEN GLOBAL)'!J2267</f>
        <v>0</v>
      </c>
      <c r="M2267" s="8">
        <f>+Tabla1[[#This Row],[utilidad x dia]]*7</f>
        <v>0</v>
      </c>
    </row>
    <row r="2268" spans="1:13" x14ac:dyDescent="0.3">
      <c r="A2268" s="6">
        <f>+'[1]VENTAS(RESUMEN GLOBAL)'!L2268</f>
        <v>0</v>
      </c>
      <c r="B2268" s="6">
        <f>+'[1]VENTAS(RESUMEN GLOBAL)'!M2268</f>
        <v>0</v>
      </c>
      <c r="C2268">
        <f>+'[1]VENTAS(RESUMEN GLOBAL)'!B2268</f>
        <v>0</v>
      </c>
      <c r="D2268" t="e">
        <f>INDEX('[1]CÓDIGOS DE PRODUCTO'!$D$3:$D$1000,MATCH(C2268,'[1]CÓDIGOS DE PRODUCTO'!$A$3:$A$1000,0))</f>
        <v>#N/A</v>
      </c>
      <c r="E2268">
        <f>VLOOKUP(C2268,'[1]CÓDIGOS DE PRODUCTO'!$A$4:$B$156,2,FALSE)</f>
        <v>0</v>
      </c>
      <c r="F2268">
        <f>INDEX('[1]CÓDIGOS DE PRODUCTO'!$C$3:$C$1000,MATCH(C2268,'[1]CÓDIGOS DE PRODUCTO'!$A$3:$A$1000,0))</f>
        <v>0</v>
      </c>
      <c r="G2268">
        <f>+'[1]VENTAS(RESUMEN GLOBAL)'!D2268-'[1]VENTAS(RESUMEN GLOBAL)'!E2268</f>
        <v>0</v>
      </c>
      <c r="H2268" s="9">
        <f>+'[1]VENTAS(RESUMEN GLOBAL)'!K2268</f>
        <v>0</v>
      </c>
      <c r="I2268" s="8">
        <f>+G2268*'[1]VENTAS(RESUMEN GLOBAL)'!F2268</f>
        <v>0</v>
      </c>
      <c r="J2268" s="8">
        <f>'[1]VENTAS(RESUMEN GLOBAL)'!G2268*(1-'[1]VENTAS(RESUMEN GLOBAL)'!H2268)</f>
        <v>0</v>
      </c>
      <c r="K2268" s="8">
        <f t="shared" si="35"/>
        <v>0</v>
      </c>
      <c r="L2268" s="8">
        <f>+'[1]VENTAS(RESUMEN GLOBAL)'!J2268</f>
        <v>0</v>
      </c>
      <c r="M2268" s="8">
        <f>+Tabla1[[#This Row],[utilidad x dia]]*7</f>
        <v>0</v>
      </c>
    </row>
    <row r="2269" spans="1:13" x14ac:dyDescent="0.3">
      <c r="A2269" s="6">
        <f>+'[1]VENTAS(RESUMEN GLOBAL)'!L2269</f>
        <v>0</v>
      </c>
      <c r="B2269" s="6">
        <f>+'[1]VENTAS(RESUMEN GLOBAL)'!M2269</f>
        <v>0</v>
      </c>
      <c r="C2269">
        <f>+'[1]VENTAS(RESUMEN GLOBAL)'!B2269</f>
        <v>0</v>
      </c>
      <c r="D2269" t="e">
        <f>INDEX('[1]CÓDIGOS DE PRODUCTO'!$D$3:$D$1000,MATCH(C2269,'[1]CÓDIGOS DE PRODUCTO'!$A$3:$A$1000,0))</f>
        <v>#N/A</v>
      </c>
      <c r="E2269">
        <f>VLOOKUP(C2269,'[1]CÓDIGOS DE PRODUCTO'!$A$4:$B$156,2,FALSE)</f>
        <v>0</v>
      </c>
      <c r="F2269">
        <f>INDEX('[1]CÓDIGOS DE PRODUCTO'!$C$3:$C$1000,MATCH(C2269,'[1]CÓDIGOS DE PRODUCTO'!$A$3:$A$1000,0))</f>
        <v>0</v>
      </c>
      <c r="G2269">
        <f>+'[1]VENTAS(RESUMEN GLOBAL)'!D2269-'[1]VENTAS(RESUMEN GLOBAL)'!E2269</f>
        <v>0</v>
      </c>
      <c r="H2269" s="9">
        <f>+'[1]VENTAS(RESUMEN GLOBAL)'!K2269</f>
        <v>0</v>
      </c>
      <c r="I2269" s="8">
        <f>+G2269*'[1]VENTAS(RESUMEN GLOBAL)'!F2269</f>
        <v>0</v>
      </c>
      <c r="J2269" s="8">
        <f>'[1]VENTAS(RESUMEN GLOBAL)'!G2269*(1-'[1]VENTAS(RESUMEN GLOBAL)'!H2269)</f>
        <v>0</v>
      </c>
      <c r="K2269" s="8">
        <f t="shared" si="35"/>
        <v>0</v>
      </c>
      <c r="L2269" s="8">
        <f>+'[1]VENTAS(RESUMEN GLOBAL)'!J2269</f>
        <v>0</v>
      </c>
      <c r="M2269" s="8">
        <f>+Tabla1[[#This Row],[utilidad x dia]]*7</f>
        <v>0</v>
      </c>
    </row>
    <row r="2270" spans="1:13" x14ac:dyDescent="0.3">
      <c r="A2270" s="6">
        <f>+'[1]VENTAS(RESUMEN GLOBAL)'!L2270</f>
        <v>0</v>
      </c>
      <c r="B2270" s="6">
        <f>+'[1]VENTAS(RESUMEN GLOBAL)'!M2270</f>
        <v>0</v>
      </c>
      <c r="C2270">
        <f>+'[1]VENTAS(RESUMEN GLOBAL)'!B2270</f>
        <v>0</v>
      </c>
      <c r="D2270" t="e">
        <f>INDEX('[1]CÓDIGOS DE PRODUCTO'!$D$3:$D$1000,MATCH(C2270,'[1]CÓDIGOS DE PRODUCTO'!$A$3:$A$1000,0))</f>
        <v>#N/A</v>
      </c>
      <c r="E2270">
        <f>VLOOKUP(C2270,'[1]CÓDIGOS DE PRODUCTO'!$A$4:$B$156,2,FALSE)</f>
        <v>0</v>
      </c>
      <c r="F2270">
        <f>INDEX('[1]CÓDIGOS DE PRODUCTO'!$C$3:$C$1000,MATCH(C2270,'[1]CÓDIGOS DE PRODUCTO'!$A$3:$A$1000,0))</f>
        <v>0</v>
      </c>
      <c r="G2270">
        <f>+'[1]VENTAS(RESUMEN GLOBAL)'!D2270-'[1]VENTAS(RESUMEN GLOBAL)'!E2270</f>
        <v>0</v>
      </c>
      <c r="H2270" s="9">
        <f>+'[1]VENTAS(RESUMEN GLOBAL)'!K2270</f>
        <v>0</v>
      </c>
      <c r="I2270" s="8">
        <f>+G2270*'[1]VENTAS(RESUMEN GLOBAL)'!F2270</f>
        <v>0</v>
      </c>
      <c r="J2270" s="8">
        <f>'[1]VENTAS(RESUMEN GLOBAL)'!G2270*(1-'[1]VENTAS(RESUMEN GLOBAL)'!H2270)</f>
        <v>0</v>
      </c>
      <c r="K2270" s="8">
        <f t="shared" si="35"/>
        <v>0</v>
      </c>
      <c r="L2270" s="8">
        <f>+'[1]VENTAS(RESUMEN GLOBAL)'!J2270</f>
        <v>0</v>
      </c>
      <c r="M2270" s="8">
        <f>+Tabla1[[#This Row],[utilidad x dia]]*7</f>
        <v>0</v>
      </c>
    </row>
    <row r="2271" spans="1:13" x14ac:dyDescent="0.3">
      <c r="A2271" s="6">
        <f>+'[1]VENTAS(RESUMEN GLOBAL)'!L2271</f>
        <v>0</v>
      </c>
      <c r="B2271" s="6">
        <f>+'[1]VENTAS(RESUMEN GLOBAL)'!M2271</f>
        <v>0</v>
      </c>
      <c r="C2271">
        <f>+'[1]VENTAS(RESUMEN GLOBAL)'!B2271</f>
        <v>0</v>
      </c>
      <c r="D2271" t="e">
        <f>INDEX('[1]CÓDIGOS DE PRODUCTO'!$D$3:$D$1000,MATCH(C2271,'[1]CÓDIGOS DE PRODUCTO'!$A$3:$A$1000,0))</f>
        <v>#N/A</v>
      </c>
      <c r="E2271">
        <f>VLOOKUP(C2271,'[1]CÓDIGOS DE PRODUCTO'!$A$4:$B$156,2,FALSE)</f>
        <v>0</v>
      </c>
      <c r="F2271">
        <f>INDEX('[1]CÓDIGOS DE PRODUCTO'!$C$3:$C$1000,MATCH(C2271,'[1]CÓDIGOS DE PRODUCTO'!$A$3:$A$1000,0))</f>
        <v>0</v>
      </c>
      <c r="G2271">
        <f>+'[1]VENTAS(RESUMEN GLOBAL)'!D2271-'[1]VENTAS(RESUMEN GLOBAL)'!E2271</f>
        <v>0</v>
      </c>
      <c r="H2271" s="9">
        <f>+'[1]VENTAS(RESUMEN GLOBAL)'!K2271</f>
        <v>0</v>
      </c>
      <c r="I2271" s="8">
        <f>+G2271*'[1]VENTAS(RESUMEN GLOBAL)'!F2271</f>
        <v>0</v>
      </c>
      <c r="J2271" s="8">
        <f>'[1]VENTAS(RESUMEN GLOBAL)'!G2271*(1-'[1]VENTAS(RESUMEN GLOBAL)'!H2271)</f>
        <v>0</v>
      </c>
      <c r="K2271" s="8">
        <f t="shared" si="35"/>
        <v>0</v>
      </c>
      <c r="L2271" s="8">
        <f>+'[1]VENTAS(RESUMEN GLOBAL)'!J2271</f>
        <v>0</v>
      </c>
      <c r="M2271" s="8">
        <f>+Tabla1[[#This Row],[utilidad x dia]]*7</f>
        <v>0</v>
      </c>
    </row>
    <row r="2272" spans="1:13" x14ac:dyDescent="0.3">
      <c r="A2272" s="6">
        <f>+'[1]VENTAS(RESUMEN GLOBAL)'!L2272</f>
        <v>0</v>
      </c>
      <c r="B2272" s="6">
        <f>+'[1]VENTAS(RESUMEN GLOBAL)'!M2272</f>
        <v>0</v>
      </c>
      <c r="C2272">
        <f>+'[1]VENTAS(RESUMEN GLOBAL)'!B2272</f>
        <v>0</v>
      </c>
      <c r="D2272" t="e">
        <f>INDEX('[1]CÓDIGOS DE PRODUCTO'!$D$3:$D$1000,MATCH(C2272,'[1]CÓDIGOS DE PRODUCTO'!$A$3:$A$1000,0))</f>
        <v>#N/A</v>
      </c>
      <c r="E2272">
        <f>VLOOKUP(C2272,'[1]CÓDIGOS DE PRODUCTO'!$A$4:$B$156,2,FALSE)</f>
        <v>0</v>
      </c>
      <c r="F2272">
        <f>INDEX('[1]CÓDIGOS DE PRODUCTO'!$C$3:$C$1000,MATCH(C2272,'[1]CÓDIGOS DE PRODUCTO'!$A$3:$A$1000,0))</f>
        <v>0</v>
      </c>
      <c r="G2272">
        <f>+'[1]VENTAS(RESUMEN GLOBAL)'!D2272-'[1]VENTAS(RESUMEN GLOBAL)'!E2272</f>
        <v>0</v>
      </c>
      <c r="H2272" s="9">
        <f>+'[1]VENTAS(RESUMEN GLOBAL)'!K2272</f>
        <v>0</v>
      </c>
      <c r="I2272" s="8">
        <f>+G2272*'[1]VENTAS(RESUMEN GLOBAL)'!F2272</f>
        <v>0</v>
      </c>
      <c r="J2272" s="8">
        <f>'[1]VENTAS(RESUMEN GLOBAL)'!G2272*(1-'[1]VENTAS(RESUMEN GLOBAL)'!H2272)</f>
        <v>0</v>
      </c>
      <c r="K2272" s="8">
        <f t="shared" si="35"/>
        <v>0</v>
      </c>
      <c r="L2272" s="8">
        <f>+'[1]VENTAS(RESUMEN GLOBAL)'!J2272</f>
        <v>0</v>
      </c>
      <c r="M2272" s="8">
        <f>+Tabla1[[#This Row],[utilidad x dia]]*7</f>
        <v>0</v>
      </c>
    </row>
    <row r="2273" spans="1:13" x14ac:dyDescent="0.3">
      <c r="A2273" s="6">
        <f>+'[1]VENTAS(RESUMEN GLOBAL)'!L2273</f>
        <v>0</v>
      </c>
      <c r="B2273" s="6">
        <f>+'[1]VENTAS(RESUMEN GLOBAL)'!M2273</f>
        <v>0</v>
      </c>
      <c r="C2273">
        <f>+'[1]VENTAS(RESUMEN GLOBAL)'!B2273</f>
        <v>0</v>
      </c>
      <c r="D2273" t="e">
        <f>INDEX('[1]CÓDIGOS DE PRODUCTO'!$D$3:$D$1000,MATCH(C2273,'[1]CÓDIGOS DE PRODUCTO'!$A$3:$A$1000,0))</f>
        <v>#N/A</v>
      </c>
      <c r="E2273">
        <f>VLOOKUP(C2273,'[1]CÓDIGOS DE PRODUCTO'!$A$4:$B$156,2,FALSE)</f>
        <v>0</v>
      </c>
      <c r="F2273">
        <f>INDEX('[1]CÓDIGOS DE PRODUCTO'!$C$3:$C$1000,MATCH(C2273,'[1]CÓDIGOS DE PRODUCTO'!$A$3:$A$1000,0))</f>
        <v>0</v>
      </c>
      <c r="G2273">
        <f>+'[1]VENTAS(RESUMEN GLOBAL)'!D2273-'[1]VENTAS(RESUMEN GLOBAL)'!E2273</f>
        <v>0</v>
      </c>
      <c r="H2273" s="9">
        <f>+'[1]VENTAS(RESUMEN GLOBAL)'!K2273</f>
        <v>0</v>
      </c>
      <c r="I2273" s="8">
        <f>+G2273*'[1]VENTAS(RESUMEN GLOBAL)'!F2273</f>
        <v>0</v>
      </c>
      <c r="J2273" s="8">
        <f>'[1]VENTAS(RESUMEN GLOBAL)'!G2273*(1-'[1]VENTAS(RESUMEN GLOBAL)'!H2273)</f>
        <v>0</v>
      </c>
      <c r="K2273" s="8">
        <f t="shared" si="35"/>
        <v>0</v>
      </c>
      <c r="L2273" s="8">
        <f>+'[1]VENTAS(RESUMEN GLOBAL)'!J2273</f>
        <v>0</v>
      </c>
      <c r="M2273" s="8">
        <f>+Tabla1[[#This Row],[utilidad x dia]]*7</f>
        <v>0</v>
      </c>
    </row>
    <row r="2274" spans="1:13" x14ac:dyDescent="0.3">
      <c r="A2274" s="6">
        <f>+'[1]VENTAS(RESUMEN GLOBAL)'!L2274</f>
        <v>0</v>
      </c>
      <c r="B2274" s="6">
        <f>+'[1]VENTAS(RESUMEN GLOBAL)'!M2274</f>
        <v>0</v>
      </c>
      <c r="C2274">
        <f>+'[1]VENTAS(RESUMEN GLOBAL)'!B2274</f>
        <v>0</v>
      </c>
      <c r="D2274" t="e">
        <f>INDEX('[1]CÓDIGOS DE PRODUCTO'!$D$3:$D$1000,MATCH(C2274,'[1]CÓDIGOS DE PRODUCTO'!$A$3:$A$1000,0))</f>
        <v>#N/A</v>
      </c>
      <c r="E2274">
        <f>VLOOKUP(C2274,'[1]CÓDIGOS DE PRODUCTO'!$A$4:$B$156,2,FALSE)</f>
        <v>0</v>
      </c>
      <c r="F2274">
        <f>INDEX('[1]CÓDIGOS DE PRODUCTO'!$C$3:$C$1000,MATCH(C2274,'[1]CÓDIGOS DE PRODUCTO'!$A$3:$A$1000,0))</f>
        <v>0</v>
      </c>
      <c r="G2274">
        <f>+'[1]VENTAS(RESUMEN GLOBAL)'!D2274-'[1]VENTAS(RESUMEN GLOBAL)'!E2274</f>
        <v>0</v>
      </c>
      <c r="H2274" s="9">
        <f>+'[1]VENTAS(RESUMEN GLOBAL)'!K2274</f>
        <v>0</v>
      </c>
      <c r="I2274" s="8">
        <f>+G2274*'[1]VENTAS(RESUMEN GLOBAL)'!F2274</f>
        <v>0</v>
      </c>
      <c r="J2274" s="8">
        <f>'[1]VENTAS(RESUMEN GLOBAL)'!G2274*(1-'[1]VENTAS(RESUMEN GLOBAL)'!H2274)</f>
        <v>0</v>
      </c>
      <c r="K2274" s="8">
        <f t="shared" si="35"/>
        <v>0</v>
      </c>
      <c r="L2274" s="8">
        <f>+'[1]VENTAS(RESUMEN GLOBAL)'!J2274</f>
        <v>0</v>
      </c>
      <c r="M2274" s="8">
        <f>+Tabla1[[#This Row],[utilidad x dia]]*7</f>
        <v>0</v>
      </c>
    </row>
    <row r="2275" spans="1:13" x14ac:dyDescent="0.3">
      <c r="A2275" s="6">
        <f>+'[1]VENTAS(RESUMEN GLOBAL)'!L2275</f>
        <v>0</v>
      </c>
      <c r="B2275" s="6">
        <f>+'[1]VENTAS(RESUMEN GLOBAL)'!M2275</f>
        <v>0</v>
      </c>
      <c r="C2275">
        <f>+'[1]VENTAS(RESUMEN GLOBAL)'!B2275</f>
        <v>0</v>
      </c>
      <c r="D2275" t="e">
        <f>INDEX('[1]CÓDIGOS DE PRODUCTO'!$D$3:$D$1000,MATCH(C2275,'[1]CÓDIGOS DE PRODUCTO'!$A$3:$A$1000,0))</f>
        <v>#N/A</v>
      </c>
      <c r="E2275">
        <f>VLOOKUP(C2275,'[1]CÓDIGOS DE PRODUCTO'!$A$4:$B$156,2,FALSE)</f>
        <v>0</v>
      </c>
      <c r="F2275">
        <f>INDEX('[1]CÓDIGOS DE PRODUCTO'!$C$3:$C$1000,MATCH(C2275,'[1]CÓDIGOS DE PRODUCTO'!$A$3:$A$1000,0))</f>
        <v>0</v>
      </c>
      <c r="G2275">
        <f>+'[1]VENTAS(RESUMEN GLOBAL)'!D2275-'[1]VENTAS(RESUMEN GLOBAL)'!E2275</f>
        <v>0</v>
      </c>
      <c r="H2275" s="9">
        <f>+'[1]VENTAS(RESUMEN GLOBAL)'!K2275</f>
        <v>0</v>
      </c>
      <c r="I2275" s="8">
        <f>+G2275*'[1]VENTAS(RESUMEN GLOBAL)'!F2275</f>
        <v>0</v>
      </c>
      <c r="J2275" s="8">
        <f>'[1]VENTAS(RESUMEN GLOBAL)'!G2275*(1-'[1]VENTAS(RESUMEN GLOBAL)'!H2275)</f>
        <v>0</v>
      </c>
      <c r="K2275" s="8">
        <f t="shared" si="35"/>
        <v>0</v>
      </c>
      <c r="L2275" s="8">
        <f>+'[1]VENTAS(RESUMEN GLOBAL)'!J2275</f>
        <v>0</v>
      </c>
      <c r="M2275" s="8">
        <f>+Tabla1[[#This Row],[utilidad x dia]]*7</f>
        <v>0</v>
      </c>
    </row>
    <row r="2276" spans="1:13" x14ac:dyDescent="0.3">
      <c r="A2276" s="6">
        <f>+'[1]VENTAS(RESUMEN GLOBAL)'!L2276</f>
        <v>0</v>
      </c>
      <c r="B2276" s="6">
        <f>+'[1]VENTAS(RESUMEN GLOBAL)'!M2276</f>
        <v>0</v>
      </c>
      <c r="C2276">
        <f>+'[1]VENTAS(RESUMEN GLOBAL)'!B2276</f>
        <v>0</v>
      </c>
      <c r="D2276" t="e">
        <f>INDEX('[1]CÓDIGOS DE PRODUCTO'!$D$3:$D$1000,MATCH(C2276,'[1]CÓDIGOS DE PRODUCTO'!$A$3:$A$1000,0))</f>
        <v>#N/A</v>
      </c>
      <c r="E2276">
        <f>VLOOKUP(C2276,'[1]CÓDIGOS DE PRODUCTO'!$A$4:$B$156,2,FALSE)</f>
        <v>0</v>
      </c>
      <c r="F2276">
        <f>INDEX('[1]CÓDIGOS DE PRODUCTO'!$C$3:$C$1000,MATCH(C2276,'[1]CÓDIGOS DE PRODUCTO'!$A$3:$A$1000,0))</f>
        <v>0</v>
      </c>
      <c r="G2276">
        <f>+'[1]VENTAS(RESUMEN GLOBAL)'!D2276-'[1]VENTAS(RESUMEN GLOBAL)'!E2276</f>
        <v>0</v>
      </c>
      <c r="H2276" s="9">
        <f>+'[1]VENTAS(RESUMEN GLOBAL)'!K2276</f>
        <v>0</v>
      </c>
      <c r="I2276" s="8">
        <f>+G2276*'[1]VENTAS(RESUMEN GLOBAL)'!F2276</f>
        <v>0</v>
      </c>
      <c r="J2276" s="8">
        <f>'[1]VENTAS(RESUMEN GLOBAL)'!G2276*(1-'[1]VENTAS(RESUMEN GLOBAL)'!H2276)</f>
        <v>0</v>
      </c>
      <c r="K2276" s="8">
        <f t="shared" si="35"/>
        <v>0</v>
      </c>
      <c r="L2276" s="8">
        <f>+'[1]VENTAS(RESUMEN GLOBAL)'!J2276</f>
        <v>0</v>
      </c>
      <c r="M2276" s="8">
        <f>+Tabla1[[#This Row],[utilidad x dia]]*7</f>
        <v>0</v>
      </c>
    </row>
    <row r="2277" spans="1:13" x14ac:dyDescent="0.3">
      <c r="A2277" s="6">
        <f>+'[1]VENTAS(RESUMEN GLOBAL)'!L2277</f>
        <v>0</v>
      </c>
      <c r="B2277" s="6">
        <f>+'[1]VENTAS(RESUMEN GLOBAL)'!M2277</f>
        <v>0</v>
      </c>
      <c r="C2277">
        <f>+'[1]VENTAS(RESUMEN GLOBAL)'!B2277</f>
        <v>0</v>
      </c>
      <c r="D2277" t="e">
        <f>INDEX('[1]CÓDIGOS DE PRODUCTO'!$D$3:$D$1000,MATCH(C2277,'[1]CÓDIGOS DE PRODUCTO'!$A$3:$A$1000,0))</f>
        <v>#N/A</v>
      </c>
      <c r="E2277">
        <f>VLOOKUP(C2277,'[1]CÓDIGOS DE PRODUCTO'!$A$4:$B$156,2,FALSE)</f>
        <v>0</v>
      </c>
      <c r="F2277">
        <f>INDEX('[1]CÓDIGOS DE PRODUCTO'!$C$3:$C$1000,MATCH(C2277,'[1]CÓDIGOS DE PRODUCTO'!$A$3:$A$1000,0))</f>
        <v>0</v>
      </c>
      <c r="G2277">
        <f>+'[1]VENTAS(RESUMEN GLOBAL)'!D2277-'[1]VENTAS(RESUMEN GLOBAL)'!E2277</f>
        <v>0</v>
      </c>
      <c r="H2277" s="9">
        <f>+'[1]VENTAS(RESUMEN GLOBAL)'!K2277</f>
        <v>0</v>
      </c>
      <c r="I2277" s="8">
        <f>+G2277*'[1]VENTAS(RESUMEN GLOBAL)'!F2277</f>
        <v>0</v>
      </c>
      <c r="J2277" s="8">
        <f>'[1]VENTAS(RESUMEN GLOBAL)'!G2277*(1-'[1]VENTAS(RESUMEN GLOBAL)'!H2277)</f>
        <v>0</v>
      </c>
      <c r="K2277" s="8">
        <f t="shared" si="35"/>
        <v>0</v>
      </c>
      <c r="L2277" s="8">
        <f>+'[1]VENTAS(RESUMEN GLOBAL)'!J2277</f>
        <v>0</v>
      </c>
      <c r="M2277" s="8">
        <f>+Tabla1[[#This Row],[utilidad x dia]]*7</f>
        <v>0</v>
      </c>
    </row>
    <row r="2278" spans="1:13" x14ac:dyDescent="0.3">
      <c r="A2278" s="6">
        <f>+'[1]VENTAS(RESUMEN GLOBAL)'!L2278</f>
        <v>0</v>
      </c>
      <c r="B2278" s="6">
        <f>+'[1]VENTAS(RESUMEN GLOBAL)'!M2278</f>
        <v>0</v>
      </c>
      <c r="C2278">
        <f>+'[1]VENTAS(RESUMEN GLOBAL)'!B2278</f>
        <v>0</v>
      </c>
      <c r="D2278" t="e">
        <f>INDEX('[1]CÓDIGOS DE PRODUCTO'!$D$3:$D$1000,MATCH(C2278,'[1]CÓDIGOS DE PRODUCTO'!$A$3:$A$1000,0))</f>
        <v>#N/A</v>
      </c>
      <c r="E2278">
        <f>VLOOKUP(C2278,'[1]CÓDIGOS DE PRODUCTO'!$A$4:$B$156,2,FALSE)</f>
        <v>0</v>
      </c>
      <c r="F2278">
        <f>INDEX('[1]CÓDIGOS DE PRODUCTO'!$C$3:$C$1000,MATCH(C2278,'[1]CÓDIGOS DE PRODUCTO'!$A$3:$A$1000,0))</f>
        <v>0</v>
      </c>
      <c r="G2278">
        <f>+'[1]VENTAS(RESUMEN GLOBAL)'!D2278-'[1]VENTAS(RESUMEN GLOBAL)'!E2278</f>
        <v>0</v>
      </c>
      <c r="H2278" s="9">
        <f>+'[1]VENTAS(RESUMEN GLOBAL)'!K2278</f>
        <v>0</v>
      </c>
      <c r="I2278" s="8">
        <f>+G2278*'[1]VENTAS(RESUMEN GLOBAL)'!F2278</f>
        <v>0</v>
      </c>
      <c r="J2278" s="8">
        <f>'[1]VENTAS(RESUMEN GLOBAL)'!G2278*(1-'[1]VENTAS(RESUMEN GLOBAL)'!H2278)</f>
        <v>0</v>
      </c>
      <c r="K2278" s="8">
        <f t="shared" si="35"/>
        <v>0</v>
      </c>
      <c r="L2278" s="8">
        <f>+'[1]VENTAS(RESUMEN GLOBAL)'!J2278</f>
        <v>0</v>
      </c>
      <c r="M2278" s="8">
        <f>+Tabla1[[#This Row],[utilidad x dia]]*7</f>
        <v>0</v>
      </c>
    </row>
    <row r="2279" spans="1:13" x14ac:dyDescent="0.3">
      <c r="A2279" s="6">
        <f>+'[1]VENTAS(RESUMEN GLOBAL)'!L2279</f>
        <v>0</v>
      </c>
      <c r="B2279" s="6">
        <f>+'[1]VENTAS(RESUMEN GLOBAL)'!M2279</f>
        <v>0</v>
      </c>
      <c r="C2279">
        <f>+'[1]VENTAS(RESUMEN GLOBAL)'!B2279</f>
        <v>0</v>
      </c>
      <c r="D2279" t="e">
        <f>INDEX('[1]CÓDIGOS DE PRODUCTO'!$D$3:$D$1000,MATCH(C2279,'[1]CÓDIGOS DE PRODUCTO'!$A$3:$A$1000,0))</f>
        <v>#N/A</v>
      </c>
      <c r="E2279">
        <f>VLOOKUP(C2279,'[1]CÓDIGOS DE PRODUCTO'!$A$4:$B$156,2,FALSE)</f>
        <v>0</v>
      </c>
      <c r="F2279">
        <f>INDEX('[1]CÓDIGOS DE PRODUCTO'!$C$3:$C$1000,MATCH(C2279,'[1]CÓDIGOS DE PRODUCTO'!$A$3:$A$1000,0))</f>
        <v>0</v>
      </c>
      <c r="G2279">
        <f>+'[1]VENTAS(RESUMEN GLOBAL)'!D2279-'[1]VENTAS(RESUMEN GLOBAL)'!E2279</f>
        <v>0</v>
      </c>
      <c r="H2279" s="9">
        <f>+'[1]VENTAS(RESUMEN GLOBAL)'!K2279</f>
        <v>0</v>
      </c>
      <c r="I2279" s="8">
        <f>+G2279*'[1]VENTAS(RESUMEN GLOBAL)'!F2279</f>
        <v>0</v>
      </c>
      <c r="J2279" s="8">
        <f>'[1]VENTAS(RESUMEN GLOBAL)'!G2279*(1-'[1]VENTAS(RESUMEN GLOBAL)'!H2279)</f>
        <v>0</v>
      </c>
      <c r="K2279" s="8">
        <f t="shared" si="35"/>
        <v>0</v>
      </c>
      <c r="L2279" s="8">
        <f>+'[1]VENTAS(RESUMEN GLOBAL)'!J2279</f>
        <v>0</v>
      </c>
      <c r="M2279" s="8">
        <f>+Tabla1[[#This Row],[utilidad x dia]]*7</f>
        <v>0</v>
      </c>
    </row>
    <row r="2280" spans="1:13" x14ac:dyDescent="0.3">
      <c r="A2280" s="6">
        <f>+'[1]VENTAS(RESUMEN GLOBAL)'!L2280</f>
        <v>0</v>
      </c>
      <c r="B2280" s="6">
        <f>+'[1]VENTAS(RESUMEN GLOBAL)'!M2280</f>
        <v>0</v>
      </c>
      <c r="C2280">
        <f>+'[1]VENTAS(RESUMEN GLOBAL)'!B2280</f>
        <v>0</v>
      </c>
      <c r="D2280" t="e">
        <f>INDEX('[1]CÓDIGOS DE PRODUCTO'!$D$3:$D$1000,MATCH(C2280,'[1]CÓDIGOS DE PRODUCTO'!$A$3:$A$1000,0))</f>
        <v>#N/A</v>
      </c>
      <c r="E2280">
        <f>VLOOKUP(C2280,'[1]CÓDIGOS DE PRODUCTO'!$A$4:$B$156,2,FALSE)</f>
        <v>0</v>
      </c>
      <c r="F2280">
        <f>INDEX('[1]CÓDIGOS DE PRODUCTO'!$C$3:$C$1000,MATCH(C2280,'[1]CÓDIGOS DE PRODUCTO'!$A$3:$A$1000,0))</f>
        <v>0</v>
      </c>
      <c r="G2280">
        <f>+'[1]VENTAS(RESUMEN GLOBAL)'!D2280-'[1]VENTAS(RESUMEN GLOBAL)'!E2280</f>
        <v>0</v>
      </c>
      <c r="H2280" s="9">
        <f>+'[1]VENTAS(RESUMEN GLOBAL)'!K2280</f>
        <v>0</v>
      </c>
      <c r="I2280" s="8">
        <f>+G2280*'[1]VENTAS(RESUMEN GLOBAL)'!F2280</f>
        <v>0</v>
      </c>
      <c r="J2280" s="8">
        <f>'[1]VENTAS(RESUMEN GLOBAL)'!G2280*(1-'[1]VENTAS(RESUMEN GLOBAL)'!H2280)</f>
        <v>0</v>
      </c>
      <c r="K2280" s="8">
        <f t="shared" si="35"/>
        <v>0</v>
      </c>
      <c r="L2280" s="8">
        <f>+'[1]VENTAS(RESUMEN GLOBAL)'!J2280</f>
        <v>0</v>
      </c>
      <c r="M2280" s="8">
        <f>+Tabla1[[#This Row],[utilidad x dia]]*7</f>
        <v>0</v>
      </c>
    </row>
    <row r="2281" spans="1:13" x14ac:dyDescent="0.3">
      <c r="A2281" s="6">
        <f>+'[1]VENTAS(RESUMEN GLOBAL)'!L2281</f>
        <v>0</v>
      </c>
      <c r="B2281" s="6">
        <f>+'[1]VENTAS(RESUMEN GLOBAL)'!M2281</f>
        <v>0</v>
      </c>
      <c r="C2281">
        <f>+'[1]VENTAS(RESUMEN GLOBAL)'!B2281</f>
        <v>0</v>
      </c>
      <c r="D2281" t="e">
        <f>INDEX('[1]CÓDIGOS DE PRODUCTO'!$D$3:$D$1000,MATCH(C2281,'[1]CÓDIGOS DE PRODUCTO'!$A$3:$A$1000,0))</f>
        <v>#N/A</v>
      </c>
      <c r="E2281">
        <f>VLOOKUP(C2281,'[1]CÓDIGOS DE PRODUCTO'!$A$4:$B$156,2,FALSE)</f>
        <v>0</v>
      </c>
      <c r="F2281">
        <f>INDEX('[1]CÓDIGOS DE PRODUCTO'!$C$3:$C$1000,MATCH(C2281,'[1]CÓDIGOS DE PRODUCTO'!$A$3:$A$1000,0))</f>
        <v>0</v>
      </c>
      <c r="G2281">
        <f>+'[1]VENTAS(RESUMEN GLOBAL)'!D2281-'[1]VENTAS(RESUMEN GLOBAL)'!E2281</f>
        <v>0</v>
      </c>
      <c r="H2281" s="9">
        <f>+'[1]VENTAS(RESUMEN GLOBAL)'!K2281</f>
        <v>0</v>
      </c>
      <c r="I2281" s="8">
        <f>+G2281*'[1]VENTAS(RESUMEN GLOBAL)'!F2281</f>
        <v>0</v>
      </c>
      <c r="J2281" s="8">
        <f>'[1]VENTAS(RESUMEN GLOBAL)'!G2281*(1-'[1]VENTAS(RESUMEN GLOBAL)'!H2281)</f>
        <v>0</v>
      </c>
      <c r="K2281" s="8">
        <f t="shared" si="35"/>
        <v>0</v>
      </c>
      <c r="L2281" s="8">
        <f>+'[1]VENTAS(RESUMEN GLOBAL)'!J2281</f>
        <v>0</v>
      </c>
      <c r="M2281" s="8">
        <f>+Tabla1[[#This Row],[utilidad x dia]]*7</f>
        <v>0</v>
      </c>
    </row>
    <row r="2282" spans="1:13" x14ac:dyDescent="0.3">
      <c r="A2282" s="6">
        <f>+'[1]VENTAS(RESUMEN GLOBAL)'!L2282</f>
        <v>0</v>
      </c>
      <c r="B2282" s="6">
        <f>+'[1]VENTAS(RESUMEN GLOBAL)'!M2282</f>
        <v>0</v>
      </c>
      <c r="C2282">
        <f>+'[1]VENTAS(RESUMEN GLOBAL)'!B2282</f>
        <v>0</v>
      </c>
      <c r="D2282" t="e">
        <f>INDEX('[1]CÓDIGOS DE PRODUCTO'!$D$3:$D$1000,MATCH(C2282,'[1]CÓDIGOS DE PRODUCTO'!$A$3:$A$1000,0))</f>
        <v>#N/A</v>
      </c>
      <c r="E2282">
        <f>VLOOKUP(C2282,'[1]CÓDIGOS DE PRODUCTO'!$A$4:$B$156,2,FALSE)</f>
        <v>0</v>
      </c>
      <c r="F2282">
        <f>INDEX('[1]CÓDIGOS DE PRODUCTO'!$C$3:$C$1000,MATCH(C2282,'[1]CÓDIGOS DE PRODUCTO'!$A$3:$A$1000,0))</f>
        <v>0</v>
      </c>
      <c r="G2282">
        <f>+'[1]VENTAS(RESUMEN GLOBAL)'!D2282-'[1]VENTAS(RESUMEN GLOBAL)'!E2282</f>
        <v>0</v>
      </c>
      <c r="H2282" s="9">
        <f>+'[1]VENTAS(RESUMEN GLOBAL)'!K2282</f>
        <v>0</v>
      </c>
      <c r="I2282" s="8">
        <f>+G2282*'[1]VENTAS(RESUMEN GLOBAL)'!F2282</f>
        <v>0</v>
      </c>
      <c r="J2282" s="8">
        <f>'[1]VENTAS(RESUMEN GLOBAL)'!G2282*(1-'[1]VENTAS(RESUMEN GLOBAL)'!H2282)</f>
        <v>0</v>
      </c>
      <c r="K2282" s="8">
        <f t="shared" si="35"/>
        <v>0</v>
      </c>
      <c r="L2282" s="8">
        <f>+'[1]VENTAS(RESUMEN GLOBAL)'!J2282</f>
        <v>0</v>
      </c>
      <c r="M2282" s="8">
        <f>+Tabla1[[#This Row],[utilidad x dia]]*7</f>
        <v>0</v>
      </c>
    </row>
    <row r="2283" spans="1:13" x14ac:dyDescent="0.3">
      <c r="A2283" s="6">
        <f>+'[1]VENTAS(RESUMEN GLOBAL)'!L2283</f>
        <v>0</v>
      </c>
      <c r="B2283" s="6">
        <f>+'[1]VENTAS(RESUMEN GLOBAL)'!M2283</f>
        <v>0</v>
      </c>
      <c r="C2283">
        <f>+'[1]VENTAS(RESUMEN GLOBAL)'!B2283</f>
        <v>0</v>
      </c>
      <c r="D2283" t="e">
        <f>INDEX('[1]CÓDIGOS DE PRODUCTO'!$D$3:$D$1000,MATCH(C2283,'[1]CÓDIGOS DE PRODUCTO'!$A$3:$A$1000,0))</f>
        <v>#N/A</v>
      </c>
      <c r="E2283">
        <f>VLOOKUP(C2283,'[1]CÓDIGOS DE PRODUCTO'!$A$4:$B$156,2,FALSE)</f>
        <v>0</v>
      </c>
      <c r="F2283">
        <f>INDEX('[1]CÓDIGOS DE PRODUCTO'!$C$3:$C$1000,MATCH(C2283,'[1]CÓDIGOS DE PRODUCTO'!$A$3:$A$1000,0))</f>
        <v>0</v>
      </c>
      <c r="G2283">
        <f>+'[1]VENTAS(RESUMEN GLOBAL)'!D2283-'[1]VENTAS(RESUMEN GLOBAL)'!E2283</f>
        <v>0</v>
      </c>
      <c r="H2283" s="9">
        <f>+'[1]VENTAS(RESUMEN GLOBAL)'!K2283</f>
        <v>0</v>
      </c>
      <c r="I2283" s="8">
        <f>+G2283*'[1]VENTAS(RESUMEN GLOBAL)'!F2283</f>
        <v>0</v>
      </c>
      <c r="J2283" s="8">
        <f>'[1]VENTAS(RESUMEN GLOBAL)'!G2283*(1-'[1]VENTAS(RESUMEN GLOBAL)'!H2283)</f>
        <v>0</v>
      </c>
      <c r="K2283" s="8">
        <f t="shared" si="35"/>
        <v>0</v>
      </c>
      <c r="L2283" s="8">
        <f>+'[1]VENTAS(RESUMEN GLOBAL)'!J2283</f>
        <v>0</v>
      </c>
      <c r="M2283" s="8">
        <f>+Tabla1[[#This Row],[utilidad x dia]]*7</f>
        <v>0</v>
      </c>
    </row>
    <row r="2284" spans="1:13" x14ac:dyDescent="0.3">
      <c r="A2284" s="6">
        <f>+'[1]VENTAS(RESUMEN GLOBAL)'!L2284</f>
        <v>0</v>
      </c>
      <c r="B2284" s="6">
        <f>+'[1]VENTAS(RESUMEN GLOBAL)'!M2284</f>
        <v>0</v>
      </c>
      <c r="C2284">
        <f>+'[1]VENTAS(RESUMEN GLOBAL)'!B2284</f>
        <v>0</v>
      </c>
      <c r="D2284" t="e">
        <f>INDEX('[1]CÓDIGOS DE PRODUCTO'!$D$3:$D$1000,MATCH(C2284,'[1]CÓDIGOS DE PRODUCTO'!$A$3:$A$1000,0))</f>
        <v>#N/A</v>
      </c>
      <c r="E2284">
        <f>VLOOKUP(C2284,'[1]CÓDIGOS DE PRODUCTO'!$A$4:$B$156,2,FALSE)</f>
        <v>0</v>
      </c>
      <c r="F2284">
        <f>INDEX('[1]CÓDIGOS DE PRODUCTO'!$C$3:$C$1000,MATCH(C2284,'[1]CÓDIGOS DE PRODUCTO'!$A$3:$A$1000,0))</f>
        <v>0</v>
      </c>
      <c r="G2284">
        <f>+'[1]VENTAS(RESUMEN GLOBAL)'!D2284-'[1]VENTAS(RESUMEN GLOBAL)'!E2284</f>
        <v>0</v>
      </c>
      <c r="H2284" s="9">
        <f>+'[1]VENTAS(RESUMEN GLOBAL)'!K2284</f>
        <v>0</v>
      </c>
      <c r="I2284" s="8">
        <f>+G2284*'[1]VENTAS(RESUMEN GLOBAL)'!F2284</f>
        <v>0</v>
      </c>
      <c r="J2284" s="8">
        <f>'[1]VENTAS(RESUMEN GLOBAL)'!G2284*(1-'[1]VENTAS(RESUMEN GLOBAL)'!H2284)</f>
        <v>0</v>
      </c>
      <c r="K2284" s="8">
        <f t="shared" si="35"/>
        <v>0</v>
      </c>
      <c r="L2284" s="8">
        <f>+'[1]VENTAS(RESUMEN GLOBAL)'!J2284</f>
        <v>0</v>
      </c>
      <c r="M2284" s="8">
        <f>+Tabla1[[#This Row],[utilidad x dia]]*7</f>
        <v>0</v>
      </c>
    </row>
    <row r="2285" spans="1:13" x14ac:dyDescent="0.3">
      <c r="A2285" s="6">
        <f>+'[1]VENTAS(RESUMEN GLOBAL)'!L2285</f>
        <v>0</v>
      </c>
      <c r="B2285" s="6">
        <f>+'[1]VENTAS(RESUMEN GLOBAL)'!M2285</f>
        <v>0</v>
      </c>
      <c r="C2285">
        <f>+'[1]VENTAS(RESUMEN GLOBAL)'!B2285</f>
        <v>0</v>
      </c>
      <c r="D2285" t="e">
        <f>INDEX('[1]CÓDIGOS DE PRODUCTO'!$D$3:$D$1000,MATCH(C2285,'[1]CÓDIGOS DE PRODUCTO'!$A$3:$A$1000,0))</f>
        <v>#N/A</v>
      </c>
      <c r="E2285">
        <f>VLOOKUP(C2285,'[1]CÓDIGOS DE PRODUCTO'!$A$4:$B$156,2,FALSE)</f>
        <v>0</v>
      </c>
      <c r="F2285">
        <f>INDEX('[1]CÓDIGOS DE PRODUCTO'!$C$3:$C$1000,MATCH(C2285,'[1]CÓDIGOS DE PRODUCTO'!$A$3:$A$1000,0))</f>
        <v>0</v>
      </c>
      <c r="G2285">
        <f>+'[1]VENTAS(RESUMEN GLOBAL)'!D2285-'[1]VENTAS(RESUMEN GLOBAL)'!E2285</f>
        <v>0</v>
      </c>
      <c r="H2285" s="9">
        <f>+'[1]VENTAS(RESUMEN GLOBAL)'!K2285</f>
        <v>0</v>
      </c>
      <c r="I2285" s="8">
        <f>+G2285*'[1]VENTAS(RESUMEN GLOBAL)'!F2285</f>
        <v>0</v>
      </c>
      <c r="J2285" s="8">
        <f>'[1]VENTAS(RESUMEN GLOBAL)'!G2285*(1-'[1]VENTAS(RESUMEN GLOBAL)'!H2285)</f>
        <v>0</v>
      </c>
      <c r="K2285" s="8">
        <f t="shared" si="35"/>
        <v>0</v>
      </c>
      <c r="L2285" s="8">
        <f>+'[1]VENTAS(RESUMEN GLOBAL)'!J2285</f>
        <v>0</v>
      </c>
      <c r="M2285" s="8">
        <f>+Tabla1[[#This Row],[utilidad x dia]]*7</f>
        <v>0</v>
      </c>
    </row>
    <row r="2286" spans="1:13" x14ac:dyDescent="0.3">
      <c r="A2286" s="6">
        <f>+'[1]VENTAS(RESUMEN GLOBAL)'!L2286</f>
        <v>0</v>
      </c>
      <c r="B2286" s="6">
        <f>+'[1]VENTAS(RESUMEN GLOBAL)'!M2286</f>
        <v>0</v>
      </c>
      <c r="C2286">
        <f>+'[1]VENTAS(RESUMEN GLOBAL)'!B2286</f>
        <v>0</v>
      </c>
      <c r="D2286" t="e">
        <f>INDEX('[1]CÓDIGOS DE PRODUCTO'!$D$3:$D$1000,MATCH(C2286,'[1]CÓDIGOS DE PRODUCTO'!$A$3:$A$1000,0))</f>
        <v>#N/A</v>
      </c>
      <c r="E2286">
        <f>VLOOKUP(C2286,'[1]CÓDIGOS DE PRODUCTO'!$A$4:$B$156,2,FALSE)</f>
        <v>0</v>
      </c>
      <c r="F2286">
        <f>INDEX('[1]CÓDIGOS DE PRODUCTO'!$C$3:$C$1000,MATCH(C2286,'[1]CÓDIGOS DE PRODUCTO'!$A$3:$A$1000,0))</f>
        <v>0</v>
      </c>
      <c r="G2286">
        <f>+'[1]VENTAS(RESUMEN GLOBAL)'!D2286-'[1]VENTAS(RESUMEN GLOBAL)'!E2286</f>
        <v>0</v>
      </c>
      <c r="H2286" s="9">
        <f>+'[1]VENTAS(RESUMEN GLOBAL)'!K2286</f>
        <v>0</v>
      </c>
      <c r="I2286" s="8">
        <f>+G2286*'[1]VENTAS(RESUMEN GLOBAL)'!F2286</f>
        <v>0</v>
      </c>
      <c r="J2286" s="8">
        <f>'[1]VENTAS(RESUMEN GLOBAL)'!G2286*(1-'[1]VENTAS(RESUMEN GLOBAL)'!H2286)</f>
        <v>0</v>
      </c>
      <c r="K2286" s="8">
        <f t="shared" si="35"/>
        <v>0</v>
      </c>
      <c r="L2286" s="8">
        <f>+'[1]VENTAS(RESUMEN GLOBAL)'!J2286</f>
        <v>0</v>
      </c>
      <c r="M2286" s="8">
        <f>+Tabla1[[#This Row],[utilidad x dia]]*7</f>
        <v>0</v>
      </c>
    </row>
    <row r="2287" spans="1:13" x14ac:dyDescent="0.3">
      <c r="A2287" s="6">
        <f>+'[1]VENTAS(RESUMEN GLOBAL)'!L2287</f>
        <v>0</v>
      </c>
      <c r="B2287" s="6">
        <f>+'[1]VENTAS(RESUMEN GLOBAL)'!M2287</f>
        <v>0</v>
      </c>
      <c r="C2287">
        <f>+'[1]VENTAS(RESUMEN GLOBAL)'!B2287</f>
        <v>0</v>
      </c>
      <c r="D2287" t="e">
        <f>INDEX('[1]CÓDIGOS DE PRODUCTO'!$D$3:$D$1000,MATCH(C2287,'[1]CÓDIGOS DE PRODUCTO'!$A$3:$A$1000,0))</f>
        <v>#N/A</v>
      </c>
      <c r="E2287">
        <f>VLOOKUP(C2287,'[1]CÓDIGOS DE PRODUCTO'!$A$4:$B$156,2,FALSE)</f>
        <v>0</v>
      </c>
      <c r="F2287">
        <f>INDEX('[1]CÓDIGOS DE PRODUCTO'!$C$3:$C$1000,MATCH(C2287,'[1]CÓDIGOS DE PRODUCTO'!$A$3:$A$1000,0))</f>
        <v>0</v>
      </c>
      <c r="G2287">
        <f>+'[1]VENTAS(RESUMEN GLOBAL)'!D2287-'[1]VENTAS(RESUMEN GLOBAL)'!E2287</f>
        <v>0</v>
      </c>
      <c r="H2287" s="9">
        <f>+'[1]VENTAS(RESUMEN GLOBAL)'!K2287</f>
        <v>0</v>
      </c>
      <c r="I2287" s="8">
        <f>+G2287*'[1]VENTAS(RESUMEN GLOBAL)'!F2287</f>
        <v>0</v>
      </c>
      <c r="J2287" s="8">
        <f>'[1]VENTAS(RESUMEN GLOBAL)'!G2287*(1-'[1]VENTAS(RESUMEN GLOBAL)'!H2287)</f>
        <v>0</v>
      </c>
      <c r="K2287" s="8">
        <f t="shared" si="35"/>
        <v>0</v>
      </c>
      <c r="L2287" s="8">
        <f>+'[1]VENTAS(RESUMEN GLOBAL)'!J2287</f>
        <v>0</v>
      </c>
      <c r="M2287" s="8">
        <f>+Tabla1[[#This Row],[utilidad x dia]]*7</f>
        <v>0</v>
      </c>
    </row>
    <row r="2288" spans="1:13" x14ac:dyDescent="0.3">
      <c r="A2288" s="6">
        <f>+'[1]VENTAS(RESUMEN GLOBAL)'!L2288</f>
        <v>0</v>
      </c>
      <c r="B2288" s="6">
        <f>+'[1]VENTAS(RESUMEN GLOBAL)'!M2288</f>
        <v>0</v>
      </c>
      <c r="C2288">
        <f>+'[1]VENTAS(RESUMEN GLOBAL)'!B2288</f>
        <v>0</v>
      </c>
      <c r="D2288" t="e">
        <f>INDEX('[1]CÓDIGOS DE PRODUCTO'!$D$3:$D$1000,MATCH(C2288,'[1]CÓDIGOS DE PRODUCTO'!$A$3:$A$1000,0))</f>
        <v>#N/A</v>
      </c>
      <c r="E2288">
        <f>VLOOKUP(C2288,'[1]CÓDIGOS DE PRODUCTO'!$A$4:$B$156,2,FALSE)</f>
        <v>0</v>
      </c>
      <c r="F2288">
        <f>INDEX('[1]CÓDIGOS DE PRODUCTO'!$C$3:$C$1000,MATCH(C2288,'[1]CÓDIGOS DE PRODUCTO'!$A$3:$A$1000,0))</f>
        <v>0</v>
      </c>
      <c r="G2288">
        <f>+'[1]VENTAS(RESUMEN GLOBAL)'!D2288-'[1]VENTAS(RESUMEN GLOBAL)'!E2288</f>
        <v>0</v>
      </c>
      <c r="H2288" s="9">
        <f>+'[1]VENTAS(RESUMEN GLOBAL)'!K2288</f>
        <v>0</v>
      </c>
      <c r="I2288" s="8">
        <f>+G2288*'[1]VENTAS(RESUMEN GLOBAL)'!F2288</f>
        <v>0</v>
      </c>
      <c r="J2288" s="8">
        <f>'[1]VENTAS(RESUMEN GLOBAL)'!G2288*(1-'[1]VENTAS(RESUMEN GLOBAL)'!H2288)</f>
        <v>0</v>
      </c>
      <c r="K2288" s="8">
        <f t="shared" si="35"/>
        <v>0</v>
      </c>
      <c r="L2288" s="8">
        <f>+'[1]VENTAS(RESUMEN GLOBAL)'!J2288</f>
        <v>0</v>
      </c>
      <c r="M2288" s="8">
        <f>+Tabla1[[#This Row],[utilidad x dia]]*7</f>
        <v>0</v>
      </c>
    </row>
    <row r="2289" spans="1:13" x14ac:dyDescent="0.3">
      <c r="A2289" s="6">
        <f>+'[1]VENTAS(RESUMEN GLOBAL)'!L2289</f>
        <v>0</v>
      </c>
      <c r="B2289" s="6">
        <f>+'[1]VENTAS(RESUMEN GLOBAL)'!M2289</f>
        <v>0</v>
      </c>
      <c r="C2289">
        <f>+'[1]VENTAS(RESUMEN GLOBAL)'!B2289</f>
        <v>0</v>
      </c>
      <c r="D2289" t="e">
        <f>INDEX('[1]CÓDIGOS DE PRODUCTO'!$D$3:$D$1000,MATCH(C2289,'[1]CÓDIGOS DE PRODUCTO'!$A$3:$A$1000,0))</f>
        <v>#N/A</v>
      </c>
      <c r="E2289">
        <f>VLOOKUP(C2289,'[1]CÓDIGOS DE PRODUCTO'!$A$4:$B$156,2,FALSE)</f>
        <v>0</v>
      </c>
      <c r="F2289">
        <f>INDEX('[1]CÓDIGOS DE PRODUCTO'!$C$3:$C$1000,MATCH(C2289,'[1]CÓDIGOS DE PRODUCTO'!$A$3:$A$1000,0))</f>
        <v>0</v>
      </c>
      <c r="G2289">
        <f>+'[1]VENTAS(RESUMEN GLOBAL)'!D2289-'[1]VENTAS(RESUMEN GLOBAL)'!E2289</f>
        <v>0</v>
      </c>
      <c r="H2289" s="9">
        <f>+'[1]VENTAS(RESUMEN GLOBAL)'!K2289</f>
        <v>0</v>
      </c>
      <c r="I2289" s="8">
        <f>+G2289*'[1]VENTAS(RESUMEN GLOBAL)'!F2289</f>
        <v>0</v>
      </c>
      <c r="J2289" s="8">
        <f>'[1]VENTAS(RESUMEN GLOBAL)'!G2289*(1-'[1]VENTAS(RESUMEN GLOBAL)'!H2289)</f>
        <v>0</v>
      </c>
      <c r="K2289" s="8">
        <f t="shared" si="35"/>
        <v>0</v>
      </c>
      <c r="L2289" s="8">
        <f>+'[1]VENTAS(RESUMEN GLOBAL)'!J2289</f>
        <v>0</v>
      </c>
      <c r="M2289" s="8">
        <f>+Tabla1[[#This Row],[utilidad x dia]]*7</f>
        <v>0</v>
      </c>
    </row>
    <row r="2290" spans="1:13" x14ac:dyDescent="0.3">
      <c r="A2290" s="6">
        <f>+'[1]VENTAS(RESUMEN GLOBAL)'!L2290</f>
        <v>0</v>
      </c>
      <c r="B2290" s="6">
        <f>+'[1]VENTAS(RESUMEN GLOBAL)'!M2290</f>
        <v>0</v>
      </c>
      <c r="C2290">
        <f>+'[1]VENTAS(RESUMEN GLOBAL)'!B2290</f>
        <v>0</v>
      </c>
      <c r="D2290" t="e">
        <f>INDEX('[1]CÓDIGOS DE PRODUCTO'!$D$3:$D$1000,MATCH(C2290,'[1]CÓDIGOS DE PRODUCTO'!$A$3:$A$1000,0))</f>
        <v>#N/A</v>
      </c>
      <c r="E2290">
        <f>VLOOKUP(C2290,'[1]CÓDIGOS DE PRODUCTO'!$A$4:$B$156,2,FALSE)</f>
        <v>0</v>
      </c>
      <c r="F2290">
        <f>INDEX('[1]CÓDIGOS DE PRODUCTO'!$C$3:$C$1000,MATCH(C2290,'[1]CÓDIGOS DE PRODUCTO'!$A$3:$A$1000,0))</f>
        <v>0</v>
      </c>
      <c r="G2290">
        <f>+'[1]VENTAS(RESUMEN GLOBAL)'!D2290-'[1]VENTAS(RESUMEN GLOBAL)'!E2290</f>
        <v>0</v>
      </c>
      <c r="H2290" s="9">
        <f>+'[1]VENTAS(RESUMEN GLOBAL)'!K2290</f>
        <v>0</v>
      </c>
      <c r="I2290" s="8">
        <f>+G2290*'[1]VENTAS(RESUMEN GLOBAL)'!F2290</f>
        <v>0</v>
      </c>
      <c r="J2290" s="8">
        <f>'[1]VENTAS(RESUMEN GLOBAL)'!G2290*(1-'[1]VENTAS(RESUMEN GLOBAL)'!H2290)</f>
        <v>0</v>
      </c>
      <c r="K2290" s="8">
        <f t="shared" si="35"/>
        <v>0</v>
      </c>
      <c r="L2290" s="8">
        <f>+'[1]VENTAS(RESUMEN GLOBAL)'!J2290</f>
        <v>0</v>
      </c>
      <c r="M2290" s="8">
        <f>+Tabla1[[#This Row],[utilidad x dia]]*7</f>
        <v>0</v>
      </c>
    </row>
    <row r="2291" spans="1:13" x14ac:dyDescent="0.3">
      <c r="A2291" s="6">
        <f>+'[1]VENTAS(RESUMEN GLOBAL)'!L2291</f>
        <v>0</v>
      </c>
      <c r="B2291" s="6">
        <f>+'[1]VENTAS(RESUMEN GLOBAL)'!M2291</f>
        <v>0</v>
      </c>
      <c r="C2291">
        <f>+'[1]VENTAS(RESUMEN GLOBAL)'!B2291</f>
        <v>0</v>
      </c>
      <c r="D2291" t="e">
        <f>INDEX('[1]CÓDIGOS DE PRODUCTO'!$D$3:$D$1000,MATCH(C2291,'[1]CÓDIGOS DE PRODUCTO'!$A$3:$A$1000,0))</f>
        <v>#N/A</v>
      </c>
      <c r="E2291">
        <f>VLOOKUP(C2291,'[1]CÓDIGOS DE PRODUCTO'!$A$4:$B$156,2,FALSE)</f>
        <v>0</v>
      </c>
      <c r="F2291">
        <f>INDEX('[1]CÓDIGOS DE PRODUCTO'!$C$3:$C$1000,MATCH(C2291,'[1]CÓDIGOS DE PRODUCTO'!$A$3:$A$1000,0))</f>
        <v>0</v>
      </c>
      <c r="G2291">
        <f>+'[1]VENTAS(RESUMEN GLOBAL)'!D2291-'[1]VENTAS(RESUMEN GLOBAL)'!E2291</f>
        <v>0</v>
      </c>
      <c r="H2291" s="9">
        <f>+'[1]VENTAS(RESUMEN GLOBAL)'!K2291</f>
        <v>0</v>
      </c>
      <c r="I2291" s="8">
        <f>+G2291*'[1]VENTAS(RESUMEN GLOBAL)'!F2291</f>
        <v>0</v>
      </c>
      <c r="J2291" s="8">
        <f>'[1]VENTAS(RESUMEN GLOBAL)'!G2291*(1-'[1]VENTAS(RESUMEN GLOBAL)'!H2291)</f>
        <v>0</v>
      </c>
      <c r="K2291" s="8">
        <f t="shared" si="35"/>
        <v>0</v>
      </c>
      <c r="L2291" s="8">
        <f>+'[1]VENTAS(RESUMEN GLOBAL)'!J2291</f>
        <v>0</v>
      </c>
      <c r="M2291" s="8">
        <f>+Tabla1[[#This Row],[utilidad x dia]]*7</f>
        <v>0</v>
      </c>
    </row>
    <row r="2292" spans="1:13" x14ac:dyDescent="0.3">
      <c r="A2292" s="6">
        <f>+'[1]VENTAS(RESUMEN GLOBAL)'!L2292</f>
        <v>0</v>
      </c>
      <c r="B2292" s="6">
        <f>+'[1]VENTAS(RESUMEN GLOBAL)'!M2292</f>
        <v>0</v>
      </c>
      <c r="C2292">
        <f>+'[1]VENTAS(RESUMEN GLOBAL)'!B2292</f>
        <v>0</v>
      </c>
      <c r="D2292" t="e">
        <f>INDEX('[1]CÓDIGOS DE PRODUCTO'!$D$3:$D$1000,MATCH(C2292,'[1]CÓDIGOS DE PRODUCTO'!$A$3:$A$1000,0))</f>
        <v>#N/A</v>
      </c>
      <c r="E2292">
        <f>VLOOKUP(C2292,'[1]CÓDIGOS DE PRODUCTO'!$A$4:$B$156,2,FALSE)</f>
        <v>0</v>
      </c>
      <c r="F2292">
        <f>INDEX('[1]CÓDIGOS DE PRODUCTO'!$C$3:$C$1000,MATCH(C2292,'[1]CÓDIGOS DE PRODUCTO'!$A$3:$A$1000,0))</f>
        <v>0</v>
      </c>
      <c r="G2292">
        <f>+'[1]VENTAS(RESUMEN GLOBAL)'!D2292-'[1]VENTAS(RESUMEN GLOBAL)'!E2292</f>
        <v>0</v>
      </c>
      <c r="H2292" s="9">
        <f>+'[1]VENTAS(RESUMEN GLOBAL)'!K2292</f>
        <v>0</v>
      </c>
      <c r="I2292" s="8">
        <f>+G2292*'[1]VENTAS(RESUMEN GLOBAL)'!F2292</f>
        <v>0</v>
      </c>
      <c r="J2292" s="8">
        <f>'[1]VENTAS(RESUMEN GLOBAL)'!G2292*(1-'[1]VENTAS(RESUMEN GLOBAL)'!H2292)</f>
        <v>0</v>
      </c>
      <c r="K2292" s="8">
        <f t="shared" si="35"/>
        <v>0</v>
      </c>
      <c r="L2292" s="8">
        <f>+'[1]VENTAS(RESUMEN GLOBAL)'!J2292</f>
        <v>0</v>
      </c>
      <c r="M2292" s="8">
        <f>+Tabla1[[#This Row],[utilidad x dia]]*7</f>
        <v>0</v>
      </c>
    </row>
    <row r="2293" spans="1:13" x14ac:dyDescent="0.3">
      <c r="A2293" s="6">
        <f>+'[1]VENTAS(RESUMEN GLOBAL)'!L2293</f>
        <v>0</v>
      </c>
      <c r="B2293" s="6">
        <f>+'[1]VENTAS(RESUMEN GLOBAL)'!M2293</f>
        <v>0</v>
      </c>
      <c r="C2293">
        <f>+'[1]VENTAS(RESUMEN GLOBAL)'!B2293</f>
        <v>0</v>
      </c>
      <c r="D2293" t="e">
        <f>INDEX('[1]CÓDIGOS DE PRODUCTO'!$D$3:$D$1000,MATCH(C2293,'[1]CÓDIGOS DE PRODUCTO'!$A$3:$A$1000,0))</f>
        <v>#N/A</v>
      </c>
      <c r="E2293">
        <f>VLOOKUP(C2293,'[1]CÓDIGOS DE PRODUCTO'!$A$4:$B$156,2,FALSE)</f>
        <v>0</v>
      </c>
      <c r="F2293">
        <f>INDEX('[1]CÓDIGOS DE PRODUCTO'!$C$3:$C$1000,MATCH(C2293,'[1]CÓDIGOS DE PRODUCTO'!$A$3:$A$1000,0))</f>
        <v>0</v>
      </c>
      <c r="G2293">
        <f>+'[1]VENTAS(RESUMEN GLOBAL)'!D2293-'[1]VENTAS(RESUMEN GLOBAL)'!E2293</f>
        <v>0</v>
      </c>
      <c r="H2293" s="9">
        <f>+'[1]VENTAS(RESUMEN GLOBAL)'!K2293</f>
        <v>0</v>
      </c>
      <c r="I2293" s="8">
        <f>+G2293*'[1]VENTAS(RESUMEN GLOBAL)'!F2293</f>
        <v>0</v>
      </c>
      <c r="J2293" s="8">
        <f>'[1]VENTAS(RESUMEN GLOBAL)'!G2293*(1-'[1]VENTAS(RESUMEN GLOBAL)'!H2293)</f>
        <v>0</v>
      </c>
      <c r="K2293" s="8">
        <f t="shared" si="35"/>
        <v>0</v>
      </c>
      <c r="L2293" s="8">
        <f>+'[1]VENTAS(RESUMEN GLOBAL)'!J2293</f>
        <v>0</v>
      </c>
      <c r="M2293" s="8">
        <f>+Tabla1[[#This Row],[utilidad x dia]]*7</f>
        <v>0</v>
      </c>
    </row>
    <row r="2294" spans="1:13" x14ac:dyDescent="0.3">
      <c r="A2294" s="6">
        <f>+'[1]VENTAS(RESUMEN GLOBAL)'!L2294</f>
        <v>0</v>
      </c>
      <c r="B2294" s="6">
        <f>+'[1]VENTAS(RESUMEN GLOBAL)'!M2294</f>
        <v>0</v>
      </c>
      <c r="C2294">
        <f>+'[1]VENTAS(RESUMEN GLOBAL)'!B2294</f>
        <v>0</v>
      </c>
      <c r="D2294" t="e">
        <f>INDEX('[1]CÓDIGOS DE PRODUCTO'!$D$3:$D$1000,MATCH(C2294,'[1]CÓDIGOS DE PRODUCTO'!$A$3:$A$1000,0))</f>
        <v>#N/A</v>
      </c>
      <c r="E2294">
        <f>VLOOKUP(C2294,'[1]CÓDIGOS DE PRODUCTO'!$A$4:$B$156,2,FALSE)</f>
        <v>0</v>
      </c>
      <c r="F2294">
        <f>INDEX('[1]CÓDIGOS DE PRODUCTO'!$C$3:$C$1000,MATCH(C2294,'[1]CÓDIGOS DE PRODUCTO'!$A$3:$A$1000,0))</f>
        <v>0</v>
      </c>
      <c r="G2294">
        <f>+'[1]VENTAS(RESUMEN GLOBAL)'!D2294-'[1]VENTAS(RESUMEN GLOBAL)'!E2294</f>
        <v>0</v>
      </c>
      <c r="H2294" s="9">
        <f>+'[1]VENTAS(RESUMEN GLOBAL)'!K2294</f>
        <v>0</v>
      </c>
      <c r="I2294" s="8">
        <f>+G2294*'[1]VENTAS(RESUMEN GLOBAL)'!F2294</f>
        <v>0</v>
      </c>
      <c r="J2294" s="8">
        <f>'[1]VENTAS(RESUMEN GLOBAL)'!G2294*(1-'[1]VENTAS(RESUMEN GLOBAL)'!H2294)</f>
        <v>0</v>
      </c>
      <c r="K2294" s="8">
        <f t="shared" si="35"/>
        <v>0</v>
      </c>
      <c r="L2294" s="8">
        <f>+'[1]VENTAS(RESUMEN GLOBAL)'!J2294</f>
        <v>0</v>
      </c>
      <c r="M2294" s="8">
        <f>+Tabla1[[#This Row],[utilidad x dia]]*7</f>
        <v>0</v>
      </c>
    </row>
    <row r="2295" spans="1:13" x14ac:dyDescent="0.3">
      <c r="A2295" s="6">
        <f>+'[1]VENTAS(RESUMEN GLOBAL)'!L2295</f>
        <v>0</v>
      </c>
      <c r="B2295" s="6">
        <f>+'[1]VENTAS(RESUMEN GLOBAL)'!M2295</f>
        <v>0</v>
      </c>
      <c r="C2295">
        <f>+'[1]VENTAS(RESUMEN GLOBAL)'!B2295</f>
        <v>0</v>
      </c>
      <c r="D2295" t="e">
        <f>INDEX('[1]CÓDIGOS DE PRODUCTO'!$D$3:$D$1000,MATCH(C2295,'[1]CÓDIGOS DE PRODUCTO'!$A$3:$A$1000,0))</f>
        <v>#N/A</v>
      </c>
      <c r="E2295">
        <f>VLOOKUP(C2295,'[1]CÓDIGOS DE PRODUCTO'!$A$4:$B$156,2,FALSE)</f>
        <v>0</v>
      </c>
      <c r="F2295">
        <f>INDEX('[1]CÓDIGOS DE PRODUCTO'!$C$3:$C$1000,MATCH(C2295,'[1]CÓDIGOS DE PRODUCTO'!$A$3:$A$1000,0))</f>
        <v>0</v>
      </c>
      <c r="G2295">
        <f>+'[1]VENTAS(RESUMEN GLOBAL)'!D2295-'[1]VENTAS(RESUMEN GLOBAL)'!E2295</f>
        <v>0</v>
      </c>
      <c r="H2295" s="9">
        <f>+'[1]VENTAS(RESUMEN GLOBAL)'!K2295</f>
        <v>0</v>
      </c>
      <c r="I2295" s="8">
        <f>+G2295*'[1]VENTAS(RESUMEN GLOBAL)'!F2295</f>
        <v>0</v>
      </c>
      <c r="J2295" s="8">
        <f>'[1]VENTAS(RESUMEN GLOBAL)'!G2295*(1-'[1]VENTAS(RESUMEN GLOBAL)'!H2295)</f>
        <v>0</v>
      </c>
      <c r="K2295" s="8">
        <f t="shared" si="35"/>
        <v>0</v>
      </c>
      <c r="L2295" s="8">
        <f>+'[1]VENTAS(RESUMEN GLOBAL)'!J2295</f>
        <v>0</v>
      </c>
      <c r="M2295" s="8">
        <f>+Tabla1[[#This Row],[utilidad x dia]]*7</f>
        <v>0</v>
      </c>
    </row>
    <row r="2296" spans="1:13" x14ac:dyDescent="0.3">
      <c r="A2296" s="6">
        <f>+'[1]VENTAS(RESUMEN GLOBAL)'!L2296</f>
        <v>0</v>
      </c>
      <c r="B2296" s="6">
        <f>+'[1]VENTAS(RESUMEN GLOBAL)'!M2296</f>
        <v>0</v>
      </c>
      <c r="C2296">
        <f>+'[1]VENTAS(RESUMEN GLOBAL)'!B2296</f>
        <v>0</v>
      </c>
      <c r="D2296" t="e">
        <f>INDEX('[1]CÓDIGOS DE PRODUCTO'!$D$3:$D$1000,MATCH(C2296,'[1]CÓDIGOS DE PRODUCTO'!$A$3:$A$1000,0))</f>
        <v>#N/A</v>
      </c>
      <c r="E2296">
        <f>VLOOKUP(C2296,'[1]CÓDIGOS DE PRODUCTO'!$A$4:$B$156,2,FALSE)</f>
        <v>0</v>
      </c>
      <c r="F2296">
        <f>INDEX('[1]CÓDIGOS DE PRODUCTO'!$C$3:$C$1000,MATCH(C2296,'[1]CÓDIGOS DE PRODUCTO'!$A$3:$A$1000,0))</f>
        <v>0</v>
      </c>
      <c r="G2296">
        <f>+'[1]VENTAS(RESUMEN GLOBAL)'!D2296-'[1]VENTAS(RESUMEN GLOBAL)'!E2296</f>
        <v>0</v>
      </c>
      <c r="H2296" s="9">
        <f>+'[1]VENTAS(RESUMEN GLOBAL)'!K2296</f>
        <v>0</v>
      </c>
      <c r="I2296" s="8">
        <f>+G2296*'[1]VENTAS(RESUMEN GLOBAL)'!F2296</f>
        <v>0</v>
      </c>
      <c r="J2296" s="8">
        <f>'[1]VENTAS(RESUMEN GLOBAL)'!G2296*(1-'[1]VENTAS(RESUMEN GLOBAL)'!H2296)</f>
        <v>0</v>
      </c>
      <c r="K2296" s="8">
        <f t="shared" si="35"/>
        <v>0</v>
      </c>
      <c r="L2296" s="8">
        <f>+'[1]VENTAS(RESUMEN GLOBAL)'!J2296</f>
        <v>0</v>
      </c>
      <c r="M2296" s="8">
        <f>+Tabla1[[#This Row],[utilidad x dia]]*7</f>
        <v>0</v>
      </c>
    </row>
    <row r="2297" spans="1:13" x14ac:dyDescent="0.3">
      <c r="A2297" s="6">
        <f>+'[1]VENTAS(RESUMEN GLOBAL)'!L2297</f>
        <v>0</v>
      </c>
      <c r="B2297" s="6">
        <f>+'[1]VENTAS(RESUMEN GLOBAL)'!M2297</f>
        <v>0</v>
      </c>
      <c r="C2297">
        <f>+'[1]VENTAS(RESUMEN GLOBAL)'!B2297</f>
        <v>0</v>
      </c>
      <c r="D2297" t="e">
        <f>INDEX('[1]CÓDIGOS DE PRODUCTO'!$D$3:$D$1000,MATCH(C2297,'[1]CÓDIGOS DE PRODUCTO'!$A$3:$A$1000,0))</f>
        <v>#N/A</v>
      </c>
      <c r="E2297">
        <f>VLOOKUP(C2297,'[1]CÓDIGOS DE PRODUCTO'!$A$4:$B$156,2,FALSE)</f>
        <v>0</v>
      </c>
      <c r="F2297">
        <f>INDEX('[1]CÓDIGOS DE PRODUCTO'!$C$3:$C$1000,MATCH(C2297,'[1]CÓDIGOS DE PRODUCTO'!$A$3:$A$1000,0))</f>
        <v>0</v>
      </c>
      <c r="G2297">
        <f>+'[1]VENTAS(RESUMEN GLOBAL)'!D2297-'[1]VENTAS(RESUMEN GLOBAL)'!E2297</f>
        <v>0</v>
      </c>
      <c r="H2297" s="9">
        <f>+'[1]VENTAS(RESUMEN GLOBAL)'!K2297</f>
        <v>0</v>
      </c>
      <c r="I2297" s="8">
        <f>+G2297*'[1]VENTAS(RESUMEN GLOBAL)'!F2297</f>
        <v>0</v>
      </c>
      <c r="J2297" s="8">
        <f>'[1]VENTAS(RESUMEN GLOBAL)'!G2297*(1-'[1]VENTAS(RESUMEN GLOBAL)'!H2297)</f>
        <v>0</v>
      </c>
      <c r="K2297" s="8">
        <f t="shared" si="35"/>
        <v>0</v>
      </c>
      <c r="L2297" s="8">
        <f>+'[1]VENTAS(RESUMEN GLOBAL)'!J2297</f>
        <v>0</v>
      </c>
      <c r="M2297" s="8">
        <f>+Tabla1[[#This Row],[utilidad x dia]]*7</f>
        <v>0</v>
      </c>
    </row>
    <row r="2298" spans="1:13" x14ac:dyDescent="0.3">
      <c r="A2298" s="6">
        <f>+'[1]VENTAS(RESUMEN GLOBAL)'!L2298</f>
        <v>0</v>
      </c>
      <c r="B2298" s="6">
        <f>+'[1]VENTAS(RESUMEN GLOBAL)'!M2298</f>
        <v>0</v>
      </c>
      <c r="C2298">
        <f>+'[1]VENTAS(RESUMEN GLOBAL)'!B2298</f>
        <v>0</v>
      </c>
      <c r="D2298" t="e">
        <f>INDEX('[1]CÓDIGOS DE PRODUCTO'!$D$3:$D$1000,MATCH(C2298,'[1]CÓDIGOS DE PRODUCTO'!$A$3:$A$1000,0))</f>
        <v>#N/A</v>
      </c>
      <c r="E2298">
        <f>VLOOKUP(C2298,'[1]CÓDIGOS DE PRODUCTO'!$A$4:$B$156,2,FALSE)</f>
        <v>0</v>
      </c>
      <c r="F2298">
        <f>INDEX('[1]CÓDIGOS DE PRODUCTO'!$C$3:$C$1000,MATCH(C2298,'[1]CÓDIGOS DE PRODUCTO'!$A$3:$A$1000,0))</f>
        <v>0</v>
      </c>
      <c r="G2298">
        <f>+'[1]VENTAS(RESUMEN GLOBAL)'!D2298-'[1]VENTAS(RESUMEN GLOBAL)'!E2298</f>
        <v>0</v>
      </c>
      <c r="H2298" s="9">
        <f>+'[1]VENTAS(RESUMEN GLOBAL)'!K2298</f>
        <v>0</v>
      </c>
      <c r="I2298" s="8">
        <f>+G2298*'[1]VENTAS(RESUMEN GLOBAL)'!F2298</f>
        <v>0</v>
      </c>
      <c r="J2298" s="8">
        <f>'[1]VENTAS(RESUMEN GLOBAL)'!G2298*(1-'[1]VENTAS(RESUMEN GLOBAL)'!H2298)</f>
        <v>0</v>
      </c>
      <c r="K2298" s="8">
        <f t="shared" si="35"/>
        <v>0</v>
      </c>
      <c r="L2298" s="8">
        <f>+'[1]VENTAS(RESUMEN GLOBAL)'!J2298</f>
        <v>0</v>
      </c>
      <c r="M2298" s="8">
        <f>+Tabla1[[#This Row],[utilidad x dia]]*7</f>
        <v>0</v>
      </c>
    </row>
    <row r="2299" spans="1:13" x14ac:dyDescent="0.3">
      <c r="A2299" s="6">
        <f>+'[1]VENTAS(RESUMEN GLOBAL)'!L2299</f>
        <v>0</v>
      </c>
      <c r="B2299" s="6">
        <f>+'[1]VENTAS(RESUMEN GLOBAL)'!M2299</f>
        <v>0</v>
      </c>
      <c r="C2299">
        <f>+'[1]VENTAS(RESUMEN GLOBAL)'!B2299</f>
        <v>0</v>
      </c>
      <c r="D2299" t="e">
        <f>INDEX('[1]CÓDIGOS DE PRODUCTO'!$D$3:$D$1000,MATCH(C2299,'[1]CÓDIGOS DE PRODUCTO'!$A$3:$A$1000,0))</f>
        <v>#N/A</v>
      </c>
      <c r="E2299">
        <f>VLOOKUP(C2299,'[1]CÓDIGOS DE PRODUCTO'!$A$4:$B$156,2,FALSE)</f>
        <v>0</v>
      </c>
      <c r="F2299">
        <f>INDEX('[1]CÓDIGOS DE PRODUCTO'!$C$3:$C$1000,MATCH(C2299,'[1]CÓDIGOS DE PRODUCTO'!$A$3:$A$1000,0))</f>
        <v>0</v>
      </c>
      <c r="G2299">
        <f>+'[1]VENTAS(RESUMEN GLOBAL)'!D2299-'[1]VENTAS(RESUMEN GLOBAL)'!E2299</f>
        <v>0</v>
      </c>
      <c r="H2299" s="9">
        <f>+'[1]VENTAS(RESUMEN GLOBAL)'!K2299</f>
        <v>0</v>
      </c>
      <c r="I2299" s="8">
        <f>+G2299*'[1]VENTAS(RESUMEN GLOBAL)'!F2299</f>
        <v>0</v>
      </c>
      <c r="J2299" s="8">
        <f>'[1]VENTAS(RESUMEN GLOBAL)'!G2299*(1-'[1]VENTAS(RESUMEN GLOBAL)'!H2299)</f>
        <v>0</v>
      </c>
      <c r="K2299" s="8">
        <f t="shared" si="35"/>
        <v>0</v>
      </c>
      <c r="L2299" s="8">
        <f>+'[1]VENTAS(RESUMEN GLOBAL)'!J2299</f>
        <v>0</v>
      </c>
      <c r="M2299" s="8">
        <f>+Tabla1[[#This Row],[utilidad x dia]]*7</f>
        <v>0</v>
      </c>
    </row>
    <row r="2300" spans="1:13" x14ac:dyDescent="0.3">
      <c r="A2300" s="6">
        <f>+'[1]VENTAS(RESUMEN GLOBAL)'!L2300</f>
        <v>0</v>
      </c>
      <c r="B2300" s="6">
        <f>+'[1]VENTAS(RESUMEN GLOBAL)'!M2300</f>
        <v>0</v>
      </c>
      <c r="C2300">
        <f>+'[1]VENTAS(RESUMEN GLOBAL)'!B2300</f>
        <v>0</v>
      </c>
      <c r="D2300" t="e">
        <f>INDEX('[1]CÓDIGOS DE PRODUCTO'!$D$3:$D$1000,MATCH(C2300,'[1]CÓDIGOS DE PRODUCTO'!$A$3:$A$1000,0))</f>
        <v>#N/A</v>
      </c>
      <c r="E2300">
        <f>VLOOKUP(C2300,'[1]CÓDIGOS DE PRODUCTO'!$A$4:$B$156,2,FALSE)</f>
        <v>0</v>
      </c>
      <c r="F2300">
        <f>INDEX('[1]CÓDIGOS DE PRODUCTO'!$C$3:$C$1000,MATCH(C2300,'[1]CÓDIGOS DE PRODUCTO'!$A$3:$A$1000,0))</f>
        <v>0</v>
      </c>
      <c r="G2300">
        <f>+'[1]VENTAS(RESUMEN GLOBAL)'!D2300-'[1]VENTAS(RESUMEN GLOBAL)'!E2300</f>
        <v>0</v>
      </c>
      <c r="H2300" s="9">
        <f>+'[1]VENTAS(RESUMEN GLOBAL)'!K2300</f>
        <v>0</v>
      </c>
      <c r="I2300" s="8">
        <f>+G2300*'[1]VENTAS(RESUMEN GLOBAL)'!F2300</f>
        <v>0</v>
      </c>
      <c r="J2300" s="8">
        <f>'[1]VENTAS(RESUMEN GLOBAL)'!G2300*(1-'[1]VENTAS(RESUMEN GLOBAL)'!H2300)</f>
        <v>0</v>
      </c>
      <c r="K2300" s="8">
        <f t="shared" si="35"/>
        <v>0</v>
      </c>
      <c r="L2300" s="8">
        <f>+'[1]VENTAS(RESUMEN GLOBAL)'!J2300</f>
        <v>0</v>
      </c>
      <c r="M2300" s="8">
        <f>+Tabla1[[#This Row],[utilidad x dia]]*7</f>
        <v>0</v>
      </c>
    </row>
    <row r="2301" spans="1:13" x14ac:dyDescent="0.3">
      <c r="A2301" s="6">
        <f>+'[1]VENTAS(RESUMEN GLOBAL)'!L2301</f>
        <v>0</v>
      </c>
      <c r="B2301" s="6">
        <f>+'[1]VENTAS(RESUMEN GLOBAL)'!M2301</f>
        <v>0</v>
      </c>
      <c r="C2301">
        <f>+'[1]VENTAS(RESUMEN GLOBAL)'!B2301</f>
        <v>0</v>
      </c>
      <c r="D2301" t="e">
        <f>INDEX('[1]CÓDIGOS DE PRODUCTO'!$D$3:$D$1000,MATCH(C2301,'[1]CÓDIGOS DE PRODUCTO'!$A$3:$A$1000,0))</f>
        <v>#N/A</v>
      </c>
      <c r="E2301">
        <f>VLOOKUP(C2301,'[1]CÓDIGOS DE PRODUCTO'!$A$4:$B$156,2,FALSE)</f>
        <v>0</v>
      </c>
      <c r="F2301">
        <f>INDEX('[1]CÓDIGOS DE PRODUCTO'!$C$3:$C$1000,MATCH(C2301,'[1]CÓDIGOS DE PRODUCTO'!$A$3:$A$1000,0))</f>
        <v>0</v>
      </c>
      <c r="G2301">
        <f>+'[1]VENTAS(RESUMEN GLOBAL)'!D2301-'[1]VENTAS(RESUMEN GLOBAL)'!E2301</f>
        <v>0</v>
      </c>
      <c r="H2301" s="9">
        <f>+'[1]VENTAS(RESUMEN GLOBAL)'!K2301</f>
        <v>0</v>
      </c>
      <c r="I2301" s="8">
        <f>+G2301*'[1]VENTAS(RESUMEN GLOBAL)'!F2301</f>
        <v>0</v>
      </c>
      <c r="J2301" s="8">
        <f>'[1]VENTAS(RESUMEN GLOBAL)'!G2301*(1-'[1]VENTAS(RESUMEN GLOBAL)'!H2301)</f>
        <v>0</v>
      </c>
      <c r="K2301" s="8">
        <f t="shared" si="35"/>
        <v>0</v>
      </c>
      <c r="L2301" s="8">
        <f>+'[1]VENTAS(RESUMEN GLOBAL)'!J2301</f>
        <v>0</v>
      </c>
      <c r="M2301" s="8">
        <f>+Tabla1[[#This Row],[utilidad x dia]]*7</f>
        <v>0</v>
      </c>
    </row>
    <row r="2302" spans="1:13" x14ac:dyDescent="0.3">
      <c r="A2302" s="6">
        <f>+'[1]VENTAS(RESUMEN GLOBAL)'!L2302</f>
        <v>0</v>
      </c>
      <c r="B2302" s="6">
        <f>+'[1]VENTAS(RESUMEN GLOBAL)'!M2302</f>
        <v>0</v>
      </c>
      <c r="C2302">
        <f>+'[1]VENTAS(RESUMEN GLOBAL)'!B2302</f>
        <v>0</v>
      </c>
      <c r="D2302" t="e">
        <f>INDEX('[1]CÓDIGOS DE PRODUCTO'!$D$3:$D$1000,MATCH(C2302,'[1]CÓDIGOS DE PRODUCTO'!$A$3:$A$1000,0))</f>
        <v>#N/A</v>
      </c>
      <c r="E2302">
        <f>VLOOKUP(C2302,'[1]CÓDIGOS DE PRODUCTO'!$A$4:$B$156,2,FALSE)</f>
        <v>0</v>
      </c>
      <c r="F2302">
        <f>INDEX('[1]CÓDIGOS DE PRODUCTO'!$C$3:$C$1000,MATCH(C2302,'[1]CÓDIGOS DE PRODUCTO'!$A$3:$A$1000,0))</f>
        <v>0</v>
      </c>
      <c r="G2302">
        <f>+'[1]VENTAS(RESUMEN GLOBAL)'!D2302-'[1]VENTAS(RESUMEN GLOBAL)'!E2302</f>
        <v>0</v>
      </c>
      <c r="H2302" s="9">
        <f>+'[1]VENTAS(RESUMEN GLOBAL)'!K2302</f>
        <v>0</v>
      </c>
      <c r="I2302" s="8">
        <f>+G2302*'[1]VENTAS(RESUMEN GLOBAL)'!F2302</f>
        <v>0</v>
      </c>
      <c r="J2302" s="8">
        <f>'[1]VENTAS(RESUMEN GLOBAL)'!G2302*(1-'[1]VENTAS(RESUMEN GLOBAL)'!H2302)</f>
        <v>0</v>
      </c>
      <c r="K2302" s="8">
        <f t="shared" si="35"/>
        <v>0</v>
      </c>
      <c r="L2302" s="8">
        <f>+'[1]VENTAS(RESUMEN GLOBAL)'!J2302</f>
        <v>0</v>
      </c>
      <c r="M2302" s="8">
        <f>+Tabla1[[#This Row],[utilidad x dia]]*7</f>
        <v>0</v>
      </c>
    </row>
    <row r="2303" spans="1:13" x14ac:dyDescent="0.3">
      <c r="A2303" s="6">
        <f>+'[1]VENTAS(RESUMEN GLOBAL)'!L2303</f>
        <v>0</v>
      </c>
      <c r="B2303" s="6">
        <f>+'[1]VENTAS(RESUMEN GLOBAL)'!M2303</f>
        <v>0</v>
      </c>
      <c r="C2303">
        <f>+'[1]VENTAS(RESUMEN GLOBAL)'!B2303</f>
        <v>0</v>
      </c>
      <c r="D2303" t="e">
        <f>INDEX('[1]CÓDIGOS DE PRODUCTO'!$D$3:$D$1000,MATCH(C2303,'[1]CÓDIGOS DE PRODUCTO'!$A$3:$A$1000,0))</f>
        <v>#N/A</v>
      </c>
      <c r="E2303">
        <f>VLOOKUP(C2303,'[1]CÓDIGOS DE PRODUCTO'!$A$4:$B$156,2,FALSE)</f>
        <v>0</v>
      </c>
      <c r="F2303">
        <f>INDEX('[1]CÓDIGOS DE PRODUCTO'!$C$3:$C$1000,MATCH(C2303,'[1]CÓDIGOS DE PRODUCTO'!$A$3:$A$1000,0))</f>
        <v>0</v>
      </c>
      <c r="G2303">
        <f>+'[1]VENTAS(RESUMEN GLOBAL)'!D2303-'[1]VENTAS(RESUMEN GLOBAL)'!E2303</f>
        <v>0</v>
      </c>
      <c r="H2303" s="9">
        <f>+'[1]VENTAS(RESUMEN GLOBAL)'!K2303</f>
        <v>0</v>
      </c>
      <c r="I2303" s="8">
        <f>+G2303*'[1]VENTAS(RESUMEN GLOBAL)'!F2303</f>
        <v>0</v>
      </c>
      <c r="J2303" s="8">
        <f>'[1]VENTAS(RESUMEN GLOBAL)'!G2303*(1-'[1]VENTAS(RESUMEN GLOBAL)'!H2303)</f>
        <v>0</v>
      </c>
      <c r="K2303" s="8">
        <f t="shared" si="35"/>
        <v>0</v>
      </c>
      <c r="L2303" s="8">
        <f>+'[1]VENTAS(RESUMEN GLOBAL)'!J2303</f>
        <v>0</v>
      </c>
      <c r="M2303" s="8">
        <f>+Tabla1[[#This Row],[utilidad x dia]]*7</f>
        <v>0</v>
      </c>
    </row>
    <row r="2304" spans="1:13" x14ac:dyDescent="0.3">
      <c r="A2304" s="6">
        <f>+'[1]VENTAS(RESUMEN GLOBAL)'!L2304</f>
        <v>0</v>
      </c>
      <c r="B2304" s="6">
        <f>+'[1]VENTAS(RESUMEN GLOBAL)'!M2304</f>
        <v>0</v>
      </c>
      <c r="C2304">
        <f>+'[1]VENTAS(RESUMEN GLOBAL)'!B2304</f>
        <v>0</v>
      </c>
      <c r="D2304" t="e">
        <f>INDEX('[1]CÓDIGOS DE PRODUCTO'!$D$3:$D$1000,MATCH(C2304,'[1]CÓDIGOS DE PRODUCTO'!$A$3:$A$1000,0))</f>
        <v>#N/A</v>
      </c>
      <c r="E2304">
        <f>VLOOKUP(C2304,'[1]CÓDIGOS DE PRODUCTO'!$A$4:$B$156,2,FALSE)</f>
        <v>0</v>
      </c>
      <c r="F2304">
        <f>INDEX('[1]CÓDIGOS DE PRODUCTO'!$C$3:$C$1000,MATCH(C2304,'[1]CÓDIGOS DE PRODUCTO'!$A$3:$A$1000,0))</f>
        <v>0</v>
      </c>
      <c r="G2304">
        <f>+'[1]VENTAS(RESUMEN GLOBAL)'!D2304-'[1]VENTAS(RESUMEN GLOBAL)'!E2304</f>
        <v>0</v>
      </c>
      <c r="H2304" s="9">
        <f>+'[1]VENTAS(RESUMEN GLOBAL)'!K2304</f>
        <v>0</v>
      </c>
      <c r="I2304" s="8">
        <f>+G2304*'[1]VENTAS(RESUMEN GLOBAL)'!F2304</f>
        <v>0</v>
      </c>
      <c r="J2304" s="8">
        <f>'[1]VENTAS(RESUMEN GLOBAL)'!G2304*(1-'[1]VENTAS(RESUMEN GLOBAL)'!H2304)</f>
        <v>0</v>
      </c>
      <c r="K2304" s="8">
        <f t="shared" si="35"/>
        <v>0</v>
      </c>
      <c r="L2304" s="8">
        <f>+'[1]VENTAS(RESUMEN GLOBAL)'!J2304</f>
        <v>0</v>
      </c>
      <c r="M2304" s="8">
        <f>+Tabla1[[#This Row],[utilidad x dia]]*7</f>
        <v>0</v>
      </c>
    </row>
    <row r="2305" spans="1:13" x14ac:dyDescent="0.3">
      <c r="A2305" s="6">
        <f>+'[1]VENTAS(RESUMEN GLOBAL)'!L2305</f>
        <v>0</v>
      </c>
      <c r="B2305" s="6">
        <f>+'[1]VENTAS(RESUMEN GLOBAL)'!M2305</f>
        <v>0</v>
      </c>
      <c r="C2305">
        <f>+'[1]VENTAS(RESUMEN GLOBAL)'!B2305</f>
        <v>0</v>
      </c>
      <c r="D2305" t="e">
        <f>INDEX('[1]CÓDIGOS DE PRODUCTO'!$D$3:$D$1000,MATCH(C2305,'[1]CÓDIGOS DE PRODUCTO'!$A$3:$A$1000,0))</f>
        <v>#N/A</v>
      </c>
      <c r="E2305">
        <f>VLOOKUP(C2305,'[1]CÓDIGOS DE PRODUCTO'!$A$4:$B$156,2,FALSE)</f>
        <v>0</v>
      </c>
      <c r="F2305">
        <f>INDEX('[1]CÓDIGOS DE PRODUCTO'!$C$3:$C$1000,MATCH(C2305,'[1]CÓDIGOS DE PRODUCTO'!$A$3:$A$1000,0))</f>
        <v>0</v>
      </c>
      <c r="G2305">
        <f>+'[1]VENTAS(RESUMEN GLOBAL)'!D2305-'[1]VENTAS(RESUMEN GLOBAL)'!E2305</f>
        <v>0</v>
      </c>
      <c r="H2305" s="9">
        <f>+'[1]VENTAS(RESUMEN GLOBAL)'!K2305</f>
        <v>0</v>
      </c>
      <c r="I2305" s="8">
        <f>+G2305*'[1]VENTAS(RESUMEN GLOBAL)'!F2305</f>
        <v>0</v>
      </c>
      <c r="J2305" s="8">
        <f>'[1]VENTAS(RESUMEN GLOBAL)'!G2305*(1-'[1]VENTAS(RESUMEN GLOBAL)'!H2305)</f>
        <v>0</v>
      </c>
      <c r="K2305" s="8">
        <f t="shared" si="35"/>
        <v>0</v>
      </c>
      <c r="L2305" s="8">
        <f>+'[1]VENTAS(RESUMEN GLOBAL)'!J2305</f>
        <v>0</v>
      </c>
      <c r="M2305" s="8">
        <f>+Tabla1[[#This Row],[utilidad x dia]]*7</f>
        <v>0</v>
      </c>
    </row>
    <row r="2306" spans="1:13" x14ac:dyDescent="0.3">
      <c r="A2306" s="6">
        <f>+'[1]VENTAS(RESUMEN GLOBAL)'!L2306</f>
        <v>0</v>
      </c>
      <c r="B2306" s="6">
        <f>+'[1]VENTAS(RESUMEN GLOBAL)'!M2306</f>
        <v>0</v>
      </c>
      <c r="C2306">
        <f>+'[1]VENTAS(RESUMEN GLOBAL)'!B2306</f>
        <v>0</v>
      </c>
      <c r="D2306" t="e">
        <f>INDEX('[1]CÓDIGOS DE PRODUCTO'!$D$3:$D$1000,MATCH(C2306,'[1]CÓDIGOS DE PRODUCTO'!$A$3:$A$1000,0))</f>
        <v>#N/A</v>
      </c>
      <c r="E2306">
        <f>VLOOKUP(C2306,'[1]CÓDIGOS DE PRODUCTO'!$A$4:$B$156,2,FALSE)</f>
        <v>0</v>
      </c>
      <c r="F2306">
        <f>INDEX('[1]CÓDIGOS DE PRODUCTO'!$C$3:$C$1000,MATCH(C2306,'[1]CÓDIGOS DE PRODUCTO'!$A$3:$A$1000,0))</f>
        <v>0</v>
      </c>
      <c r="G2306">
        <f>+'[1]VENTAS(RESUMEN GLOBAL)'!D2306-'[1]VENTAS(RESUMEN GLOBAL)'!E2306</f>
        <v>0</v>
      </c>
      <c r="H2306" s="9">
        <f>+'[1]VENTAS(RESUMEN GLOBAL)'!K2306</f>
        <v>0</v>
      </c>
      <c r="I2306" s="8">
        <f>+G2306*'[1]VENTAS(RESUMEN GLOBAL)'!F2306</f>
        <v>0</v>
      </c>
      <c r="J2306" s="8">
        <f>'[1]VENTAS(RESUMEN GLOBAL)'!G2306*(1-'[1]VENTAS(RESUMEN GLOBAL)'!H2306)</f>
        <v>0</v>
      </c>
      <c r="K2306" s="8">
        <f t="shared" si="35"/>
        <v>0</v>
      </c>
      <c r="L2306" s="8">
        <f>+'[1]VENTAS(RESUMEN GLOBAL)'!J2306</f>
        <v>0</v>
      </c>
      <c r="M2306" s="8">
        <f>+Tabla1[[#This Row],[utilidad x dia]]*7</f>
        <v>0</v>
      </c>
    </row>
    <row r="2307" spans="1:13" x14ac:dyDescent="0.3">
      <c r="A2307" s="6">
        <f>+'[1]VENTAS(RESUMEN GLOBAL)'!L2307</f>
        <v>0</v>
      </c>
      <c r="B2307" s="6">
        <f>+'[1]VENTAS(RESUMEN GLOBAL)'!M2307</f>
        <v>0</v>
      </c>
      <c r="C2307">
        <f>+'[1]VENTAS(RESUMEN GLOBAL)'!B2307</f>
        <v>0</v>
      </c>
      <c r="D2307" t="e">
        <f>INDEX('[1]CÓDIGOS DE PRODUCTO'!$D$3:$D$1000,MATCH(C2307,'[1]CÓDIGOS DE PRODUCTO'!$A$3:$A$1000,0))</f>
        <v>#N/A</v>
      </c>
      <c r="E2307">
        <f>VLOOKUP(C2307,'[1]CÓDIGOS DE PRODUCTO'!$A$4:$B$156,2,FALSE)</f>
        <v>0</v>
      </c>
      <c r="F2307">
        <f>INDEX('[1]CÓDIGOS DE PRODUCTO'!$C$3:$C$1000,MATCH(C2307,'[1]CÓDIGOS DE PRODUCTO'!$A$3:$A$1000,0))</f>
        <v>0</v>
      </c>
      <c r="G2307">
        <f>+'[1]VENTAS(RESUMEN GLOBAL)'!D2307-'[1]VENTAS(RESUMEN GLOBAL)'!E2307</f>
        <v>0</v>
      </c>
      <c r="H2307" s="9">
        <f>+'[1]VENTAS(RESUMEN GLOBAL)'!K2307</f>
        <v>0</v>
      </c>
      <c r="I2307" s="8">
        <f>+G2307*'[1]VENTAS(RESUMEN GLOBAL)'!F2307</f>
        <v>0</v>
      </c>
      <c r="J2307" s="8">
        <f>'[1]VENTAS(RESUMEN GLOBAL)'!G2307*(1-'[1]VENTAS(RESUMEN GLOBAL)'!H2307)</f>
        <v>0</v>
      </c>
      <c r="K2307" s="8">
        <f t="shared" ref="K2307:K2370" si="36">+I2307-J2307</f>
        <v>0</v>
      </c>
      <c r="L2307" s="8">
        <f>+'[1]VENTAS(RESUMEN GLOBAL)'!J2307</f>
        <v>0</v>
      </c>
      <c r="M2307" s="8">
        <f>+Tabla1[[#This Row],[utilidad x dia]]*7</f>
        <v>0</v>
      </c>
    </row>
    <row r="2308" spans="1:13" x14ac:dyDescent="0.3">
      <c r="A2308" s="6">
        <f>+'[1]VENTAS(RESUMEN GLOBAL)'!L2308</f>
        <v>0</v>
      </c>
      <c r="B2308" s="6">
        <f>+'[1]VENTAS(RESUMEN GLOBAL)'!M2308</f>
        <v>0</v>
      </c>
      <c r="C2308">
        <f>+'[1]VENTAS(RESUMEN GLOBAL)'!B2308</f>
        <v>0</v>
      </c>
      <c r="D2308" t="e">
        <f>INDEX('[1]CÓDIGOS DE PRODUCTO'!$D$3:$D$1000,MATCH(C2308,'[1]CÓDIGOS DE PRODUCTO'!$A$3:$A$1000,0))</f>
        <v>#N/A</v>
      </c>
      <c r="E2308">
        <f>VLOOKUP(C2308,'[1]CÓDIGOS DE PRODUCTO'!$A$4:$B$156,2,FALSE)</f>
        <v>0</v>
      </c>
      <c r="F2308">
        <f>INDEX('[1]CÓDIGOS DE PRODUCTO'!$C$3:$C$1000,MATCH(C2308,'[1]CÓDIGOS DE PRODUCTO'!$A$3:$A$1000,0))</f>
        <v>0</v>
      </c>
      <c r="G2308">
        <f>+'[1]VENTAS(RESUMEN GLOBAL)'!D2308-'[1]VENTAS(RESUMEN GLOBAL)'!E2308</f>
        <v>0</v>
      </c>
      <c r="H2308" s="9">
        <f>+'[1]VENTAS(RESUMEN GLOBAL)'!K2308</f>
        <v>0</v>
      </c>
      <c r="I2308" s="8">
        <f>+G2308*'[1]VENTAS(RESUMEN GLOBAL)'!F2308</f>
        <v>0</v>
      </c>
      <c r="J2308" s="8">
        <f>'[1]VENTAS(RESUMEN GLOBAL)'!G2308*(1-'[1]VENTAS(RESUMEN GLOBAL)'!H2308)</f>
        <v>0</v>
      </c>
      <c r="K2308" s="8">
        <f t="shared" si="36"/>
        <v>0</v>
      </c>
      <c r="L2308" s="8">
        <f>+'[1]VENTAS(RESUMEN GLOBAL)'!J2308</f>
        <v>0</v>
      </c>
      <c r="M2308" s="8">
        <f>+Tabla1[[#This Row],[utilidad x dia]]*7</f>
        <v>0</v>
      </c>
    </row>
    <row r="2309" spans="1:13" x14ac:dyDescent="0.3">
      <c r="A2309" s="6">
        <f>+'[1]VENTAS(RESUMEN GLOBAL)'!L2309</f>
        <v>0</v>
      </c>
      <c r="B2309" s="6">
        <f>+'[1]VENTAS(RESUMEN GLOBAL)'!M2309</f>
        <v>0</v>
      </c>
      <c r="C2309">
        <f>+'[1]VENTAS(RESUMEN GLOBAL)'!B2309</f>
        <v>0</v>
      </c>
      <c r="D2309" t="e">
        <f>INDEX('[1]CÓDIGOS DE PRODUCTO'!$D$3:$D$1000,MATCH(C2309,'[1]CÓDIGOS DE PRODUCTO'!$A$3:$A$1000,0))</f>
        <v>#N/A</v>
      </c>
      <c r="E2309">
        <f>VLOOKUP(C2309,'[1]CÓDIGOS DE PRODUCTO'!$A$4:$B$156,2,FALSE)</f>
        <v>0</v>
      </c>
      <c r="F2309">
        <f>INDEX('[1]CÓDIGOS DE PRODUCTO'!$C$3:$C$1000,MATCH(C2309,'[1]CÓDIGOS DE PRODUCTO'!$A$3:$A$1000,0))</f>
        <v>0</v>
      </c>
      <c r="G2309">
        <f>+'[1]VENTAS(RESUMEN GLOBAL)'!D2309-'[1]VENTAS(RESUMEN GLOBAL)'!E2309</f>
        <v>0</v>
      </c>
      <c r="H2309" s="9">
        <f>+'[1]VENTAS(RESUMEN GLOBAL)'!K2309</f>
        <v>0</v>
      </c>
      <c r="I2309" s="8">
        <f>+G2309*'[1]VENTAS(RESUMEN GLOBAL)'!F2309</f>
        <v>0</v>
      </c>
      <c r="J2309" s="8">
        <f>'[1]VENTAS(RESUMEN GLOBAL)'!G2309*(1-'[1]VENTAS(RESUMEN GLOBAL)'!H2309)</f>
        <v>0</v>
      </c>
      <c r="K2309" s="8">
        <f t="shared" si="36"/>
        <v>0</v>
      </c>
      <c r="L2309" s="8">
        <f>+'[1]VENTAS(RESUMEN GLOBAL)'!J2309</f>
        <v>0</v>
      </c>
      <c r="M2309" s="8">
        <f>+Tabla1[[#This Row],[utilidad x dia]]*7</f>
        <v>0</v>
      </c>
    </row>
    <row r="2310" spans="1:13" x14ac:dyDescent="0.3">
      <c r="A2310" s="6">
        <f>+'[1]VENTAS(RESUMEN GLOBAL)'!L2310</f>
        <v>0</v>
      </c>
      <c r="B2310" s="6">
        <f>+'[1]VENTAS(RESUMEN GLOBAL)'!M2310</f>
        <v>0</v>
      </c>
      <c r="C2310">
        <f>+'[1]VENTAS(RESUMEN GLOBAL)'!B2310</f>
        <v>0</v>
      </c>
      <c r="D2310" t="e">
        <f>INDEX('[1]CÓDIGOS DE PRODUCTO'!$D$3:$D$1000,MATCH(C2310,'[1]CÓDIGOS DE PRODUCTO'!$A$3:$A$1000,0))</f>
        <v>#N/A</v>
      </c>
      <c r="E2310">
        <f>VLOOKUP(C2310,'[1]CÓDIGOS DE PRODUCTO'!$A$4:$B$156,2,FALSE)</f>
        <v>0</v>
      </c>
      <c r="F2310">
        <f>INDEX('[1]CÓDIGOS DE PRODUCTO'!$C$3:$C$1000,MATCH(C2310,'[1]CÓDIGOS DE PRODUCTO'!$A$3:$A$1000,0))</f>
        <v>0</v>
      </c>
      <c r="G2310">
        <f>+'[1]VENTAS(RESUMEN GLOBAL)'!D2310-'[1]VENTAS(RESUMEN GLOBAL)'!E2310</f>
        <v>0</v>
      </c>
      <c r="H2310" s="9">
        <f>+'[1]VENTAS(RESUMEN GLOBAL)'!K2310</f>
        <v>0</v>
      </c>
      <c r="I2310" s="8">
        <f>+G2310*'[1]VENTAS(RESUMEN GLOBAL)'!F2310</f>
        <v>0</v>
      </c>
      <c r="J2310" s="8">
        <f>'[1]VENTAS(RESUMEN GLOBAL)'!G2310*(1-'[1]VENTAS(RESUMEN GLOBAL)'!H2310)</f>
        <v>0</v>
      </c>
      <c r="K2310" s="8">
        <f t="shared" si="36"/>
        <v>0</v>
      </c>
      <c r="L2310" s="8">
        <f>+'[1]VENTAS(RESUMEN GLOBAL)'!J2310</f>
        <v>0</v>
      </c>
      <c r="M2310" s="8">
        <f>+Tabla1[[#This Row],[utilidad x dia]]*7</f>
        <v>0</v>
      </c>
    </row>
    <row r="2311" spans="1:13" x14ac:dyDescent="0.3">
      <c r="A2311" s="6">
        <f>+'[1]VENTAS(RESUMEN GLOBAL)'!L2311</f>
        <v>0</v>
      </c>
      <c r="B2311" s="6">
        <f>+'[1]VENTAS(RESUMEN GLOBAL)'!M2311</f>
        <v>0</v>
      </c>
      <c r="C2311">
        <f>+'[1]VENTAS(RESUMEN GLOBAL)'!B2311</f>
        <v>0</v>
      </c>
      <c r="D2311" t="e">
        <f>INDEX('[1]CÓDIGOS DE PRODUCTO'!$D$3:$D$1000,MATCH(C2311,'[1]CÓDIGOS DE PRODUCTO'!$A$3:$A$1000,0))</f>
        <v>#N/A</v>
      </c>
      <c r="E2311">
        <f>VLOOKUP(C2311,'[1]CÓDIGOS DE PRODUCTO'!$A$4:$B$156,2,FALSE)</f>
        <v>0</v>
      </c>
      <c r="F2311">
        <f>INDEX('[1]CÓDIGOS DE PRODUCTO'!$C$3:$C$1000,MATCH(C2311,'[1]CÓDIGOS DE PRODUCTO'!$A$3:$A$1000,0))</f>
        <v>0</v>
      </c>
      <c r="G2311">
        <f>+'[1]VENTAS(RESUMEN GLOBAL)'!D2311-'[1]VENTAS(RESUMEN GLOBAL)'!E2311</f>
        <v>0</v>
      </c>
      <c r="H2311" s="9">
        <f>+'[1]VENTAS(RESUMEN GLOBAL)'!K2311</f>
        <v>0</v>
      </c>
      <c r="I2311" s="8">
        <f>+G2311*'[1]VENTAS(RESUMEN GLOBAL)'!F2311</f>
        <v>0</v>
      </c>
      <c r="J2311" s="8">
        <f>'[1]VENTAS(RESUMEN GLOBAL)'!G2311*(1-'[1]VENTAS(RESUMEN GLOBAL)'!H2311)</f>
        <v>0</v>
      </c>
      <c r="K2311" s="8">
        <f t="shared" si="36"/>
        <v>0</v>
      </c>
      <c r="L2311" s="8">
        <f>+'[1]VENTAS(RESUMEN GLOBAL)'!J2311</f>
        <v>0</v>
      </c>
      <c r="M2311" s="8">
        <f>+Tabla1[[#This Row],[utilidad x dia]]*7</f>
        <v>0</v>
      </c>
    </row>
    <row r="2312" spans="1:13" x14ac:dyDescent="0.3">
      <c r="A2312" s="6">
        <f>+'[1]VENTAS(RESUMEN GLOBAL)'!L2312</f>
        <v>0</v>
      </c>
      <c r="B2312" s="6">
        <f>+'[1]VENTAS(RESUMEN GLOBAL)'!M2312</f>
        <v>0</v>
      </c>
      <c r="C2312">
        <f>+'[1]VENTAS(RESUMEN GLOBAL)'!B2312</f>
        <v>0</v>
      </c>
      <c r="D2312" t="e">
        <f>INDEX('[1]CÓDIGOS DE PRODUCTO'!$D$3:$D$1000,MATCH(C2312,'[1]CÓDIGOS DE PRODUCTO'!$A$3:$A$1000,0))</f>
        <v>#N/A</v>
      </c>
      <c r="E2312">
        <f>VLOOKUP(C2312,'[1]CÓDIGOS DE PRODUCTO'!$A$4:$B$156,2,FALSE)</f>
        <v>0</v>
      </c>
      <c r="F2312">
        <f>INDEX('[1]CÓDIGOS DE PRODUCTO'!$C$3:$C$1000,MATCH(C2312,'[1]CÓDIGOS DE PRODUCTO'!$A$3:$A$1000,0))</f>
        <v>0</v>
      </c>
      <c r="G2312">
        <f>+'[1]VENTAS(RESUMEN GLOBAL)'!D2312-'[1]VENTAS(RESUMEN GLOBAL)'!E2312</f>
        <v>0</v>
      </c>
      <c r="H2312" s="9">
        <f>+'[1]VENTAS(RESUMEN GLOBAL)'!K2312</f>
        <v>0</v>
      </c>
      <c r="I2312" s="8">
        <f>+G2312*'[1]VENTAS(RESUMEN GLOBAL)'!F2312</f>
        <v>0</v>
      </c>
      <c r="J2312" s="8">
        <f>'[1]VENTAS(RESUMEN GLOBAL)'!G2312*(1-'[1]VENTAS(RESUMEN GLOBAL)'!H2312)</f>
        <v>0</v>
      </c>
      <c r="K2312" s="8">
        <f t="shared" si="36"/>
        <v>0</v>
      </c>
      <c r="L2312" s="8">
        <f>+'[1]VENTAS(RESUMEN GLOBAL)'!J2312</f>
        <v>0</v>
      </c>
      <c r="M2312" s="8">
        <f>+Tabla1[[#This Row],[utilidad x dia]]*7</f>
        <v>0</v>
      </c>
    </row>
    <row r="2313" spans="1:13" x14ac:dyDescent="0.3">
      <c r="A2313" s="6">
        <f>+'[1]VENTAS(RESUMEN GLOBAL)'!L2313</f>
        <v>0</v>
      </c>
      <c r="B2313" s="6">
        <f>+'[1]VENTAS(RESUMEN GLOBAL)'!M2313</f>
        <v>0</v>
      </c>
      <c r="C2313">
        <f>+'[1]VENTAS(RESUMEN GLOBAL)'!B2313</f>
        <v>0</v>
      </c>
      <c r="D2313" t="e">
        <f>INDEX('[1]CÓDIGOS DE PRODUCTO'!$D$3:$D$1000,MATCH(C2313,'[1]CÓDIGOS DE PRODUCTO'!$A$3:$A$1000,0))</f>
        <v>#N/A</v>
      </c>
      <c r="E2313">
        <f>VLOOKUP(C2313,'[1]CÓDIGOS DE PRODUCTO'!$A$4:$B$156,2,FALSE)</f>
        <v>0</v>
      </c>
      <c r="F2313">
        <f>INDEX('[1]CÓDIGOS DE PRODUCTO'!$C$3:$C$1000,MATCH(C2313,'[1]CÓDIGOS DE PRODUCTO'!$A$3:$A$1000,0))</f>
        <v>0</v>
      </c>
      <c r="G2313">
        <f>+'[1]VENTAS(RESUMEN GLOBAL)'!D2313-'[1]VENTAS(RESUMEN GLOBAL)'!E2313</f>
        <v>0</v>
      </c>
      <c r="H2313" s="9">
        <f>+'[1]VENTAS(RESUMEN GLOBAL)'!K2313</f>
        <v>0</v>
      </c>
      <c r="I2313" s="8">
        <f>+G2313*'[1]VENTAS(RESUMEN GLOBAL)'!F2313</f>
        <v>0</v>
      </c>
      <c r="J2313" s="8">
        <f>'[1]VENTAS(RESUMEN GLOBAL)'!G2313*(1-'[1]VENTAS(RESUMEN GLOBAL)'!H2313)</f>
        <v>0</v>
      </c>
      <c r="K2313" s="8">
        <f t="shared" si="36"/>
        <v>0</v>
      </c>
      <c r="L2313" s="8">
        <f>+'[1]VENTAS(RESUMEN GLOBAL)'!J2313</f>
        <v>0</v>
      </c>
      <c r="M2313" s="8">
        <f>+Tabla1[[#This Row],[utilidad x dia]]*7</f>
        <v>0</v>
      </c>
    </row>
    <row r="2314" spans="1:13" x14ac:dyDescent="0.3">
      <c r="A2314" s="6">
        <f>+'[1]VENTAS(RESUMEN GLOBAL)'!L2314</f>
        <v>0</v>
      </c>
      <c r="B2314" s="6">
        <f>+'[1]VENTAS(RESUMEN GLOBAL)'!M2314</f>
        <v>0</v>
      </c>
      <c r="C2314">
        <f>+'[1]VENTAS(RESUMEN GLOBAL)'!B2314</f>
        <v>0</v>
      </c>
      <c r="D2314" t="e">
        <f>INDEX('[1]CÓDIGOS DE PRODUCTO'!$D$3:$D$1000,MATCH(C2314,'[1]CÓDIGOS DE PRODUCTO'!$A$3:$A$1000,0))</f>
        <v>#N/A</v>
      </c>
      <c r="E2314">
        <f>VLOOKUP(C2314,'[1]CÓDIGOS DE PRODUCTO'!$A$4:$B$156,2,FALSE)</f>
        <v>0</v>
      </c>
      <c r="F2314">
        <f>INDEX('[1]CÓDIGOS DE PRODUCTO'!$C$3:$C$1000,MATCH(C2314,'[1]CÓDIGOS DE PRODUCTO'!$A$3:$A$1000,0))</f>
        <v>0</v>
      </c>
      <c r="G2314">
        <f>+'[1]VENTAS(RESUMEN GLOBAL)'!D2314-'[1]VENTAS(RESUMEN GLOBAL)'!E2314</f>
        <v>0</v>
      </c>
      <c r="H2314" s="9">
        <f>+'[1]VENTAS(RESUMEN GLOBAL)'!K2314</f>
        <v>0</v>
      </c>
      <c r="I2314" s="8">
        <f>+G2314*'[1]VENTAS(RESUMEN GLOBAL)'!F2314</f>
        <v>0</v>
      </c>
      <c r="J2314" s="8">
        <f>'[1]VENTAS(RESUMEN GLOBAL)'!G2314*(1-'[1]VENTAS(RESUMEN GLOBAL)'!H2314)</f>
        <v>0</v>
      </c>
      <c r="K2314" s="8">
        <f t="shared" si="36"/>
        <v>0</v>
      </c>
      <c r="L2314" s="8">
        <f>+'[1]VENTAS(RESUMEN GLOBAL)'!J2314</f>
        <v>0</v>
      </c>
      <c r="M2314" s="8">
        <f>+Tabla1[[#This Row],[utilidad x dia]]*7</f>
        <v>0</v>
      </c>
    </row>
    <row r="2315" spans="1:13" x14ac:dyDescent="0.3">
      <c r="A2315" s="6">
        <f>+'[1]VENTAS(RESUMEN GLOBAL)'!L2315</f>
        <v>0</v>
      </c>
      <c r="B2315" s="6">
        <f>+'[1]VENTAS(RESUMEN GLOBAL)'!M2315</f>
        <v>0</v>
      </c>
      <c r="C2315">
        <f>+'[1]VENTAS(RESUMEN GLOBAL)'!B2315</f>
        <v>0</v>
      </c>
      <c r="D2315" t="e">
        <f>INDEX('[1]CÓDIGOS DE PRODUCTO'!$D$3:$D$1000,MATCH(C2315,'[1]CÓDIGOS DE PRODUCTO'!$A$3:$A$1000,0))</f>
        <v>#N/A</v>
      </c>
      <c r="E2315">
        <f>VLOOKUP(C2315,'[1]CÓDIGOS DE PRODUCTO'!$A$4:$B$156,2,FALSE)</f>
        <v>0</v>
      </c>
      <c r="F2315">
        <f>INDEX('[1]CÓDIGOS DE PRODUCTO'!$C$3:$C$1000,MATCH(C2315,'[1]CÓDIGOS DE PRODUCTO'!$A$3:$A$1000,0))</f>
        <v>0</v>
      </c>
      <c r="G2315">
        <f>+'[1]VENTAS(RESUMEN GLOBAL)'!D2315-'[1]VENTAS(RESUMEN GLOBAL)'!E2315</f>
        <v>0</v>
      </c>
      <c r="H2315" s="9">
        <f>+'[1]VENTAS(RESUMEN GLOBAL)'!K2315</f>
        <v>0</v>
      </c>
      <c r="I2315" s="8">
        <f>+G2315*'[1]VENTAS(RESUMEN GLOBAL)'!F2315</f>
        <v>0</v>
      </c>
      <c r="J2315" s="8">
        <f>'[1]VENTAS(RESUMEN GLOBAL)'!G2315*(1-'[1]VENTAS(RESUMEN GLOBAL)'!H2315)</f>
        <v>0</v>
      </c>
      <c r="K2315" s="8">
        <f t="shared" si="36"/>
        <v>0</v>
      </c>
      <c r="L2315" s="8">
        <f>+'[1]VENTAS(RESUMEN GLOBAL)'!J2315</f>
        <v>0</v>
      </c>
      <c r="M2315" s="8">
        <f>+Tabla1[[#This Row],[utilidad x dia]]*7</f>
        <v>0</v>
      </c>
    </row>
    <row r="2316" spans="1:13" x14ac:dyDescent="0.3">
      <c r="A2316" s="6">
        <f>+'[1]VENTAS(RESUMEN GLOBAL)'!L2316</f>
        <v>0</v>
      </c>
      <c r="B2316" s="6">
        <f>+'[1]VENTAS(RESUMEN GLOBAL)'!M2316</f>
        <v>0</v>
      </c>
      <c r="C2316">
        <f>+'[1]VENTAS(RESUMEN GLOBAL)'!B2316</f>
        <v>0</v>
      </c>
      <c r="D2316" t="e">
        <f>INDEX('[1]CÓDIGOS DE PRODUCTO'!$D$3:$D$1000,MATCH(C2316,'[1]CÓDIGOS DE PRODUCTO'!$A$3:$A$1000,0))</f>
        <v>#N/A</v>
      </c>
      <c r="E2316">
        <f>VLOOKUP(C2316,'[1]CÓDIGOS DE PRODUCTO'!$A$4:$B$156,2,FALSE)</f>
        <v>0</v>
      </c>
      <c r="F2316">
        <f>INDEX('[1]CÓDIGOS DE PRODUCTO'!$C$3:$C$1000,MATCH(C2316,'[1]CÓDIGOS DE PRODUCTO'!$A$3:$A$1000,0))</f>
        <v>0</v>
      </c>
      <c r="G2316">
        <f>+'[1]VENTAS(RESUMEN GLOBAL)'!D2316-'[1]VENTAS(RESUMEN GLOBAL)'!E2316</f>
        <v>0</v>
      </c>
      <c r="H2316" s="9">
        <f>+'[1]VENTAS(RESUMEN GLOBAL)'!K2316</f>
        <v>0</v>
      </c>
      <c r="I2316" s="8">
        <f>+G2316*'[1]VENTAS(RESUMEN GLOBAL)'!F2316</f>
        <v>0</v>
      </c>
      <c r="J2316" s="8">
        <f>'[1]VENTAS(RESUMEN GLOBAL)'!G2316*(1-'[1]VENTAS(RESUMEN GLOBAL)'!H2316)</f>
        <v>0</v>
      </c>
      <c r="K2316" s="8">
        <f t="shared" si="36"/>
        <v>0</v>
      </c>
      <c r="L2316" s="8">
        <f>+'[1]VENTAS(RESUMEN GLOBAL)'!J2316</f>
        <v>0</v>
      </c>
      <c r="M2316" s="8">
        <f>+Tabla1[[#This Row],[utilidad x dia]]*7</f>
        <v>0</v>
      </c>
    </row>
    <row r="2317" spans="1:13" x14ac:dyDescent="0.3">
      <c r="A2317" s="6">
        <f>+'[1]VENTAS(RESUMEN GLOBAL)'!L2317</f>
        <v>0</v>
      </c>
      <c r="B2317" s="6">
        <f>+'[1]VENTAS(RESUMEN GLOBAL)'!M2317</f>
        <v>0</v>
      </c>
      <c r="C2317">
        <f>+'[1]VENTAS(RESUMEN GLOBAL)'!B2317</f>
        <v>0</v>
      </c>
      <c r="D2317" t="e">
        <f>INDEX('[1]CÓDIGOS DE PRODUCTO'!$D$3:$D$1000,MATCH(C2317,'[1]CÓDIGOS DE PRODUCTO'!$A$3:$A$1000,0))</f>
        <v>#N/A</v>
      </c>
      <c r="E2317">
        <f>VLOOKUP(C2317,'[1]CÓDIGOS DE PRODUCTO'!$A$4:$B$156,2,FALSE)</f>
        <v>0</v>
      </c>
      <c r="F2317">
        <f>INDEX('[1]CÓDIGOS DE PRODUCTO'!$C$3:$C$1000,MATCH(C2317,'[1]CÓDIGOS DE PRODUCTO'!$A$3:$A$1000,0))</f>
        <v>0</v>
      </c>
      <c r="G2317">
        <f>+'[1]VENTAS(RESUMEN GLOBAL)'!D2317-'[1]VENTAS(RESUMEN GLOBAL)'!E2317</f>
        <v>0</v>
      </c>
      <c r="H2317" s="9">
        <f>+'[1]VENTAS(RESUMEN GLOBAL)'!K2317</f>
        <v>0</v>
      </c>
      <c r="I2317" s="8">
        <f>+G2317*'[1]VENTAS(RESUMEN GLOBAL)'!F2317</f>
        <v>0</v>
      </c>
      <c r="J2317" s="8">
        <f>'[1]VENTAS(RESUMEN GLOBAL)'!G2317*(1-'[1]VENTAS(RESUMEN GLOBAL)'!H2317)</f>
        <v>0</v>
      </c>
      <c r="K2317" s="8">
        <f t="shared" si="36"/>
        <v>0</v>
      </c>
      <c r="L2317" s="8">
        <f>+'[1]VENTAS(RESUMEN GLOBAL)'!J2317</f>
        <v>0</v>
      </c>
      <c r="M2317" s="8">
        <f>+Tabla1[[#This Row],[utilidad x dia]]*7</f>
        <v>0</v>
      </c>
    </row>
    <row r="2318" spans="1:13" x14ac:dyDescent="0.3">
      <c r="A2318" s="6">
        <f>+'[1]VENTAS(RESUMEN GLOBAL)'!L2318</f>
        <v>0</v>
      </c>
      <c r="B2318" s="6">
        <f>+'[1]VENTAS(RESUMEN GLOBAL)'!M2318</f>
        <v>0</v>
      </c>
      <c r="C2318">
        <f>+'[1]VENTAS(RESUMEN GLOBAL)'!B2318</f>
        <v>0</v>
      </c>
      <c r="D2318" t="e">
        <f>INDEX('[1]CÓDIGOS DE PRODUCTO'!$D$3:$D$1000,MATCH(C2318,'[1]CÓDIGOS DE PRODUCTO'!$A$3:$A$1000,0))</f>
        <v>#N/A</v>
      </c>
      <c r="E2318">
        <f>VLOOKUP(C2318,'[1]CÓDIGOS DE PRODUCTO'!$A$4:$B$156,2,FALSE)</f>
        <v>0</v>
      </c>
      <c r="F2318">
        <f>INDEX('[1]CÓDIGOS DE PRODUCTO'!$C$3:$C$1000,MATCH(C2318,'[1]CÓDIGOS DE PRODUCTO'!$A$3:$A$1000,0))</f>
        <v>0</v>
      </c>
      <c r="G2318">
        <f>+'[1]VENTAS(RESUMEN GLOBAL)'!D2318-'[1]VENTAS(RESUMEN GLOBAL)'!E2318</f>
        <v>0</v>
      </c>
      <c r="H2318" s="9">
        <f>+'[1]VENTAS(RESUMEN GLOBAL)'!K2318</f>
        <v>0</v>
      </c>
      <c r="I2318" s="8">
        <f>+G2318*'[1]VENTAS(RESUMEN GLOBAL)'!F2318</f>
        <v>0</v>
      </c>
      <c r="J2318" s="8">
        <f>'[1]VENTAS(RESUMEN GLOBAL)'!G2318*(1-'[1]VENTAS(RESUMEN GLOBAL)'!H2318)</f>
        <v>0</v>
      </c>
      <c r="K2318" s="8">
        <f t="shared" si="36"/>
        <v>0</v>
      </c>
      <c r="L2318" s="8">
        <f>+'[1]VENTAS(RESUMEN GLOBAL)'!J2318</f>
        <v>0</v>
      </c>
      <c r="M2318" s="8">
        <f>+Tabla1[[#This Row],[utilidad x dia]]*7</f>
        <v>0</v>
      </c>
    </row>
    <row r="2319" spans="1:13" x14ac:dyDescent="0.3">
      <c r="A2319" s="6">
        <f>+'[1]VENTAS(RESUMEN GLOBAL)'!L2319</f>
        <v>0</v>
      </c>
      <c r="B2319" s="6">
        <f>+'[1]VENTAS(RESUMEN GLOBAL)'!M2319</f>
        <v>0</v>
      </c>
      <c r="C2319">
        <f>+'[1]VENTAS(RESUMEN GLOBAL)'!B2319</f>
        <v>0</v>
      </c>
      <c r="D2319" t="e">
        <f>INDEX('[1]CÓDIGOS DE PRODUCTO'!$D$3:$D$1000,MATCH(C2319,'[1]CÓDIGOS DE PRODUCTO'!$A$3:$A$1000,0))</f>
        <v>#N/A</v>
      </c>
      <c r="E2319">
        <f>VLOOKUP(C2319,'[1]CÓDIGOS DE PRODUCTO'!$A$4:$B$156,2,FALSE)</f>
        <v>0</v>
      </c>
      <c r="F2319">
        <f>INDEX('[1]CÓDIGOS DE PRODUCTO'!$C$3:$C$1000,MATCH(C2319,'[1]CÓDIGOS DE PRODUCTO'!$A$3:$A$1000,0))</f>
        <v>0</v>
      </c>
      <c r="G2319">
        <f>+'[1]VENTAS(RESUMEN GLOBAL)'!D2319-'[1]VENTAS(RESUMEN GLOBAL)'!E2319</f>
        <v>0</v>
      </c>
      <c r="H2319" s="9">
        <f>+'[1]VENTAS(RESUMEN GLOBAL)'!K2319</f>
        <v>0</v>
      </c>
      <c r="I2319" s="8">
        <f>+G2319*'[1]VENTAS(RESUMEN GLOBAL)'!F2319</f>
        <v>0</v>
      </c>
      <c r="J2319" s="8">
        <f>'[1]VENTAS(RESUMEN GLOBAL)'!G2319*(1-'[1]VENTAS(RESUMEN GLOBAL)'!H2319)</f>
        <v>0</v>
      </c>
      <c r="K2319" s="8">
        <f t="shared" si="36"/>
        <v>0</v>
      </c>
      <c r="L2319" s="8">
        <f>+'[1]VENTAS(RESUMEN GLOBAL)'!J2319</f>
        <v>0</v>
      </c>
      <c r="M2319" s="8">
        <f>+Tabla1[[#This Row],[utilidad x dia]]*7</f>
        <v>0</v>
      </c>
    </row>
    <row r="2320" spans="1:13" x14ac:dyDescent="0.3">
      <c r="A2320" s="6">
        <f>+'[1]VENTAS(RESUMEN GLOBAL)'!L2320</f>
        <v>0</v>
      </c>
      <c r="B2320" s="6">
        <f>+'[1]VENTAS(RESUMEN GLOBAL)'!M2320</f>
        <v>0</v>
      </c>
      <c r="C2320">
        <f>+'[1]VENTAS(RESUMEN GLOBAL)'!B2320</f>
        <v>0</v>
      </c>
      <c r="D2320" t="e">
        <f>INDEX('[1]CÓDIGOS DE PRODUCTO'!$D$3:$D$1000,MATCH(C2320,'[1]CÓDIGOS DE PRODUCTO'!$A$3:$A$1000,0))</f>
        <v>#N/A</v>
      </c>
      <c r="E2320">
        <f>VLOOKUP(C2320,'[1]CÓDIGOS DE PRODUCTO'!$A$4:$B$156,2,FALSE)</f>
        <v>0</v>
      </c>
      <c r="F2320">
        <f>INDEX('[1]CÓDIGOS DE PRODUCTO'!$C$3:$C$1000,MATCH(C2320,'[1]CÓDIGOS DE PRODUCTO'!$A$3:$A$1000,0))</f>
        <v>0</v>
      </c>
      <c r="G2320">
        <f>+'[1]VENTAS(RESUMEN GLOBAL)'!D2320-'[1]VENTAS(RESUMEN GLOBAL)'!E2320</f>
        <v>0</v>
      </c>
      <c r="H2320" s="9">
        <f>+'[1]VENTAS(RESUMEN GLOBAL)'!K2320</f>
        <v>0</v>
      </c>
      <c r="I2320" s="8">
        <f>+G2320*'[1]VENTAS(RESUMEN GLOBAL)'!F2320</f>
        <v>0</v>
      </c>
      <c r="J2320" s="8">
        <f>'[1]VENTAS(RESUMEN GLOBAL)'!G2320*(1-'[1]VENTAS(RESUMEN GLOBAL)'!H2320)</f>
        <v>0</v>
      </c>
      <c r="K2320" s="8">
        <f t="shared" si="36"/>
        <v>0</v>
      </c>
      <c r="L2320" s="8">
        <f>+'[1]VENTAS(RESUMEN GLOBAL)'!J2320</f>
        <v>0</v>
      </c>
      <c r="M2320" s="8">
        <f>+Tabla1[[#This Row],[utilidad x dia]]*7</f>
        <v>0</v>
      </c>
    </row>
    <row r="2321" spans="1:13" x14ac:dyDescent="0.3">
      <c r="A2321" s="6">
        <f>+'[1]VENTAS(RESUMEN GLOBAL)'!L2321</f>
        <v>0</v>
      </c>
      <c r="B2321" s="6">
        <f>+'[1]VENTAS(RESUMEN GLOBAL)'!M2321</f>
        <v>0</v>
      </c>
      <c r="C2321">
        <f>+'[1]VENTAS(RESUMEN GLOBAL)'!B2321</f>
        <v>0</v>
      </c>
      <c r="D2321" t="e">
        <f>INDEX('[1]CÓDIGOS DE PRODUCTO'!$D$3:$D$1000,MATCH(C2321,'[1]CÓDIGOS DE PRODUCTO'!$A$3:$A$1000,0))</f>
        <v>#N/A</v>
      </c>
      <c r="E2321">
        <f>VLOOKUP(C2321,'[1]CÓDIGOS DE PRODUCTO'!$A$4:$B$156,2,FALSE)</f>
        <v>0</v>
      </c>
      <c r="F2321">
        <f>INDEX('[1]CÓDIGOS DE PRODUCTO'!$C$3:$C$1000,MATCH(C2321,'[1]CÓDIGOS DE PRODUCTO'!$A$3:$A$1000,0))</f>
        <v>0</v>
      </c>
      <c r="G2321">
        <f>+'[1]VENTAS(RESUMEN GLOBAL)'!D2321-'[1]VENTAS(RESUMEN GLOBAL)'!E2321</f>
        <v>0</v>
      </c>
      <c r="H2321" s="9">
        <f>+'[1]VENTAS(RESUMEN GLOBAL)'!K2321</f>
        <v>0</v>
      </c>
      <c r="I2321" s="8">
        <f>+G2321*'[1]VENTAS(RESUMEN GLOBAL)'!F2321</f>
        <v>0</v>
      </c>
      <c r="J2321" s="8">
        <f>'[1]VENTAS(RESUMEN GLOBAL)'!G2321*(1-'[1]VENTAS(RESUMEN GLOBAL)'!H2321)</f>
        <v>0</v>
      </c>
      <c r="K2321" s="8">
        <f t="shared" si="36"/>
        <v>0</v>
      </c>
      <c r="L2321" s="8">
        <f>+'[1]VENTAS(RESUMEN GLOBAL)'!J2321</f>
        <v>0</v>
      </c>
      <c r="M2321" s="8">
        <f>+Tabla1[[#This Row],[utilidad x dia]]*7</f>
        <v>0</v>
      </c>
    </row>
    <row r="2322" spans="1:13" x14ac:dyDescent="0.3">
      <c r="A2322" s="6">
        <f>+'[1]VENTAS(RESUMEN GLOBAL)'!L2322</f>
        <v>0</v>
      </c>
      <c r="B2322" s="6">
        <f>+'[1]VENTAS(RESUMEN GLOBAL)'!M2322</f>
        <v>0</v>
      </c>
      <c r="C2322">
        <f>+'[1]VENTAS(RESUMEN GLOBAL)'!B2322</f>
        <v>0</v>
      </c>
      <c r="D2322" t="e">
        <f>INDEX('[1]CÓDIGOS DE PRODUCTO'!$D$3:$D$1000,MATCH(C2322,'[1]CÓDIGOS DE PRODUCTO'!$A$3:$A$1000,0))</f>
        <v>#N/A</v>
      </c>
      <c r="E2322">
        <f>VLOOKUP(C2322,'[1]CÓDIGOS DE PRODUCTO'!$A$4:$B$156,2,FALSE)</f>
        <v>0</v>
      </c>
      <c r="F2322">
        <f>INDEX('[1]CÓDIGOS DE PRODUCTO'!$C$3:$C$1000,MATCH(C2322,'[1]CÓDIGOS DE PRODUCTO'!$A$3:$A$1000,0))</f>
        <v>0</v>
      </c>
      <c r="G2322">
        <f>+'[1]VENTAS(RESUMEN GLOBAL)'!D2322-'[1]VENTAS(RESUMEN GLOBAL)'!E2322</f>
        <v>0</v>
      </c>
      <c r="H2322" s="9">
        <f>+'[1]VENTAS(RESUMEN GLOBAL)'!K2322</f>
        <v>0</v>
      </c>
      <c r="I2322" s="8">
        <f>+G2322*'[1]VENTAS(RESUMEN GLOBAL)'!F2322</f>
        <v>0</v>
      </c>
      <c r="J2322" s="8">
        <f>'[1]VENTAS(RESUMEN GLOBAL)'!G2322*(1-'[1]VENTAS(RESUMEN GLOBAL)'!H2322)</f>
        <v>0</v>
      </c>
      <c r="K2322" s="8">
        <f t="shared" si="36"/>
        <v>0</v>
      </c>
      <c r="L2322" s="8">
        <f>+'[1]VENTAS(RESUMEN GLOBAL)'!J2322</f>
        <v>0</v>
      </c>
      <c r="M2322" s="8">
        <f>+Tabla1[[#This Row],[utilidad x dia]]*7</f>
        <v>0</v>
      </c>
    </row>
    <row r="2323" spans="1:13" x14ac:dyDescent="0.3">
      <c r="A2323" s="6">
        <f>+'[1]VENTAS(RESUMEN GLOBAL)'!L2323</f>
        <v>0</v>
      </c>
      <c r="B2323" s="6">
        <f>+'[1]VENTAS(RESUMEN GLOBAL)'!M2323</f>
        <v>0</v>
      </c>
      <c r="C2323">
        <f>+'[1]VENTAS(RESUMEN GLOBAL)'!B2323</f>
        <v>0</v>
      </c>
      <c r="D2323" t="e">
        <f>INDEX('[1]CÓDIGOS DE PRODUCTO'!$D$3:$D$1000,MATCH(C2323,'[1]CÓDIGOS DE PRODUCTO'!$A$3:$A$1000,0))</f>
        <v>#N/A</v>
      </c>
      <c r="E2323">
        <f>VLOOKUP(C2323,'[1]CÓDIGOS DE PRODUCTO'!$A$4:$B$156,2,FALSE)</f>
        <v>0</v>
      </c>
      <c r="F2323">
        <f>INDEX('[1]CÓDIGOS DE PRODUCTO'!$C$3:$C$1000,MATCH(C2323,'[1]CÓDIGOS DE PRODUCTO'!$A$3:$A$1000,0))</f>
        <v>0</v>
      </c>
      <c r="G2323">
        <f>+'[1]VENTAS(RESUMEN GLOBAL)'!D2323-'[1]VENTAS(RESUMEN GLOBAL)'!E2323</f>
        <v>0</v>
      </c>
      <c r="H2323" s="9">
        <f>+'[1]VENTAS(RESUMEN GLOBAL)'!K2323</f>
        <v>0</v>
      </c>
      <c r="I2323" s="8">
        <f>+G2323*'[1]VENTAS(RESUMEN GLOBAL)'!F2323</f>
        <v>0</v>
      </c>
      <c r="J2323" s="8">
        <f>'[1]VENTAS(RESUMEN GLOBAL)'!G2323*(1-'[1]VENTAS(RESUMEN GLOBAL)'!H2323)</f>
        <v>0</v>
      </c>
      <c r="K2323" s="8">
        <f t="shared" si="36"/>
        <v>0</v>
      </c>
      <c r="L2323" s="8">
        <f>+'[1]VENTAS(RESUMEN GLOBAL)'!J2323</f>
        <v>0</v>
      </c>
      <c r="M2323" s="8">
        <f>+Tabla1[[#This Row],[utilidad x dia]]*7</f>
        <v>0</v>
      </c>
    </row>
    <row r="2324" spans="1:13" x14ac:dyDescent="0.3">
      <c r="A2324" s="6">
        <f>+'[1]VENTAS(RESUMEN GLOBAL)'!L2324</f>
        <v>0</v>
      </c>
      <c r="B2324" s="6">
        <f>+'[1]VENTAS(RESUMEN GLOBAL)'!M2324</f>
        <v>0</v>
      </c>
      <c r="C2324">
        <f>+'[1]VENTAS(RESUMEN GLOBAL)'!B2324</f>
        <v>0</v>
      </c>
      <c r="D2324" t="e">
        <f>INDEX('[1]CÓDIGOS DE PRODUCTO'!$D$3:$D$1000,MATCH(C2324,'[1]CÓDIGOS DE PRODUCTO'!$A$3:$A$1000,0))</f>
        <v>#N/A</v>
      </c>
      <c r="E2324">
        <f>VLOOKUP(C2324,'[1]CÓDIGOS DE PRODUCTO'!$A$4:$B$156,2,FALSE)</f>
        <v>0</v>
      </c>
      <c r="F2324">
        <f>INDEX('[1]CÓDIGOS DE PRODUCTO'!$C$3:$C$1000,MATCH(C2324,'[1]CÓDIGOS DE PRODUCTO'!$A$3:$A$1000,0))</f>
        <v>0</v>
      </c>
      <c r="G2324">
        <f>+'[1]VENTAS(RESUMEN GLOBAL)'!D2324-'[1]VENTAS(RESUMEN GLOBAL)'!E2324</f>
        <v>0</v>
      </c>
      <c r="H2324" s="9">
        <f>+'[1]VENTAS(RESUMEN GLOBAL)'!K2324</f>
        <v>0</v>
      </c>
      <c r="I2324" s="8">
        <f>+G2324*'[1]VENTAS(RESUMEN GLOBAL)'!F2324</f>
        <v>0</v>
      </c>
      <c r="J2324" s="8">
        <f>'[1]VENTAS(RESUMEN GLOBAL)'!G2324*(1-'[1]VENTAS(RESUMEN GLOBAL)'!H2324)</f>
        <v>0</v>
      </c>
      <c r="K2324" s="8">
        <f t="shared" si="36"/>
        <v>0</v>
      </c>
      <c r="L2324" s="8">
        <f>+'[1]VENTAS(RESUMEN GLOBAL)'!J2324</f>
        <v>0</v>
      </c>
      <c r="M2324" s="8">
        <f>+Tabla1[[#This Row],[utilidad x dia]]*7</f>
        <v>0</v>
      </c>
    </row>
    <row r="2325" spans="1:13" x14ac:dyDescent="0.3">
      <c r="A2325" s="6">
        <f>+'[1]VENTAS(RESUMEN GLOBAL)'!L2325</f>
        <v>0</v>
      </c>
      <c r="B2325" s="6">
        <f>+'[1]VENTAS(RESUMEN GLOBAL)'!M2325</f>
        <v>0</v>
      </c>
      <c r="C2325">
        <f>+'[1]VENTAS(RESUMEN GLOBAL)'!B2325</f>
        <v>0</v>
      </c>
      <c r="D2325" t="e">
        <f>INDEX('[1]CÓDIGOS DE PRODUCTO'!$D$3:$D$1000,MATCH(C2325,'[1]CÓDIGOS DE PRODUCTO'!$A$3:$A$1000,0))</f>
        <v>#N/A</v>
      </c>
      <c r="E2325">
        <f>VLOOKUP(C2325,'[1]CÓDIGOS DE PRODUCTO'!$A$4:$B$156,2,FALSE)</f>
        <v>0</v>
      </c>
      <c r="F2325">
        <f>INDEX('[1]CÓDIGOS DE PRODUCTO'!$C$3:$C$1000,MATCH(C2325,'[1]CÓDIGOS DE PRODUCTO'!$A$3:$A$1000,0))</f>
        <v>0</v>
      </c>
      <c r="G2325">
        <f>+'[1]VENTAS(RESUMEN GLOBAL)'!D2325-'[1]VENTAS(RESUMEN GLOBAL)'!E2325</f>
        <v>0</v>
      </c>
      <c r="H2325" s="9">
        <f>+'[1]VENTAS(RESUMEN GLOBAL)'!K2325</f>
        <v>0</v>
      </c>
      <c r="I2325" s="8">
        <f>+G2325*'[1]VENTAS(RESUMEN GLOBAL)'!F2325</f>
        <v>0</v>
      </c>
      <c r="J2325" s="8">
        <f>'[1]VENTAS(RESUMEN GLOBAL)'!G2325*(1-'[1]VENTAS(RESUMEN GLOBAL)'!H2325)</f>
        <v>0</v>
      </c>
      <c r="K2325" s="8">
        <f t="shared" si="36"/>
        <v>0</v>
      </c>
      <c r="L2325" s="8">
        <f>+'[1]VENTAS(RESUMEN GLOBAL)'!J2325</f>
        <v>0</v>
      </c>
      <c r="M2325" s="8">
        <f>+Tabla1[[#This Row],[utilidad x dia]]*7</f>
        <v>0</v>
      </c>
    </row>
    <row r="2326" spans="1:13" x14ac:dyDescent="0.3">
      <c r="A2326" s="6">
        <f>+'[1]VENTAS(RESUMEN GLOBAL)'!L2326</f>
        <v>0</v>
      </c>
      <c r="B2326" s="6">
        <f>+'[1]VENTAS(RESUMEN GLOBAL)'!M2326</f>
        <v>0</v>
      </c>
      <c r="C2326">
        <f>+'[1]VENTAS(RESUMEN GLOBAL)'!B2326</f>
        <v>0</v>
      </c>
      <c r="D2326" t="e">
        <f>INDEX('[1]CÓDIGOS DE PRODUCTO'!$D$3:$D$1000,MATCH(C2326,'[1]CÓDIGOS DE PRODUCTO'!$A$3:$A$1000,0))</f>
        <v>#N/A</v>
      </c>
      <c r="E2326">
        <f>VLOOKUP(C2326,'[1]CÓDIGOS DE PRODUCTO'!$A$4:$B$156,2,FALSE)</f>
        <v>0</v>
      </c>
      <c r="F2326">
        <f>INDEX('[1]CÓDIGOS DE PRODUCTO'!$C$3:$C$1000,MATCH(C2326,'[1]CÓDIGOS DE PRODUCTO'!$A$3:$A$1000,0))</f>
        <v>0</v>
      </c>
      <c r="G2326">
        <f>+'[1]VENTAS(RESUMEN GLOBAL)'!D2326-'[1]VENTAS(RESUMEN GLOBAL)'!E2326</f>
        <v>0</v>
      </c>
      <c r="H2326" s="9">
        <f>+'[1]VENTAS(RESUMEN GLOBAL)'!K2326</f>
        <v>0</v>
      </c>
      <c r="I2326" s="8">
        <f>+G2326*'[1]VENTAS(RESUMEN GLOBAL)'!F2326</f>
        <v>0</v>
      </c>
      <c r="J2326" s="8">
        <f>'[1]VENTAS(RESUMEN GLOBAL)'!G2326*(1-'[1]VENTAS(RESUMEN GLOBAL)'!H2326)</f>
        <v>0</v>
      </c>
      <c r="K2326" s="8">
        <f t="shared" si="36"/>
        <v>0</v>
      </c>
      <c r="L2326" s="8">
        <f>+'[1]VENTAS(RESUMEN GLOBAL)'!J2326</f>
        <v>0</v>
      </c>
      <c r="M2326" s="8">
        <f>+Tabla1[[#This Row],[utilidad x dia]]*7</f>
        <v>0</v>
      </c>
    </row>
    <row r="2327" spans="1:13" x14ac:dyDescent="0.3">
      <c r="A2327" s="6">
        <f>+'[1]VENTAS(RESUMEN GLOBAL)'!L2327</f>
        <v>0</v>
      </c>
      <c r="B2327" s="6">
        <f>+'[1]VENTAS(RESUMEN GLOBAL)'!M2327</f>
        <v>0</v>
      </c>
      <c r="C2327">
        <f>+'[1]VENTAS(RESUMEN GLOBAL)'!B2327</f>
        <v>0</v>
      </c>
      <c r="D2327" t="e">
        <f>INDEX('[1]CÓDIGOS DE PRODUCTO'!$D$3:$D$1000,MATCH(C2327,'[1]CÓDIGOS DE PRODUCTO'!$A$3:$A$1000,0))</f>
        <v>#N/A</v>
      </c>
      <c r="E2327">
        <f>VLOOKUP(C2327,'[1]CÓDIGOS DE PRODUCTO'!$A$4:$B$156,2,FALSE)</f>
        <v>0</v>
      </c>
      <c r="F2327">
        <f>INDEX('[1]CÓDIGOS DE PRODUCTO'!$C$3:$C$1000,MATCH(C2327,'[1]CÓDIGOS DE PRODUCTO'!$A$3:$A$1000,0))</f>
        <v>0</v>
      </c>
      <c r="G2327">
        <f>+'[1]VENTAS(RESUMEN GLOBAL)'!D2327-'[1]VENTAS(RESUMEN GLOBAL)'!E2327</f>
        <v>0</v>
      </c>
      <c r="H2327" s="9">
        <f>+'[1]VENTAS(RESUMEN GLOBAL)'!K2327</f>
        <v>0</v>
      </c>
      <c r="I2327" s="8">
        <f>+G2327*'[1]VENTAS(RESUMEN GLOBAL)'!F2327</f>
        <v>0</v>
      </c>
      <c r="J2327" s="8">
        <f>'[1]VENTAS(RESUMEN GLOBAL)'!G2327*(1-'[1]VENTAS(RESUMEN GLOBAL)'!H2327)</f>
        <v>0</v>
      </c>
      <c r="K2327" s="8">
        <f t="shared" si="36"/>
        <v>0</v>
      </c>
      <c r="L2327" s="8">
        <f>+'[1]VENTAS(RESUMEN GLOBAL)'!J2327</f>
        <v>0</v>
      </c>
      <c r="M2327" s="8">
        <f>+Tabla1[[#This Row],[utilidad x dia]]*7</f>
        <v>0</v>
      </c>
    </row>
    <row r="2328" spans="1:13" x14ac:dyDescent="0.3">
      <c r="A2328" s="6">
        <f>+'[1]VENTAS(RESUMEN GLOBAL)'!L2328</f>
        <v>0</v>
      </c>
      <c r="B2328" s="6">
        <f>+'[1]VENTAS(RESUMEN GLOBAL)'!M2328</f>
        <v>0</v>
      </c>
      <c r="C2328">
        <f>+'[1]VENTAS(RESUMEN GLOBAL)'!B2328</f>
        <v>0</v>
      </c>
      <c r="D2328" t="e">
        <f>INDEX('[1]CÓDIGOS DE PRODUCTO'!$D$3:$D$1000,MATCH(C2328,'[1]CÓDIGOS DE PRODUCTO'!$A$3:$A$1000,0))</f>
        <v>#N/A</v>
      </c>
      <c r="E2328">
        <f>VLOOKUP(C2328,'[1]CÓDIGOS DE PRODUCTO'!$A$4:$B$156,2,FALSE)</f>
        <v>0</v>
      </c>
      <c r="F2328">
        <f>INDEX('[1]CÓDIGOS DE PRODUCTO'!$C$3:$C$1000,MATCH(C2328,'[1]CÓDIGOS DE PRODUCTO'!$A$3:$A$1000,0))</f>
        <v>0</v>
      </c>
      <c r="G2328">
        <f>+'[1]VENTAS(RESUMEN GLOBAL)'!D2328-'[1]VENTAS(RESUMEN GLOBAL)'!E2328</f>
        <v>0</v>
      </c>
      <c r="H2328" s="9">
        <f>+'[1]VENTAS(RESUMEN GLOBAL)'!K2328</f>
        <v>0</v>
      </c>
      <c r="I2328" s="8">
        <f>+G2328*'[1]VENTAS(RESUMEN GLOBAL)'!F2328</f>
        <v>0</v>
      </c>
      <c r="J2328" s="8">
        <f>'[1]VENTAS(RESUMEN GLOBAL)'!G2328*(1-'[1]VENTAS(RESUMEN GLOBAL)'!H2328)</f>
        <v>0</v>
      </c>
      <c r="K2328" s="8">
        <f t="shared" si="36"/>
        <v>0</v>
      </c>
      <c r="L2328" s="8">
        <f>+'[1]VENTAS(RESUMEN GLOBAL)'!J2328</f>
        <v>0</v>
      </c>
      <c r="M2328" s="8">
        <f>+Tabla1[[#This Row],[utilidad x dia]]*7</f>
        <v>0</v>
      </c>
    </row>
    <row r="2329" spans="1:13" x14ac:dyDescent="0.3">
      <c r="A2329" s="6">
        <f>+'[1]VENTAS(RESUMEN GLOBAL)'!L2329</f>
        <v>0</v>
      </c>
      <c r="B2329" s="6">
        <f>+'[1]VENTAS(RESUMEN GLOBAL)'!M2329</f>
        <v>0</v>
      </c>
      <c r="C2329">
        <f>+'[1]VENTAS(RESUMEN GLOBAL)'!B2329</f>
        <v>0</v>
      </c>
      <c r="D2329" t="e">
        <f>INDEX('[1]CÓDIGOS DE PRODUCTO'!$D$3:$D$1000,MATCH(C2329,'[1]CÓDIGOS DE PRODUCTO'!$A$3:$A$1000,0))</f>
        <v>#N/A</v>
      </c>
      <c r="E2329">
        <f>VLOOKUP(C2329,'[1]CÓDIGOS DE PRODUCTO'!$A$4:$B$156,2,FALSE)</f>
        <v>0</v>
      </c>
      <c r="F2329">
        <f>INDEX('[1]CÓDIGOS DE PRODUCTO'!$C$3:$C$1000,MATCH(C2329,'[1]CÓDIGOS DE PRODUCTO'!$A$3:$A$1000,0))</f>
        <v>0</v>
      </c>
      <c r="G2329">
        <f>+'[1]VENTAS(RESUMEN GLOBAL)'!D2329-'[1]VENTAS(RESUMEN GLOBAL)'!E2329</f>
        <v>0</v>
      </c>
      <c r="H2329" s="9">
        <f>+'[1]VENTAS(RESUMEN GLOBAL)'!K2329</f>
        <v>0</v>
      </c>
      <c r="I2329" s="8">
        <f>+G2329*'[1]VENTAS(RESUMEN GLOBAL)'!F2329</f>
        <v>0</v>
      </c>
      <c r="J2329" s="8">
        <f>'[1]VENTAS(RESUMEN GLOBAL)'!G2329*(1-'[1]VENTAS(RESUMEN GLOBAL)'!H2329)</f>
        <v>0</v>
      </c>
      <c r="K2329" s="8">
        <f t="shared" si="36"/>
        <v>0</v>
      </c>
      <c r="L2329" s="8">
        <f>+'[1]VENTAS(RESUMEN GLOBAL)'!J2329</f>
        <v>0</v>
      </c>
      <c r="M2329" s="8">
        <f>+Tabla1[[#This Row],[utilidad x dia]]*7</f>
        <v>0</v>
      </c>
    </row>
    <row r="2330" spans="1:13" x14ac:dyDescent="0.3">
      <c r="A2330" s="6">
        <f>+'[1]VENTAS(RESUMEN GLOBAL)'!L2330</f>
        <v>0</v>
      </c>
      <c r="B2330" s="6">
        <f>+'[1]VENTAS(RESUMEN GLOBAL)'!M2330</f>
        <v>0</v>
      </c>
      <c r="C2330">
        <f>+'[1]VENTAS(RESUMEN GLOBAL)'!B2330</f>
        <v>0</v>
      </c>
      <c r="D2330" t="e">
        <f>INDEX('[1]CÓDIGOS DE PRODUCTO'!$D$3:$D$1000,MATCH(C2330,'[1]CÓDIGOS DE PRODUCTO'!$A$3:$A$1000,0))</f>
        <v>#N/A</v>
      </c>
      <c r="E2330">
        <f>VLOOKUP(C2330,'[1]CÓDIGOS DE PRODUCTO'!$A$4:$B$156,2,FALSE)</f>
        <v>0</v>
      </c>
      <c r="F2330">
        <f>INDEX('[1]CÓDIGOS DE PRODUCTO'!$C$3:$C$1000,MATCH(C2330,'[1]CÓDIGOS DE PRODUCTO'!$A$3:$A$1000,0))</f>
        <v>0</v>
      </c>
      <c r="G2330">
        <f>+'[1]VENTAS(RESUMEN GLOBAL)'!D2330-'[1]VENTAS(RESUMEN GLOBAL)'!E2330</f>
        <v>0</v>
      </c>
      <c r="H2330" s="9">
        <f>+'[1]VENTAS(RESUMEN GLOBAL)'!K2330</f>
        <v>0</v>
      </c>
      <c r="I2330" s="8">
        <f>+G2330*'[1]VENTAS(RESUMEN GLOBAL)'!F2330</f>
        <v>0</v>
      </c>
      <c r="J2330" s="8">
        <f>'[1]VENTAS(RESUMEN GLOBAL)'!G2330*(1-'[1]VENTAS(RESUMEN GLOBAL)'!H2330)</f>
        <v>0</v>
      </c>
      <c r="K2330" s="8">
        <f t="shared" si="36"/>
        <v>0</v>
      </c>
      <c r="L2330" s="8">
        <f>+'[1]VENTAS(RESUMEN GLOBAL)'!J2330</f>
        <v>0</v>
      </c>
      <c r="M2330" s="8">
        <f>+Tabla1[[#This Row],[utilidad x dia]]*7</f>
        <v>0</v>
      </c>
    </row>
    <row r="2331" spans="1:13" x14ac:dyDescent="0.3">
      <c r="A2331" s="6">
        <f>+'[1]VENTAS(RESUMEN GLOBAL)'!L2331</f>
        <v>0</v>
      </c>
      <c r="B2331" s="6">
        <f>+'[1]VENTAS(RESUMEN GLOBAL)'!M2331</f>
        <v>0</v>
      </c>
      <c r="C2331">
        <f>+'[1]VENTAS(RESUMEN GLOBAL)'!B2331</f>
        <v>0</v>
      </c>
      <c r="D2331" t="e">
        <f>INDEX('[1]CÓDIGOS DE PRODUCTO'!$D$3:$D$1000,MATCH(C2331,'[1]CÓDIGOS DE PRODUCTO'!$A$3:$A$1000,0))</f>
        <v>#N/A</v>
      </c>
      <c r="E2331">
        <f>VLOOKUP(C2331,'[1]CÓDIGOS DE PRODUCTO'!$A$4:$B$156,2,FALSE)</f>
        <v>0</v>
      </c>
      <c r="F2331">
        <f>INDEX('[1]CÓDIGOS DE PRODUCTO'!$C$3:$C$1000,MATCH(C2331,'[1]CÓDIGOS DE PRODUCTO'!$A$3:$A$1000,0))</f>
        <v>0</v>
      </c>
      <c r="G2331">
        <f>+'[1]VENTAS(RESUMEN GLOBAL)'!D2331-'[1]VENTAS(RESUMEN GLOBAL)'!E2331</f>
        <v>0</v>
      </c>
      <c r="H2331" s="9">
        <f>+'[1]VENTAS(RESUMEN GLOBAL)'!K2331</f>
        <v>0</v>
      </c>
      <c r="I2331" s="8">
        <f>+G2331*'[1]VENTAS(RESUMEN GLOBAL)'!F2331</f>
        <v>0</v>
      </c>
      <c r="J2331" s="8">
        <f>'[1]VENTAS(RESUMEN GLOBAL)'!G2331*(1-'[1]VENTAS(RESUMEN GLOBAL)'!H2331)</f>
        <v>0</v>
      </c>
      <c r="K2331" s="8">
        <f t="shared" si="36"/>
        <v>0</v>
      </c>
      <c r="L2331" s="8">
        <f>+'[1]VENTAS(RESUMEN GLOBAL)'!J2331</f>
        <v>0</v>
      </c>
      <c r="M2331" s="8">
        <f>+Tabla1[[#This Row],[utilidad x dia]]*7</f>
        <v>0</v>
      </c>
    </row>
    <row r="2332" spans="1:13" x14ac:dyDescent="0.3">
      <c r="A2332" s="6">
        <f>+'[1]VENTAS(RESUMEN GLOBAL)'!L2332</f>
        <v>0</v>
      </c>
      <c r="B2332" s="6">
        <f>+'[1]VENTAS(RESUMEN GLOBAL)'!M2332</f>
        <v>0</v>
      </c>
      <c r="C2332">
        <f>+'[1]VENTAS(RESUMEN GLOBAL)'!B2332</f>
        <v>0</v>
      </c>
      <c r="D2332" t="e">
        <f>INDEX('[1]CÓDIGOS DE PRODUCTO'!$D$3:$D$1000,MATCH(C2332,'[1]CÓDIGOS DE PRODUCTO'!$A$3:$A$1000,0))</f>
        <v>#N/A</v>
      </c>
      <c r="E2332">
        <f>VLOOKUP(C2332,'[1]CÓDIGOS DE PRODUCTO'!$A$4:$B$156,2,FALSE)</f>
        <v>0</v>
      </c>
      <c r="F2332">
        <f>INDEX('[1]CÓDIGOS DE PRODUCTO'!$C$3:$C$1000,MATCH(C2332,'[1]CÓDIGOS DE PRODUCTO'!$A$3:$A$1000,0))</f>
        <v>0</v>
      </c>
      <c r="G2332">
        <f>+'[1]VENTAS(RESUMEN GLOBAL)'!D2332-'[1]VENTAS(RESUMEN GLOBAL)'!E2332</f>
        <v>0</v>
      </c>
      <c r="H2332" s="9">
        <f>+'[1]VENTAS(RESUMEN GLOBAL)'!K2332</f>
        <v>0</v>
      </c>
      <c r="I2332" s="8">
        <f>+G2332*'[1]VENTAS(RESUMEN GLOBAL)'!F2332</f>
        <v>0</v>
      </c>
      <c r="J2332" s="8">
        <f>'[1]VENTAS(RESUMEN GLOBAL)'!G2332*(1-'[1]VENTAS(RESUMEN GLOBAL)'!H2332)</f>
        <v>0</v>
      </c>
      <c r="K2332" s="8">
        <f t="shared" si="36"/>
        <v>0</v>
      </c>
      <c r="L2332" s="8">
        <f>+'[1]VENTAS(RESUMEN GLOBAL)'!J2332</f>
        <v>0</v>
      </c>
      <c r="M2332" s="8">
        <f>+Tabla1[[#This Row],[utilidad x dia]]*7</f>
        <v>0</v>
      </c>
    </row>
    <row r="2333" spans="1:13" x14ac:dyDescent="0.3">
      <c r="A2333" s="6">
        <f>+'[1]VENTAS(RESUMEN GLOBAL)'!L2333</f>
        <v>0</v>
      </c>
      <c r="B2333" s="6">
        <f>+'[1]VENTAS(RESUMEN GLOBAL)'!M2333</f>
        <v>0</v>
      </c>
      <c r="C2333">
        <f>+'[1]VENTAS(RESUMEN GLOBAL)'!B2333</f>
        <v>0</v>
      </c>
      <c r="D2333" t="e">
        <f>INDEX('[1]CÓDIGOS DE PRODUCTO'!$D$3:$D$1000,MATCH(C2333,'[1]CÓDIGOS DE PRODUCTO'!$A$3:$A$1000,0))</f>
        <v>#N/A</v>
      </c>
      <c r="E2333">
        <f>VLOOKUP(C2333,'[1]CÓDIGOS DE PRODUCTO'!$A$4:$B$156,2,FALSE)</f>
        <v>0</v>
      </c>
      <c r="F2333">
        <f>INDEX('[1]CÓDIGOS DE PRODUCTO'!$C$3:$C$1000,MATCH(C2333,'[1]CÓDIGOS DE PRODUCTO'!$A$3:$A$1000,0))</f>
        <v>0</v>
      </c>
      <c r="G2333">
        <f>+'[1]VENTAS(RESUMEN GLOBAL)'!D2333-'[1]VENTAS(RESUMEN GLOBAL)'!E2333</f>
        <v>0</v>
      </c>
      <c r="H2333" s="9">
        <f>+'[1]VENTAS(RESUMEN GLOBAL)'!K2333</f>
        <v>0</v>
      </c>
      <c r="I2333" s="8">
        <f>+G2333*'[1]VENTAS(RESUMEN GLOBAL)'!F2333</f>
        <v>0</v>
      </c>
      <c r="J2333" s="8">
        <f>'[1]VENTAS(RESUMEN GLOBAL)'!G2333*(1-'[1]VENTAS(RESUMEN GLOBAL)'!H2333)</f>
        <v>0</v>
      </c>
      <c r="K2333" s="8">
        <f t="shared" si="36"/>
        <v>0</v>
      </c>
      <c r="L2333" s="8">
        <f>+'[1]VENTAS(RESUMEN GLOBAL)'!J2333</f>
        <v>0</v>
      </c>
      <c r="M2333" s="8">
        <f>+Tabla1[[#This Row],[utilidad x dia]]*7</f>
        <v>0</v>
      </c>
    </row>
    <row r="2334" spans="1:13" x14ac:dyDescent="0.3">
      <c r="A2334" s="6">
        <f>+'[1]VENTAS(RESUMEN GLOBAL)'!L2334</f>
        <v>0</v>
      </c>
      <c r="B2334" s="6">
        <f>+'[1]VENTAS(RESUMEN GLOBAL)'!M2334</f>
        <v>0</v>
      </c>
      <c r="C2334">
        <f>+'[1]VENTAS(RESUMEN GLOBAL)'!B2334</f>
        <v>0</v>
      </c>
      <c r="D2334" t="e">
        <f>INDEX('[1]CÓDIGOS DE PRODUCTO'!$D$3:$D$1000,MATCH(C2334,'[1]CÓDIGOS DE PRODUCTO'!$A$3:$A$1000,0))</f>
        <v>#N/A</v>
      </c>
      <c r="E2334">
        <f>VLOOKUP(C2334,'[1]CÓDIGOS DE PRODUCTO'!$A$4:$B$156,2,FALSE)</f>
        <v>0</v>
      </c>
      <c r="F2334">
        <f>INDEX('[1]CÓDIGOS DE PRODUCTO'!$C$3:$C$1000,MATCH(C2334,'[1]CÓDIGOS DE PRODUCTO'!$A$3:$A$1000,0))</f>
        <v>0</v>
      </c>
      <c r="G2334">
        <f>+'[1]VENTAS(RESUMEN GLOBAL)'!D2334-'[1]VENTAS(RESUMEN GLOBAL)'!E2334</f>
        <v>0</v>
      </c>
      <c r="H2334" s="9">
        <f>+'[1]VENTAS(RESUMEN GLOBAL)'!K2334</f>
        <v>0</v>
      </c>
      <c r="I2334" s="8">
        <f>+G2334*'[1]VENTAS(RESUMEN GLOBAL)'!F2334</f>
        <v>0</v>
      </c>
      <c r="J2334" s="8">
        <f>'[1]VENTAS(RESUMEN GLOBAL)'!G2334*(1-'[1]VENTAS(RESUMEN GLOBAL)'!H2334)</f>
        <v>0</v>
      </c>
      <c r="K2334" s="8">
        <f t="shared" si="36"/>
        <v>0</v>
      </c>
      <c r="L2334" s="8">
        <f>+'[1]VENTAS(RESUMEN GLOBAL)'!J2334</f>
        <v>0</v>
      </c>
      <c r="M2334" s="8">
        <f>+Tabla1[[#This Row],[utilidad x dia]]*7</f>
        <v>0</v>
      </c>
    </row>
    <row r="2335" spans="1:13" x14ac:dyDescent="0.3">
      <c r="A2335" s="6">
        <f>+'[1]VENTAS(RESUMEN GLOBAL)'!L2335</f>
        <v>0</v>
      </c>
      <c r="B2335" s="6">
        <f>+'[1]VENTAS(RESUMEN GLOBAL)'!M2335</f>
        <v>0</v>
      </c>
      <c r="C2335">
        <f>+'[1]VENTAS(RESUMEN GLOBAL)'!B2335</f>
        <v>0</v>
      </c>
      <c r="D2335" t="e">
        <f>INDEX('[1]CÓDIGOS DE PRODUCTO'!$D$3:$D$1000,MATCH(C2335,'[1]CÓDIGOS DE PRODUCTO'!$A$3:$A$1000,0))</f>
        <v>#N/A</v>
      </c>
      <c r="E2335">
        <f>VLOOKUP(C2335,'[1]CÓDIGOS DE PRODUCTO'!$A$4:$B$156,2,FALSE)</f>
        <v>0</v>
      </c>
      <c r="F2335">
        <f>INDEX('[1]CÓDIGOS DE PRODUCTO'!$C$3:$C$1000,MATCH(C2335,'[1]CÓDIGOS DE PRODUCTO'!$A$3:$A$1000,0))</f>
        <v>0</v>
      </c>
      <c r="G2335">
        <f>+'[1]VENTAS(RESUMEN GLOBAL)'!D2335-'[1]VENTAS(RESUMEN GLOBAL)'!E2335</f>
        <v>0</v>
      </c>
      <c r="H2335" s="9">
        <f>+'[1]VENTAS(RESUMEN GLOBAL)'!K2335</f>
        <v>0</v>
      </c>
      <c r="I2335" s="8">
        <f>+G2335*'[1]VENTAS(RESUMEN GLOBAL)'!F2335</f>
        <v>0</v>
      </c>
      <c r="J2335" s="8">
        <f>'[1]VENTAS(RESUMEN GLOBAL)'!G2335*(1-'[1]VENTAS(RESUMEN GLOBAL)'!H2335)</f>
        <v>0</v>
      </c>
      <c r="K2335" s="8">
        <f t="shared" si="36"/>
        <v>0</v>
      </c>
      <c r="L2335" s="8">
        <f>+'[1]VENTAS(RESUMEN GLOBAL)'!J2335</f>
        <v>0</v>
      </c>
      <c r="M2335" s="8">
        <f>+Tabla1[[#This Row],[utilidad x dia]]*7</f>
        <v>0</v>
      </c>
    </row>
    <row r="2336" spans="1:13" x14ac:dyDescent="0.3">
      <c r="A2336" s="6">
        <f>+'[1]VENTAS(RESUMEN GLOBAL)'!L2336</f>
        <v>0</v>
      </c>
      <c r="B2336" s="6">
        <f>+'[1]VENTAS(RESUMEN GLOBAL)'!M2336</f>
        <v>0</v>
      </c>
      <c r="C2336">
        <f>+'[1]VENTAS(RESUMEN GLOBAL)'!B2336</f>
        <v>0</v>
      </c>
      <c r="D2336" t="e">
        <f>INDEX('[1]CÓDIGOS DE PRODUCTO'!$D$3:$D$1000,MATCH(C2336,'[1]CÓDIGOS DE PRODUCTO'!$A$3:$A$1000,0))</f>
        <v>#N/A</v>
      </c>
      <c r="E2336">
        <f>VLOOKUP(C2336,'[1]CÓDIGOS DE PRODUCTO'!$A$4:$B$156,2,FALSE)</f>
        <v>0</v>
      </c>
      <c r="F2336">
        <f>INDEX('[1]CÓDIGOS DE PRODUCTO'!$C$3:$C$1000,MATCH(C2336,'[1]CÓDIGOS DE PRODUCTO'!$A$3:$A$1000,0))</f>
        <v>0</v>
      </c>
      <c r="G2336">
        <f>+'[1]VENTAS(RESUMEN GLOBAL)'!D2336-'[1]VENTAS(RESUMEN GLOBAL)'!E2336</f>
        <v>0</v>
      </c>
      <c r="H2336" s="9">
        <f>+'[1]VENTAS(RESUMEN GLOBAL)'!K2336</f>
        <v>0</v>
      </c>
      <c r="I2336" s="8">
        <f>+G2336*'[1]VENTAS(RESUMEN GLOBAL)'!F2336</f>
        <v>0</v>
      </c>
      <c r="J2336" s="8">
        <f>'[1]VENTAS(RESUMEN GLOBAL)'!G2336*(1-'[1]VENTAS(RESUMEN GLOBAL)'!H2336)</f>
        <v>0</v>
      </c>
      <c r="K2336" s="8">
        <f t="shared" si="36"/>
        <v>0</v>
      </c>
      <c r="L2336" s="8">
        <f>+'[1]VENTAS(RESUMEN GLOBAL)'!J2336</f>
        <v>0</v>
      </c>
      <c r="M2336" s="8">
        <f>+Tabla1[[#This Row],[utilidad x dia]]*7</f>
        <v>0</v>
      </c>
    </row>
    <row r="2337" spans="1:13" x14ac:dyDescent="0.3">
      <c r="A2337" s="6">
        <f>+'[1]VENTAS(RESUMEN GLOBAL)'!L2337</f>
        <v>0</v>
      </c>
      <c r="B2337" s="6">
        <f>+'[1]VENTAS(RESUMEN GLOBAL)'!M2337</f>
        <v>0</v>
      </c>
      <c r="C2337">
        <f>+'[1]VENTAS(RESUMEN GLOBAL)'!B2337</f>
        <v>0</v>
      </c>
      <c r="D2337" t="e">
        <f>INDEX('[1]CÓDIGOS DE PRODUCTO'!$D$3:$D$1000,MATCH(C2337,'[1]CÓDIGOS DE PRODUCTO'!$A$3:$A$1000,0))</f>
        <v>#N/A</v>
      </c>
      <c r="E2337">
        <f>VLOOKUP(C2337,'[1]CÓDIGOS DE PRODUCTO'!$A$4:$B$156,2,FALSE)</f>
        <v>0</v>
      </c>
      <c r="F2337">
        <f>INDEX('[1]CÓDIGOS DE PRODUCTO'!$C$3:$C$1000,MATCH(C2337,'[1]CÓDIGOS DE PRODUCTO'!$A$3:$A$1000,0))</f>
        <v>0</v>
      </c>
      <c r="G2337">
        <f>+'[1]VENTAS(RESUMEN GLOBAL)'!D2337-'[1]VENTAS(RESUMEN GLOBAL)'!E2337</f>
        <v>0</v>
      </c>
      <c r="H2337" s="9">
        <f>+'[1]VENTAS(RESUMEN GLOBAL)'!K2337</f>
        <v>0</v>
      </c>
      <c r="I2337" s="8">
        <f>+G2337*'[1]VENTAS(RESUMEN GLOBAL)'!F2337</f>
        <v>0</v>
      </c>
      <c r="J2337" s="8">
        <f>'[1]VENTAS(RESUMEN GLOBAL)'!G2337*(1-'[1]VENTAS(RESUMEN GLOBAL)'!H2337)</f>
        <v>0</v>
      </c>
      <c r="K2337" s="8">
        <f t="shared" si="36"/>
        <v>0</v>
      </c>
      <c r="L2337" s="8">
        <f>+'[1]VENTAS(RESUMEN GLOBAL)'!J2337</f>
        <v>0</v>
      </c>
      <c r="M2337" s="8">
        <f>+Tabla1[[#This Row],[utilidad x dia]]*7</f>
        <v>0</v>
      </c>
    </row>
    <row r="2338" spans="1:13" x14ac:dyDescent="0.3">
      <c r="A2338" s="6">
        <f>+'[1]VENTAS(RESUMEN GLOBAL)'!L2338</f>
        <v>0</v>
      </c>
      <c r="B2338" s="6">
        <f>+'[1]VENTAS(RESUMEN GLOBAL)'!M2338</f>
        <v>0</v>
      </c>
      <c r="C2338">
        <f>+'[1]VENTAS(RESUMEN GLOBAL)'!B2338</f>
        <v>0</v>
      </c>
      <c r="D2338" t="e">
        <f>INDEX('[1]CÓDIGOS DE PRODUCTO'!$D$3:$D$1000,MATCH(C2338,'[1]CÓDIGOS DE PRODUCTO'!$A$3:$A$1000,0))</f>
        <v>#N/A</v>
      </c>
      <c r="E2338">
        <f>VLOOKUP(C2338,'[1]CÓDIGOS DE PRODUCTO'!$A$4:$B$156,2,FALSE)</f>
        <v>0</v>
      </c>
      <c r="F2338">
        <f>INDEX('[1]CÓDIGOS DE PRODUCTO'!$C$3:$C$1000,MATCH(C2338,'[1]CÓDIGOS DE PRODUCTO'!$A$3:$A$1000,0))</f>
        <v>0</v>
      </c>
      <c r="G2338">
        <f>+'[1]VENTAS(RESUMEN GLOBAL)'!D2338-'[1]VENTAS(RESUMEN GLOBAL)'!E2338</f>
        <v>0</v>
      </c>
      <c r="H2338" s="9">
        <f>+'[1]VENTAS(RESUMEN GLOBAL)'!K2338</f>
        <v>0</v>
      </c>
      <c r="I2338" s="8">
        <f>+G2338*'[1]VENTAS(RESUMEN GLOBAL)'!F2338</f>
        <v>0</v>
      </c>
      <c r="J2338" s="8">
        <f>'[1]VENTAS(RESUMEN GLOBAL)'!G2338*(1-'[1]VENTAS(RESUMEN GLOBAL)'!H2338)</f>
        <v>0</v>
      </c>
      <c r="K2338" s="8">
        <f t="shared" si="36"/>
        <v>0</v>
      </c>
      <c r="L2338" s="8">
        <f>+'[1]VENTAS(RESUMEN GLOBAL)'!J2338</f>
        <v>0</v>
      </c>
      <c r="M2338" s="8">
        <f>+Tabla1[[#This Row],[utilidad x dia]]*7</f>
        <v>0</v>
      </c>
    </row>
    <row r="2339" spans="1:13" x14ac:dyDescent="0.3">
      <c r="A2339" s="6">
        <f>+'[1]VENTAS(RESUMEN GLOBAL)'!L2339</f>
        <v>0</v>
      </c>
      <c r="B2339" s="6">
        <f>+'[1]VENTAS(RESUMEN GLOBAL)'!M2339</f>
        <v>0</v>
      </c>
      <c r="C2339">
        <f>+'[1]VENTAS(RESUMEN GLOBAL)'!B2339</f>
        <v>0</v>
      </c>
      <c r="D2339" t="e">
        <f>INDEX('[1]CÓDIGOS DE PRODUCTO'!$D$3:$D$1000,MATCH(C2339,'[1]CÓDIGOS DE PRODUCTO'!$A$3:$A$1000,0))</f>
        <v>#N/A</v>
      </c>
      <c r="E2339">
        <f>VLOOKUP(C2339,'[1]CÓDIGOS DE PRODUCTO'!$A$4:$B$156,2,FALSE)</f>
        <v>0</v>
      </c>
      <c r="F2339">
        <f>INDEX('[1]CÓDIGOS DE PRODUCTO'!$C$3:$C$1000,MATCH(C2339,'[1]CÓDIGOS DE PRODUCTO'!$A$3:$A$1000,0))</f>
        <v>0</v>
      </c>
      <c r="G2339">
        <f>+'[1]VENTAS(RESUMEN GLOBAL)'!D2339-'[1]VENTAS(RESUMEN GLOBAL)'!E2339</f>
        <v>0</v>
      </c>
      <c r="H2339" s="9">
        <f>+'[1]VENTAS(RESUMEN GLOBAL)'!K2339</f>
        <v>0</v>
      </c>
      <c r="I2339" s="8">
        <f>+G2339*'[1]VENTAS(RESUMEN GLOBAL)'!F2339</f>
        <v>0</v>
      </c>
      <c r="J2339" s="8">
        <f>'[1]VENTAS(RESUMEN GLOBAL)'!G2339*(1-'[1]VENTAS(RESUMEN GLOBAL)'!H2339)</f>
        <v>0</v>
      </c>
      <c r="K2339" s="8">
        <f t="shared" si="36"/>
        <v>0</v>
      </c>
      <c r="L2339" s="8">
        <f>+'[1]VENTAS(RESUMEN GLOBAL)'!J2339</f>
        <v>0</v>
      </c>
      <c r="M2339" s="8">
        <f>+Tabla1[[#This Row],[utilidad x dia]]*7</f>
        <v>0</v>
      </c>
    </row>
    <row r="2340" spans="1:13" x14ac:dyDescent="0.3">
      <c r="A2340" s="6">
        <f>+'[1]VENTAS(RESUMEN GLOBAL)'!L2340</f>
        <v>0</v>
      </c>
      <c r="B2340" s="6">
        <f>+'[1]VENTAS(RESUMEN GLOBAL)'!M2340</f>
        <v>0</v>
      </c>
      <c r="C2340">
        <f>+'[1]VENTAS(RESUMEN GLOBAL)'!B2340</f>
        <v>0</v>
      </c>
      <c r="D2340" t="e">
        <f>INDEX('[1]CÓDIGOS DE PRODUCTO'!$D$3:$D$1000,MATCH(C2340,'[1]CÓDIGOS DE PRODUCTO'!$A$3:$A$1000,0))</f>
        <v>#N/A</v>
      </c>
      <c r="E2340">
        <f>VLOOKUP(C2340,'[1]CÓDIGOS DE PRODUCTO'!$A$4:$B$156,2,FALSE)</f>
        <v>0</v>
      </c>
      <c r="F2340">
        <f>INDEX('[1]CÓDIGOS DE PRODUCTO'!$C$3:$C$1000,MATCH(C2340,'[1]CÓDIGOS DE PRODUCTO'!$A$3:$A$1000,0))</f>
        <v>0</v>
      </c>
      <c r="G2340">
        <f>+'[1]VENTAS(RESUMEN GLOBAL)'!D2340-'[1]VENTAS(RESUMEN GLOBAL)'!E2340</f>
        <v>0</v>
      </c>
      <c r="H2340" s="9">
        <f>+'[1]VENTAS(RESUMEN GLOBAL)'!K2340</f>
        <v>0</v>
      </c>
      <c r="I2340" s="8">
        <f>+G2340*'[1]VENTAS(RESUMEN GLOBAL)'!F2340</f>
        <v>0</v>
      </c>
      <c r="J2340" s="8">
        <f>'[1]VENTAS(RESUMEN GLOBAL)'!G2340*(1-'[1]VENTAS(RESUMEN GLOBAL)'!H2340)</f>
        <v>0</v>
      </c>
      <c r="K2340" s="8">
        <f t="shared" si="36"/>
        <v>0</v>
      </c>
      <c r="L2340" s="8">
        <f>+'[1]VENTAS(RESUMEN GLOBAL)'!J2340</f>
        <v>0</v>
      </c>
      <c r="M2340" s="8">
        <f>+Tabla1[[#This Row],[utilidad x dia]]*7</f>
        <v>0</v>
      </c>
    </row>
    <row r="2341" spans="1:13" x14ac:dyDescent="0.3">
      <c r="A2341" s="6">
        <f>+'[1]VENTAS(RESUMEN GLOBAL)'!L2341</f>
        <v>0</v>
      </c>
      <c r="B2341" s="6">
        <f>+'[1]VENTAS(RESUMEN GLOBAL)'!M2341</f>
        <v>0</v>
      </c>
      <c r="C2341">
        <f>+'[1]VENTAS(RESUMEN GLOBAL)'!B2341</f>
        <v>0</v>
      </c>
      <c r="D2341" t="e">
        <f>INDEX('[1]CÓDIGOS DE PRODUCTO'!$D$3:$D$1000,MATCH(C2341,'[1]CÓDIGOS DE PRODUCTO'!$A$3:$A$1000,0))</f>
        <v>#N/A</v>
      </c>
      <c r="E2341">
        <f>VLOOKUP(C2341,'[1]CÓDIGOS DE PRODUCTO'!$A$4:$B$156,2,FALSE)</f>
        <v>0</v>
      </c>
      <c r="F2341">
        <f>INDEX('[1]CÓDIGOS DE PRODUCTO'!$C$3:$C$1000,MATCH(C2341,'[1]CÓDIGOS DE PRODUCTO'!$A$3:$A$1000,0))</f>
        <v>0</v>
      </c>
      <c r="G2341">
        <f>+'[1]VENTAS(RESUMEN GLOBAL)'!D2341-'[1]VENTAS(RESUMEN GLOBAL)'!E2341</f>
        <v>0</v>
      </c>
      <c r="H2341" s="9">
        <f>+'[1]VENTAS(RESUMEN GLOBAL)'!K2341</f>
        <v>0</v>
      </c>
      <c r="I2341" s="8">
        <f>+G2341*'[1]VENTAS(RESUMEN GLOBAL)'!F2341</f>
        <v>0</v>
      </c>
      <c r="J2341" s="8">
        <f>'[1]VENTAS(RESUMEN GLOBAL)'!G2341*(1-'[1]VENTAS(RESUMEN GLOBAL)'!H2341)</f>
        <v>0</v>
      </c>
      <c r="K2341" s="8">
        <f t="shared" si="36"/>
        <v>0</v>
      </c>
      <c r="L2341" s="8">
        <f>+'[1]VENTAS(RESUMEN GLOBAL)'!J2341</f>
        <v>0</v>
      </c>
      <c r="M2341" s="8">
        <f>+Tabla1[[#This Row],[utilidad x dia]]*7</f>
        <v>0</v>
      </c>
    </row>
    <row r="2342" spans="1:13" x14ac:dyDescent="0.3">
      <c r="A2342" s="6">
        <f>+'[1]VENTAS(RESUMEN GLOBAL)'!L2342</f>
        <v>0</v>
      </c>
      <c r="B2342" s="6">
        <f>+'[1]VENTAS(RESUMEN GLOBAL)'!M2342</f>
        <v>0</v>
      </c>
      <c r="C2342">
        <f>+'[1]VENTAS(RESUMEN GLOBAL)'!B2342</f>
        <v>0</v>
      </c>
      <c r="D2342" t="e">
        <f>INDEX('[1]CÓDIGOS DE PRODUCTO'!$D$3:$D$1000,MATCH(C2342,'[1]CÓDIGOS DE PRODUCTO'!$A$3:$A$1000,0))</f>
        <v>#N/A</v>
      </c>
      <c r="E2342">
        <f>VLOOKUP(C2342,'[1]CÓDIGOS DE PRODUCTO'!$A$4:$B$156,2,FALSE)</f>
        <v>0</v>
      </c>
      <c r="F2342">
        <f>INDEX('[1]CÓDIGOS DE PRODUCTO'!$C$3:$C$1000,MATCH(C2342,'[1]CÓDIGOS DE PRODUCTO'!$A$3:$A$1000,0))</f>
        <v>0</v>
      </c>
      <c r="G2342">
        <f>+'[1]VENTAS(RESUMEN GLOBAL)'!D2342-'[1]VENTAS(RESUMEN GLOBAL)'!E2342</f>
        <v>0</v>
      </c>
      <c r="H2342" s="9">
        <f>+'[1]VENTAS(RESUMEN GLOBAL)'!K2342</f>
        <v>0</v>
      </c>
      <c r="I2342" s="8">
        <f>+G2342*'[1]VENTAS(RESUMEN GLOBAL)'!F2342</f>
        <v>0</v>
      </c>
      <c r="J2342" s="8">
        <f>'[1]VENTAS(RESUMEN GLOBAL)'!G2342*(1-'[1]VENTAS(RESUMEN GLOBAL)'!H2342)</f>
        <v>0</v>
      </c>
      <c r="K2342" s="8">
        <f t="shared" si="36"/>
        <v>0</v>
      </c>
      <c r="L2342" s="8">
        <f>+'[1]VENTAS(RESUMEN GLOBAL)'!J2342</f>
        <v>0</v>
      </c>
      <c r="M2342" s="8">
        <f>+Tabla1[[#This Row],[utilidad x dia]]*7</f>
        <v>0</v>
      </c>
    </row>
    <row r="2343" spans="1:13" x14ac:dyDescent="0.3">
      <c r="A2343" s="6">
        <f>+'[1]VENTAS(RESUMEN GLOBAL)'!L2343</f>
        <v>0</v>
      </c>
      <c r="B2343" s="6">
        <f>+'[1]VENTAS(RESUMEN GLOBAL)'!M2343</f>
        <v>0</v>
      </c>
      <c r="C2343">
        <f>+'[1]VENTAS(RESUMEN GLOBAL)'!B2343</f>
        <v>0</v>
      </c>
      <c r="D2343" t="e">
        <f>INDEX('[1]CÓDIGOS DE PRODUCTO'!$D$3:$D$1000,MATCH(C2343,'[1]CÓDIGOS DE PRODUCTO'!$A$3:$A$1000,0))</f>
        <v>#N/A</v>
      </c>
      <c r="E2343">
        <f>VLOOKUP(C2343,'[1]CÓDIGOS DE PRODUCTO'!$A$4:$B$156,2,FALSE)</f>
        <v>0</v>
      </c>
      <c r="F2343">
        <f>INDEX('[1]CÓDIGOS DE PRODUCTO'!$C$3:$C$1000,MATCH(C2343,'[1]CÓDIGOS DE PRODUCTO'!$A$3:$A$1000,0))</f>
        <v>0</v>
      </c>
      <c r="G2343">
        <f>+'[1]VENTAS(RESUMEN GLOBAL)'!D2343-'[1]VENTAS(RESUMEN GLOBAL)'!E2343</f>
        <v>0</v>
      </c>
      <c r="H2343" s="9">
        <f>+'[1]VENTAS(RESUMEN GLOBAL)'!K2343</f>
        <v>0</v>
      </c>
      <c r="I2343" s="8">
        <f>+G2343*'[1]VENTAS(RESUMEN GLOBAL)'!F2343</f>
        <v>0</v>
      </c>
      <c r="J2343" s="8">
        <f>'[1]VENTAS(RESUMEN GLOBAL)'!G2343*(1-'[1]VENTAS(RESUMEN GLOBAL)'!H2343)</f>
        <v>0</v>
      </c>
      <c r="K2343" s="8">
        <f t="shared" si="36"/>
        <v>0</v>
      </c>
      <c r="L2343" s="8">
        <f>+'[1]VENTAS(RESUMEN GLOBAL)'!J2343</f>
        <v>0</v>
      </c>
      <c r="M2343" s="8">
        <f>+Tabla1[[#This Row],[utilidad x dia]]*7</f>
        <v>0</v>
      </c>
    </row>
    <row r="2344" spans="1:13" x14ac:dyDescent="0.3">
      <c r="A2344" s="6">
        <f>+'[1]VENTAS(RESUMEN GLOBAL)'!L2344</f>
        <v>0</v>
      </c>
      <c r="B2344" s="6">
        <f>+'[1]VENTAS(RESUMEN GLOBAL)'!M2344</f>
        <v>0</v>
      </c>
      <c r="C2344">
        <f>+'[1]VENTAS(RESUMEN GLOBAL)'!B2344</f>
        <v>0</v>
      </c>
      <c r="D2344" t="e">
        <f>INDEX('[1]CÓDIGOS DE PRODUCTO'!$D$3:$D$1000,MATCH(C2344,'[1]CÓDIGOS DE PRODUCTO'!$A$3:$A$1000,0))</f>
        <v>#N/A</v>
      </c>
      <c r="E2344">
        <f>VLOOKUP(C2344,'[1]CÓDIGOS DE PRODUCTO'!$A$4:$B$156,2,FALSE)</f>
        <v>0</v>
      </c>
      <c r="F2344">
        <f>INDEX('[1]CÓDIGOS DE PRODUCTO'!$C$3:$C$1000,MATCH(C2344,'[1]CÓDIGOS DE PRODUCTO'!$A$3:$A$1000,0))</f>
        <v>0</v>
      </c>
      <c r="G2344">
        <f>+'[1]VENTAS(RESUMEN GLOBAL)'!D2344-'[1]VENTAS(RESUMEN GLOBAL)'!E2344</f>
        <v>0</v>
      </c>
      <c r="H2344" s="9">
        <f>+'[1]VENTAS(RESUMEN GLOBAL)'!K2344</f>
        <v>0</v>
      </c>
      <c r="I2344" s="8">
        <f>+G2344*'[1]VENTAS(RESUMEN GLOBAL)'!F2344</f>
        <v>0</v>
      </c>
      <c r="J2344" s="8">
        <f>'[1]VENTAS(RESUMEN GLOBAL)'!G2344*(1-'[1]VENTAS(RESUMEN GLOBAL)'!H2344)</f>
        <v>0</v>
      </c>
      <c r="K2344" s="8">
        <f t="shared" si="36"/>
        <v>0</v>
      </c>
      <c r="L2344" s="8">
        <f>+'[1]VENTAS(RESUMEN GLOBAL)'!J2344</f>
        <v>0</v>
      </c>
      <c r="M2344" s="8">
        <f>+Tabla1[[#This Row],[utilidad x dia]]*7</f>
        <v>0</v>
      </c>
    </row>
    <row r="2345" spans="1:13" x14ac:dyDescent="0.3">
      <c r="A2345" s="6">
        <f>+'[1]VENTAS(RESUMEN GLOBAL)'!L2345</f>
        <v>0</v>
      </c>
      <c r="B2345" s="6">
        <f>+'[1]VENTAS(RESUMEN GLOBAL)'!M2345</f>
        <v>0</v>
      </c>
      <c r="C2345">
        <f>+'[1]VENTAS(RESUMEN GLOBAL)'!B2345</f>
        <v>0</v>
      </c>
      <c r="D2345" t="e">
        <f>INDEX('[1]CÓDIGOS DE PRODUCTO'!$D$3:$D$1000,MATCH(C2345,'[1]CÓDIGOS DE PRODUCTO'!$A$3:$A$1000,0))</f>
        <v>#N/A</v>
      </c>
      <c r="E2345">
        <f>VLOOKUP(C2345,'[1]CÓDIGOS DE PRODUCTO'!$A$4:$B$156,2,FALSE)</f>
        <v>0</v>
      </c>
      <c r="F2345">
        <f>INDEX('[1]CÓDIGOS DE PRODUCTO'!$C$3:$C$1000,MATCH(C2345,'[1]CÓDIGOS DE PRODUCTO'!$A$3:$A$1000,0))</f>
        <v>0</v>
      </c>
      <c r="G2345">
        <f>+'[1]VENTAS(RESUMEN GLOBAL)'!D2345-'[1]VENTAS(RESUMEN GLOBAL)'!E2345</f>
        <v>0</v>
      </c>
      <c r="H2345" s="9">
        <f>+'[1]VENTAS(RESUMEN GLOBAL)'!K2345</f>
        <v>0</v>
      </c>
      <c r="I2345" s="8">
        <f>+G2345*'[1]VENTAS(RESUMEN GLOBAL)'!F2345</f>
        <v>0</v>
      </c>
      <c r="J2345" s="8">
        <f>'[1]VENTAS(RESUMEN GLOBAL)'!G2345*(1-'[1]VENTAS(RESUMEN GLOBAL)'!H2345)</f>
        <v>0</v>
      </c>
      <c r="K2345" s="8">
        <f t="shared" si="36"/>
        <v>0</v>
      </c>
      <c r="L2345" s="8">
        <f>+'[1]VENTAS(RESUMEN GLOBAL)'!J2345</f>
        <v>0</v>
      </c>
      <c r="M2345" s="8">
        <f>+Tabla1[[#This Row],[utilidad x dia]]*7</f>
        <v>0</v>
      </c>
    </row>
    <row r="2346" spans="1:13" x14ac:dyDescent="0.3">
      <c r="A2346" s="6">
        <f>+'[1]VENTAS(RESUMEN GLOBAL)'!L2346</f>
        <v>0</v>
      </c>
      <c r="B2346" s="6">
        <f>+'[1]VENTAS(RESUMEN GLOBAL)'!M2346</f>
        <v>0</v>
      </c>
      <c r="C2346">
        <f>+'[1]VENTAS(RESUMEN GLOBAL)'!B2346</f>
        <v>0</v>
      </c>
      <c r="D2346" t="e">
        <f>INDEX('[1]CÓDIGOS DE PRODUCTO'!$D$3:$D$1000,MATCH(C2346,'[1]CÓDIGOS DE PRODUCTO'!$A$3:$A$1000,0))</f>
        <v>#N/A</v>
      </c>
      <c r="E2346">
        <f>VLOOKUP(C2346,'[1]CÓDIGOS DE PRODUCTO'!$A$4:$B$156,2,FALSE)</f>
        <v>0</v>
      </c>
      <c r="F2346">
        <f>INDEX('[1]CÓDIGOS DE PRODUCTO'!$C$3:$C$1000,MATCH(C2346,'[1]CÓDIGOS DE PRODUCTO'!$A$3:$A$1000,0))</f>
        <v>0</v>
      </c>
      <c r="G2346">
        <f>+'[1]VENTAS(RESUMEN GLOBAL)'!D2346-'[1]VENTAS(RESUMEN GLOBAL)'!E2346</f>
        <v>0</v>
      </c>
      <c r="H2346" s="9">
        <f>+'[1]VENTAS(RESUMEN GLOBAL)'!K2346</f>
        <v>0</v>
      </c>
      <c r="I2346" s="8">
        <f>+G2346*'[1]VENTAS(RESUMEN GLOBAL)'!F2346</f>
        <v>0</v>
      </c>
      <c r="J2346" s="8">
        <f>'[1]VENTAS(RESUMEN GLOBAL)'!G2346*(1-'[1]VENTAS(RESUMEN GLOBAL)'!H2346)</f>
        <v>0</v>
      </c>
      <c r="K2346" s="8">
        <f t="shared" si="36"/>
        <v>0</v>
      </c>
      <c r="L2346" s="8">
        <f>+'[1]VENTAS(RESUMEN GLOBAL)'!J2346</f>
        <v>0</v>
      </c>
      <c r="M2346" s="8">
        <f>+Tabla1[[#This Row],[utilidad x dia]]*7</f>
        <v>0</v>
      </c>
    </row>
    <row r="2347" spans="1:13" x14ac:dyDescent="0.3">
      <c r="A2347" s="6">
        <f>+'[1]VENTAS(RESUMEN GLOBAL)'!L2347</f>
        <v>0</v>
      </c>
      <c r="B2347" s="6">
        <f>+'[1]VENTAS(RESUMEN GLOBAL)'!M2347</f>
        <v>0</v>
      </c>
      <c r="C2347">
        <f>+'[1]VENTAS(RESUMEN GLOBAL)'!B2347</f>
        <v>0</v>
      </c>
      <c r="D2347" t="e">
        <f>INDEX('[1]CÓDIGOS DE PRODUCTO'!$D$3:$D$1000,MATCH(C2347,'[1]CÓDIGOS DE PRODUCTO'!$A$3:$A$1000,0))</f>
        <v>#N/A</v>
      </c>
      <c r="E2347">
        <f>VLOOKUP(C2347,'[1]CÓDIGOS DE PRODUCTO'!$A$4:$B$156,2,FALSE)</f>
        <v>0</v>
      </c>
      <c r="F2347">
        <f>INDEX('[1]CÓDIGOS DE PRODUCTO'!$C$3:$C$1000,MATCH(C2347,'[1]CÓDIGOS DE PRODUCTO'!$A$3:$A$1000,0))</f>
        <v>0</v>
      </c>
      <c r="G2347">
        <f>+'[1]VENTAS(RESUMEN GLOBAL)'!D2347-'[1]VENTAS(RESUMEN GLOBAL)'!E2347</f>
        <v>0</v>
      </c>
      <c r="H2347" s="9">
        <f>+'[1]VENTAS(RESUMEN GLOBAL)'!K2347</f>
        <v>0</v>
      </c>
      <c r="I2347" s="8">
        <f>+G2347*'[1]VENTAS(RESUMEN GLOBAL)'!F2347</f>
        <v>0</v>
      </c>
      <c r="J2347" s="8">
        <f>'[1]VENTAS(RESUMEN GLOBAL)'!G2347*(1-'[1]VENTAS(RESUMEN GLOBAL)'!H2347)</f>
        <v>0</v>
      </c>
      <c r="K2347" s="8">
        <f t="shared" si="36"/>
        <v>0</v>
      </c>
      <c r="L2347" s="8">
        <f>+'[1]VENTAS(RESUMEN GLOBAL)'!J2347</f>
        <v>0</v>
      </c>
      <c r="M2347" s="8">
        <f>+Tabla1[[#This Row],[utilidad x dia]]*7</f>
        <v>0</v>
      </c>
    </row>
    <row r="2348" spans="1:13" x14ac:dyDescent="0.3">
      <c r="A2348" s="6">
        <f>+'[1]VENTAS(RESUMEN GLOBAL)'!L2348</f>
        <v>0</v>
      </c>
      <c r="B2348" s="6">
        <f>+'[1]VENTAS(RESUMEN GLOBAL)'!M2348</f>
        <v>0</v>
      </c>
      <c r="C2348">
        <f>+'[1]VENTAS(RESUMEN GLOBAL)'!B2348</f>
        <v>0</v>
      </c>
      <c r="D2348" t="e">
        <f>INDEX('[1]CÓDIGOS DE PRODUCTO'!$D$3:$D$1000,MATCH(C2348,'[1]CÓDIGOS DE PRODUCTO'!$A$3:$A$1000,0))</f>
        <v>#N/A</v>
      </c>
      <c r="E2348">
        <f>VLOOKUP(C2348,'[1]CÓDIGOS DE PRODUCTO'!$A$4:$B$156,2,FALSE)</f>
        <v>0</v>
      </c>
      <c r="F2348">
        <f>INDEX('[1]CÓDIGOS DE PRODUCTO'!$C$3:$C$1000,MATCH(C2348,'[1]CÓDIGOS DE PRODUCTO'!$A$3:$A$1000,0))</f>
        <v>0</v>
      </c>
      <c r="G2348">
        <f>+'[1]VENTAS(RESUMEN GLOBAL)'!D2348-'[1]VENTAS(RESUMEN GLOBAL)'!E2348</f>
        <v>0</v>
      </c>
      <c r="H2348" s="9">
        <f>+'[1]VENTAS(RESUMEN GLOBAL)'!K2348</f>
        <v>0</v>
      </c>
      <c r="I2348" s="8">
        <f>+G2348*'[1]VENTAS(RESUMEN GLOBAL)'!F2348</f>
        <v>0</v>
      </c>
      <c r="J2348" s="8">
        <f>'[1]VENTAS(RESUMEN GLOBAL)'!G2348*(1-'[1]VENTAS(RESUMEN GLOBAL)'!H2348)</f>
        <v>0</v>
      </c>
      <c r="K2348" s="8">
        <f t="shared" si="36"/>
        <v>0</v>
      </c>
      <c r="L2348" s="8">
        <f>+'[1]VENTAS(RESUMEN GLOBAL)'!J2348</f>
        <v>0</v>
      </c>
      <c r="M2348" s="8">
        <f>+Tabla1[[#This Row],[utilidad x dia]]*7</f>
        <v>0</v>
      </c>
    </row>
    <row r="2349" spans="1:13" x14ac:dyDescent="0.3">
      <c r="A2349" s="6">
        <f>+'[1]VENTAS(RESUMEN GLOBAL)'!L2349</f>
        <v>0</v>
      </c>
      <c r="B2349" s="6">
        <f>+'[1]VENTAS(RESUMEN GLOBAL)'!M2349</f>
        <v>0</v>
      </c>
      <c r="C2349">
        <f>+'[1]VENTAS(RESUMEN GLOBAL)'!B2349</f>
        <v>0</v>
      </c>
      <c r="D2349" t="e">
        <f>INDEX('[1]CÓDIGOS DE PRODUCTO'!$D$3:$D$1000,MATCH(C2349,'[1]CÓDIGOS DE PRODUCTO'!$A$3:$A$1000,0))</f>
        <v>#N/A</v>
      </c>
      <c r="E2349">
        <f>VLOOKUP(C2349,'[1]CÓDIGOS DE PRODUCTO'!$A$4:$B$156,2,FALSE)</f>
        <v>0</v>
      </c>
      <c r="F2349">
        <f>INDEX('[1]CÓDIGOS DE PRODUCTO'!$C$3:$C$1000,MATCH(C2349,'[1]CÓDIGOS DE PRODUCTO'!$A$3:$A$1000,0))</f>
        <v>0</v>
      </c>
      <c r="G2349">
        <f>+'[1]VENTAS(RESUMEN GLOBAL)'!D2349-'[1]VENTAS(RESUMEN GLOBAL)'!E2349</f>
        <v>0</v>
      </c>
      <c r="H2349" s="9">
        <f>+'[1]VENTAS(RESUMEN GLOBAL)'!K2349</f>
        <v>0</v>
      </c>
      <c r="I2349" s="8">
        <f>+G2349*'[1]VENTAS(RESUMEN GLOBAL)'!F2349</f>
        <v>0</v>
      </c>
      <c r="J2349" s="8">
        <f>'[1]VENTAS(RESUMEN GLOBAL)'!G2349*(1-'[1]VENTAS(RESUMEN GLOBAL)'!H2349)</f>
        <v>0</v>
      </c>
      <c r="K2349" s="8">
        <f t="shared" si="36"/>
        <v>0</v>
      </c>
      <c r="L2349" s="8">
        <f>+'[1]VENTAS(RESUMEN GLOBAL)'!J2349</f>
        <v>0</v>
      </c>
      <c r="M2349" s="8">
        <f>+Tabla1[[#This Row],[utilidad x dia]]*7</f>
        <v>0</v>
      </c>
    </row>
    <row r="2350" spans="1:13" x14ac:dyDescent="0.3">
      <c r="A2350" s="6">
        <f>+'[1]VENTAS(RESUMEN GLOBAL)'!L2350</f>
        <v>0</v>
      </c>
      <c r="B2350" s="6">
        <f>+'[1]VENTAS(RESUMEN GLOBAL)'!M2350</f>
        <v>0</v>
      </c>
      <c r="C2350">
        <f>+'[1]VENTAS(RESUMEN GLOBAL)'!B2350</f>
        <v>0</v>
      </c>
      <c r="D2350" t="e">
        <f>INDEX('[1]CÓDIGOS DE PRODUCTO'!$D$3:$D$1000,MATCH(C2350,'[1]CÓDIGOS DE PRODUCTO'!$A$3:$A$1000,0))</f>
        <v>#N/A</v>
      </c>
      <c r="E2350">
        <f>VLOOKUP(C2350,'[1]CÓDIGOS DE PRODUCTO'!$A$4:$B$156,2,FALSE)</f>
        <v>0</v>
      </c>
      <c r="F2350">
        <f>INDEX('[1]CÓDIGOS DE PRODUCTO'!$C$3:$C$1000,MATCH(C2350,'[1]CÓDIGOS DE PRODUCTO'!$A$3:$A$1000,0))</f>
        <v>0</v>
      </c>
      <c r="G2350">
        <f>+'[1]VENTAS(RESUMEN GLOBAL)'!D2350-'[1]VENTAS(RESUMEN GLOBAL)'!E2350</f>
        <v>0</v>
      </c>
      <c r="H2350" s="9">
        <f>+'[1]VENTAS(RESUMEN GLOBAL)'!K2350</f>
        <v>0</v>
      </c>
      <c r="I2350" s="8">
        <f>+G2350*'[1]VENTAS(RESUMEN GLOBAL)'!F2350</f>
        <v>0</v>
      </c>
      <c r="J2350" s="8">
        <f>'[1]VENTAS(RESUMEN GLOBAL)'!G2350*(1-'[1]VENTAS(RESUMEN GLOBAL)'!H2350)</f>
        <v>0</v>
      </c>
      <c r="K2350" s="8">
        <f t="shared" si="36"/>
        <v>0</v>
      </c>
      <c r="L2350" s="8">
        <f>+'[1]VENTAS(RESUMEN GLOBAL)'!J2350</f>
        <v>0</v>
      </c>
      <c r="M2350" s="8">
        <f>+Tabla1[[#This Row],[utilidad x dia]]*7</f>
        <v>0</v>
      </c>
    </row>
    <row r="2351" spans="1:13" x14ac:dyDescent="0.3">
      <c r="A2351" s="6">
        <f>+'[1]VENTAS(RESUMEN GLOBAL)'!L2351</f>
        <v>0</v>
      </c>
      <c r="B2351" s="6">
        <f>+'[1]VENTAS(RESUMEN GLOBAL)'!M2351</f>
        <v>0</v>
      </c>
      <c r="C2351">
        <f>+'[1]VENTAS(RESUMEN GLOBAL)'!B2351</f>
        <v>0</v>
      </c>
      <c r="D2351" t="e">
        <f>INDEX('[1]CÓDIGOS DE PRODUCTO'!$D$3:$D$1000,MATCH(C2351,'[1]CÓDIGOS DE PRODUCTO'!$A$3:$A$1000,0))</f>
        <v>#N/A</v>
      </c>
      <c r="E2351">
        <f>VLOOKUP(C2351,'[1]CÓDIGOS DE PRODUCTO'!$A$4:$B$156,2,FALSE)</f>
        <v>0</v>
      </c>
      <c r="F2351">
        <f>INDEX('[1]CÓDIGOS DE PRODUCTO'!$C$3:$C$1000,MATCH(C2351,'[1]CÓDIGOS DE PRODUCTO'!$A$3:$A$1000,0))</f>
        <v>0</v>
      </c>
      <c r="G2351">
        <f>+'[1]VENTAS(RESUMEN GLOBAL)'!D2351-'[1]VENTAS(RESUMEN GLOBAL)'!E2351</f>
        <v>0</v>
      </c>
      <c r="H2351" s="9">
        <f>+'[1]VENTAS(RESUMEN GLOBAL)'!K2351</f>
        <v>0</v>
      </c>
      <c r="I2351" s="8">
        <f>+G2351*'[1]VENTAS(RESUMEN GLOBAL)'!F2351</f>
        <v>0</v>
      </c>
      <c r="J2351" s="8">
        <f>'[1]VENTAS(RESUMEN GLOBAL)'!G2351*(1-'[1]VENTAS(RESUMEN GLOBAL)'!H2351)</f>
        <v>0</v>
      </c>
      <c r="K2351" s="8">
        <f t="shared" si="36"/>
        <v>0</v>
      </c>
      <c r="L2351" s="8">
        <f>+'[1]VENTAS(RESUMEN GLOBAL)'!J2351</f>
        <v>0</v>
      </c>
      <c r="M2351" s="8">
        <f>+Tabla1[[#This Row],[utilidad x dia]]*7</f>
        <v>0</v>
      </c>
    </row>
    <row r="2352" spans="1:13" x14ac:dyDescent="0.3">
      <c r="A2352" s="6">
        <f>+'[1]VENTAS(RESUMEN GLOBAL)'!L2352</f>
        <v>0</v>
      </c>
      <c r="B2352" s="6">
        <f>+'[1]VENTAS(RESUMEN GLOBAL)'!M2352</f>
        <v>0</v>
      </c>
      <c r="C2352">
        <f>+'[1]VENTAS(RESUMEN GLOBAL)'!B2352</f>
        <v>0</v>
      </c>
      <c r="D2352" t="e">
        <f>INDEX('[1]CÓDIGOS DE PRODUCTO'!$D$3:$D$1000,MATCH(C2352,'[1]CÓDIGOS DE PRODUCTO'!$A$3:$A$1000,0))</f>
        <v>#N/A</v>
      </c>
      <c r="E2352">
        <f>VLOOKUP(C2352,'[1]CÓDIGOS DE PRODUCTO'!$A$4:$B$156,2,FALSE)</f>
        <v>0</v>
      </c>
      <c r="F2352">
        <f>INDEX('[1]CÓDIGOS DE PRODUCTO'!$C$3:$C$1000,MATCH(C2352,'[1]CÓDIGOS DE PRODUCTO'!$A$3:$A$1000,0))</f>
        <v>0</v>
      </c>
      <c r="G2352">
        <f>+'[1]VENTAS(RESUMEN GLOBAL)'!D2352-'[1]VENTAS(RESUMEN GLOBAL)'!E2352</f>
        <v>0</v>
      </c>
      <c r="H2352" s="9">
        <f>+'[1]VENTAS(RESUMEN GLOBAL)'!K2352</f>
        <v>0</v>
      </c>
      <c r="I2352" s="8">
        <f>+G2352*'[1]VENTAS(RESUMEN GLOBAL)'!F2352</f>
        <v>0</v>
      </c>
      <c r="J2352" s="8">
        <f>'[1]VENTAS(RESUMEN GLOBAL)'!G2352*(1-'[1]VENTAS(RESUMEN GLOBAL)'!H2352)</f>
        <v>0</v>
      </c>
      <c r="K2352" s="8">
        <f t="shared" si="36"/>
        <v>0</v>
      </c>
      <c r="L2352" s="8">
        <f>+'[1]VENTAS(RESUMEN GLOBAL)'!J2352</f>
        <v>0</v>
      </c>
      <c r="M2352" s="8">
        <f>+Tabla1[[#This Row],[utilidad x dia]]*7</f>
        <v>0</v>
      </c>
    </row>
    <row r="2353" spans="1:13" x14ac:dyDescent="0.3">
      <c r="A2353" s="6">
        <f>+'[1]VENTAS(RESUMEN GLOBAL)'!L2353</f>
        <v>0</v>
      </c>
      <c r="B2353" s="6">
        <f>+'[1]VENTAS(RESUMEN GLOBAL)'!M2353</f>
        <v>0</v>
      </c>
      <c r="C2353">
        <f>+'[1]VENTAS(RESUMEN GLOBAL)'!B2353</f>
        <v>0</v>
      </c>
      <c r="D2353" t="e">
        <f>INDEX('[1]CÓDIGOS DE PRODUCTO'!$D$3:$D$1000,MATCH(C2353,'[1]CÓDIGOS DE PRODUCTO'!$A$3:$A$1000,0))</f>
        <v>#N/A</v>
      </c>
      <c r="E2353">
        <f>VLOOKUP(C2353,'[1]CÓDIGOS DE PRODUCTO'!$A$4:$B$156,2,FALSE)</f>
        <v>0</v>
      </c>
      <c r="F2353">
        <f>INDEX('[1]CÓDIGOS DE PRODUCTO'!$C$3:$C$1000,MATCH(C2353,'[1]CÓDIGOS DE PRODUCTO'!$A$3:$A$1000,0))</f>
        <v>0</v>
      </c>
      <c r="G2353">
        <f>+'[1]VENTAS(RESUMEN GLOBAL)'!D2353-'[1]VENTAS(RESUMEN GLOBAL)'!E2353</f>
        <v>0</v>
      </c>
      <c r="H2353" s="9">
        <f>+'[1]VENTAS(RESUMEN GLOBAL)'!K2353</f>
        <v>0</v>
      </c>
      <c r="I2353" s="8">
        <f>+G2353*'[1]VENTAS(RESUMEN GLOBAL)'!F2353</f>
        <v>0</v>
      </c>
      <c r="J2353" s="8">
        <f>'[1]VENTAS(RESUMEN GLOBAL)'!G2353*(1-'[1]VENTAS(RESUMEN GLOBAL)'!H2353)</f>
        <v>0</v>
      </c>
      <c r="K2353" s="8">
        <f t="shared" si="36"/>
        <v>0</v>
      </c>
      <c r="L2353" s="8">
        <f>+'[1]VENTAS(RESUMEN GLOBAL)'!J2353</f>
        <v>0</v>
      </c>
      <c r="M2353" s="8">
        <f>+Tabla1[[#This Row],[utilidad x dia]]*7</f>
        <v>0</v>
      </c>
    </row>
    <row r="2354" spans="1:13" x14ac:dyDescent="0.3">
      <c r="A2354" s="6">
        <f>+'[1]VENTAS(RESUMEN GLOBAL)'!L2354</f>
        <v>0</v>
      </c>
      <c r="B2354" s="6">
        <f>+'[1]VENTAS(RESUMEN GLOBAL)'!M2354</f>
        <v>0</v>
      </c>
      <c r="C2354">
        <f>+'[1]VENTAS(RESUMEN GLOBAL)'!B2354</f>
        <v>0</v>
      </c>
      <c r="D2354" t="e">
        <f>INDEX('[1]CÓDIGOS DE PRODUCTO'!$D$3:$D$1000,MATCH(C2354,'[1]CÓDIGOS DE PRODUCTO'!$A$3:$A$1000,0))</f>
        <v>#N/A</v>
      </c>
      <c r="E2354">
        <f>VLOOKUP(C2354,'[1]CÓDIGOS DE PRODUCTO'!$A$4:$B$156,2,FALSE)</f>
        <v>0</v>
      </c>
      <c r="F2354">
        <f>INDEX('[1]CÓDIGOS DE PRODUCTO'!$C$3:$C$1000,MATCH(C2354,'[1]CÓDIGOS DE PRODUCTO'!$A$3:$A$1000,0))</f>
        <v>0</v>
      </c>
      <c r="G2354">
        <f>+'[1]VENTAS(RESUMEN GLOBAL)'!D2354-'[1]VENTAS(RESUMEN GLOBAL)'!E2354</f>
        <v>0</v>
      </c>
      <c r="H2354" s="9">
        <f>+'[1]VENTAS(RESUMEN GLOBAL)'!K2354</f>
        <v>0</v>
      </c>
      <c r="I2354" s="8">
        <f>+G2354*'[1]VENTAS(RESUMEN GLOBAL)'!F2354</f>
        <v>0</v>
      </c>
      <c r="J2354" s="8">
        <f>'[1]VENTAS(RESUMEN GLOBAL)'!G2354*(1-'[1]VENTAS(RESUMEN GLOBAL)'!H2354)</f>
        <v>0</v>
      </c>
      <c r="K2354" s="8">
        <f t="shared" si="36"/>
        <v>0</v>
      </c>
      <c r="L2354" s="8">
        <f>+'[1]VENTAS(RESUMEN GLOBAL)'!J2354</f>
        <v>0</v>
      </c>
      <c r="M2354" s="8">
        <f>+Tabla1[[#This Row],[utilidad x dia]]*7</f>
        <v>0</v>
      </c>
    </row>
    <row r="2355" spans="1:13" x14ac:dyDescent="0.3">
      <c r="A2355" s="6">
        <f>+'[1]VENTAS(RESUMEN GLOBAL)'!L2355</f>
        <v>0</v>
      </c>
      <c r="B2355" s="6">
        <f>+'[1]VENTAS(RESUMEN GLOBAL)'!M2355</f>
        <v>0</v>
      </c>
      <c r="C2355">
        <f>+'[1]VENTAS(RESUMEN GLOBAL)'!B2355</f>
        <v>0</v>
      </c>
      <c r="D2355" t="e">
        <f>INDEX('[1]CÓDIGOS DE PRODUCTO'!$D$3:$D$1000,MATCH(C2355,'[1]CÓDIGOS DE PRODUCTO'!$A$3:$A$1000,0))</f>
        <v>#N/A</v>
      </c>
      <c r="E2355">
        <f>VLOOKUP(C2355,'[1]CÓDIGOS DE PRODUCTO'!$A$4:$B$156,2,FALSE)</f>
        <v>0</v>
      </c>
      <c r="F2355">
        <f>INDEX('[1]CÓDIGOS DE PRODUCTO'!$C$3:$C$1000,MATCH(C2355,'[1]CÓDIGOS DE PRODUCTO'!$A$3:$A$1000,0))</f>
        <v>0</v>
      </c>
      <c r="G2355">
        <f>+'[1]VENTAS(RESUMEN GLOBAL)'!D2355-'[1]VENTAS(RESUMEN GLOBAL)'!E2355</f>
        <v>0</v>
      </c>
      <c r="H2355" s="9">
        <f>+'[1]VENTAS(RESUMEN GLOBAL)'!K2355</f>
        <v>0</v>
      </c>
      <c r="I2355" s="8">
        <f>+G2355*'[1]VENTAS(RESUMEN GLOBAL)'!F2355</f>
        <v>0</v>
      </c>
      <c r="J2355" s="8">
        <f>'[1]VENTAS(RESUMEN GLOBAL)'!G2355*(1-'[1]VENTAS(RESUMEN GLOBAL)'!H2355)</f>
        <v>0</v>
      </c>
      <c r="K2355" s="8">
        <f t="shared" si="36"/>
        <v>0</v>
      </c>
      <c r="L2355" s="8">
        <f>+'[1]VENTAS(RESUMEN GLOBAL)'!J2355</f>
        <v>0</v>
      </c>
      <c r="M2355" s="8">
        <f>+Tabla1[[#This Row],[utilidad x dia]]*7</f>
        <v>0</v>
      </c>
    </row>
    <row r="2356" spans="1:13" x14ac:dyDescent="0.3">
      <c r="A2356" s="6">
        <f>+'[1]VENTAS(RESUMEN GLOBAL)'!L2356</f>
        <v>0</v>
      </c>
      <c r="B2356" s="6">
        <f>+'[1]VENTAS(RESUMEN GLOBAL)'!M2356</f>
        <v>0</v>
      </c>
      <c r="C2356">
        <f>+'[1]VENTAS(RESUMEN GLOBAL)'!B2356</f>
        <v>0</v>
      </c>
      <c r="D2356" t="e">
        <f>INDEX('[1]CÓDIGOS DE PRODUCTO'!$D$3:$D$1000,MATCH(C2356,'[1]CÓDIGOS DE PRODUCTO'!$A$3:$A$1000,0))</f>
        <v>#N/A</v>
      </c>
      <c r="E2356">
        <f>VLOOKUP(C2356,'[1]CÓDIGOS DE PRODUCTO'!$A$4:$B$156,2,FALSE)</f>
        <v>0</v>
      </c>
      <c r="F2356">
        <f>INDEX('[1]CÓDIGOS DE PRODUCTO'!$C$3:$C$1000,MATCH(C2356,'[1]CÓDIGOS DE PRODUCTO'!$A$3:$A$1000,0))</f>
        <v>0</v>
      </c>
      <c r="G2356">
        <f>+'[1]VENTAS(RESUMEN GLOBAL)'!D2356-'[1]VENTAS(RESUMEN GLOBAL)'!E2356</f>
        <v>0</v>
      </c>
      <c r="H2356" s="9">
        <f>+'[1]VENTAS(RESUMEN GLOBAL)'!K2356</f>
        <v>0</v>
      </c>
      <c r="I2356" s="8">
        <f>+G2356*'[1]VENTAS(RESUMEN GLOBAL)'!F2356</f>
        <v>0</v>
      </c>
      <c r="J2356" s="8">
        <f>'[1]VENTAS(RESUMEN GLOBAL)'!G2356*(1-'[1]VENTAS(RESUMEN GLOBAL)'!H2356)</f>
        <v>0</v>
      </c>
      <c r="K2356" s="8">
        <f t="shared" si="36"/>
        <v>0</v>
      </c>
      <c r="L2356" s="8">
        <f>+'[1]VENTAS(RESUMEN GLOBAL)'!J2356</f>
        <v>0</v>
      </c>
      <c r="M2356" s="8">
        <f>+Tabla1[[#This Row],[utilidad x dia]]*7</f>
        <v>0</v>
      </c>
    </row>
    <row r="2357" spans="1:13" x14ac:dyDescent="0.3">
      <c r="A2357" s="6">
        <f>+'[1]VENTAS(RESUMEN GLOBAL)'!L2357</f>
        <v>0</v>
      </c>
      <c r="B2357" s="6">
        <f>+'[1]VENTAS(RESUMEN GLOBAL)'!M2357</f>
        <v>0</v>
      </c>
      <c r="C2357">
        <f>+'[1]VENTAS(RESUMEN GLOBAL)'!B2357</f>
        <v>0</v>
      </c>
      <c r="D2357" t="e">
        <f>INDEX('[1]CÓDIGOS DE PRODUCTO'!$D$3:$D$1000,MATCH(C2357,'[1]CÓDIGOS DE PRODUCTO'!$A$3:$A$1000,0))</f>
        <v>#N/A</v>
      </c>
      <c r="E2357">
        <f>VLOOKUP(C2357,'[1]CÓDIGOS DE PRODUCTO'!$A$4:$B$156,2,FALSE)</f>
        <v>0</v>
      </c>
      <c r="F2357">
        <f>INDEX('[1]CÓDIGOS DE PRODUCTO'!$C$3:$C$1000,MATCH(C2357,'[1]CÓDIGOS DE PRODUCTO'!$A$3:$A$1000,0))</f>
        <v>0</v>
      </c>
      <c r="G2357">
        <f>+'[1]VENTAS(RESUMEN GLOBAL)'!D2357-'[1]VENTAS(RESUMEN GLOBAL)'!E2357</f>
        <v>0</v>
      </c>
      <c r="H2357" s="9">
        <f>+'[1]VENTAS(RESUMEN GLOBAL)'!K2357</f>
        <v>0</v>
      </c>
      <c r="I2357" s="8">
        <f>+G2357*'[1]VENTAS(RESUMEN GLOBAL)'!F2357</f>
        <v>0</v>
      </c>
      <c r="J2357" s="8">
        <f>'[1]VENTAS(RESUMEN GLOBAL)'!G2357*(1-'[1]VENTAS(RESUMEN GLOBAL)'!H2357)</f>
        <v>0</v>
      </c>
      <c r="K2357" s="8">
        <f t="shared" si="36"/>
        <v>0</v>
      </c>
      <c r="L2357" s="8">
        <f>+'[1]VENTAS(RESUMEN GLOBAL)'!J2357</f>
        <v>0</v>
      </c>
      <c r="M2357" s="8">
        <f>+Tabla1[[#This Row],[utilidad x dia]]*7</f>
        <v>0</v>
      </c>
    </row>
    <row r="2358" spans="1:13" x14ac:dyDescent="0.3">
      <c r="A2358" s="6">
        <f>+'[1]VENTAS(RESUMEN GLOBAL)'!L2358</f>
        <v>0</v>
      </c>
      <c r="B2358" s="6">
        <f>+'[1]VENTAS(RESUMEN GLOBAL)'!M2358</f>
        <v>0</v>
      </c>
      <c r="C2358">
        <f>+'[1]VENTAS(RESUMEN GLOBAL)'!B2358</f>
        <v>0</v>
      </c>
      <c r="D2358" t="e">
        <f>INDEX('[1]CÓDIGOS DE PRODUCTO'!$D$3:$D$1000,MATCH(C2358,'[1]CÓDIGOS DE PRODUCTO'!$A$3:$A$1000,0))</f>
        <v>#N/A</v>
      </c>
      <c r="E2358">
        <f>VLOOKUP(C2358,'[1]CÓDIGOS DE PRODUCTO'!$A$4:$B$156,2,FALSE)</f>
        <v>0</v>
      </c>
      <c r="F2358">
        <f>INDEX('[1]CÓDIGOS DE PRODUCTO'!$C$3:$C$1000,MATCH(C2358,'[1]CÓDIGOS DE PRODUCTO'!$A$3:$A$1000,0))</f>
        <v>0</v>
      </c>
      <c r="G2358">
        <f>+'[1]VENTAS(RESUMEN GLOBAL)'!D2358-'[1]VENTAS(RESUMEN GLOBAL)'!E2358</f>
        <v>0</v>
      </c>
      <c r="H2358" s="9">
        <f>+'[1]VENTAS(RESUMEN GLOBAL)'!K2358</f>
        <v>0</v>
      </c>
      <c r="I2358" s="8">
        <f>+G2358*'[1]VENTAS(RESUMEN GLOBAL)'!F2358</f>
        <v>0</v>
      </c>
      <c r="J2358" s="8">
        <f>'[1]VENTAS(RESUMEN GLOBAL)'!G2358*(1-'[1]VENTAS(RESUMEN GLOBAL)'!H2358)</f>
        <v>0</v>
      </c>
      <c r="K2358" s="8">
        <f t="shared" si="36"/>
        <v>0</v>
      </c>
      <c r="L2358" s="8">
        <f>+'[1]VENTAS(RESUMEN GLOBAL)'!J2358</f>
        <v>0</v>
      </c>
      <c r="M2358" s="8">
        <f>+Tabla1[[#This Row],[utilidad x dia]]*7</f>
        <v>0</v>
      </c>
    </row>
    <row r="2359" spans="1:13" x14ac:dyDescent="0.3">
      <c r="A2359" s="6">
        <f>+'[1]VENTAS(RESUMEN GLOBAL)'!L2359</f>
        <v>0</v>
      </c>
      <c r="B2359" s="6">
        <f>+'[1]VENTAS(RESUMEN GLOBAL)'!M2359</f>
        <v>0</v>
      </c>
      <c r="C2359">
        <f>+'[1]VENTAS(RESUMEN GLOBAL)'!B2359</f>
        <v>0</v>
      </c>
      <c r="D2359" t="e">
        <f>INDEX('[1]CÓDIGOS DE PRODUCTO'!$D$3:$D$1000,MATCH(C2359,'[1]CÓDIGOS DE PRODUCTO'!$A$3:$A$1000,0))</f>
        <v>#N/A</v>
      </c>
      <c r="E2359">
        <f>VLOOKUP(C2359,'[1]CÓDIGOS DE PRODUCTO'!$A$4:$B$156,2,FALSE)</f>
        <v>0</v>
      </c>
      <c r="F2359">
        <f>INDEX('[1]CÓDIGOS DE PRODUCTO'!$C$3:$C$1000,MATCH(C2359,'[1]CÓDIGOS DE PRODUCTO'!$A$3:$A$1000,0))</f>
        <v>0</v>
      </c>
      <c r="G2359">
        <f>+'[1]VENTAS(RESUMEN GLOBAL)'!D2359-'[1]VENTAS(RESUMEN GLOBAL)'!E2359</f>
        <v>0</v>
      </c>
      <c r="H2359" s="9">
        <f>+'[1]VENTAS(RESUMEN GLOBAL)'!K2359</f>
        <v>0</v>
      </c>
      <c r="I2359" s="8">
        <f>+G2359*'[1]VENTAS(RESUMEN GLOBAL)'!F2359</f>
        <v>0</v>
      </c>
      <c r="J2359" s="8">
        <f>'[1]VENTAS(RESUMEN GLOBAL)'!G2359*(1-'[1]VENTAS(RESUMEN GLOBAL)'!H2359)</f>
        <v>0</v>
      </c>
      <c r="K2359" s="8">
        <f t="shared" si="36"/>
        <v>0</v>
      </c>
      <c r="L2359" s="8">
        <f>+'[1]VENTAS(RESUMEN GLOBAL)'!J2359</f>
        <v>0</v>
      </c>
      <c r="M2359" s="8">
        <f>+Tabla1[[#This Row],[utilidad x dia]]*7</f>
        <v>0</v>
      </c>
    </row>
    <row r="2360" spans="1:13" x14ac:dyDescent="0.3">
      <c r="A2360" s="6">
        <f>+'[1]VENTAS(RESUMEN GLOBAL)'!L2360</f>
        <v>0</v>
      </c>
      <c r="B2360" s="6">
        <f>+'[1]VENTAS(RESUMEN GLOBAL)'!M2360</f>
        <v>0</v>
      </c>
      <c r="C2360">
        <f>+'[1]VENTAS(RESUMEN GLOBAL)'!B2360</f>
        <v>0</v>
      </c>
      <c r="D2360" t="e">
        <f>INDEX('[1]CÓDIGOS DE PRODUCTO'!$D$3:$D$1000,MATCH(C2360,'[1]CÓDIGOS DE PRODUCTO'!$A$3:$A$1000,0))</f>
        <v>#N/A</v>
      </c>
      <c r="E2360">
        <f>VLOOKUP(C2360,'[1]CÓDIGOS DE PRODUCTO'!$A$4:$B$156,2,FALSE)</f>
        <v>0</v>
      </c>
      <c r="F2360">
        <f>INDEX('[1]CÓDIGOS DE PRODUCTO'!$C$3:$C$1000,MATCH(C2360,'[1]CÓDIGOS DE PRODUCTO'!$A$3:$A$1000,0))</f>
        <v>0</v>
      </c>
      <c r="G2360">
        <f>+'[1]VENTAS(RESUMEN GLOBAL)'!D2360-'[1]VENTAS(RESUMEN GLOBAL)'!E2360</f>
        <v>0</v>
      </c>
      <c r="H2360" s="9">
        <f>+'[1]VENTAS(RESUMEN GLOBAL)'!K2360</f>
        <v>0</v>
      </c>
      <c r="I2360" s="8">
        <f>+G2360*'[1]VENTAS(RESUMEN GLOBAL)'!F2360</f>
        <v>0</v>
      </c>
      <c r="J2360" s="8">
        <f>'[1]VENTAS(RESUMEN GLOBAL)'!G2360*(1-'[1]VENTAS(RESUMEN GLOBAL)'!H2360)</f>
        <v>0</v>
      </c>
      <c r="K2360" s="8">
        <f t="shared" si="36"/>
        <v>0</v>
      </c>
      <c r="L2360" s="8">
        <f>+'[1]VENTAS(RESUMEN GLOBAL)'!J2360</f>
        <v>0</v>
      </c>
      <c r="M2360" s="8">
        <f>+Tabla1[[#This Row],[utilidad x dia]]*7</f>
        <v>0</v>
      </c>
    </row>
    <row r="2361" spans="1:13" x14ac:dyDescent="0.3">
      <c r="A2361" s="6">
        <f>+'[1]VENTAS(RESUMEN GLOBAL)'!L2361</f>
        <v>0</v>
      </c>
      <c r="B2361" s="6">
        <f>+'[1]VENTAS(RESUMEN GLOBAL)'!M2361</f>
        <v>0</v>
      </c>
      <c r="C2361">
        <f>+'[1]VENTAS(RESUMEN GLOBAL)'!B2361</f>
        <v>0</v>
      </c>
      <c r="D2361" t="e">
        <f>INDEX('[1]CÓDIGOS DE PRODUCTO'!$D$3:$D$1000,MATCH(C2361,'[1]CÓDIGOS DE PRODUCTO'!$A$3:$A$1000,0))</f>
        <v>#N/A</v>
      </c>
      <c r="E2361">
        <f>VLOOKUP(C2361,'[1]CÓDIGOS DE PRODUCTO'!$A$4:$B$156,2,FALSE)</f>
        <v>0</v>
      </c>
      <c r="F2361">
        <f>INDEX('[1]CÓDIGOS DE PRODUCTO'!$C$3:$C$1000,MATCH(C2361,'[1]CÓDIGOS DE PRODUCTO'!$A$3:$A$1000,0))</f>
        <v>0</v>
      </c>
      <c r="G2361">
        <f>+'[1]VENTAS(RESUMEN GLOBAL)'!D2361-'[1]VENTAS(RESUMEN GLOBAL)'!E2361</f>
        <v>0</v>
      </c>
      <c r="H2361" s="9">
        <f>+'[1]VENTAS(RESUMEN GLOBAL)'!K2361</f>
        <v>0</v>
      </c>
      <c r="I2361" s="8">
        <f>+G2361*'[1]VENTAS(RESUMEN GLOBAL)'!F2361</f>
        <v>0</v>
      </c>
      <c r="J2361" s="8">
        <f>'[1]VENTAS(RESUMEN GLOBAL)'!G2361*(1-'[1]VENTAS(RESUMEN GLOBAL)'!H2361)</f>
        <v>0</v>
      </c>
      <c r="K2361" s="8">
        <f t="shared" si="36"/>
        <v>0</v>
      </c>
      <c r="L2361" s="8">
        <f>+'[1]VENTAS(RESUMEN GLOBAL)'!J2361</f>
        <v>0</v>
      </c>
      <c r="M2361" s="8">
        <f>+Tabla1[[#This Row],[utilidad x dia]]*7</f>
        <v>0</v>
      </c>
    </row>
    <row r="2362" spans="1:13" x14ac:dyDescent="0.3">
      <c r="A2362" s="6">
        <f>+'[1]VENTAS(RESUMEN GLOBAL)'!L2362</f>
        <v>0</v>
      </c>
      <c r="B2362" s="6">
        <f>+'[1]VENTAS(RESUMEN GLOBAL)'!M2362</f>
        <v>0</v>
      </c>
      <c r="C2362">
        <f>+'[1]VENTAS(RESUMEN GLOBAL)'!B2362</f>
        <v>0</v>
      </c>
      <c r="D2362" t="e">
        <f>INDEX('[1]CÓDIGOS DE PRODUCTO'!$D$3:$D$1000,MATCH(C2362,'[1]CÓDIGOS DE PRODUCTO'!$A$3:$A$1000,0))</f>
        <v>#N/A</v>
      </c>
      <c r="E2362">
        <f>VLOOKUP(C2362,'[1]CÓDIGOS DE PRODUCTO'!$A$4:$B$156,2,FALSE)</f>
        <v>0</v>
      </c>
      <c r="F2362">
        <f>INDEX('[1]CÓDIGOS DE PRODUCTO'!$C$3:$C$1000,MATCH(C2362,'[1]CÓDIGOS DE PRODUCTO'!$A$3:$A$1000,0))</f>
        <v>0</v>
      </c>
      <c r="G2362">
        <f>+'[1]VENTAS(RESUMEN GLOBAL)'!D2362-'[1]VENTAS(RESUMEN GLOBAL)'!E2362</f>
        <v>0</v>
      </c>
      <c r="H2362" s="9">
        <f>+'[1]VENTAS(RESUMEN GLOBAL)'!K2362</f>
        <v>0</v>
      </c>
      <c r="I2362" s="8">
        <f>+G2362*'[1]VENTAS(RESUMEN GLOBAL)'!F2362</f>
        <v>0</v>
      </c>
      <c r="J2362" s="8">
        <f>'[1]VENTAS(RESUMEN GLOBAL)'!G2362*(1-'[1]VENTAS(RESUMEN GLOBAL)'!H2362)</f>
        <v>0</v>
      </c>
      <c r="K2362" s="8">
        <f t="shared" si="36"/>
        <v>0</v>
      </c>
      <c r="L2362" s="8">
        <f>+'[1]VENTAS(RESUMEN GLOBAL)'!J2362</f>
        <v>0</v>
      </c>
      <c r="M2362" s="8">
        <f>+Tabla1[[#This Row],[utilidad x dia]]*7</f>
        <v>0</v>
      </c>
    </row>
    <row r="2363" spans="1:13" x14ac:dyDescent="0.3">
      <c r="A2363" s="6">
        <f>+'[1]VENTAS(RESUMEN GLOBAL)'!L2363</f>
        <v>0</v>
      </c>
      <c r="B2363" s="6">
        <f>+'[1]VENTAS(RESUMEN GLOBAL)'!M2363</f>
        <v>0</v>
      </c>
      <c r="C2363">
        <f>+'[1]VENTAS(RESUMEN GLOBAL)'!B2363</f>
        <v>0</v>
      </c>
      <c r="D2363" t="e">
        <f>INDEX('[1]CÓDIGOS DE PRODUCTO'!$D$3:$D$1000,MATCH(C2363,'[1]CÓDIGOS DE PRODUCTO'!$A$3:$A$1000,0))</f>
        <v>#N/A</v>
      </c>
      <c r="E2363">
        <f>VLOOKUP(C2363,'[1]CÓDIGOS DE PRODUCTO'!$A$4:$B$156,2,FALSE)</f>
        <v>0</v>
      </c>
      <c r="F2363">
        <f>INDEX('[1]CÓDIGOS DE PRODUCTO'!$C$3:$C$1000,MATCH(C2363,'[1]CÓDIGOS DE PRODUCTO'!$A$3:$A$1000,0))</f>
        <v>0</v>
      </c>
      <c r="G2363">
        <f>+'[1]VENTAS(RESUMEN GLOBAL)'!D2363-'[1]VENTAS(RESUMEN GLOBAL)'!E2363</f>
        <v>0</v>
      </c>
      <c r="H2363" s="9">
        <f>+'[1]VENTAS(RESUMEN GLOBAL)'!K2363</f>
        <v>0</v>
      </c>
      <c r="I2363" s="8">
        <f>+G2363*'[1]VENTAS(RESUMEN GLOBAL)'!F2363</f>
        <v>0</v>
      </c>
      <c r="J2363" s="8">
        <f>'[1]VENTAS(RESUMEN GLOBAL)'!G2363*(1-'[1]VENTAS(RESUMEN GLOBAL)'!H2363)</f>
        <v>0</v>
      </c>
      <c r="K2363" s="8">
        <f t="shared" si="36"/>
        <v>0</v>
      </c>
      <c r="L2363" s="8">
        <f>+'[1]VENTAS(RESUMEN GLOBAL)'!J2363</f>
        <v>0</v>
      </c>
      <c r="M2363" s="8">
        <f>+Tabla1[[#This Row],[utilidad x dia]]*7</f>
        <v>0</v>
      </c>
    </row>
    <row r="2364" spans="1:13" x14ac:dyDescent="0.3">
      <c r="A2364" s="6">
        <f>+'[1]VENTAS(RESUMEN GLOBAL)'!L2364</f>
        <v>0</v>
      </c>
      <c r="B2364" s="6">
        <f>+'[1]VENTAS(RESUMEN GLOBAL)'!M2364</f>
        <v>0</v>
      </c>
      <c r="C2364">
        <f>+'[1]VENTAS(RESUMEN GLOBAL)'!B2364</f>
        <v>0</v>
      </c>
      <c r="D2364" t="e">
        <f>INDEX('[1]CÓDIGOS DE PRODUCTO'!$D$3:$D$1000,MATCH(C2364,'[1]CÓDIGOS DE PRODUCTO'!$A$3:$A$1000,0))</f>
        <v>#N/A</v>
      </c>
      <c r="E2364">
        <f>VLOOKUP(C2364,'[1]CÓDIGOS DE PRODUCTO'!$A$4:$B$156,2,FALSE)</f>
        <v>0</v>
      </c>
      <c r="F2364">
        <f>INDEX('[1]CÓDIGOS DE PRODUCTO'!$C$3:$C$1000,MATCH(C2364,'[1]CÓDIGOS DE PRODUCTO'!$A$3:$A$1000,0))</f>
        <v>0</v>
      </c>
      <c r="G2364">
        <f>+'[1]VENTAS(RESUMEN GLOBAL)'!D2364-'[1]VENTAS(RESUMEN GLOBAL)'!E2364</f>
        <v>0</v>
      </c>
      <c r="H2364" s="9">
        <f>+'[1]VENTAS(RESUMEN GLOBAL)'!K2364</f>
        <v>0</v>
      </c>
      <c r="I2364" s="8">
        <f>+G2364*'[1]VENTAS(RESUMEN GLOBAL)'!F2364</f>
        <v>0</v>
      </c>
      <c r="J2364" s="8">
        <f>'[1]VENTAS(RESUMEN GLOBAL)'!G2364*(1-'[1]VENTAS(RESUMEN GLOBAL)'!H2364)</f>
        <v>0</v>
      </c>
      <c r="K2364" s="8">
        <f t="shared" si="36"/>
        <v>0</v>
      </c>
      <c r="L2364" s="8">
        <f>+'[1]VENTAS(RESUMEN GLOBAL)'!J2364</f>
        <v>0</v>
      </c>
      <c r="M2364" s="8">
        <f>+Tabla1[[#This Row],[utilidad x dia]]*7</f>
        <v>0</v>
      </c>
    </row>
    <row r="2365" spans="1:13" x14ac:dyDescent="0.3">
      <c r="A2365" s="6">
        <f>+'[1]VENTAS(RESUMEN GLOBAL)'!L2365</f>
        <v>0</v>
      </c>
      <c r="B2365" s="6">
        <f>+'[1]VENTAS(RESUMEN GLOBAL)'!M2365</f>
        <v>0</v>
      </c>
      <c r="C2365">
        <f>+'[1]VENTAS(RESUMEN GLOBAL)'!B2365</f>
        <v>0</v>
      </c>
      <c r="D2365" t="e">
        <f>INDEX('[1]CÓDIGOS DE PRODUCTO'!$D$3:$D$1000,MATCH(C2365,'[1]CÓDIGOS DE PRODUCTO'!$A$3:$A$1000,0))</f>
        <v>#N/A</v>
      </c>
      <c r="E2365">
        <f>VLOOKUP(C2365,'[1]CÓDIGOS DE PRODUCTO'!$A$4:$B$156,2,FALSE)</f>
        <v>0</v>
      </c>
      <c r="F2365">
        <f>INDEX('[1]CÓDIGOS DE PRODUCTO'!$C$3:$C$1000,MATCH(C2365,'[1]CÓDIGOS DE PRODUCTO'!$A$3:$A$1000,0))</f>
        <v>0</v>
      </c>
      <c r="G2365">
        <f>+'[1]VENTAS(RESUMEN GLOBAL)'!D2365-'[1]VENTAS(RESUMEN GLOBAL)'!E2365</f>
        <v>0</v>
      </c>
      <c r="H2365" s="9">
        <f>+'[1]VENTAS(RESUMEN GLOBAL)'!K2365</f>
        <v>0</v>
      </c>
      <c r="I2365" s="8">
        <f>+G2365*'[1]VENTAS(RESUMEN GLOBAL)'!F2365</f>
        <v>0</v>
      </c>
      <c r="J2365" s="8">
        <f>'[1]VENTAS(RESUMEN GLOBAL)'!G2365*(1-'[1]VENTAS(RESUMEN GLOBAL)'!H2365)</f>
        <v>0</v>
      </c>
      <c r="K2365" s="8">
        <f t="shared" si="36"/>
        <v>0</v>
      </c>
      <c r="L2365" s="8">
        <f>+'[1]VENTAS(RESUMEN GLOBAL)'!J2365</f>
        <v>0</v>
      </c>
      <c r="M2365" s="8">
        <f>+Tabla1[[#This Row],[utilidad x dia]]*7</f>
        <v>0</v>
      </c>
    </row>
    <row r="2366" spans="1:13" x14ac:dyDescent="0.3">
      <c r="A2366" s="6">
        <f>+'[1]VENTAS(RESUMEN GLOBAL)'!L2366</f>
        <v>0</v>
      </c>
      <c r="B2366" s="6">
        <f>+'[1]VENTAS(RESUMEN GLOBAL)'!M2366</f>
        <v>0</v>
      </c>
      <c r="C2366">
        <f>+'[1]VENTAS(RESUMEN GLOBAL)'!B2366</f>
        <v>0</v>
      </c>
      <c r="D2366" t="e">
        <f>INDEX('[1]CÓDIGOS DE PRODUCTO'!$D$3:$D$1000,MATCH(C2366,'[1]CÓDIGOS DE PRODUCTO'!$A$3:$A$1000,0))</f>
        <v>#N/A</v>
      </c>
      <c r="E2366">
        <f>VLOOKUP(C2366,'[1]CÓDIGOS DE PRODUCTO'!$A$4:$B$156,2,FALSE)</f>
        <v>0</v>
      </c>
      <c r="F2366">
        <f>INDEX('[1]CÓDIGOS DE PRODUCTO'!$C$3:$C$1000,MATCH(C2366,'[1]CÓDIGOS DE PRODUCTO'!$A$3:$A$1000,0))</f>
        <v>0</v>
      </c>
      <c r="G2366">
        <f>+'[1]VENTAS(RESUMEN GLOBAL)'!D2366-'[1]VENTAS(RESUMEN GLOBAL)'!E2366</f>
        <v>0</v>
      </c>
      <c r="H2366" s="9">
        <f>+'[1]VENTAS(RESUMEN GLOBAL)'!K2366</f>
        <v>0</v>
      </c>
      <c r="I2366" s="8">
        <f>+G2366*'[1]VENTAS(RESUMEN GLOBAL)'!F2366</f>
        <v>0</v>
      </c>
      <c r="J2366" s="8">
        <f>'[1]VENTAS(RESUMEN GLOBAL)'!G2366*(1-'[1]VENTAS(RESUMEN GLOBAL)'!H2366)</f>
        <v>0</v>
      </c>
      <c r="K2366" s="8">
        <f t="shared" si="36"/>
        <v>0</v>
      </c>
      <c r="L2366" s="8">
        <f>+'[1]VENTAS(RESUMEN GLOBAL)'!J2366</f>
        <v>0</v>
      </c>
      <c r="M2366" s="8">
        <f>+Tabla1[[#This Row],[utilidad x dia]]*7</f>
        <v>0</v>
      </c>
    </row>
    <row r="2367" spans="1:13" x14ac:dyDescent="0.3">
      <c r="A2367" s="6">
        <f>+'[1]VENTAS(RESUMEN GLOBAL)'!L2367</f>
        <v>0</v>
      </c>
      <c r="B2367" s="6">
        <f>+'[1]VENTAS(RESUMEN GLOBAL)'!M2367</f>
        <v>0</v>
      </c>
      <c r="C2367">
        <f>+'[1]VENTAS(RESUMEN GLOBAL)'!B2367</f>
        <v>0</v>
      </c>
      <c r="D2367" t="e">
        <f>INDEX('[1]CÓDIGOS DE PRODUCTO'!$D$3:$D$1000,MATCH(C2367,'[1]CÓDIGOS DE PRODUCTO'!$A$3:$A$1000,0))</f>
        <v>#N/A</v>
      </c>
      <c r="E2367">
        <f>VLOOKUP(C2367,'[1]CÓDIGOS DE PRODUCTO'!$A$4:$B$156,2,FALSE)</f>
        <v>0</v>
      </c>
      <c r="F2367">
        <f>INDEX('[1]CÓDIGOS DE PRODUCTO'!$C$3:$C$1000,MATCH(C2367,'[1]CÓDIGOS DE PRODUCTO'!$A$3:$A$1000,0))</f>
        <v>0</v>
      </c>
      <c r="G2367">
        <f>+'[1]VENTAS(RESUMEN GLOBAL)'!D2367-'[1]VENTAS(RESUMEN GLOBAL)'!E2367</f>
        <v>0</v>
      </c>
      <c r="H2367" s="9">
        <f>+'[1]VENTAS(RESUMEN GLOBAL)'!K2367</f>
        <v>0</v>
      </c>
      <c r="I2367" s="8">
        <f>+G2367*'[1]VENTAS(RESUMEN GLOBAL)'!F2367</f>
        <v>0</v>
      </c>
      <c r="J2367" s="8">
        <f>'[1]VENTAS(RESUMEN GLOBAL)'!G2367*(1-'[1]VENTAS(RESUMEN GLOBAL)'!H2367)</f>
        <v>0</v>
      </c>
      <c r="K2367" s="8">
        <f t="shared" si="36"/>
        <v>0</v>
      </c>
      <c r="L2367" s="8">
        <f>+'[1]VENTAS(RESUMEN GLOBAL)'!J2367</f>
        <v>0</v>
      </c>
      <c r="M2367" s="8">
        <f>+Tabla1[[#This Row],[utilidad x dia]]*7</f>
        <v>0</v>
      </c>
    </row>
    <row r="2368" spans="1:13" x14ac:dyDescent="0.3">
      <c r="A2368" s="6">
        <f>+'[1]VENTAS(RESUMEN GLOBAL)'!L2368</f>
        <v>0</v>
      </c>
      <c r="B2368" s="6">
        <f>+'[1]VENTAS(RESUMEN GLOBAL)'!M2368</f>
        <v>0</v>
      </c>
      <c r="C2368">
        <f>+'[1]VENTAS(RESUMEN GLOBAL)'!B2368</f>
        <v>0</v>
      </c>
      <c r="D2368" t="e">
        <f>INDEX('[1]CÓDIGOS DE PRODUCTO'!$D$3:$D$1000,MATCH(C2368,'[1]CÓDIGOS DE PRODUCTO'!$A$3:$A$1000,0))</f>
        <v>#N/A</v>
      </c>
      <c r="E2368">
        <f>VLOOKUP(C2368,'[1]CÓDIGOS DE PRODUCTO'!$A$4:$B$156,2,FALSE)</f>
        <v>0</v>
      </c>
      <c r="F2368">
        <f>INDEX('[1]CÓDIGOS DE PRODUCTO'!$C$3:$C$1000,MATCH(C2368,'[1]CÓDIGOS DE PRODUCTO'!$A$3:$A$1000,0))</f>
        <v>0</v>
      </c>
      <c r="G2368">
        <f>+'[1]VENTAS(RESUMEN GLOBAL)'!D2368-'[1]VENTAS(RESUMEN GLOBAL)'!E2368</f>
        <v>0</v>
      </c>
      <c r="H2368" s="9">
        <f>+'[1]VENTAS(RESUMEN GLOBAL)'!K2368</f>
        <v>0</v>
      </c>
      <c r="I2368" s="8">
        <f>+G2368*'[1]VENTAS(RESUMEN GLOBAL)'!F2368</f>
        <v>0</v>
      </c>
      <c r="J2368" s="8">
        <f>'[1]VENTAS(RESUMEN GLOBAL)'!G2368*(1-'[1]VENTAS(RESUMEN GLOBAL)'!H2368)</f>
        <v>0</v>
      </c>
      <c r="K2368" s="8">
        <f t="shared" si="36"/>
        <v>0</v>
      </c>
      <c r="L2368" s="8">
        <f>+'[1]VENTAS(RESUMEN GLOBAL)'!J2368</f>
        <v>0</v>
      </c>
      <c r="M2368" s="8">
        <f>+Tabla1[[#This Row],[utilidad x dia]]*7</f>
        <v>0</v>
      </c>
    </row>
    <row r="2369" spans="1:13" x14ac:dyDescent="0.3">
      <c r="A2369" s="6">
        <f>+'[1]VENTAS(RESUMEN GLOBAL)'!L2369</f>
        <v>0</v>
      </c>
      <c r="B2369" s="6">
        <f>+'[1]VENTAS(RESUMEN GLOBAL)'!M2369</f>
        <v>0</v>
      </c>
      <c r="C2369">
        <f>+'[1]VENTAS(RESUMEN GLOBAL)'!B2369</f>
        <v>0</v>
      </c>
      <c r="D2369" t="e">
        <f>INDEX('[1]CÓDIGOS DE PRODUCTO'!$D$3:$D$1000,MATCH(C2369,'[1]CÓDIGOS DE PRODUCTO'!$A$3:$A$1000,0))</f>
        <v>#N/A</v>
      </c>
      <c r="E2369">
        <f>VLOOKUP(C2369,'[1]CÓDIGOS DE PRODUCTO'!$A$4:$B$156,2,FALSE)</f>
        <v>0</v>
      </c>
      <c r="F2369">
        <f>INDEX('[1]CÓDIGOS DE PRODUCTO'!$C$3:$C$1000,MATCH(C2369,'[1]CÓDIGOS DE PRODUCTO'!$A$3:$A$1000,0))</f>
        <v>0</v>
      </c>
      <c r="G2369">
        <f>+'[1]VENTAS(RESUMEN GLOBAL)'!D2369-'[1]VENTAS(RESUMEN GLOBAL)'!E2369</f>
        <v>0</v>
      </c>
      <c r="H2369" s="9">
        <f>+'[1]VENTAS(RESUMEN GLOBAL)'!K2369</f>
        <v>0</v>
      </c>
      <c r="I2369" s="8">
        <f>+G2369*'[1]VENTAS(RESUMEN GLOBAL)'!F2369</f>
        <v>0</v>
      </c>
      <c r="J2369" s="8">
        <f>'[1]VENTAS(RESUMEN GLOBAL)'!G2369*(1-'[1]VENTAS(RESUMEN GLOBAL)'!H2369)</f>
        <v>0</v>
      </c>
      <c r="K2369" s="8">
        <f t="shared" si="36"/>
        <v>0</v>
      </c>
      <c r="L2369" s="8">
        <f>+'[1]VENTAS(RESUMEN GLOBAL)'!J2369</f>
        <v>0</v>
      </c>
      <c r="M2369" s="8">
        <f>+Tabla1[[#This Row],[utilidad x dia]]*7</f>
        <v>0</v>
      </c>
    </row>
    <row r="2370" spans="1:13" x14ac:dyDescent="0.3">
      <c r="A2370" s="6">
        <f>+'[1]VENTAS(RESUMEN GLOBAL)'!L2370</f>
        <v>0</v>
      </c>
      <c r="B2370" s="6">
        <f>+'[1]VENTAS(RESUMEN GLOBAL)'!M2370</f>
        <v>0</v>
      </c>
      <c r="C2370">
        <f>+'[1]VENTAS(RESUMEN GLOBAL)'!B2370</f>
        <v>0</v>
      </c>
      <c r="D2370" t="e">
        <f>INDEX('[1]CÓDIGOS DE PRODUCTO'!$D$3:$D$1000,MATCH(C2370,'[1]CÓDIGOS DE PRODUCTO'!$A$3:$A$1000,0))</f>
        <v>#N/A</v>
      </c>
      <c r="E2370">
        <f>VLOOKUP(C2370,'[1]CÓDIGOS DE PRODUCTO'!$A$4:$B$156,2,FALSE)</f>
        <v>0</v>
      </c>
      <c r="F2370">
        <f>INDEX('[1]CÓDIGOS DE PRODUCTO'!$C$3:$C$1000,MATCH(C2370,'[1]CÓDIGOS DE PRODUCTO'!$A$3:$A$1000,0))</f>
        <v>0</v>
      </c>
      <c r="G2370">
        <f>+'[1]VENTAS(RESUMEN GLOBAL)'!D2370-'[1]VENTAS(RESUMEN GLOBAL)'!E2370</f>
        <v>0</v>
      </c>
      <c r="H2370" s="9">
        <f>+'[1]VENTAS(RESUMEN GLOBAL)'!K2370</f>
        <v>0</v>
      </c>
      <c r="I2370" s="8">
        <f>+G2370*'[1]VENTAS(RESUMEN GLOBAL)'!F2370</f>
        <v>0</v>
      </c>
      <c r="J2370" s="8">
        <f>'[1]VENTAS(RESUMEN GLOBAL)'!G2370*(1-'[1]VENTAS(RESUMEN GLOBAL)'!H2370)</f>
        <v>0</v>
      </c>
      <c r="K2370" s="8">
        <f t="shared" si="36"/>
        <v>0</v>
      </c>
      <c r="L2370" s="8">
        <f>+'[1]VENTAS(RESUMEN GLOBAL)'!J2370</f>
        <v>0</v>
      </c>
      <c r="M2370" s="8">
        <f>+Tabla1[[#This Row],[utilidad x dia]]*7</f>
        <v>0</v>
      </c>
    </row>
    <row r="2371" spans="1:13" x14ac:dyDescent="0.3">
      <c r="A2371" s="6">
        <f>+'[1]VENTAS(RESUMEN GLOBAL)'!L2371</f>
        <v>0</v>
      </c>
      <c r="B2371" s="6">
        <f>+'[1]VENTAS(RESUMEN GLOBAL)'!M2371</f>
        <v>0</v>
      </c>
      <c r="C2371">
        <f>+'[1]VENTAS(RESUMEN GLOBAL)'!B2371</f>
        <v>0</v>
      </c>
      <c r="D2371" t="e">
        <f>INDEX('[1]CÓDIGOS DE PRODUCTO'!$D$3:$D$1000,MATCH(C2371,'[1]CÓDIGOS DE PRODUCTO'!$A$3:$A$1000,0))</f>
        <v>#N/A</v>
      </c>
      <c r="E2371">
        <f>VLOOKUP(C2371,'[1]CÓDIGOS DE PRODUCTO'!$A$4:$B$156,2,FALSE)</f>
        <v>0</v>
      </c>
      <c r="F2371">
        <f>INDEX('[1]CÓDIGOS DE PRODUCTO'!$C$3:$C$1000,MATCH(C2371,'[1]CÓDIGOS DE PRODUCTO'!$A$3:$A$1000,0))</f>
        <v>0</v>
      </c>
      <c r="G2371">
        <f>+'[1]VENTAS(RESUMEN GLOBAL)'!D2371-'[1]VENTAS(RESUMEN GLOBAL)'!E2371</f>
        <v>0</v>
      </c>
      <c r="H2371" s="9">
        <f>+'[1]VENTAS(RESUMEN GLOBAL)'!K2371</f>
        <v>0</v>
      </c>
      <c r="I2371" s="8">
        <f>+G2371*'[1]VENTAS(RESUMEN GLOBAL)'!F2371</f>
        <v>0</v>
      </c>
      <c r="J2371" s="8">
        <f>'[1]VENTAS(RESUMEN GLOBAL)'!G2371*(1-'[1]VENTAS(RESUMEN GLOBAL)'!H2371)</f>
        <v>0</v>
      </c>
      <c r="K2371" s="8">
        <f t="shared" ref="K2371:K2434" si="37">+I2371-J2371</f>
        <v>0</v>
      </c>
      <c r="L2371" s="8">
        <f>+'[1]VENTAS(RESUMEN GLOBAL)'!J2371</f>
        <v>0</v>
      </c>
      <c r="M2371" s="8">
        <f>+Tabla1[[#This Row],[utilidad x dia]]*7</f>
        <v>0</v>
      </c>
    </row>
    <row r="2372" spans="1:13" x14ac:dyDescent="0.3">
      <c r="A2372" s="6">
        <f>+'[1]VENTAS(RESUMEN GLOBAL)'!L2372</f>
        <v>0</v>
      </c>
      <c r="B2372" s="6">
        <f>+'[1]VENTAS(RESUMEN GLOBAL)'!M2372</f>
        <v>0</v>
      </c>
      <c r="C2372">
        <f>+'[1]VENTAS(RESUMEN GLOBAL)'!B2372</f>
        <v>0</v>
      </c>
      <c r="D2372" t="e">
        <f>INDEX('[1]CÓDIGOS DE PRODUCTO'!$D$3:$D$1000,MATCH(C2372,'[1]CÓDIGOS DE PRODUCTO'!$A$3:$A$1000,0))</f>
        <v>#N/A</v>
      </c>
      <c r="E2372">
        <f>VLOOKUP(C2372,'[1]CÓDIGOS DE PRODUCTO'!$A$4:$B$156,2,FALSE)</f>
        <v>0</v>
      </c>
      <c r="F2372">
        <f>INDEX('[1]CÓDIGOS DE PRODUCTO'!$C$3:$C$1000,MATCH(C2372,'[1]CÓDIGOS DE PRODUCTO'!$A$3:$A$1000,0))</f>
        <v>0</v>
      </c>
      <c r="G2372">
        <f>+'[1]VENTAS(RESUMEN GLOBAL)'!D2372-'[1]VENTAS(RESUMEN GLOBAL)'!E2372</f>
        <v>0</v>
      </c>
      <c r="H2372" s="9">
        <f>+'[1]VENTAS(RESUMEN GLOBAL)'!K2372</f>
        <v>0</v>
      </c>
      <c r="I2372" s="8">
        <f>+G2372*'[1]VENTAS(RESUMEN GLOBAL)'!F2372</f>
        <v>0</v>
      </c>
      <c r="J2372" s="8">
        <f>'[1]VENTAS(RESUMEN GLOBAL)'!G2372*(1-'[1]VENTAS(RESUMEN GLOBAL)'!H2372)</f>
        <v>0</v>
      </c>
      <c r="K2372" s="8">
        <f t="shared" si="37"/>
        <v>0</v>
      </c>
      <c r="L2372" s="8">
        <f>+'[1]VENTAS(RESUMEN GLOBAL)'!J2372</f>
        <v>0</v>
      </c>
      <c r="M2372" s="8">
        <f>+Tabla1[[#This Row],[utilidad x dia]]*7</f>
        <v>0</v>
      </c>
    </row>
    <row r="2373" spans="1:13" x14ac:dyDescent="0.3">
      <c r="A2373" s="6">
        <f>+'[1]VENTAS(RESUMEN GLOBAL)'!L2373</f>
        <v>0</v>
      </c>
      <c r="B2373" s="6">
        <f>+'[1]VENTAS(RESUMEN GLOBAL)'!M2373</f>
        <v>0</v>
      </c>
      <c r="C2373">
        <f>+'[1]VENTAS(RESUMEN GLOBAL)'!B2373</f>
        <v>0</v>
      </c>
      <c r="D2373" t="e">
        <f>INDEX('[1]CÓDIGOS DE PRODUCTO'!$D$3:$D$1000,MATCH(C2373,'[1]CÓDIGOS DE PRODUCTO'!$A$3:$A$1000,0))</f>
        <v>#N/A</v>
      </c>
      <c r="E2373">
        <f>VLOOKUP(C2373,'[1]CÓDIGOS DE PRODUCTO'!$A$4:$B$156,2,FALSE)</f>
        <v>0</v>
      </c>
      <c r="F2373">
        <f>INDEX('[1]CÓDIGOS DE PRODUCTO'!$C$3:$C$1000,MATCH(C2373,'[1]CÓDIGOS DE PRODUCTO'!$A$3:$A$1000,0))</f>
        <v>0</v>
      </c>
      <c r="G2373">
        <f>+'[1]VENTAS(RESUMEN GLOBAL)'!D2373-'[1]VENTAS(RESUMEN GLOBAL)'!E2373</f>
        <v>0</v>
      </c>
      <c r="H2373" s="9">
        <f>+'[1]VENTAS(RESUMEN GLOBAL)'!K2373</f>
        <v>0</v>
      </c>
      <c r="I2373" s="8">
        <f>+G2373*'[1]VENTAS(RESUMEN GLOBAL)'!F2373</f>
        <v>0</v>
      </c>
      <c r="J2373" s="8">
        <f>'[1]VENTAS(RESUMEN GLOBAL)'!G2373*(1-'[1]VENTAS(RESUMEN GLOBAL)'!H2373)</f>
        <v>0</v>
      </c>
      <c r="K2373" s="8">
        <f t="shared" si="37"/>
        <v>0</v>
      </c>
      <c r="L2373" s="8">
        <f>+'[1]VENTAS(RESUMEN GLOBAL)'!J2373</f>
        <v>0</v>
      </c>
      <c r="M2373" s="8">
        <f>+Tabla1[[#This Row],[utilidad x dia]]*7</f>
        <v>0</v>
      </c>
    </row>
    <row r="2374" spans="1:13" x14ac:dyDescent="0.3">
      <c r="A2374" s="6">
        <f>+'[1]VENTAS(RESUMEN GLOBAL)'!L2374</f>
        <v>0</v>
      </c>
      <c r="B2374" s="6">
        <f>+'[1]VENTAS(RESUMEN GLOBAL)'!M2374</f>
        <v>0</v>
      </c>
      <c r="C2374">
        <f>+'[1]VENTAS(RESUMEN GLOBAL)'!B2374</f>
        <v>0</v>
      </c>
      <c r="D2374" t="e">
        <f>INDEX('[1]CÓDIGOS DE PRODUCTO'!$D$3:$D$1000,MATCH(C2374,'[1]CÓDIGOS DE PRODUCTO'!$A$3:$A$1000,0))</f>
        <v>#N/A</v>
      </c>
      <c r="E2374">
        <f>VLOOKUP(C2374,'[1]CÓDIGOS DE PRODUCTO'!$A$4:$B$156,2,FALSE)</f>
        <v>0</v>
      </c>
      <c r="F2374">
        <f>INDEX('[1]CÓDIGOS DE PRODUCTO'!$C$3:$C$1000,MATCH(C2374,'[1]CÓDIGOS DE PRODUCTO'!$A$3:$A$1000,0))</f>
        <v>0</v>
      </c>
      <c r="G2374">
        <f>+'[1]VENTAS(RESUMEN GLOBAL)'!D2374-'[1]VENTAS(RESUMEN GLOBAL)'!E2374</f>
        <v>0</v>
      </c>
      <c r="H2374" s="9">
        <f>+'[1]VENTAS(RESUMEN GLOBAL)'!K2374</f>
        <v>0</v>
      </c>
      <c r="I2374" s="8">
        <f>+G2374*'[1]VENTAS(RESUMEN GLOBAL)'!F2374</f>
        <v>0</v>
      </c>
      <c r="J2374" s="8">
        <f>'[1]VENTAS(RESUMEN GLOBAL)'!G2374*(1-'[1]VENTAS(RESUMEN GLOBAL)'!H2374)</f>
        <v>0</v>
      </c>
      <c r="K2374" s="8">
        <f t="shared" si="37"/>
        <v>0</v>
      </c>
      <c r="L2374" s="8">
        <f>+'[1]VENTAS(RESUMEN GLOBAL)'!J2374</f>
        <v>0</v>
      </c>
      <c r="M2374" s="8">
        <f>+Tabla1[[#This Row],[utilidad x dia]]*7</f>
        <v>0</v>
      </c>
    </row>
    <row r="2375" spans="1:13" x14ac:dyDescent="0.3">
      <c r="A2375" s="6">
        <f>+'[1]VENTAS(RESUMEN GLOBAL)'!L2375</f>
        <v>0</v>
      </c>
      <c r="B2375" s="6">
        <f>+'[1]VENTAS(RESUMEN GLOBAL)'!M2375</f>
        <v>0</v>
      </c>
      <c r="C2375">
        <f>+'[1]VENTAS(RESUMEN GLOBAL)'!B2375</f>
        <v>0</v>
      </c>
      <c r="D2375" t="e">
        <f>INDEX('[1]CÓDIGOS DE PRODUCTO'!$D$3:$D$1000,MATCH(C2375,'[1]CÓDIGOS DE PRODUCTO'!$A$3:$A$1000,0))</f>
        <v>#N/A</v>
      </c>
      <c r="E2375">
        <f>VLOOKUP(C2375,'[1]CÓDIGOS DE PRODUCTO'!$A$4:$B$156,2,FALSE)</f>
        <v>0</v>
      </c>
      <c r="F2375">
        <f>INDEX('[1]CÓDIGOS DE PRODUCTO'!$C$3:$C$1000,MATCH(C2375,'[1]CÓDIGOS DE PRODUCTO'!$A$3:$A$1000,0))</f>
        <v>0</v>
      </c>
      <c r="G2375">
        <f>+'[1]VENTAS(RESUMEN GLOBAL)'!D2375-'[1]VENTAS(RESUMEN GLOBAL)'!E2375</f>
        <v>0</v>
      </c>
      <c r="H2375" s="9">
        <f>+'[1]VENTAS(RESUMEN GLOBAL)'!K2375</f>
        <v>0</v>
      </c>
      <c r="I2375" s="8">
        <f>+G2375*'[1]VENTAS(RESUMEN GLOBAL)'!F2375</f>
        <v>0</v>
      </c>
      <c r="J2375" s="8">
        <f>'[1]VENTAS(RESUMEN GLOBAL)'!G2375*(1-'[1]VENTAS(RESUMEN GLOBAL)'!H2375)</f>
        <v>0</v>
      </c>
      <c r="K2375" s="8">
        <f t="shared" si="37"/>
        <v>0</v>
      </c>
      <c r="L2375" s="8">
        <f>+'[1]VENTAS(RESUMEN GLOBAL)'!J2375</f>
        <v>0</v>
      </c>
      <c r="M2375" s="8">
        <f>+Tabla1[[#This Row],[utilidad x dia]]*7</f>
        <v>0</v>
      </c>
    </row>
    <row r="2376" spans="1:13" x14ac:dyDescent="0.3">
      <c r="A2376" s="6">
        <f>+'[1]VENTAS(RESUMEN GLOBAL)'!L2376</f>
        <v>0</v>
      </c>
      <c r="B2376" s="6">
        <f>+'[1]VENTAS(RESUMEN GLOBAL)'!M2376</f>
        <v>0</v>
      </c>
      <c r="C2376">
        <f>+'[1]VENTAS(RESUMEN GLOBAL)'!B2376</f>
        <v>0</v>
      </c>
      <c r="D2376" t="e">
        <f>INDEX('[1]CÓDIGOS DE PRODUCTO'!$D$3:$D$1000,MATCH(C2376,'[1]CÓDIGOS DE PRODUCTO'!$A$3:$A$1000,0))</f>
        <v>#N/A</v>
      </c>
      <c r="E2376">
        <f>VLOOKUP(C2376,'[1]CÓDIGOS DE PRODUCTO'!$A$4:$B$156,2,FALSE)</f>
        <v>0</v>
      </c>
      <c r="F2376">
        <f>INDEX('[1]CÓDIGOS DE PRODUCTO'!$C$3:$C$1000,MATCH(C2376,'[1]CÓDIGOS DE PRODUCTO'!$A$3:$A$1000,0))</f>
        <v>0</v>
      </c>
      <c r="G2376">
        <f>+'[1]VENTAS(RESUMEN GLOBAL)'!D2376-'[1]VENTAS(RESUMEN GLOBAL)'!E2376</f>
        <v>0</v>
      </c>
      <c r="H2376" s="9">
        <f>+'[1]VENTAS(RESUMEN GLOBAL)'!K2376</f>
        <v>0</v>
      </c>
      <c r="I2376" s="8">
        <f>+G2376*'[1]VENTAS(RESUMEN GLOBAL)'!F2376</f>
        <v>0</v>
      </c>
      <c r="J2376" s="8">
        <f>'[1]VENTAS(RESUMEN GLOBAL)'!G2376*(1-'[1]VENTAS(RESUMEN GLOBAL)'!H2376)</f>
        <v>0</v>
      </c>
      <c r="K2376" s="8">
        <f t="shared" si="37"/>
        <v>0</v>
      </c>
      <c r="L2376" s="8">
        <f>+'[1]VENTAS(RESUMEN GLOBAL)'!J2376</f>
        <v>0</v>
      </c>
      <c r="M2376" s="8">
        <f>+Tabla1[[#This Row],[utilidad x dia]]*7</f>
        <v>0</v>
      </c>
    </row>
    <row r="2377" spans="1:13" x14ac:dyDescent="0.3">
      <c r="A2377" s="6">
        <f>+'[1]VENTAS(RESUMEN GLOBAL)'!L2377</f>
        <v>0</v>
      </c>
      <c r="B2377" s="6">
        <f>+'[1]VENTAS(RESUMEN GLOBAL)'!M2377</f>
        <v>0</v>
      </c>
      <c r="C2377">
        <f>+'[1]VENTAS(RESUMEN GLOBAL)'!B2377</f>
        <v>0</v>
      </c>
      <c r="D2377" t="e">
        <f>INDEX('[1]CÓDIGOS DE PRODUCTO'!$D$3:$D$1000,MATCH(C2377,'[1]CÓDIGOS DE PRODUCTO'!$A$3:$A$1000,0))</f>
        <v>#N/A</v>
      </c>
      <c r="E2377">
        <f>VLOOKUP(C2377,'[1]CÓDIGOS DE PRODUCTO'!$A$4:$B$156,2,FALSE)</f>
        <v>0</v>
      </c>
      <c r="F2377">
        <f>INDEX('[1]CÓDIGOS DE PRODUCTO'!$C$3:$C$1000,MATCH(C2377,'[1]CÓDIGOS DE PRODUCTO'!$A$3:$A$1000,0))</f>
        <v>0</v>
      </c>
      <c r="G2377">
        <f>+'[1]VENTAS(RESUMEN GLOBAL)'!D2377-'[1]VENTAS(RESUMEN GLOBAL)'!E2377</f>
        <v>0</v>
      </c>
      <c r="H2377" s="9">
        <f>+'[1]VENTAS(RESUMEN GLOBAL)'!K2377</f>
        <v>0</v>
      </c>
      <c r="I2377" s="8">
        <f>+G2377*'[1]VENTAS(RESUMEN GLOBAL)'!F2377</f>
        <v>0</v>
      </c>
      <c r="J2377" s="8">
        <f>'[1]VENTAS(RESUMEN GLOBAL)'!G2377*(1-'[1]VENTAS(RESUMEN GLOBAL)'!H2377)</f>
        <v>0</v>
      </c>
      <c r="K2377" s="8">
        <f t="shared" si="37"/>
        <v>0</v>
      </c>
      <c r="L2377" s="8">
        <f>+'[1]VENTAS(RESUMEN GLOBAL)'!J2377</f>
        <v>0</v>
      </c>
      <c r="M2377" s="8">
        <f>+Tabla1[[#This Row],[utilidad x dia]]*7</f>
        <v>0</v>
      </c>
    </row>
    <row r="2378" spans="1:13" x14ac:dyDescent="0.3">
      <c r="A2378" s="6">
        <f>+'[1]VENTAS(RESUMEN GLOBAL)'!L2378</f>
        <v>0</v>
      </c>
      <c r="B2378" s="6">
        <f>+'[1]VENTAS(RESUMEN GLOBAL)'!M2378</f>
        <v>0</v>
      </c>
      <c r="C2378">
        <f>+'[1]VENTAS(RESUMEN GLOBAL)'!B2378</f>
        <v>0</v>
      </c>
      <c r="D2378" t="e">
        <f>INDEX('[1]CÓDIGOS DE PRODUCTO'!$D$3:$D$1000,MATCH(C2378,'[1]CÓDIGOS DE PRODUCTO'!$A$3:$A$1000,0))</f>
        <v>#N/A</v>
      </c>
      <c r="E2378">
        <f>VLOOKUP(C2378,'[1]CÓDIGOS DE PRODUCTO'!$A$4:$B$156,2,FALSE)</f>
        <v>0</v>
      </c>
      <c r="F2378">
        <f>INDEX('[1]CÓDIGOS DE PRODUCTO'!$C$3:$C$1000,MATCH(C2378,'[1]CÓDIGOS DE PRODUCTO'!$A$3:$A$1000,0))</f>
        <v>0</v>
      </c>
      <c r="G2378">
        <f>+'[1]VENTAS(RESUMEN GLOBAL)'!D2378-'[1]VENTAS(RESUMEN GLOBAL)'!E2378</f>
        <v>0</v>
      </c>
      <c r="H2378" s="9">
        <f>+'[1]VENTAS(RESUMEN GLOBAL)'!K2378</f>
        <v>0</v>
      </c>
      <c r="I2378" s="8">
        <f>+G2378*'[1]VENTAS(RESUMEN GLOBAL)'!F2378</f>
        <v>0</v>
      </c>
      <c r="J2378" s="8">
        <f>'[1]VENTAS(RESUMEN GLOBAL)'!G2378*(1-'[1]VENTAS(RESUMEN GLOBAL)'!H2378)</f>
        <v>0</v>
      </c>
      <c r="K2378" s="8">
        <f t="shared" si="37"/>
        <v>0</v>
      </c>
      <c r="L2378" s="8">
        <f>+'[1]VENTAS(RESUMEN GLOBAL)'!J2378</f>
        <v>0</v>
      </c>
      <c r="M2378" s="8">
        <f>+Tabla1[[#This Row],[utilidad x dia]]*7</f>
        <v>0</v>
      </c>
    </row>
    <row r="2379" spans="1:13" x14ac:dyDescent="0.3">
      <c r="A2379" s="6">
        <f>+'[1]VENTAS(RESUMEN GLOBAL)'!L2379</f>
        <v>0</v>
      </c>
      <c r="B2379" s="6">
        <f>+'[1]VENTAS(RESUMEN GLOBAL)'!M2379</f>
        <v>0</v>
      </c>
      <c r="C2379">
        <f>+'[1]VENTAS(RESUMEN GLOBAL)'!B2379</f>
        <v>0</v>
      </c>
      <c r="D2379" t="e">
        <f>INDEX('[1]CÓDIGOS DE PRODUCTO'!$D$3:$D$1000,MATCH(C2379,'[1]CÓDIGOS DE PRODUCTO'!$A$3:$A$1000,0))</f>
        <v>#N/A</v>
      </c>
      <c r="E2379">
        <f>VLOOKUP(C2379,'[1]CÓDIGOS DE PRODUCTO'!$A$4:$B$156,2,FALSE)</f>
        <v>0</v>
      </c>
      <c r="F2379">
        <f>INDEX('[1]CÓDIGOS DE PRODUCTO'!$C$3:$C$1000,MATCH(C2379,'[1]CÓDIGOS DE PRODUCTO'!$A$3:$A$1000,0))</f>
        <v>0</v>
      </c>
      <c r="G2379">
        <f>+'[1]VENTAS(RESUMEN GLOBAL)'!D2379-'[1]VENTAS(RESUMEN GLOBAL)'!E2379</f>
        <v>0</v>
      </c>
      <c r="H2379" s="9">
        <f>+'[1]VENTAS(RESUMEN GLOBAL)'!K2379</f>
        <v>0</v>
      </c>
      <c r="I2379" s="8">
        <f>+G2379*'[1]VENTAS(RESUMEN GLOBAL)'!F2379</f>
        <v>0</v>
      </c>
      <c r="J2379" s="8">
        <f>'[1]VENTAS(RESUMEN GLOBAL)'!G2379*(1-'[1]VENTAS(RESUMEN GLOBAL)'!H2379)</f>
        <v>0</v>
      </c>
      <c r="K2379" s="8">
        <f t="shared" si="37"/>
        <v>0</v>
      </c>
      <c r="L2379" s="8">
        <f>+'[1]VENTAS(RESUMEN GLOBAL)'!J2379</f>
        <v>0</v>
      </c>
      <c r="M2379" s="8">
        <f>+Tabla1[[#This Row],[utilidad x dia]]*7</f>
        <v>0</v>
      </c>
    </row>
    <row r="2380" spans="1:13" x14ac:dyDescent="0.3">
      <c r="A2380" s="6">
        <f>+'[1]VENTAS(RESUMEN GLOBAL)'!L2380</f>
        <v>0</v>
      </c>
      <c r="B2380" s="6">
        <f>+'[1]VENTAS(RESUMEN GLOBAL)'!M2380</f>
        <v>0</v>
      </c>
      <c r="C2380">
        <f>+'[1]VENTAS(RESUMEN GLOBAL)'!B2380</f>
        <v>0</v>
      </c>
      <c r="D2380" t="e">
        <f>INDEX('[1]CÓDIGOS DE PRODUCTO'!$D$3:$D$1000,MATCH(C2380,'[1]CÓDIGOS DE PRODUCTO'!$A$3:$A$1000,0))</f>
        <v>#N/A</v>
      </c>
      <c r="E2380">
        <f>VLOOKUP(C2380,'[1]CÓDIGOS DE PRODUCTO'!$A$4:$B$156,2,FALSE)</f>
        <v>0</v>
      </c>
      <c r="F2380">
        <f>INDEX('[1]CÓDIGOS DE PRODUCTO'!$C$3:$C$1000,MATCH(C2380,'[1]CÓDIGOS DE PRODUCTO'!$A$3:$A$1000,0))</f>
        <v>0</v>
      </c>
      <c r="G2380">
        <f>+'[1]VENTAS(RESUMEN GLOBAL)'!D2380-'[1]VENTAS(RESUMEN GLOBAL)'!E2380</f>
        <v>0</v>
      </c>
      <c r="H2380" s="9">
        <f>+'[1]VENTAS(RESUMEN GLOBAL)'!K2380</f>
        <v>0</v>
      </c>
      <c r="I2380" s="8">
        <f>+G2380*'[1]VENTAS(RESUMEN GLOBAL)'!F2380</f>
        <v>0</v>
      </c>
      <c r="J2380" s="8">
        <f>'[1]VENTAS(RESUMEN GLOBAL)'!G2380*(1-'[1]VENTAS(RESUMEN GLOBAL)'!H2380)</f>
        <v>0</v>
      </c>
      <c r="K2380" s="8">
        <f t="shared" si="37"/>
        <v>0</v>
      </c>
      <c r="L2380" s="8">
        <f>+'[1]VENTAS(RESUMEN GLOBAL)'!J2380</f>
        <v>0</v>
      </c>
      <c r="M2380" s="8">
        <f>+Tabla1[[#This Row],[utilidad x dia]]*7</f>
        <v>0</v>
      </c>
    </row>
    <row r="2381" spans="1:13" x14ac:dyDescent="0.3">
      <c r="A2381" s="6">
        <f>+'[1]VENTAS(RESUMEN GLOBAL)'!L2381</f>
        <v>0</v>
      </c>
      <c r="B2381" s="6">
        <f>+'[1]VENTAS(RESUMEN GLOBAL)'!M2381</f>
        <v>0</v>
      </c>
      <c r="C2381">
        <f>+'[1]VENTAS(RESUMEN GLOBAL)'!B2381</f>
        <v>0</v>
      </c>
      <c r="D2381" t="e">
        <f>INDEX('[1]CÓDIGOS DE PRODUCTO'!$D$3:$D$1000,MATCH(C2381,'[1]CÓDIGOS DE PRODUCTO'!$A$3:$A$1000,0))</f>
        <v>#N/A</v>
      </c>
      <c r="E2381">
        <f>VLOOKUP(C2381,'[1]CÓDIGOS DE PRODUCTO'!$A$4:$B$156,2,FALSE)</f>
        <v>0</v>
      </c>
      <c r="F2381">
        <f>INDEX('[1]CÓDIGOS DE PRODUCTO'!$C$3:$C$1000,MATCH(C2381,'[1]CÓDIGOS DE PRODUCTO'!$A$3:$A$1000,0))</f>
        <v>0</v>
      </c>
      <c r="G2381">
        <f>+'[1]VENTAS(RESUMEN GLOBAL)'!D2381-'[1]VENTAS(RESUMEN GLOBAL)'!E2381</f>
        <v>0</v>
      </c>
      <c r="H2381" s="9">
        <f>+'[1]VENTAS(RESUMEN GLOBAL)'!K2381</f>
        <v>0</v>
      </c>
      <c r="I2381" s="8">
        <f>+G2381*'[1]VENTAS(RESUMEN GLOBAL)'!F2381</f>
        <v>0</v>
      </c>
      <c r="J2381" s="8">
        <f>'[1]VENTAS(RESUMEN GLOBAL)'!G2381*(1-'[1]VENTAS(RESUMEN GLOBAL)'!H2381)</f>
        <v>0</v>
      </c>
      <c r="K2381" s="8">
        <f t="shared" si="37"/>
        <v>0</v>
      </c>
      <c r="L2381" s="8">
        <f>+'[1]VENTAS(RESUMEN GLOBAL)'!J2381</f>
        <v>0</v>
      </c>
      <c r="M2381" s="8">
        <f>+Tabla1[[#This Row],[utilidad x dia]]*7</f>
        <v>0</v>
      </c>
    </row>
    <row r="2382" spans="1:13" x14ac:dyDescent="0.3">
      <c r="A2382" s="6">
        <f>+'[1]VENTAS(RESUMEN GLOBAL)'!L2382</f>
        <v>0</v>
      </c>
      <c r="B2382" s="6">
        <f>+'[1]VENTAS(RESUMEN GLOBAL)'!M2382</f>
        <v>0</v>
      </c>
      <c r="C2382">
        <f>+'[1]VENTAS(RESUMEN GLOBAL)'!B2382</f>
        <v>0</v>
      </c>
      <c r="D2382" t="e">
        <f>INDEX('[1]CÓDIGOS DE PRODUCTO'!$D$3:$D$1000,MATCH(C2382,'[1]CÓDIGOS DE PRODUCTO'!$A$3:$A$1000,0))</f>
        <v>#N/A</v>
      </c>
      <c r="E2382">
        <f>VLOOKUP(C2382,'[1]CÓDIGOS DE PRODUCTO'!$A$4:$B$156,2,FALSE)</f>
        <v>0</v>
      </c>
      <c r="F2382">
        <f>INDEX('[1]CÓDIGOS DE PRODUCTO'!$C$3:$C$1000,MATCH(C2382,'[1]CÓDIGOS DE PRODUCTO'!$A$3:$A$1000,0))</f>
        <v>0</v>
      </c>
      <c r="G2382">
        <f>+'[1]VENTAS(RESUMEN GLOBAL)'!D2382-'[1]VENTAS(RESUMEN GLOBAL)'!E2382</f>
        <v>0</v>
      </c>
      <c r="H2382" s="9">
        <f>+'[1]VENTAS(RESUMEN GLOBAL)'!K2382</f>
        <v>0</v>
      </c>
      <c r="I2382" s="8">
        <f>+G2382*'[1]VENTAS(RESUMEN GLOBAL)'!F2382</f>
        <v>0</v>
      </c>
      <c r="J2382" s="8">
        <f>'[1]VENTAS(RESUMEN GLOBAL)'!G2382*(1-'[1]VENTAS(RESUMEN GLOBAL)'!H2382)</f>
        <v>0</v>
      </c>
      <c r="K2382" s="8">
        <f t="shared" si="37"/>
        <v>0</v>
      </c>
      <c r="L2382" s="8">
        <f>+'[1]VENTAS(RESUMEN GLOBAL)'!J2382</f>
        <v>0</v>
      </c>
      <c r="M2382" s="8">
        <f>+Tabla1[[#This Row],[utilidad x dia]]*7</f>
        <v>0</v>
      </c>
    </row>
    <row r="2383" spans="1:13" x14ac:dyDescent="0.3">
      <c r="A2383" s="6">
        <f>+'[1]VENTAS(RESUMEN GLOBAL)'!L2383</f>
        <v>0</v>
      </c>
      <c r="B2383" s="6">
        <f>+'[1]VENTAS(RESUMEN GLOBAL)'!M2383</f>
        <v>0</v>
      </c>
      <c r="C2383">
        <f>+'[1]VENTAS(RESUMEN GLOBAL)'!B2383</f>
        <v>0</v>
      </c>
      <c r="D2383" t="e">
        <f>INDEX('[1]CÓDIGOS DE PRODUCTO'!$D$3:$D$1000,MATCH(C2383,'[1]CÓDIGOS DE PRODUCTO'!$A$3:$A$1000,0))</f>
        <v>#N/A</v>
      </c>
      <c r="E2383">
        <f>VLOOKUP(C2383,'[1]CÓDIGOS DE PRODUCTO'!$A$4:$B$156,2,FALSE)</f>
        <v>0</v>
      </c>
      <c r="F2383">
        <f>INDEX('[1]CÓDIGOS DE PRODUCTO'!$C$3:$C$1000,MATCH(C2383,'[1]CÓDIGOS DE PRODUCTO'!$A$3:$A$1000,0))</f>
        <v>0</v>
      </c>
      <c r="G2383">
        <f>+'[1]VENTAS(RESUMEN GLOBAL)'!D2383-'[1]VENTAS(RESUMEN GLOBAL)'!E2383</f>
        <v>0</v>
      </c>
      <c r="H2383" s="9">
        <f>+'[1]VENTAS(RESUMEN GLOBAL)'!K2383</f>
        <v>0</v>
      </c>
      <c r="I2383" s="8">
        <f>+G2383*'[1]VENTAS(RESUMEN GLOBAL)'!F2383</f>
        <v>0</v>
      </c>
      <c r="J2383" s="8">
        <f>'[1]VENTAS(RESUMEN GLOBAL)'!G2383*(1-'[1]VENTAS(RESUMEN GLOBAL)'!H2383)</f>
        <v>0</v>
      </c>
      <c r="K2383" s="8">
        <f t="shared" si="37"/>
        <v>0</v>
      </c>
      <c r="L2383" s="8">
        <f>+'[1]VENTAS(RESUMEN GLOBAL)'!J2383</f>
        <v>0</v>
      </c>
      <c r="M2383" s="8">
        <f>+Tabla1[[#This Row],[utilidad x dia]]*7</f>
        <v>0</v>
      </c>
    </row>
    <row r="2384" spans="1:13" x14ac:dyDescent="0.3">
      <c r="A2384" s="6">
        <f>+'[1]VENTAS(RESUMEN GLOBAL)'!L2384</f>
        <v>0</v>
      </c>
      <c r="B2384" s="6">
        <f>+'[1]VENTAS(RESUMEN GLOBAL)'!M2384</f>
        <v>0</v>
      </c>
      <c r="C2384">
        <f>+'[1]VENTAS(RESUMEN GLOBAL)'!B2384</f>
        <v>0</v>
      </c>
      <c r="D2384" t="e">
        <f>INDEX('[1]CÓDIGOS DE PRODUCTO'!$D$3:$D$1000,MATCH(C2384,'[1]CÓDIGOS DE PRODUCTO'!$A$3:$A$1000,0))</f>
        <v>#N/A</v>
      </c>
      <c r="E2384">
        <f>VLOOKUP(C2384,'[1]CÓDIGOS DE PRODUCTO'!$A$4:$B$156,2,FALSE)</f>
        <v>0</v>
      </c>
      <c r="F2384">
        <f>INDEX('[1]CÓDIGOS DE PRODUCTO'!$C$3:$C$1000,MATCH(C2384,'[1]CÓDIGOS DE PRODUCTO'!$A$3:$A$1000,0))</f>
        <v>0</v>
      </c>
      <c r="G2384">
        <f>+'[1]VENTAS(RESUMEN GLOBAL)'!D2384-'[1]VENTAS(RESUMEN GLOBAL)'!E2384</f>
        <v>0</v>
      </c>
      <c r="H2384" s="9">
        <f>+'[1]VENTAS(RESUMEN GLOBAL)'!K2384</f>
        <v>0</v>
      </c>
      <c r="I2384" s="8">
        <f>+G2384*'[1]VENTAS(RESUMEN GLOBAL)'!F2384</f>
        <v>0</v>
      </c>
      <c r="J2384" s="8">
        <f>'[1]VENTAS(RESUMEN GLOBAL)'!G2384*(1-'[1]VENTAS(RESUMEN GLOBAL)'!H2384)</f>
        <v>0</v>
      </c>
      <c r="K2384" s="8">
        <f t="shared" si="37"/>
        <v>0</v>
      </c>
      <c r="L2384" s="8">
        <f>+'[1]VENTAS(RESUMEN GLOBAL)'!J2384</f>
        <v>0</v>
      </c>
      <c r="M2384" s="8">
        <f>+Tabla1[[#This Row],[utilidad x dia]]*7</f>
        <v>0</v>
      </c>
    </row>
    <row r="2385" spans="1:13" x14ac:dyDescent="0.3">
      <c r="A2385" s="6">
        <f>+'[1]VENTAS(RESUMEN GLOBAL)'!L2385</f>
        <v>0</v>
      </c>
      <c r="B2385" s="6">
        <f>+'[1]VENTAS(RESUMEN GLOBAL)'!M2385</f>
        <v>0</v>
      </c>
      <c r="C2385">
        <f>+'[1]VENTAS(RESUMEN GLOBAL)'!B2385</f>
        <v>0</v>
      </c>
      <c r="D2385" t="e">
        <f>INDEX('[1]CÓDIGOS DE PRODUCTO'!$D$3:$D$1000,MATCH(C2385,'[1]CÓDIGOS DE PRODUCTO'!$A$3:$A$1000,0))</f>
        <v>#N/A</v>
      </c>
      <c r="E2385">
        <f>VLOOKUP(C2385,'[1]CÓDIGOS DE PRODUCTO'!$A$4:$B$156,2,FALSE)</f>
        <v>0</v>
      </c>
      <c r="F2385">
        <f>INDEX('[1]CÓDIGOS DE PRODUCTO'!$C$3:$C$1000,MATCH(C2385,'[1]CÓDIGOS DE PRODUCTO'!$A$3:$A$1000,0))</f>
        <v>0</v>
      </c>
      <c r="G2385">
        <f>+'[1]VENTAS(RESUMEN GLOBAL)'!D2385-'[1]VENTAS(RESUMEN GLOBAL)'!E2385</f>
        <v>0</v>
      </c>
      <c r="H2385" s="9">
        <f>+'[1]VENTAS(RESUMEN GLOBAL)'!K2385</f>
        <v>0</v>
      </c>
      <c r="I2385" s="8">
        <f>+G2385*'[1]VENTAS(RESUMEN GLOBAL)'!F2385</f>
        <v>0</v>
      </c>
      <c r="J2385" s="8">
        <f>'[1]VENTAS(RESUMEN GLOBAL)'!G2385*(1-'[1]VENTAS(RESUMEN GLOBAL)'!H2385)</f>
        <v>0</v>
      </c>
      <c r="K2385" s="8">
        <f t="shared" si="37"/>
        <v>0</v>
      </c>
      <c r="L2385" s="8">
        <f>+'[1]VENTAS(RESUMEN GLOBAL)'!J2385</f>
        <v>0</v>
      </c>
      <c r="M2385" s="8">
        <f>+Tabla1[[#This Row],[utilidad x dia]]*7</f>
        <v>0</v>
      </c>
    </row>
    <row r="2386" spans="1:13" x14ac:dyDescent="0.3">
      <c r="A2386" s="6">
        <f>+'[1]VENTAS(RESUMEN GLOBAL)'!L2386</f>
        <v>0</v>
      </c>
      <c r="B2386" s="6">
        <f>+'[1]VENTAS(RESUMEN GLOBAL)'!M2386</f>
        <v>0</v>
      </c>
      <c r="C2386">
        <f>+'[1]VENTAS(RESUMEN GLOBAL)'!B2386</f>
        <v>0</v>
      </c>
      <c r="D2386" t="e">
        <f>INDEX('[1]CÓDIGOS DE PRODUCTO'!$D$3:$D$1000,MATCH(C2386,'[1]CÓDIGOS DE PRODUCTO'!$A$3:$A$1000,0))</f>
        <v>#N/A</v>
      </c>
      <c r="E2386">
        <f>VLOOKUP(C2386,'[1]CÓDIGOS DE PRODUCTO'!$A$4:$B$156,2,FALSE)</f>
        <v>0</v>
      </c>
      <c r="F2386">
        <f>INDEX('[1]CÓDIGOS DE PRODUCTO'!$C$3:$C$1000,MATCH(C2386,'[1]CÓDIGOS DE PRODUCTO'!$A$3:$A$1000,0))</f>
        <v>0</v>
      </c>
      <c r="G2386">
        <f>+'[1]VENTAS(RESUMEN GLOBAL)'!D2386-'[1]VENTAS(RESUMEN GLOBAL)'!E2386</f>
        <v>0</v>
      </c>
      <c r="H2386" s="9">
        <f>+'[1]VENTAS(RESUMEN GLOBAL)'!K2386</f>
        <v>0</v>
      </c>
      <c r="I2386" s="8">
        <f>+G2386*'[1]VENTAS(RESUMEN GLOBAL)'!F2386</f>
        <v>0</v>
      </c>
      <c r="J2386" s="8">
        <f>'[1]VENTAS(RESUMEN GLOBAL)'!G2386*(1-'[1]VENTAS(RESUMEN GLOBAL)'!H2386)</f>
        <v>0</v>
      </c>
      <c r="K2386" s="8">
        <f t="shared" si="37"/>
        <v>0</v>
      </c>
      <c r="L2386" s="8">
        <f>+'[1]VENTAS(RESUMEN GLOBAL)'!J2386</f>
        <v>0</v>
      </c>
      <c r="M2386" s="8">
        <f>+Tabla1[[#This Row],[utilidad x dia]]*7</f>
        <v>0</v>
      </c>
    </row>
    <row r="2387" spans="1:13" x14ac:dyDescent="0.3">
      <c r="A2387" s="6">
        <f>+'[1]VENTAS(RESUMEN GLOBAL)'!L2387</f>
        <v>0</v>
      </c>
      <c r="B2387" s="6">
        <f>+'[1]VENTAS(RESUMEN GLOBAL)'!M2387</f>
        <v>0</v>
      </c>
      <c r="C2387">
        <f>+'[1]VENTAS(RESUMEN GLOBAL)'!B2387</f>
        <v>0</v>
      </c>
      <c r="D2387" t="e">
        <f>INDEX('[1]CÓDIGOS DE PRODUCTO'!$D$3:$D$1000,MATCH(C2387,'[1]CÓDIGOS DE PRODUCTO'!$A$3:$A$1000,0))</f>
        <v>#N/A</v>
      </c>
      <c r="E2387">
        <f>VLOOKUP(C2387,'[1]CÓDIGOS DE PRODUCTO'!$A$4:$B$156,2,FALSE)</f>
        <v>0</v>
      </c>
      <c r="F2387">
        <f>INDEX('[1]CÓDIGOS DE PRODUCTO'!$C$3:$C$1000,MATCH(C2387,'[1]CÓDIGOS DE PRODUCTO'!$A$3:$A$1000,0))</f>
        <v>0</v>
      </c>
      <c r="G2387">
        <f>+'[1]VENTAS(RESUMEN GLOBAL)'!D2387-'[1]VENTAS(RESUMEN GLOBAL)'!E2387</f>
        <v>0</v>
      </c>
      <c r="H2387" s="9">
        <f>+'[1]VENTAS(RESUMEN GLOBAL)'!K2387</f>
        <v>0</v>
      </c>
      <c r="I2387" s="8">
        <f>+G2387*'[1]VENTAS(RESUMEN GLOBAL)'!F2387</f>
        <v>0</v>
      </c>
      <c r="J2387" s="8">
        <f>'[1]VENTAS(RESUMEN GLOBAL)'!G2387*(1-'[1]VENTAS(RESUMEN GLOBAL)'!H2387)</f>
        <v>0</v>
      </c>
      <c r="K2387" s="8">
        <f t="shared" si="37"/>
        <v>0</v>
      </c>
      <c r="L2387" s="8">
        <f>+'[1]VENTAS(RESUMEN GLOBAL)'!J2387</f>
        <v>0</v>
      </c>
      <c r="M2387" s="8">
        <f>+Tabla1[[#This Row],[utilidad x dia]]*7</f>
        <v>0</v>
      </c>
    </row>
    <row r="2388" spans="1:13" x14ac:dyDescent="0.3">
      <c r="A2388" s="6">
        <f>+'[1]VENTAS(RESUMEN GLOBAL)'!L2388</f>
        <v>0</v>
      </c>
      <c r="B2388" s="6">
        <f>+'[1]VENTAS(RESUMEN GLOBAL)'!M2388</f>
        <v>0</v>
      </c>
      <c r="C2388">
        <f>+'[1]VENTAS(RESUMEN GLOBAL)'!B2388</f>
        <v>0</v>
      </c>
      <c r="D2388" t="e">
        <f>INDEX('[1]CÓDIGOS DE PRODUCTO'!$D$3:$D$1000,MATCH(C2388,'[1]CÓDIGOS DE PRODUCTO'!$A$3:$A$1000,0))</f>
        <v>#N/A</v>
      </c>
      <c r="E2388">
        <f>VLOOKUP(C2388,'[1]CÓDIGOS DE PRODUCTO'!$A$4:$B$156,2,FALSE)</f>
        <v>0</v>
      </c>
      <c r="F2388">
        <f>INDEX('[1]CÓDIGOS DE PRODUCTO'!$C$3:$C$1000,MATCH(C2388,'[1]CÓDIGOS DE PRODUCTO'!$A$3:$A$1000,0))</f>
        <v>0</v>
      </c>
      <c r="G2388">
        <f>+'[1]VENTAS(RESUMEN GLOBAL)'!D2388-'[1]VENTAS(RESUMEN GLOBAL)'!E2388</f>
        <v>0</v>
      </c>
      <c r="H2388" s="9">
        <f>+'[1]VENTAS(RESUMEN GLOBAL)'!K2388</f>
        <v>0</v>
      </c>
      <c r="I2388" s="8">
        <f>+G2388*'[1]VENTAS(RESUMEN GLOBAL)'!F2388</f>
        <v>0</v>
      </c>
      <c r="J2388" s="8">
        <f>'[1]VENTAS(RESUMEN GLOBAL)'!G2388*(1-'[1]VENTAS(RESUMEN GLOBAL)'!H2388)</f>
        <v>0</v>
      </c>
      <c r="K2388" s="8">
        <f t="shared" si="37"/>
        <v>0</v>
      </c>
      <c r="L2388" s="8">
        <f>+'[1]VENTAS(RESUMEN GLOBAL)'!J2388</f>
        <v>0</v>
      </c>
      <c r="M2388" s="8">
        <f>+Tabla1[[#This Row],[utilidad x dia]]*7</f>
        <v>0</v>
      </c>
    </row>
    <row r="2389" spans="1:13" x14ac:dyDescent="0.3">
      <c r="A2389" s="6">
        <f>+'[1]VENTAS(RESUMEN GLOBAL)'!L2389</f>
        <v>0</v>
      </c>
      <c r="B2389" s="6">
        <f>+'[1]VENTAS(RESUMEN GLOBAL)'!M2389</f>
        <v>0</v>
      </c>
      <c r="C2389">
        <f>+'[1]VENTAS(RESUMEN GLOBAL)'!B2389</f>
        <v>0</v>
      </c>
      <c r="D2389" t="e">
        <f>INDEX('[1]CÓDIGOS DE PRODUCTO'!$D$3:$D$1000,MATCH(C2389,'[1]CÓDIGOS DE PRODUCTO'!$A$3:$A$1000,0))</f>
        <v>#N/A</v>
      </c>
      <c r="E2389">
        <f>VLOOKUP(C2389,'[1]CÓDIGOS DE PRODUCTO'!$A$4:$B$156,2,FALSE)</f>
        <v>0</v>
      </c>
      <c r="F2389">
        <f>INDEX('[1]CÓDIGOS DE PRODUCTO'!$C$3:$C$1000,MATCH(C2389,'[1]CÓDIGOS DE PRODUCTO'!$A$3:$A$1000,0))</f>
        <v>0</v>
      </c>
      <c r="G2389">
        <f>+'[1]VENTAS(RESUMEN GLOBAL)'!D2389-'[1]VENTAS(RESUMEN GLOBAL)'!E2389</f>
        <v>0</v>
      </c>
      <c r="H2389" s="9">
        <f>+'[1]VENTAS(RESUMEN GLOBAL)'!K2389</f>
        <v>0</v>
      </c>
      <c r="I2389" s="8">
        <f>+G2389*'[1]VENTAS(RESUMEN GLOBAL)'!F2389</f>
        <v>0</v>
      </c>
      <c r="J2389" s="8">
        <f>'[1]VENTAS(RESUMEN GLOBAL)'!G2389*(1-'[1]VENTAS(RESUMEN GLOBAL)'!H2389)</f>
        <v>0</v>
      </c>
      <c r="K2389" s="8">
        <f t="shared" si="37"/>
        <v>0</v>
      </c>
      <c r="L2389" s="8">
        <f>+'[1]VENTAS(RESUMEN GLOBAL)'!J2389</f>
        <v>0</v>
      </c>
      <c r="M2389" s="8">
        <f>+Tabla1[[#This Row],[utilidad x dia]]*7</f>
        <v>0</v>
      </c>
    </row>
    <row r="2390" spans="1:13" x14ac:dyDescent="0.3">
      <c r="A2390" s="6">
        <f>+'[1]VENTAS(RESUMEN GLOBAL)'!L2390</f>
        <v>0</v>
      </c>
      <c r="B2390" s="6">
        <f>+'[1]VENTAS(RESUMEN GLOBAL)'!M2390</f>
        <v>0</v>
      </c>
      <c r="C2390">
        <f>+'[1]VENTAS(RESUMEN GLOBAL)'!B2390</f>
        <v>0</v>
      </c>
      <c r="D2390" t="e">
        <f>INDEX('[1]CÓDIGOS DE PRODUCTO'!$D$3:$D$1000,MATCH(C2390,'[1]CÓDIGOS DE PRODUCTO'!$A$3:$A$1000,0))</f>
        <v>#N/A</v>
      </c>
      <c r="E2390">
        <f>VLOOKUP(C2390,'[1]CÓDIGOS DE PRODUCTO'!$A$4:$B$156,2,FALSE)</f>
        <v>0</v>
      </c>
      <c r="F2390">
        <f>INDEX('[1]CÓDIGOS DE PRODUCTO'!$C$3:$C$1000,MATCH(C2390,'[1]CÓDIGOS DE PRODUCTO'!$A$3:$A$1000,0))</f>
        <v>0</v>
      </c>
      <c r="G2390">
        <f>+'[1]VENTAS(RESUMEN GLOBAL)'!D2390-'[1]VENTAS(RESUMEN GLOBAL)'!E2390</f>
        <v>0</v>
      </c>
      <c r="H2390" s="9">
        <f>+'[1]VENTAS(RESUMEN GLOBAL)'!K2390</f>
        <v>0</v>
      </c>
      <c r="I2390" s="8">
        <f>+G2390*'[1]VENTAS(RESUMEN GLOBAL)'!F2390</f>
        <v>0</v>
      </c>
      <c r="J2390" s="8">
        <f>'[1]VENTAS(RESUMEN GLOBAL)'!G2390*(1-'[1]VENTAS(RESUMEN GLOBAL)'!H2390)</f>
        <v>0</v>
      </c>
      <c r="K2390" s="8">
        <f t="shared" si="37"/>
        <v>0</v>
      </c>
      <c r="L2390" s="8">
        <f>+'[1]VENTAS(RESUMEN GLOBAL)'!J2390</f>
        <v>0</v>
      </c>
      <c r="M2390" s="8">
        <f>+Tabla1[[#This Row],[utilidad x dia]]*7</f>
        <v>0</v>
      </c>
    </row>
    <row r="2391" spans="1:13" x14ac:dyDescent="0.3">
      <c r="A2391" s="6">
        <f>+'[1]VENTAS(RESUMEN GLOBAL)'!L2391</f>
        <v>0</v>
      </c>
      <c r="B2391" s="6">
        <f>+'[1]VENTAS(RESUMEN GLOBAL)'!M2391</f>
        <v>0</v>
      </c>
      <c r="C2391">
        <f>+'[1]VENTAS(RESUMEN GLOBAL)'!B2391</f>
        <v>0</v>
      </c>
      <c r="D2391" t="e">
        <f>INDEX('[1]CÓDIGOS DE PRODUCTO'!$D$3:$D$1000,MATCH(C2391,'[1]CÓDIGOS DE PRODUCTO'!$A$3:$A$1000,0))</f>
        <v>#N/A</v>
      </c>
      <c r="E2391">
        <f>VLOOKUP(C2391,'[1]CÓDIGOS DE PRODUCTO'!$A$4:$B$156,2,FALSE)</f>
        <v>0</v>
      </c>
      <c r="F2391">
        <f>INDEX('[1]CÓDIGOS DE PRODUCTO'!$C$3:$C$1000,MATCH(C2391,'[1]CÓDIGOS DE PRODUCTO'!$A$3:$A$1000,0))</f>
        <v>0</v>
      </c>
      <c r="G2391">
        <f>+'[1]VENTAS(RESUMEN GLOBAL)'!D2391-'[1]VENTAS(RESUMEN GLOBAL)'!E2391</f>
        <v>0</v>
      </c>
      <c r="H2391" s="9">
        <f>+'[1]VENTAS(RESUMEN GLOBAL)'!K2391</f>
        <v>0</v>
      </c>
      <c r="I2391" s="8">
        <f>+G2391*'[1]VENTAS(RESUMEN GLOBAL)'!F2391</f>
        <v>0</v>
      </c>
      <c r="J2391" s="8">
        <f>'[1]VENTAS(RESUMEN GLOBAL)'!G2391*(1-'[1]VENTAS(RESUMEN GLOBAL)'!H2391)</f>
        <v>0</v>
      </c>
      <c r="K2391" s="8">
        <f t="shared" si="37"/>
        <v>0</v>
      </c>
      <c r="L2391" s="8">
        <f>+'[1]VENTAS(RESUMEN GLOBAL)'!J2391</f>
        <v>0</v>
      </c>
      <c r="M2391" s="8">
        <f>+Tabla1[[#This Row],[utilidad x dia]]*7</f>
        <v>0</v>
      </c>
    </row>
    <row r="2392" spans="1:13" x14ac:dyDescent="0.3">
      <c r="A2392" s="6">
        <f>+'[1]VENTAS(RESUMEN GLOBAL)'!L2392</f>
        <v>0</v>
      </c>
      <c r="B2392" s="6">
        <f>+'[1]VENTAS(RESUMEN GLOBAL)'!M2392</f>
        <v>0</v>
      </c>
      <c r="C2392">
        <f>+'[1]VENTAS(RESUMEN GLOBAL)'!B2392</f>
        <v>0</v>
      </c>
      <c r="D2392" t="e">
        <f>INDEX('[1]CÓDIGOS DE PRODUCTO'!$D$3:$D$1000,MATCH(C2392,'[1]CÓDIGOS DE PRODUCTO'!$A$3:$A$1000,0))</f>
        <v>#N/A</v>
      </c>
      <c r="E2392">
        <f>VLOOKUP(C2392,'[1]CÓDIGOS DE PRODUCTO'!$A$4:$B$156,2,FALSE)</f>
        <v>0</v>
      </c>
      <c r="F2392">
        <f>INDEX('[1]CÓDIGOS DE PRODUCTO'!$C$3:$C$1000,MATCH(C2392,'[1]CÓDIGOS DE PRODUCTO'!$A$3:$A$1000,0))</f>
        <v>0</v>
      </c>
      <c r="G2392">
        <f>+'[1]VENTAS(RESUMEN GLOBAL)'!D2392-'[1]VENTAS(RESUMEN GLOBAL)'!E2392</f>
        <v>0</v>
      </c>
      <c r="H2392" s="9">
        <f>+'[1]VENTAS(RESUMEN GLOBAL)'!K2392</f>
        <v>0</v>
      </c>
      <c r="I2392" s="8">
        <f>+G2392*'[1]VENTAS(RESUMEN GLOBAL)'!F2392</f>
        <v>0</v>
      </c>
      <c r="J2392" s="8">
        <f>'[1]VENTAS(RESUMEN GLOBAL)'!G2392*(1-'[1]VENTAS(RESUMEN GLOBAL)'!H2392)</f>
        <v>0</v>
      </c>
      <c r="K2392" s="8">
        <f t="shared" si="37"/>
        <v>0</v>
      </c>
      <c r="L2392" s="8">
        <f>+'[1]VENTAS(RESUMEN GLOBAL)'!J2392</f>
        <v>0</v>
      </c>
      <c r="M2392" s="8">
        <f>+Tabla1[[#This Row],[utilidad x dia]]*7</f>
        <v>0</v>
      </c>
    </row>
    <row r="2393" spans="1:13" x14ac:dyDescent="0.3">
      <c r="A2393" s="6">
        <f>+'[1]VENTAS(RESUMEN GLOBAL)'!L2393</f>
        <v>0</v>
      </c>
      <c r="B2393" s="6">
        <f>+'[1]VENTAS(RESUMEN GLOBAL)'!M2393</f>
        <v>0</v>
      </c>
      <c r="C2393">
        <f>+'[1]VENTAS(RESUMEN GLOBAL)'!B2393</f>
        <v>0</v>
      </c>
      <c r="D2393" t="e">
        <f>INDEX('[1]CÓDIGOS DE PRODUCTO'!$D$3:$D$1000,MATCH(C2393,'[1]CÓDIGOS DE PRODUCTO'!$A$3:$A$1000,0))</f>
        <v>#N/A</v>
      </c>
      <c r="E2393">
        <f>VLOOKUP(C2393,'[1]CÓDIGOS DE PRODUCTO'!$A$4:$B$156,2,FALSE)</f>
        <v>0</v>
      </c>
      <c r="F2393">
        <f>INDEX('[1]CÓDIGOS DE PRODUCTO'!$C$3:$C$1000,MATCH(C2393,'[1]CÓDIGOS DE PRODUCTO'!$A$3:$A$1000,0))</f>
        <v>0</v>
      </c>
      <c r="G2393">
        <f>+'[1]VENTAS(RESUMEN GLOBAL)'!D2393-'[1]VENTAS(RESUMEN GLOBAL)'!E2393</f>
        <v>0</v>
      </c>
      <c r="H2393" s="9">
        <f>+'[1]VENTAS(RESUMEN GLOBAL)'!K2393</f>
        <v>0</v>
      </c>
      <c r="I2393" s="8">
        <f>+G2393*'[1]VENTAS(RESUMEN GLOBAL)'!F2393</f>
        <v>0</v>
      </c>
      <c r="J2393" s="8">
        <f>'[1]VENTAS(RESUMEN GLOBAL)'!G2393*(1-'[1]VENTAS(RESUMEN GLOBAL)'!H2393)</f>
        <v>0</v>
      </c>
      <c r="K2393" s="8">
        <f t="shared" si="37"/>
        <v>0</v>
      </c>
      <c r="L2393" s="8">
        <f>+'[1]VENTAS(RESUMEN GLOBAL)'!J2393</f>
        <v>0</v>
      </c>
      <c r="M2393" s="8">
        <f>+Tabla1[[#This Row],[utilidad x dia]]*7</f>
        <v>0</v>
      </c>
    </row>
    <row r="2394" spans="1:13" x14ac:dyDescent="0.3">
      <c r="A2394" s="6">
        <f>+'[1]VENTAS(RESUMEN GLOBAL)'!L2394</f>
        <v>0</v>
      </c>
      <c r="B2394" s="6">
        <f>+'[1]VENTAS(RESUMEN GLOBAL)'!M2394</f>
        <v>0</v>
      </c>
      <c r="C2394">
        <f>+'[1]VENTAS(RESUMEN GLOBAL)'!B2394</f>
        <v>0</v>
      </c>
      <c r="D2394" t="e">
        <f>INDEX('[1]CÓDIGOS DE PRODUCTO'!$D$3:$D$1000,MATCH(C2394,'[1]CÓDIGOS DE PRODUCTO'!$A$3:$A$1000,0))</f>
        <v>#N/A</v>
      </c>
      <c r="E2394">
        <f>VLOOKUP(C2394,'[1]CÓDIGOS DE PRODUCTO'!$A$4:$B$156,2,FALSE)</f>
        <v>0</v>
      </c>
      <c r="F2394">
        <f>INDEX('[1]CÓDIGOS DE PRODUCTO'!$C$3:$C$1000,MATCH(C2394,'[1]CÓDIGOS DE PRODUCTO'!$A$3:$A$1000,0))</f>
        <v>0</v>
      </c>
      <c r="G2394">
        <f>+'[1]VENTAS(RESUMEN GLOBAL)'!D2394-'[1]VENTAS(RESUMEN GLOBAL)'!E2394</f>
        <v>0</v>
      </c>
      <c r="H2394" s="9">
        <f>+'[1]VENTAS(RESUMEN GLOBAL)'!K2394</f>
        <v>0</v>
      </c>
      <c r="I2394" s="8">
        <f>+G2394*'[1]VENTAS(RESUMEN GLOBAL)'!F2394</f>
        <v>0</v>
      </c>
      <c r="J2394" s="8">
        <f>'[1]VENTAS(RESUMEN GLOBAL)'!G2394*(1-'[1]VENTAS(RESUMEN GLOBAL)'!H2394)</f>
        <v>0</v>
      </c>
      <c r="K2394" s="8">
        <f t="shared" si="37"/>
        <v>0</v>
      </c>
      <c r="L2394" s="8">
        <f>+'[1]VENTAS(RESUMEN GLOBAL)'!J2394</f>
        <v>0</v>
      </c>
      <c r="M2394" s="8">
        <f>+Tabla1[[#This Row],[utilidad x dia]]*7</f>
        <v>0</v>
      </c>
    </row>
    <row r="2395" spans="1:13" x14ac:dyDescent="0.3">
      <c r="A2395" s="6">
        <f>+'[1]VENTAS(RESUMEN GLOBAL)'!L2395</f>
        <v>0</v>
      </c>
      <c r="B2395" s="6">
        <f>+'[1]VENTAS(RESUMEN GLOBAL)'!M2395</f>
        <v>0</v>
      </c>
      <c r="C2395">
        <f>+'[1]VENTAS(RESUMEN GLOBAL)'!B2395</f>
        <v>0</v>
      </c>
      <c r="D2395" t="e">
        <f>INDEX('[1]CÓDIGOS DE PRODUCTO'!$D$3:$D$1000,MATCH(C2395,'[1]CÓDIGOS DE PRODUCTO'!$A$3:$A$1000,0))</f>
        <v>#N/A</v>
      </c>
      <c r="E2395">
        <f>VLOOKUP(C2395,'[1]CÓDIGOS DE PRODUCTO'!$A$4:$B$156,2,FALSE)</f>
        <v>0</v>
      </c>
      <c r="F2395">
        <f>INDEX('[1]CÓDIGOS DE PRODUCTO'!$C$3:$C$1000,MATCH(C2395,'[1]CÓDIGOS DE PRODUCTO'!$A$3:$A$1000,0))</f>
        <v>0</v>
      </c>
      <c r="G2395">
        <f>+'[1]VENTAS(RESUMEN GLOBAL)'!D2395-'[1]VENTAS(RESUMEN GLOBAL)'!E2395</f>
        <v>0</v>
      </c>
      <c r="H2395" s="9">
        <f>+'[1]VENTAS(RESUMEN GLOBAL)'!K2395</f>
        <v>0</v>
      </c>
      <c r="I2395" s="8">
        <f>+G2395*'[1]VENTAS(RESUMEN GLOBAL)'!F2395</f>
        <v>0</v>
      </c>
      <c r="J2395" s="8">
        <f>'[1]VENTAS(RESUMEN GLOBAL)'!G2395*(1-'[1]VENTAS(RESUMEN GLOBAL)'!H2395)</f>
        <v>0</v>
      </c>
      <c r="K2395" s="8">
        <f t="shared" si="37"/>
        <v>0</v>
      </c>
      <c r="L2395" s="8">
        <f>+'[1]VENTAS(RESUMEN GLOBAL)'!J2395</f>
        <v>0</v>
      </c>
      <c r="M2395" s="8">
        <f>+Tabla1[[#This Row],[utilidad x dia]]*7</f>
        <v>0</v>
      </c>
    </row>
    <row r="2396" spans="1:13" x14ac:dyDescent="0.3">
      <c r="A2396" s="6">
        <f>+'[1]VENTAS(RESUMEN GLOBAL)'!L2396</f>
        <v>0</v>
      </c>
      <c r="B2396" s="6">
        <f>+'[1]VENTAS(RESUMEN GLOBAL)'!M2396</f>
        <v>0</v>
      </c>
      <c r="C2396">
        <f>+'[1]VENTAS(RESUMEN GLOBAL)'!B2396</f>
        <v>0</v>
      </c>
      <c r="D2396" t="e">
        <f>INDEX('[1]CÓDIGOS DE PRODUCTO'!$D$3:$D$1000,MATCH(C2396,'[1]CÓDIGOS DE PRODUCTO'!$A$3:$A$1000,0))</f>
        <v>#N/A</v>
      </c>
      <c r="E2396">
        <f>VLOOKUP(C2396,'[1]CÓDIGOS DE PRODUCTO'!$A$4:$B$156,2,FALSE)</f>
        <v>0</v>
      </c>
      <c r="F2396">
        <f>INDEX('[1]CÓDIGOS DE PRODUCTO'!$C$3:$C$1000,MATCH(C2396,'[1]CÓDIGOS DE PRODUCTO'!$A$3:$A$1000,0))</f>
        <v>0</v>
      </c>
      <c r="G2396">
        <f>+'[1]VENTAS(RESUMEN GLOBAL)'!D2396-'[1]VENTAS(RESUMEN GLOBAL)'!E2396</f>
        <v>0</v>
      </c>
      <c r="H2396" s="9">
        <f>+'[1]VENTAS(RESUMEN GLOBAL)'!K2396</f>
        <v>0</v>
      </c>
      <c r="I2396" s="8">
        <f>+G2396*'[1]VENTAS(RESUMEN GLOBAL)'!F2396</f>
        <v>0</v>
      </c>
      <c r="J2396" s="8">
        <f>'[1]VENTAS(RESUMEN GLOBAL)'!G2396*(1-'[1]VENTAS(RESUMEN GLOBAL)'!H2396)</f>
        <v>0</v>
      </c>
      <c r="K2396" s="8">
        <f t="shared" si="37"/>
        <v>0</v>
      </c>
      <c r="L2396" s="8">
        <f>+'[1]VENTAS(RESUMEN GLOBAL)'!J2396</f>
        <v>0</v>
      </c>
      <c r="M2396" s="8">
        <f>+Tabla1[[#This Row],[utilidad x dia]]*7</f>
        <v>0</v>
      </c>
    </row>
    <row r="2397" spans="1:13" x14ac:dyDescent="0.3">
      <c r="A2397" s="6">
        <f>+'[1]VENTAS(RESUMEN GLOBAL)'!L2397</f>
        <v>0</v>
      </c>
      <c r="B2397" s="6">
        <f>+'[1]VENTAS(RESUMEN GLOBAL)'!M2397</f>
        <v>0</v>
      </c>
      <c r="C2397">
        <f>+'[1]VENTAS(RESUMEN GLOBAL)'!B2397</f>
        <v>0</v>
      </c>
      <c r="D2397" t="e">
        <f>INDEX('[1]CÓDIGOS DE PRODUCTO'!$D$3:$D$1000,MATCH(C2397,'[1]CÓDIGOS DE PRODUCTO'!$A$3:$A$1000,0))</f>
        <v>#N/A</v>
      </c>
      <c r="E2397">
        <f>VLOOKUP(C2397,'[1]CÓDIGOS DE PRODUCTO'!$A$4:$B$156,2,FALSE)</f>
        <v>0</v>
      </c>
      <c r="F2397">
        <f>INDEX('[1]CÓDIGOS DE PRODUCTO'!$C$3:$C$1000,MATCH(C2397,'[1]CÓDIGOS DE PRODUCTO'!$A$3:$A$1000,0))</f>
        <v>0</v>
      </c>
      <c r="G2397">
        <f>+'[1]VENTAS(RESUMEN GLOBAL)'!D2397-'[1]VENTAS(RESUMEN GLOBAL)'!E2397</f>
        <v>0</v>
      </c>
      <c r="H2397" s="9">
        <f>+'[1]VENTAS(RESUMEN GLOBAL)'!K2397</f>
        <v>0</v>
      </c>
      <c r="I2397" s="8">
        <f>+G2397*'[1]VENTAS(RESUMEN GLOBAL)'!F2397</f>
        <v>0</v>
      </c>
      <c r="J2397" s="8">
        <f>'[1]VENTAS(RESUMEN GLOBAL)'!G2397*(1-'[1]VENTAS(RESUMEN GLOBAL)'!H2397)</f>
        <v>0</v>
      </c>
      <c r="K2397" s="8">
        <f t="shared" si="37"/>
        <v>0</v>
      </c>
      <c r="L2397" s="8">
        <f>+'[1]VENTAS(RESUMEN GLOBAL)'!J2397</f>
        <v>0</v>
      </c>
      <c r="M2397" s="8">
        <f>+Tabla1[[#This Row],[utilidad x dia]]*7</f>
        <v>0</v>
      </c>
    </row>
    <row r="2398" spans="1:13" x14ac:dyDescent="0.3">
      <c r="A2398" s="6">
        <f>+'[1]VENTAS(RESUMEN GLOBAL)'!L2398</f>
        <v>0</v>
      </c>
      <c r="B2398" s="6">
        <f>+'[1]VENTAS(RESUMEN GLOBAL)'!M2398</f>
        <v>0</v>
      </c>
      <c r="C2398">
        <f>+'[1]VENTAS(RESUMEN GLOBAL)'!B2398</f>
        <v>0</v>
      </c>
      <c r="D2398" t="e">
        <f>INDEX('[1]CÓDIGOS DE PRODUCTO'!$D$3:$D$1000,MATCH(C2398,'[1]CÓDIGOS DE PRODUCTO'!$A$3:$A$1000,0))</f>
        <v>#N/A</v>
      </c>
      <c r="E2398">
        <f>VLOOKUP(C2398,'[1]CÓDIGOS DE PRODUCTO'!$A$4:$B$156,2,FALSE)</f>
        <v>0</v>
      </c>
      <c r="F2398">
        <f>INDEX('[1]CÓDIGOS DE PRODUCTO'!$C$3:$C$1000,MATCH(C2398,'[1]CÓDIGOS DE PRODUCTO'!$A$3:$A$1000,0))</f>
        <v>0</v>
      </c>
      <c r="G2398">
        <f>+'[1]VENTAS(RESUMEN GLOBAL)'!D2398-'[1]VENTAS(RESUMEN GLOBAL)'!E2398</f>
        <v>0</v>
      </c>
      <c r="H2398" s="9">
        <f>+'[1]VENTAS(RESUMEN GLOBAL)'!K2398</f>
        <v>0</v>
      </c>
      <c r="I2398" s="8">
        <f>+G2398*'[1]VENTAS(RESUMEN GLOBAL)'!F2398</f>
        <v>0</v>
      </c>
      <c r="J2398" s="8">
        <f>'[1]VENTAS(RESUMEN GLOBAL)'!G2398*(1-'[1]VENTAS(RESUMEN GLOBAL)'!H2398)</f>
        <v>0</v>
      </c>
      <c r="K2398" s="8">
        <f t="shared" si="37"/>
        <v>0</v>
      </c>
      <c r="L2398" s="8">
        <f>+'[1]VENTAS(RESUMEN GLOBAL)'!J2398</f>
        <v>0</v>
      </c>
      <c r="M2398" s="8">
        <f>+Tabla1[[#This Row],[utilidad x dia]]*7</f>
        <v>0</v>
      </c>
    </row>
    <row r="2399" spans="1:13" x14ac:dyDescent="0.3">
      <c r="A2399" s="6">
        <f>+'[1]VENTAS(RESUMEN GLOBAL)'!L2399</f>
        <v>0</v>
      </c>
      <c r="B2399" s="6">
        <f>+'[1]VENTAS(RESUMEN GLOBAL)'!M2399</f>
        <v>0</v>
      </c>
      <c r="C2399">
        <f>+'[1]VENTAS(RESUMEN GLOBAL)'!B2399</f>
        <v>0</v>
      </c>
      <c r="D2399" t="e">
        <f>INDEX('[1]CÓDIGOS DE PRODUCTO'!$D$3:$D$1000,MATCH(C2399,'[1]CÓDIGOS DE PRODUCTO'!$A$3:$A$1000,0))</f>
        <v>#N/A</v>
      </c>
      <c r="E2399">
        <f>VLOOKUP(C2399,'[1]CÓDIGOS DE PRODUCTO'!$A$4:$B$156,2,FALSE)</f>
        <v>0</v>
      </c>
      <c r="F2399">
        <f>INDEX('[1]CÓDIGOS DE PRODUCTO'!$C$3:$C$1000,MATCH(C2399,'[1]CÓDIGOS DE PRODUCTO'!$A$3:$A$1000,0))</f>
        <v>0</v>
      </c>
      <c r="G2399">
        <f>+'[1]VENTAS(RESUMEN GLOBAL)'!D2399-'[1]VENTAS(RESUMEN GLOBAL)'!E2399</f>
        <v>0</v>
      </c>
      <c r="H2399" s="9">
        <f>+'[1]VENTAS(RESUMEN GLOBAL)'!K2399</f>
        <v>0</v>
      </c>
      <c r="I2399" s="8">
        <f>+G2399*'[1]VENTAS(RESUMEN GLOBAL)'!F2399</f>
        <v>0</v>
      </c>
      <c r="J2399" s="8">
        <f>'[1]VENTAS(RESUMEN GLOBAL)'!G2399*(1-'[1]VENTAS(RESUMEN GLOBAL)'!H2399)</f>
        <v>0</v>
      </c>
      <c r="K2399" s="8">
        <f t="shared" si="37"/>
        <v>0</v>
      </c>
      <c r="L2399" s="8">
        <f>+'[1]VENTAS(RESUMEN GLOBAL)'!J2399</f>
        <v>0</v>
      </c>
      <c r="M2399" s="8">
        <f>+Tabla1[[#This Row],[utilidad x dia]]*7</f>
        <v>0</v>
      </c>
    </row>
    <row r="2400" spans="1:13" x14ac:dyDescent="0.3">
      <c r="A2400" s="6">
        <f>+'[1]VENTAS(RESUMEN GLOBAL)'!L2400</f>
        <v>0</v>
      </c>
      <c r="B2400" s="6">
        <f>+'[1]VENTAS(RESUMEN GLOBAL)'!M2400</f>
        <v>0</v>
      </c>
      <c r="C2400">
        <f>+'[1]VENTAS(RESUMEN GLOBAL)'!B2400</f>
        <v>0</v>
      </c>
      <c r="D2400" t="e">
        <f>INDEX('[1]CÓDIGOS DE PRODUCTO'!$D$3:$D$1000,MATCH(C2400,'[1]CÓDIGOS DE PRODUCTO'!$A$3:$A$1000,0))</f>
        <v>#N/A</v>
      </c>
      <c r="E2400">
        <f>VLOOKUP(C2400,'[1]CÓDIGOS DE PRODUCTO'!$A$4:$B$156,2,FALSE)</f>
        <v>0</v>
      </c>
      <c r="F2400">
        <f>INDEX('[1]CÓDIGOS DE PRODUCTO'!$C$3:$C$1000,MATCH(C2400,'[1]CÓDIGOS DE PRODUCTO'!$A$3:$A$1000,0))</f>
        <v>0</v>
      </c>
      <c r="G2400">
        <f>+'[1]VENTAS(RESUMEN GLOBAL)'!D2400-'[1]VENTAS(RESUMEN GLOBAL)'!E2400</f>
        <v>0</v>
      </c>
      <c r="H2400" s="9">
        <f>+'[1]VENTAS(RESUMEN GLOBAL)'!K2400</f>
        <v>0</v>
      </c>
      <c r="I2400" s="8">
        <f>+G2400*'[1]VENTAS(RESUMEN GLOBAL)'!F2400</f>
        <v>0</v>
      </c>
      <c r="J2400" s="8">
        <f>'[1]VENTAS(RESUMEN GLOBAL)'!G2400*(1-'[1]VENTAS(RESUMEN GLOBAL)'!H2400)</f>
        <v>0</v>
      </c>
      <c r="K2400" s="8">
        <f t="shared" si="37"/>
        <v>0</v>
      </c>
      <c r="L2400" s="8">
        <f>+'[1]VENTAS(RESUMEN GLOBAL)'!J2400</f>
        <v>0</v>
      </c>
      <c r="M2400" s="8">
        <f>+Tabla1[[#This Row],[utilidad x dia]]*7</f>
        <v>0</v>
      </c>
    </row>
    <row r="2401" spans="1:13" x14ac:dyDescent="0.3">
      <c r="A2401" s="6">
        <f>+'[1]VENTAS(RESUMEN GLOBAL)'!L2401</f>
        <v>0</v>
      </c>
      <c r="B2401" s="6">
        <f>+'[1]VENTAS(RESUMEN GLOBAL)'!M2401</f>
        <v>0</v>
      </c>
      <c r="C2401">
        <f>+'[1]VENTAS(RESUMEN GLOBAL)'!B2401</f>
        <v>0</v>
      </c>
      <c r="D2401" t="e">
        <f>INDEX('[1]CÓDIGOS DE PRODUCTO'!$D$3:$D$1000,MATCH(C2401,'[1]CÓDIGOS DE PRODUCTO'!$A$3:$A$1000,0))</f>
        <v>#N/A</v>
      </c>
      <c r="E2401">
        <f>VLOOKUP(C2401,'[1]CÓDIGOS DE PRODUCTO'!$A$4:$B$156,2,FALSE)</f>
        <v>0</v>
      </c>
      <c r="F2401">
        <f>INDEX('[1]CÓDIGOS DE PRODUCTO'!$C$3:$C$1000,MATCH(C2401,'[1]CÓDIGOS DE PRODUCTO'!$A$3:$A$1000,0))</f>
        <v>0</v>
      </c>
      <c r="G2401">
        <f>+'[1]VENTAS(RESUMEN GLOBAL)'!D2401-'[1]VENTAS(RESUMEN GLOBAL)'!E2401</f>
        <v>0</v>
      </c>
      <c r="H2401" s="9">
        <f>+'[1]VENTAS(RESUMEN GLOBAL)'!K2401</f>
        <v>0</v>
      </c>
      <c r="I2401" s="8">
        <f>+G2401*'[1]VENTAS(RESUMEN GLOBAL)'!F2401</f>
        <v>0</v>
      </c>
      <c r="J2401" s="8">
        <f>'[1]VENTAS(RESUMEN GLOBAL)'!G2401*(1-'[1]VENTAS(RESUMEN GLOBAL)'!H2401)</f>
        <v>0</v>
      </c>
      <c r="K2401" s="8">
        <f t="shared" si="37"/>
        <v>0</v>
      </c>
      <c r="L2401" s="8">
        <f>+'[1]VENTAS(RESUMEN GLOBAL)'!J2401</f>
        <v>0</v>
      </c>
      <c r="M2401" s="8">
        <f>+Tabla1[[#This Row],[utilidad x dia]]*7</f>
        <v>0</v>
      </c>
    </row>
    <row r="2402" spans="1:13" x14ac:dyDescent="0.3">
      <c r="A2402" s="6">
        <f>+'[1]VENTAS(RESUMEN GLOBAL)'!L2402</f>
        <v>0</v>
      </c>
      <c r="B2402" s="6">
        <f>+'[1]VENTAS(RESUMEN GLOBAL)'!M2402</f>
        <v>0</v>
      </c>
      <c r="C2402">
        <f>+'[1]VENTAS(RESUMEN GLOBAL)'!B2402</f>
        <v>0</v>
      </c>
      <c r="D2402" t="e">
        <f>INDEX('[1]CÓDIGOS DE PRODUCTO'!$D$3:$D$1000,MATCH(C2402,'[1]CÓDIGOS DE PRODUCTO'!$A$3:$A$1000,0))</f>
        <v>#N/A</v>
      </c>
      <c r="E2402">
        <f>VLOOKUP(C2402,'[1]CÓDIGOS DE PRODUCTO'!$A$4:$B$156,2,FALSE)</f>
        <v>0</v>
      </c>
      <c r="F2402">
        <f>INDEX('[1]CÓDIGOS DE PRODUCTO'!$C$3:$C$1000,MATCH(C2402,'[1]CÓDIGOS DE PRODUCTO'!$A$3:$A$1000,0))</f>
        <v>0</v>
      </c>
      <c r="G2402">
        <f>+'[1]VENTAS(RESUMEN GLOBAL)'!D2402-'[1]VENTAS(RESUMEN GLOBAL)'!E2402</f>
        <v>0</v>
      </c>
      <c r="H2402" s="9">
        <f>+'[1]VENTAS(RESUMEN GLOBAL)'!K2402</f>
        <v>0</v>
      </c>
      <c r="I2402" s="8">
        <f>+G2402*'[1]VENTAS(RESUMEN GLOBAL)'!F2402</f>
        <v>0</v>
      </c>
      <c r="J2402" s="8">
        <f>'[1]VENTAS(RESUMEN GLOBAL)'!G2402*(1-'[1]VENTAS(RESUMEN GLOBAL)'!H2402)</f>
        <v>0</v>
      </c>
      <c r="K2402" s="8">
        <f t="shared" si="37"/>
        <v>0</v>
      </c>
      <c r="L2402" s="8">
        <f>+'[1]VENTAS(RESUMEN GLOBAL)'!J2402</f>
        <v>0</v>
      </c>
      <c r="M2402" s="8">
        <f>+Tabla1[[#This Row],[utilidad x dia]]*7</f>
        <v>0</v>
      </c>
    </row>
    <row r="2403" spans="1:13" x14ac:dyDescent="0.3">
      <c r="A2403" s="6">
        <f>+'[1]VENTAS(RESUMEN GLOBAL)'!L2403</f>
        <v>0</v>
      </c>
      <c r="B2403" s="6">
        <f>+'[1]VENTAS(RESUMEN GLOBAL)'!M2403</f>
        <v>0</v>
      </c>
      <c r="C2403">
        <f>+'[1]VENTAS(RESUMEN GLOBAL)'!B2403</f>
        <v>0</v>
      </c>
      <c r="D2403" t="e">
        <f>INDEX('[1]CÓDIGOS DE PRODUCTO'!$D$3:$D$1000,MATCH(C2403,'[1]CÓDIGOS DE PRODUCTO'!$A$3:$A$1000,0))</f>
        <v>#N/A</v>
      </c>
      <c r="E2403">
        <f>VLOOKUP(C2403,'[1]CÓDIGOS DE PRODUCTO'!$A$4:$B$156,2,FALSE)</f>
        <v>0</v>
      </c>
      <c r="F2403">
        <f>INDEX('[1]CÓDIGOS DE PRODUCTO'!$C$3:$C$1000,MATCH(C2403,'[1]CÓDIGOS DE PRODUCTO'!$A$3:$A$1000,0))</f>
        <v>0</v>
      </c>
      <c r="G2403">
        <f>+'[1]VENTAS(RESUMEN GLOBAL)'!D2403-'[1]VENTAS(RESUMEN GLOBAL)'!E2403</f>
        <v>0</v>
      </c>
      <c r="H2403" s="9">
        <f>+'[1]VENTAS(RESUMEN GLOBAL)'!K2403</f>
        <v>0</v>
      </c>
      <c r="I2403" s="8">
        <f>+G2403*'[1]VENTAS(RESUMEN GLOBAL)'!F2403</f>
        <v>0</v>
      </c>
      <c r="J2403" s="8">
        <f>'[1]VENTAS(RESUMEN GLOBAL)'!G2403*(1-'[1]VENTAS(RESUMEN GLOBAL)'!H2403)</f>
        <v>0</v>
      </c>
      <c r="K2403" s="8">
        <f t="shared" si="37"/>
        <v>0</v>
      </c>
      <c r="L2403" s="8">
        <f>+'[1]VENTAS(RESUMEN GLOBAL)'!J2403</f>
        <v>0</v>
      </c>
      <c r="M2403" s="8">
        <f>+Tabla1[[#This Row],[utilidad x dia]]*7</f>
        <v>0</v>
      </c>
    </row>
    <row r="2404" spans="1:13" x14ac:dyDescent="0.3">
      <c r="A2404" s="6">
        <f>+'[1]VENTAS(RESUMEN GLOBAL)'!L2404</f>
        <v>0</v>
      </c>
      <c r="B2404" s="6">
        <f>+'[1]VENTAS(RESUMEN GLOBAL)'!M2404</f>
        <v>0</v>
      </c>
      <c r="C2404">
        <f>+'[1]VENTAS(RESUMEN GLOBAL)'!B2404</f>
        <v>0</v>
      </c>
      <c r="D2404" t="e">
        <f>INDEX('[1]CÓDIGOS DE PRODUCTO'!$D$3:$D$1000,MATCH(C2404,'[1]CÓDIGOS DE PRODUCTO'!$A$3:$A$1000,0))</f>
        <v>#N/A</v>
      </c>
      <c r="E2404">
        <f>VLOOKUP(C2404,'[1]CÓDIGOS DE PRODUCTO'!$A$4:$B$156,2,FALSE)</f>
        <v>0</v>
      </c>
      <c r="F2404">
        <f>INDEX('[1]CÓDIGOS DE PRODUCTO'!$C$3:$C$1000,MATCH(C2404,'[1]CÓDIGOS DE PRODUCTO'!$A$3:$A$1000,0))</f>
        <v>0</v>
      </c>
      <c r="G2404">
        <f>+'[1]VENTAS(RESUMEN GLOBAL)'!D2404-'[1]VENTAS(RESUMEN GLOBAL)'!E2404</f>
        <v>0</v>
      </c>
      <c r="H2404" s="9">
        <f>+'[1]VENTAS(RESUMEN GLOBAL)'!K2404</f>
        <v>0</v>
      </c>
      <c r="I2404" s="8">
        <f>+G2404*'[1]VENTAS(RESUMEN GLOBAL)'!F2404</f>
        <v>0</v>
      </c>
      <c r="J2404" s="8">
        <f>'[1]VENTAS(RESUMEN GLOBAL)'!G2404*(1-'[1]VENTAS(RESUMEN GLOBAL)'!H2404)</f>
        <v>0</v>
      </c>
      <c r="K2404" s="8">
        <f t="shared" si="37"/>
        <v>0</v>
      </c>
      <c r="L2404" s="8">
        <f>+'[1]VENTAS(RESUMEN GLOBAL)'!J2404</f>
        <v>0</v>
      </c>
      <c r="M2404" s="8">
        <f>+Tabla1[[#This Row],[utilidad x dia]]*7</f>
        <v>0</v>
      </c>
    </row>
    <row r="2405" spans="1:13" x14ac:dyDescent="0.3">
      <c r="A2405" s="6">
        <f>+'[1]VENTAS(RESUMEN GLOBAL)'!L2405</f>
        <v>0</v>
      </c>
      <c r="B2405" s="6">
        <f>+'[1]VENTAS(RESUMEN GLOBAL)'!M2405</f>
        <v>0</v>
      </c>
      <c r="C2405">
        <f>+'[1]VENTAS(RESUMEN GLOBAL)'!B2405</f>
        <v>0</v>
      </c>
      <c r="D2405" t="e">
        <f>INDEX('[1]CÓDIGOS DE PRODUCTO'!$D$3:$D$1000,MATCH(C2405,'[1]CÓDIGOS DE PRODUCTO'!$A$3:$A$1000,0))</f>
        <v>#N/A</v>
      </c>
      <c r="E2405">
        <f>VLOOKUP(C2405,'[1]CÓDIGOS DE PRODUCTO'!$A$4:$B$156,2,FALSE)</f>
        <v>0</v>
      </c>
      <c r="F2405">
        <f>INDEX('[1]CÓDIGOS DE PRODUCTO'!$C$3:$C$1000,MATCH(C2405,'[1]CÓDIGOS DE PRODUCTO'!$A$3:$A$1000,0))</f>
        <v>0</v>
      </c>
      <c r="G2405">
        <f>+'[1]VENTAS(RESUMEN GLOBAL)'!D2405-'[1]VENTAS(RESUMEN GLOBAL)'!E2405</f>
        <v>0</v>
      </c>
      <c r="H2405" s="9">
        <f>+'[1]VENTAS(RESUMEN GLOBAL)'!K2405</f>
        <v>0</v>
      </c>
      <c r="I2405" s="8">
        <f>+G2405*'[1]VENTAS(RESUMEN GLOBAL)'!F2405</f>
        <v>0</v>
      </c>
      <c r="J2405" s="8">
        <f>'[1]VENTAS(RESUMEN GLOBAL)'!G2405*(1-'[1]VENTAS(RESUMEN GLOBAL)'!H2405)</f>
        <v>0</v>
      </c>
      <c r="K2405" s="8">
        <f t="shared" si="37"/>
        <v>0</v>
      </c>
      <c r="L2405" s="8">
        <f>+'[1]VENTAS(RESUMEN GLOBAL)'!J2405</f>
        <v>0</v>
      </c>
      <c r="M2405" s="8">
        <f>+Tabla1[[#This Row],[utilidad x dia]]*7</f>
        <v>0</v>
      </c>
    </row>
    <row r="2406" spans="1:13" x14ac:dyDescent="0.3">
      <c r="A2406" s="6">
        <f>+'[1]VENTAS(RESUMEN GLOBAL)'!L2406</f>
        <v>0</v>
      </c>
      <c r="B2406" s="6">
        <f>+'[1]VENTAS(RESUMEN GLOBAL)'!M2406</f>
        <v>0</v>
      </c>
      <c r="C2406">
        <f>+'[1]VENTAS(RESUMEN GLOBAL)'!B2406</f>
        <v>0</v>
      </c>
      <c r="D2406" t="e">
        <f>INDEX('[1]CÓDIGOS DE PRODUCTO'!$D$3:$D$1000,MATCH(C2406,'[1]CÓDIGOS DE PRODUCTO'!$A$3:$A$1000,0))</f>
        <v>#N/A</v>
      </c>
      <c r="E2406">
        <f>VLOOKUP(C2406,'[1]CÓDIGOS DE PRODUCTO'!$A$4:$B$156,2,FALSE)</f>
        <v>0</v>
      </c>
      <c r="F2406">
        <f>INDEX('[1]CÓDIGOS DE PRODUCTO'!$C$3:$C$1000,MATCH(C2406,'[1]CÓDIGOS DE PRODUCTO'!$A$3:$A$1000,0))</f>
        <v>0</v>
      </c>
      <c r="G2406">
        <f>+'[1]VENTAS(RESUMEN GLOBAL)'!D2406-'[1]VENTAS(RESUMEN GLOBAL)'!E2406</f>
        <v>0</v>
      </c>
      <c r="H2406" s="9">
        <f>+'[1]VENTAS(RESUMEN GLOBAL)'!K2406</f>
        <v>0</v>
      </c>
      <c r="I2406" s="8">
        <f>+G2406*'[1]VENTAS(RESUMEN GLOBAL)'!F2406</f>
        <v>0</v>
      </c>
      <c r="J2406" s="8">
        <f>'[1]VENTAS(RESUMEN GLOBAL)'!G2406*(1-'[1]VENTAS(RESUMEN GLOBAL)'!H2406)</f>
        <v>0</v>
      </c>
      <c r="K2406" s="8">
        <f t="shared" si="37"/>
        <v>0</v>
      </c>
      <c r="L2406" s="8">
        <f>+'[1]VENTAS(RESUMEN GLOBAL)'!J2406</f>
        <v>0</v>
      </c>
      <c r="M2406" s="8">
        <f>+Tabla1[[#This Row],[utilidad x dia]]*7</f>
        <v>0</v>
      </c>
    </row>
    <row r="2407" spans="1:13" x14ac:dyDescent="0.3">
      <c r="A2407" s="6">
        <f>+'[1]VENTAS(RESUMEN GLOBAL)'!L2407</f>
        <v>0</v>
      </c>
      <c r="B2407" s="6">
        <f>+'[1]VENTAS(RESUMEN GLOBAL)'!M2407</f>
        <v>0</v>
      </c>
      <c r="C2407">
        <f>+'[1]VENTAS(RESUMEN GLOBAL)'!B2407</f>
        <v>0</v>
      </c>
      <c r="D2407" t="e">
        <f>INDEX('[1]CÓDIGOS DE PRODUCTO'!$D$3:$D$1000,MATCH(C2407,'[1]CÓDIGOS DE PRODUCTO'!$A$3:$A$1000,0))</f>
        <v>#N/A</v>
      </c>
      <c r="E2407">
        <f>VLOOKUP(C2407,'[1]CÓDIGOS DE PRODUCTO'!$A$4:$B$156,2,FALSE)</f>
        <v>0</v>
      </c>
      <c r="F2407">
        <f>INDEX('[1]CÓDIGOS DE PRODUCTO'!$C$3:$C$1000,MATCH(C2407,'[1]CÓDIGOS DE PRODUCTO'!$A$3:$A$1000,0))</f>
        <v>0</v>
      </c>
      <c r="G2407">
        <f>+'[1]VENTAS(RESUMEN GLOBAL)'!D2407-'[1]VENTAS(RESUMEN GLOBAL)'!E2407</f>
        <v>0</v>
      </c>
      <c r="H2407" s="9">
        <f>+'[1]VENTAS(RESUMEN GLOBAL)'!K2407</f>
        <v>0</v>
      </c>
      <c r="I2407" s="8">
        <f>+G2407*'[1]VENTAS(RESUMEN GLOBAL)'!F2407</f>
        <v>0</v>
      </c>
      <c r="J2407" s="8">
        <f>'[1]VENTAS(RESUMEN GLOBAL)'!G2407*(1-'[1]VENTAS(RESUMEN GLOBAL)'!H2407)</f>
        <v>0</v>
      </c>
      <c r="K2407" s="8">
        <f t="shared" si="37"/>
        <v>0</v>
      </c>
      <c r="L2407" s="8">
        <f>+'[1]VENTAS(RESUMEN GLOBAL)'!J2407</f>
        <v>0</v>
      </c>
      <c r="M2407" s="8">
        <f>+Tabla1[[#This Row],[utilidad x dia]]*7</f>
        <v>0</v>
      </c>
    </row>
    <row r="2408" spans="1:13" x14ac:dyDescent="0.3">
      <c r="A2408" s="6">
        <f>+'[1]VENTAS(RESUMEN GLOBAL)'!L2408</f>
        <v>0</v>
      </c>
      <c r="B2408" s="6">
        <f>+'[1]VENTAS(RESUMEN GLOBAL)'!M2408</f>
        <v>0</v>
      </c>
      <c r="C2408">
        <f>+'[1]VENTAS(RESUMEN GLOBAL)'!B2408</f>
        <v>0</v>
      </c>
      <c r="D2408" t="e">
        <f>INDEX('[1]CÓDIGOS DE PRODUCTO'!$D$3:$D$1000,MATCH(C2408,'[1]CÓDIGOS DE PRODUCTO'!$A$3:$A$1000,0))</f>
        <v>#N/A</v>
      </c>
      <c r="E2408">
        <f>VLOOKUP(C2408,'[1]CÓDIGOS DE PRODUCTO'!$A$4:$B$156,2,FALSE)</f>
        <v>0</v>
      </c>
      <c r="F2408">
        <f>INDEX('[1]CÓDIGOS DE PRODUCTO'!$C$3:$C$1000,MATCH(C2408,'[1]CÓDIGOS DE PRODUCTO'!$A$3:$A$1000,0))</f>
        <v>0</v>
      </c>
      <c r="G2408">
        <f>+'[1]VENTAS(RESUMEN GLOBAL)'!D2408-'[1]VENTAS(RESUMEN GLOBAL)'!E2408</f>
        <v>0</v>
      </c>
      <c r="H2408" s="9">
        <f>+'[1]VENTAS(RESUMEN GLOBAL)'!K2408</f>
        <v>0</v>
      </c>
      <c r="I2408" s="8">
        <f>+G2408*'[1]VENTAS(RESUMEN GLOBAL)'!F2408</f>
        <v>0</v>
      </c>
      <c r="J2408" s="8">
        <f>'[1]VENTAS(RESUMEN GLOBAL)'!G2408*(1-'[1]VENTAS(RESUMEN GLOBAL)'!H2408)</f>
        <v>0</v>
      </c>
      <c r="K2408" s="8">
        <f t="shared" si="37"/>
        <v>0</v>
      </c>
      <c r="L2408" s="8">
        <f>+'[1]VENTAS(RESUMEN GLOBAL)'!J2408</f>
        <v>0</v>
      </c>
      <c r="M2408" s="8">
        <f>+Tabla1[[#This Row],[utilidad x dia]]*7</f>
        <v>0</v>
      </c>
    </row>
    <row r="2409" spans="1:13" x14ac:dyDescent="0.3">
      <c r="A2409" s="6">
        <f>+'[1]VENTAS(RESUMEN GLOBAL)'!L2409</f>
        <v>0</v>
      </c>
      <c r="B2409" s="6">
        <f>+'[1]VENTAS(RESUMEN GLOBAL)'!M2409</f>
        <v>0</v>
      </c>
      <c r="C2409">
        <f>+'[1]VENTAS(RESUMEN GLOBAL)'!B2409</f>
        <v>0</v>
      </c>
      <c r="D2409" t="e">
        <f>INDEX('[1]CÓDIGOS DE PRODUCTO'!$D$3:$D$1000,MATCH(C2409,'[1]CÓDIGOS DE PRODUCTO'!$A$3:$A$1000,0))</f>
        <v>#N/A</v>
      </c>
      <c r="E2409">
        <f>VLOOKUP(C2409,'[1]CÓDIGOS DE PRODUCTO'!$A$4:$B$156,2,FALSE)</f>
        <v>0</v>
      </c>
      <c r="F2409">
        <f>INDEX('[1]CÓDIGOS DE PRODUCTO'!$C$3:$C$1000,MATCH(C2409,'[1]CÓDIGOS DE PRODUCTO'!$A$3:$A$1000,0))</f>
        <v>0</v>
      </c>
      <c r="G2409">
        <f>+'[1]VENTAS(RESUMEN GLOBAL)'!D2409-'[1]VENTAS(RESUMEN GLOBAL)'!E2409</f>
        <v>0</v>
      </c>
      <c r="H2409" s="9">
        <f>+'[1]VENTAS(RESUMEN GLOBAL)'!K2409</f>
        <v>0</v>
      </c>
      <c r="I2409" s="8">
        <f>+G2409*'[1]VENTAS(RESUMEN GLOBAL)'!F2409</f>
        <v>0</v>
      </c>
      <c r="J2409" s="8">
        <f>'[1]VENTAS(RESUMEN GLOBAL)'!G2409*(1-'[1]VENTAS(RESUMEN GLOBAL)'!H2409)</f>
        <v>0</v>
      </c>
      <c r="K2409" s="8">
        <f t="shared" si="37"/>
        <v>0</v>
      </c>
      <c r="L2409" s="8">
        <f>+'[1]VENTAS(RESUMEN GLOBAL)'!J2409</f>
        <v>0</v>
      </c>
      <c r="M2409" s="8">
        <f>+Tabla1[[#This Row],[utilidad x dia]]*7</f>
        <v>0</v>
      </c>
    </row>
    <row r="2410" spans="1:13" x14ac:dyDescent="0.3">
      <c r="A2410" s="6">
        <f>+'[1]VENTAS(RESUMEN GLOBAL)'!L2410</f>
        <v>0</v>
      </c>
      <c r="B2410" s="6">
        <f>+'[1]VENTAS(RESUMEN GLOBAL)'!M2410</f>
        <v>0</v>
      </c>
      <c r="C2410">
        <f>+'[1]VENTAS(RESUMEN GLOBAL)'!B2410</f>
        <v>0</v>
      </c>
      <c r="D2410" t="e">
        <f>INDEX('[1]CÓDIGOS DE PRODUCTO'!$D$3:$D$1000,MATCH(C2410,'[1]CÓDIGOS DE PRODUCTO'!$A$3:$A$1000,0))</f>
        <v>#N/A</v>
      </c>
      <c r="E2410">
        <f>VLOOKUP(C2410,'[1]CÓDIGOS DE PRODUCTO'!$A$4:$B$156,2,FALSE)</f>
        <v>0</v>
      </c>
      <c r="F2410">
        <f>INDEX('[1]CÓDIGOS DE PRODUCTO'!$C$3:$C$1000,MATCH(C2410,'[1]CÓDIGOS DE PRODUCTO'!$A$3:$A$1000,0))</f>
        <v>0</v>
      </c>
      <c r="G2410">
        <f>+'[1]VENTAS(RESUMEN GLOBAL)'!D2410-'[1]VENTAS(RESUMEN GLOBAL)'!E2410</f>
        <v>0</v>
      </c>
      <c r="H2410" s="9">
        <f>+'[1]VENTAS(RESUMEN GLOBAL)'!K2410</f>
        <v>0</v>
      </c>
      <c r="I2410" s="8">
        <f>+G2410*'[1]VENTAS(RESUMEN GLOBAL)'!F2410</f>
        <v>0</v>
      </c>
      <c r="J2410" s="8">
        <f>'[1]VENTAS(RESUMEN GLOBAL)'!G2410*(1-'[1]VENTAS(RESUMEN GLOBAL)'!H2410)</f>
        <v>0</v>
      </c>
      <c r="K2410" s="8">
        <f t="shared" si="37"/>
        <v>0</v>
      </c>
      <c r="L2410" s="8">
        <f>+'[1]VENTAS(RESUMEN GLOBAL)'!J2410</f>
        <v>0</v>
      </c>
      <c r="M2410" s="8">
        <f>+Tabla1[[#This Row],[utilidad x dia]]*7</f>
        <v>0</v>
      </c>
    </row>
    <row r="2411" spans="1:13" x14ac:dyDescent="0.3">
      <c r="A2411" s="6">
        <f>+'[1]VENTAS(RESUMEN GLOBAL)'!L2411</f>
        <v>0</v>
      </c>
      <c r="B2411" s="6">
        <f>+'[1]VENTAS(RESUMEN GLOBAL)'!M2411</f>
        <v>0</v>
      </c>
      <c r="C2411">
        <f>+'[1]VENTAS(RESUMEN GLOBAL)'!B2411</f>
        <v>0</v>
      </c>
      <c r="D2411" t="e">
        <f>INDEX('[1]CÓDIGOS DE PRODUCTO'!$D$3:$D$1000,MATCH(C2411,'[1]CÓDIGOS DE PRODUCTO'!$A$3:$A$1000,0))</f>
        <v>#N/A</v>
      </c>
      <c r="E2411">
        <f>VLOOKUP(C2411,'[1]CÓDIGOS DE PRODUCTO'!$A$4:$B$156,2,FALSE)</f>
        <v>0</v>
      </c>
      <c r="F2411">
        <f>INDEX('[1]CÓDIGOS DE PRODUCTO'!$C$3:$C$1000,MATCH(C2411,'[1]CÓDIGOS DE PRODUCTO'!$A$3:$A$1000,0))</f>
        <v>0</v>
      </c>
      <c r="G2411">
        <f>+'[1]VENTAS(RESUMEN GLOBAL)'!D2411-'[1]VENTAS(RESUMEN GLOBAL)'!E2411</f>
        <v>0</v>
      </c>
      <c r="H2411" s="9">
        <f>+'[1]VENTAS(RESUMEN GLOBAL)'!K2411</f>
        <v>0</v>
      </c>
      <c r="I2411" s="8">
        <f>+G2411*'[1]VENTAS(RESUMEN GLOBAL)'!F2411</f>
        <v>0</v>
      </c>
      <c r="J2411" s="8">
        <f>'[1]VENTAS(RESUMEN GLOBAL)'!G2411*(1-'[1]VENTAS(RESUMEN GLOBAL)'!H2411)</f>
        <v>0</v>
      </c>
      <c r="K2411" s="8">
        <f t="shared" si="37"/>
        <v>0</v>
      </c>
      <c r="L2411" s="8">
        <f>+'[1]VENTAS(RESUMEN GLOBAL)'!J2411</f>
        <v>0</v>
      </c>
      <c r="M2411" s="8">
        <f>+Tabla1[[#This Row],[utilidad x dia]]*7</f>
        <v>0</v>
      </c>
    </row>
    <row r="2412" spans="1:13" x14ac:dyDescent="0.3">
      <c r="A2412" s="6">
        <f>+'[1]VENTAS(RESUMEN GLOBAL)'!L2412</f>
        <v>0</v>
      </c>
      <c r="B2412" s="6">
        <f>+'[1]VENTAS(RESUMEN GLOBAL)'!M2412</f>
        <v>0</v>
      </c>
      <c r="C2412">
        <f>+'[1]VENTAS(RESUMEN GLOBAL)'!B2412</f>
        <v>0</v>
      </c>
      <c r="D2412" t="e">
        <f>INDEX('[1]CÓDIGOS DE PRODUCTO'!$D$3:$D$1000,MATCH(C2412,'[1]CÓDIGOS DE PRODUCTO'!$A$3:$A$1000,0))</f>
        <v>#N/A</v>
      </c>
      <c r="E2412">
        <f>VLOOKUP(C2412,'[1]CÓDIGOS DE PRODUCTO'!$A$4:$B$156,2,FALSE)</f>
        <v>0</v>
      </c>
      <c r="F2412">
        <f>INDEX('[1]CÓDIGOS DE PRODUCTO'!$C$3:$C$1000,MATCH(C2412,'[1]CÓDIGOS DE PRODUCTO'!$A$3:$A$1000,0))</f>
        <v>0</v>
      </c>
      <c r="G2412">
        <f>+'[1]VENTAS(RESUMEN GLOBAL)'!D2412-'[1]VENTAS(RESUMEN GLOBAL)'!E2412</f>
        <v>0</v>
      </c>
      <c r="H2412" s="9">
        <f>+'[1]VENTAS(RESUMEN GLOBAL)'!K2412</f>
        <v>0</v>
      </c>
      <c r="I2412" s="8">
        <f>+G2412*'[1]VENTAS(RESUMEN GLOBAL)'!F2412</f>
        <v>0</v>
      </c>
      <c r="J2412" s="8">
        <f>'[1]VENTAS(RESUMEN GLOBAL)'!G2412*(1-'[1]VENTAS(RESUMEN GLOBAL)'!H2412)</f>
        <v>0</v>
      </c>
      <c r="K2412" s="8">
        <f t="shared" si="37"/>
        <v>0</v>
      </c>
      <c r="L2412" s="8">
        <f>+'[1]VENTAS(RESUMEN GLOBAL)'!J2412</f>
        <v>0</v>
      </c>
      <c r="M2412" s="8">
        <f>+Tabla1[[#This Row],[utilidad x dia]]*7</f>
        <v>0</v>
      </c>
    </row>
    <row r="2413" spans="1:13" x14ac:dyDescent="0.3">
      <c r="A2413" s="6">
        <f>+'[1]VENTAS(RESUMEN GLOBAL)'!L2413</f>
        <v>0</v>
      </c>
      <c r="B2413" s="6">
        <f>+'[1]VENTAS(RESUMEN GLOBAL)'!M2413</f>
        <v>0</v>
      </c>
      <c r="C2413">
        <f>+'[1]VENTAS(RESUMEN GLOBAL)'!B2413</f>
        <v>0</v>
      </c>
      <c r="D2413" t="e">
        <f>INDEX('[1]CÓDIGOS DE PRODUCTO'!$D$3:$D$1000,MATCH(C2413,'[1]CÓDIGOS DE PRODUCTO'!$A$3:$A$1000,0))</f>
        <v>#N/A</v>
      </c>
      <c r="E2413">
        <f>VLOOKUP(C2413,'[1]CÓDIGOS DE PRODUCTO'!$A$4:$B$156,2,FALSE)</f>
        <v>0</v>
      </c>
      <c r="F2413">
        <f>INDEX('[1]CÓDIGOS DE PRODUCTO'!$C$3:$C$1000,MATCH(C2413,'[1]CÓDIGOS DE PRODUCTO'!$A$3:$A$1000,0))</f>
        <v>0</v>
      </c>
      <c r="G2413">
        <f>+'[1]VENTAS(RESUMEN GLOBAL)'!D2413-'[1]VENTAS(RESUMEN GLOBAL)'!E2413</f>
        <v>0</v>
      </c>
      <c r="H2413" s="9">
        <f>+'[1]VENTAS(RESUMEN GLOBAL)'!K2413</f>
        <v>0</v>
      </c>
      <c r="I2413" s="8">
        <f>+G2413*'[1]VENTAS(RESUMEN GLOBAL)'!F2413</f>
        <v>0</v>
      </c>
      <c r="J2413" s="8">
        <f>'[1]VENTAS(RESUMEN GLOBAL)'!G2413*(1-'[1]VENTAS(RESUMEN GLOBAL)'!H2413)</f>
        <v>0</v>
      </c>
      <c r="K2413" s="8">
        <f t="shared" si="37"/>
        <v>0</v>
      </c>
      <c r="L2413" s="8">
        <f>+'[1]VENTAS(RESUMEN GLOBAL)'!J2413</f>
        <v>0</v>
      </c>
      <c r="M2413" s="8">
        <f>+Tabla1[[#This Row],[utilidad x dia]]*7</f>
        <v>0</v>
      </c>
    </row>
    <row r="2414" spans="1:13" x14ac:dyDescent="0.3">
      <c r="A2414" s="6">
        <f>+'[1]VENTAS(RESUMEN GLOBAL)'!L2414</f>
        <v>0</v>
      </c>
      <c r="B2414" s="6">
        <f>+'[1]VENTAS(RESUMEN GLOBAL)'!M2414</f>
        <v>0</v>
      </c>
      <c r="C2414">
        <f>+'[1]VENTAS(RESUMEN GLOBAL)'!B2414</f>
        <v>0</v>
      </c>
      <c r="D2414" t="e">
        <f>INDEX('[1]CÓDIGOS DE PRODUCTO'!$D$3:$D$1000,MATCH(C2414,'[1]CÓDIGOS DE PRODUCTO'!$A$3:$A$1000,0))</f>
        <v>#N/A</v>
      </c>
      <c r="E2414">
        <f>VLOOKUP(C2414,'[1]CÓDIGOS DE PRODUCTO'!$A$4:$B$156,2,FALSE)</f>
        <v>0</v>
      </c>
      <c r="F2414">
        <f>INDEX('[1]CÓDIGOS DE PRODUCTO'!$C$3:$C$1000,MATCH(C2414,'[1]CÓDIGOS DE PRODUCTO'!$A$3:$A$1000,0))</f>
        <v>0</v>
      </c>
      <c r="G2414">
        <f>+'[1]VENTAS(RESUMEN GLOBAL)'!D2414-'[1]VENTAS(RESUMEN GLOBAL)'!E2414</f>
        <v>0</v>
      </c>
      <c r="H2414" s="9">
        <f>+'[1]VENTAS(RESUMEN GLOBAL)'!K2414</f>
        <v>0</v>
      </c>
      <c r="I2414" s="8">
        <f>+G2414*'[1]VENTAS(RESUMEN GLOBAL)'!F2414</f>
        <v>0</v>
      </c>
      <c r="J2414" s="8">
        <f>'[1]VENTAS(RESUMEN GLOBAL)'!G2414*(1-'[1]VENTAS(RESUMEN GLOBAL)'!H2414)</f>
        <v>0</v>
      </c>
      <c r="K2414" s="8">
        <f t="shared" si="37"/>
        <v>0</v>
      </c>
      <c r="L2414" s="8">
        <f>+'[1]VENTAS(RESUMEN GLOBAL)'!J2414</f>
        <v>0</v>
      </c>
      <c r="M2414" s="8">
        <f>+Tabla1[[#This Row],[utilidad x dia]]*7</f>
        <v>0</v>
      </c>
    </row>
    <row r="2415" spans="1:13" x14ac:dyDescent="0.3">
      <c r="A2415" s="6">
        <f>+'[1]VENTAS(RESUMEN GLOBAL)'!L2415</f>
        <v>0</v>
      </c>
      <c r="B2415" s="6">
        <f>+'[1]VENTAS(RESUMEN GLOBAL)'!M2415</f>
        <v>0</v>
      </c>
      <c r="C2415">
        <f>+'[1]VENTAS(RESUMEN GLOBAL)'!B2415</f>
        <v>0</v>
      </c>
      <c r="D2415" t="e">
        <f>INDEX('[1]CÓDIGOS DE PRODUCTO'!$D$3:$D$1000,MATCH(C2415,'[1]CÓDIGOS DE PRODUCTO'!$A$3:$A$1000,0))</f>
        <v>#N/A</v>
      </c>
      <c r="E2415">
        <f>VLOOKUP(C2415,'[1]CÓDIGOS DE PRODUCTO'!$A$4:$B$156,2,FALSE)</f>
        <v>0</v>
      </c>
      <c r="F2415">
        <f>INDEX('[1]CÓDIGOS DE PRODUCTO'!$C$3:$C$1000,MATCH(C2415,'[1]CÓDIGOS DE PRODUCTO'!$A$3:$A$1000,0))</f>
        <v>0</v>
      </c>
      <c r="G2415">
        <f>+'[1]VENTAS(RESUMEN GLOBAL)'!D2415-'[1]VENTAS(RESUMEN GLOBAL)'!E2415</f>
        <v>0</v>
      </c>
      <c r="H2415" s="9">
        <f>+'[1]VENTAS(RESUMEN GLOBAL)'!K2415</f>
        <v>0</v>
      </c>
      <c r="I2415" s="8">
        <f>+G2415*'[1]VENTAS(RESUMEN GLOBAL)'!F2415</f>
        <v>0</v>
      </c>
      <c r="J2415" s="8">
        <f>'[1]VENTAS(RESUMEN GLOBAL)'!G2415*(1-'[1]VENTAS(RESUMEN GLOBAL)'!H2415)</f>
        <v>0</v>
      </c>
      <c r="K2415" s="8">
        <f t="shared" si="37"/>
        <v>0</v>
      </c>
      <c r="L2415" s="8">
        <f>+'[1]VENTAS(RESUMEN GLOBAL)'!J2415</f>
        <v>0</v>
      </c>
      <c r="M2415" s="8">
        <f>+Tabla1[[#This Row],[utilidad x dia]]*7</f>
        <v>0</v>
      </c>
    </row>
    <row r="2416" spans="1:13" x14ac:dyDescent="0.3">
      <c r="A2416" s="6">
        <f>+'[1]VENTAS(RESUMEN GLOBAL)'!L2416</f>
        <v>0</v>
      </c>
      <c r="B2416" s="6">
        <f>+'[1]VENTAS(RESUMEN GLOBAL)'!M2416</f>
        <v>0</v>
      </c>
      <c r="C2416">
        <f>+'[1]VENTAS(RESUMEN GLOBAL)'!B2416</f>
        <v>0</v>
      </c>
      <c r="D2416" t="e">
        <f>INDEX('[1]CÓDIGOS DE PRODUCTO'!$D$3:$D$1000,MATCH(C2416,'[1]CÓDIGOS DE PRODUCTO'!$A$3:$A$1000,0))</f>
        <v>#N/A</v>
      </c>
      <c r="E2416">
        <f>VLOOKUP(C2416,'[1]CÓDIGOS DE PRODUCTO'!$A$4:$B$156,2,FALSE)</f>
        <v>0</v>
      </c>
      <c r="F2416">
        <f>INDEX('[1]CÓDIGOS DE PRODUCTO'!$C$3:$C$1000,MATCH(C2416,'[1]CÓDIGOS DE PRODUCTO'!$A$3:$A$1000,0))</f>
        <v>0</v>
      </c>
      <c r="G2416">
        <f>+'[1]VENTAS(RESUMEN GLOBAL)'!D2416-'[1]VENTAS(RESUMEN GLOBAL)'!E2416</f>
        <v>0</v>
      </c>
      <c r="H2416" s="9">
        <f>+'[1]VENTAS(RESUMEN GLOBAL)'!K2416</f>
        <v>0</v>
      </c>
      <c r="I2416" s="8">
        <f>+G2416*'[1]VENTAS(RESUMEN GLOBAL)'!F2416</f>
        <v>0</v>
      </c>
      <c r="J2416" s="8">
        <f>'[1]VENTAS(RESUMEN GLOBAL)'!G2416*(1-'[1]VENTAS(RESUMEN GLOBAL)'!H2416)</f>
        <v>0</v>
      </c>
      <c r="K2416" s="8">
        <f t="shared" si="37"/>
        <v>0</v>
      </c>
      <c r="L2416" s="8">
        <f>+'[1]VENTAS(RESUMEN GLOBAL)'!J2416</f>
        <v>0</v>
      </c>
      <c r="M2416" s="8">
        <f>+Tabla1[[#This Row],[utilidad x dia]]*7</f>
        <v>0</v>
      </c>
    </row>
    <row r="2417" spans="1:13" x14ac:dyDescent="0.3">
      <c r="A2417" s="6">
        <f>+'[1]VENTAS(RESUMEN GLOBAL)'!L2417</f>
        <v>0</v>
      </c>
      <c r="B2417" s="6">
        <f>+'[1]VENTAS(RESUMEN GLOBAL)'!M2417</f>
        <v>0</v>
      </c>
      <c r="C2417">
        <f>+'[1]VENTAS(RESUMEN GLOBAL)'!B2417</f>
        <v>0</v>
      </c>
      <c r="D2417" t="e">
        <f>INDEX('[1]CÓDIGOS DE PRODUCTO'!$D$3:$D$1000,MATCH(C2417,'[1]CÓDIGOS DE PRODUCTO'!$A$3:$A$1000,0))</f>
        <v>#N/A</v>
      </c>
      <c r="E2417">
        <f>VLOOKUP(C2417,'[1]CÓDIGOS DE PRODUCTO'!$A$4:$B$156,2,FALSE)</f>
        <v>0</v>
      </c>
      <c r="F2417">
        <f>INDEX('[1]CÓDIGOS DE PRODUCTO'!$C$3:$C$1000,MATCH(C2417,'[1]CÓDIGOS DE PRODUCTO'!$A$3:$A$1000,0))</f>
        <v>0</v>
      </c>
      <c r="G2417">
        <f>+'[1]VENTAS(RESUMEN GLOBAL)'!D2417-'[1]VENTAS(RESUMEN GLOBAL)'!E2417</f>
        <v>0</v>
      </c>
      <c r="H2417" s="9">
        <f>+'[1]VENTAS(RESUMEN GLOBAL)'!K2417</f>
        <v>0</v>
      </c>
      <c r="I2417" s="8">
        <f>+G2417*'[1]VENTAS(RESUMEN GLOBAL)'!F2417</f>
        <v>0</v>
      </c>
      <c r="J2417" s="8">
        <f>'[1]VENTAS(RESUMEN GLOBAL)'!G2417*(1-'[1]VENTAS(RESUMEN GLOBAL)'!H2417)</f>
        <v>0</v>
      </c>
      <c r="K2417" s="8">
        <f t="shared" si="37"/>
        <v>0</v>
      </c>
      <c r="L2417" s="8">
        <f>+'[1]VENTAS(RESUMEN GLOBAL)'!J2417</f>
        <v>0</v>
      </c>
      <c r="M2417" s="8">
        <f>+Tabla1[[#This Row],[utilidad x dia]]*7</f>
        <v>0</v>
      </c>
    </row>
    <row r="2418" spans="1:13" x14ac:dyDescent="0.3">
      <c r="A2418" s="6">
        <f>+'[1]VENTAS(RESUMEN GLOBAL)'!L2418</f>
        <v>0</v>
      </c>
      <c r="B2418" s="6">
        <f>+'[1]VENTAS(RESUMEN GLOBAL)'!M2418</f>
        <v>0</v>
      </c>
      <c r="C2418">
        <f>+'[1]VENTAS(RESUMEN GLOBAL)'!B2418</f>
        <v>0</v>
      </c>
      <c r="D2418" t="e">
        <f>INDEX('[1]CÓDIGOS DE PRODUCTO'!$D$3:$D$1000,MATCH(C2418,'[1]CÓDIGOS DE PRODUCTO'!$A$3:$A$1000,0))</f>
        <v>#N/A</v>
      </c>
      <c r="E2418">
        <f>VLOOKUP(C2418,'[1]CÓDIGOS DE PRODUCTO'!$A$4:$B$156,2,FALSE)</f>
        <v>0</v>
      </c>
      <c r="F2418">
        <f>INDEX('[1]CÓDIGOS DE PRODUCTO'!$C$3:$C$1000,MATCH(C2418,'[1]CÓDIGOS DE PRODUCTO'!$A$3:$A$1000,0))</f>
        <v>0</v>
      </c>
      <c r="G2418">
        <f>+'[1]VENTAS(RESUMEN GLOBAL)'!D2418-'[1]VENTAS(RESUMEN GLOBAL)'!E2418</f>
        <v>0</v>
      </c>
      <c r="H2418" s="9">
        <f>+'[1]VENTAS(RESUMEN GLOBAL)'!K2418</f>
        <v>0</v>
      </c>
      <c r="I2418" s="8">
        <f>+G2418*'[1]VENTAS(RESUMEN GLOBAL)'!F2418</f>
        <v>0</v>
      </c>
      <c r="J2418" s="8">
        <f>'[1]VENTAS(RESUMEN GLOBAL)'!G2418*(1-'[1]VENTAS(RESUMEN GLOBAL)'!H2418)</f>
        <v>0</v>
      </c>
      <c r="K2418" s="8">
        <f t="shared" si="37"/>
        <v>0</v>
      </c>
      <c r="L2418" s="8">
        <f>+'[1]VENTAS(RESUMEN GLOBAL)'!J2418</f>
        <v>0</v>
      </c>
      <c r="M2418" s="8">
        <f>+Tabla1[[#This Row],[utilidad x dia]]*7</f>
        <v>0</v>
      </c>
    </row>
    <row r="2419" spans="1:13" x14ac:dyDescent="0.3">
      <c r="A2419" s="6">
        <f>+'[1]VENTAS(RESUMEN GLOBAL)'!L2419</f>
        <v>0</v>
      </c>
      <c r="B2419" s="6">
        <f>+'[1]VENTAS(RESUMEN GLOBAL)'!M2419</f>
        <v>0</v>
      </c>
      <c r="C2419">
        <f>+'[1]VENTAS(RESUMEN GLOBAL)'!B2419</f>
        <v>0</v>
      </c>
      <c r="D2419" t="e">
        <f>INDEX('[1]CÓDIGOS DE PRODUCTO'!$D$3:$D$1000,MATCH(C2419,'[1]CÓDIGOS DE PRODUCTO'!$A$3:$A$1000,0))</f>
        <v>#N/A</v>
      </c>
      <c r="E2419">
        <f>VLOOKUP(C2419,'[1]CÓDIGOS DE PRODUCTO'!$A$4:$B$156,2,FALSE)</f>
        <v>0</v>
      </c>
      <c r="F2419">
        <f>INDEX('[1]CÓDIGOS DE PRODUCTO'!$C$3:$C$1000,MATCH(C2419,'[1]CÓDIGOS DE PRODUCTO'!$A$3:$A$1000,0))</f>
        <v>0</v>
      </c>
      <c r="G2419">
        <f>+'[1]VENTAS(RESUMEN GLOBAL)'!D2419-'[1]VENTAS(RESUMEN GLOBAL)'!E2419</f>
        <v>0</v>
      </c>
      <c r="H2419" s="9">
        <f>+'[1]VENTAS(RESUMEN GLOBAL)'!K2419</f>
        <v>0</v>
      </c>
      <c r="I2419" s="8">
        <f>+G2419*'[1]VENTAS(RESUMEN GLOBAL)'!F2419</f>
        <v>0</v>
      </c>
      <c r="J2419" s="8">
        <f>'[1]VENTAS(RESUMEN GLOBAL)'!G2419*(1-'[1]VENTAS(RESUMEN GLOBAL)'!H2419)</f>
        <v>0</v>
      </c>
      <c r="K2419" s="8">
        <f t="shared" si="37"/>
        <v>0</v>
      </c>
      <c r="L2419" s="8">
        <f>+'[1]VENTAS(RESUMEN GLOBAL)'!J2419</f>
        <v>0</v>
      </c>
      <c r="M2419" s="8">
        <f>+Tabla1[[#This Row],[utilidad x dia]]*7</f>
        <v>0</v>
      </c>
    </row>
    <row r="2420" spans="1:13" x14ac:dyDescent="0.3">
      <c r="A2420" s="6">
        <f>+'[1]VENTAS(RESUMEN GLOBAL)'!L2420</f>
        <v>0</v>
      </c>
      <c r="B2420" s="6">
        <f>+'[1]VENTAS(RESUMEN GLOBAL)'!M2420</f>
        <v>0</v>
      </c>
      <c r="C2420">
        <f>+'[1]VENTAS(RESUMEN GLOBAL)'!B2420</f>
        <v>0</v>
      </c>
      <c r="D2420" t="e">
        <f>INDEX('[1]CÓDIGOS DE PRODUCTO'!$D$3:$D$1000,MATCH(C2420,'[1]CÓDIGOS DE PRODUCTO'!$A$3:$A$1000,0))</f>
        <v>#N/A</v>
      </c>
      <c r="E2420">
        <f>VLOOKUP(C2420,'[1]CÓDIGOS DE PRODUCTO'!$A$4:$B$156,2,FALSE)</f>
        <v>0</v>
      </c>
      <c r="F2420">
        <f>INDEX('[1]CÓDIGOS DE PRODUCTO'!$C$3:$C$1000,MATCH(C2420,'[1]CÓDIGOS DE PRODUCTO'!$A$3:$A$1000,0))</f>
        <v>0</v>
      </c>
      <c r="G2420">
        <f>+'[1]VENTAS(RESUMEN GLOBAL)'!D2420-'[1]VENTAS(RESUMEN GLOBAL)'!E2420</f>
        <v>0</v>
      </c>
      <c r="H2420" s="9">
        <f>+'[1]VENTAS(RESUMEN GLOBAL)'!K2420</f>
        <v>0</v>
      </c>
      <c r="I2420" s="8">
        <f>+G2420*'[1]VENTAS(RESUMEN GLOBAL)'!F2420</f>
        <v>0</v>
      </c>
      <c r="J2420" s="8">
        <f>'[1]VENTAS(RESUMEN GLOBAL)'!G2420*(1-'[1]VENTAS(RESUMEN GLOBAL)'!H2420)</f>
        <v>0</v>
      </c>
      <c r="K2420" s="8">
        <f t="shared" si="37"/>
        <v>0</v>
      </c>
      <c r="L2420" s="8">
        <f>+'[1]VENTAS(RESUMEN GLOBAL)'!J2420</f>
        <v>0</v>
      </c>
      <c r="M2420" s="8">
        <f>+Tabla1[[#This Row],[utilidad x dia]]*7</f>
        <v>0</v>
      </c>
    </row>
    <row r="2421" spans="1:13" x14ac:dyDescent="0.3">
      <c r="A2421" s="6">
        <f>+'[1]VENTAS(RESUMEN GLOBAL)'!L2421</f>
        <v>0</v>
      </c>
      <c r="B2421" s="6">
        <f>+'[1]VENTAS(RESUMEN GLOBAL)'!M2421</f>
        <v>0</v>
      </c>
      <c r="C2421">
        <f>+'[1]VENTAS(RESUMEN GLOBAL)'!B2421</f>
        <v>0</v>
      </c>
      <c r="D2421" t="e">
        <f>INDEX('[1]CÓDIGOS DE PRODUCTO'!$D$3:$D$1000,MATCH(C2421,'[1]CÓDIGOS DE PRODUCTO'!$A$3:$A$1000,0))</f>
        <v>#N/A</v>
      </c>
      <c r="E2421">
        <f>VLOOKUP(C2421,'[1]CÓDIGOS DE PRODUCTO'!$A$4:$B$156,2,FALSE)</f>
        <v>0</v>
      </c>
      <c r="F2421">
        <f>INDEX('[1]CÓDIGOS DE PRODUCTO'!$C$3:$C$1000,MATCH(C2421,'[1]CÓDIGOS DE PRODUCTO'!$A$3:$A$1000,0))</f>
        <v>0</v>
      </c>
      <c r="G2421">
        <f>+'[1]VENTAS(RESUMEN GLOBAL)'!D2421-'[1]VENTAS(RESUMEN GLOBAL)'!E2421</f>
        <v>0</v>
      </c>
      <c r="H2421" s="9">
        <f>+'[1]VENTAS(RESUMEN GLOBAL)'!K2421</f>
        <v>0</v>
      </c>
      <c r="I2421" s="8">
        <f>+G2421*'[1]VENTAS(RESUMEN GLOBAL)'!F2421</f>
        <v>0</v>
      </c>
      <c r="J2421" s="8">
        <f>'[1]VENTAS(RESUMEN GLOBAL)'!G2421*(1-'[1]VENTAS(RESUMEN GLOBAL)'!H2421)</f>
        <v>0</v>
      </c>
      <c r="K2421" s="8">
        <f t="shared" si="37"/>
        <v>0</v>
      </c>
      <c r="L2421" s="8">
        <f>+'[1]VENTAS(RESUMEN GLOBAL)'!J2421</f>
        <v>0</v>
      </c>
      <c r="M2421" s="8">
        <f>+Tabla1[[#This Row],[utilidad x dia]]*7</f>
        <v>0</v>
      </c>
    </row>
    <row r="2422" spans="1:13" x14ac:dyDescent="0.3">
      <c r="A2422" s="6">
        <f>+'[1]VENTAS(RESUMEN GLOBAL)'!L2422</f>
        <v>0</v>
      </c>
      <c r="B2422" s="6">
        <f>+'[1]VENTAS(RESUMEN GLOBAL)'!M2422</f>
        <v>0</v>
      </c>
      <c r="C2422">
        <f>+'[1]VENTAS(RESUMEN GLOBAL)'!B2422</f>
        <v>0</v>
      </c>
      <c r="D2422" t="e">
        <f>INDEX('[1]CÓDIGOS DE PRODUCTO'!$D$3:$D$1000,MATCH(C2422,'[1]CÓDIGOS DE PRODUCTO'!$A$3:$A$1000,0))</f>
        <v>#N/A</v>
      </c>
      <c r="E2422">
        <f>VLOOKUP(C2422,'[1]CÓDIGOS DE PRODUCTO'!$A$4:$B$156,2,FALSE)</f>
        <v>0</v>
      </c>
      <c r="F2422">
        <f>INDEX('[1]CÓDIGOS DE PRODUCTO'!$C$3:$C$1000,MATCH(C2422,'[1]CÓDIGOS DE PRODUCTO'!$A$3:$A$1000,0))</f>
        <v>0</v>
      </c>
      <c r="G2422">
        <f>+'[1]VENTAS(RESUMEN GLOBAL)'!D2422-'[1]VENTAS(RESUMEN GLOBAL)'!E2422</f>
        <v>0</v>
      </c>
      <c r="H2422" s="9">
        <f>+'[1]VENTAS(RESUMEN GLOBAL)'!K2422</f>
        <v>0</v>
      </c>
      <c r="I2422" s="8">
        <f>+G2422*'[1]VENTAS(RESUMEN GLOBAL)'!F2422</f>
        <v>0</v>
      </c>
      <c r="J2422" s="8">
        <f>'[1]VENTAS(RESUMEN GLOBAL)'!G2422*(1-'[1]VENTAS(RESUMEN GLOBAL)'!H2422)</f>
        <v>0</v>
      </c>
      <c r="K2422" s="8">
        <f t="shared" si="37"/>
        <v>0</v>
      </c>
      <c r="L2422" s="8">
        <f>+'[1]VENTAS(RESUMEN GLOBAL)'!J2422</f>
        <v>0</v>
      </c>
      <c r="M2422" s="8">
        <f>+Tabla1[[#This Row],[utilidad x dia]]*7</f>
        <v>0</v>
      </c>
    </row>
    <row r="2423" spans="1:13" x14ac:dyDescent="0.3">
      <c r="A2423" s="6">
        <f>+'[1]VENTAS(RESUMEN GLOBAL)'!L2423</f>
        <v>0</v>
      </c>
      <c r="B2423" s="6">
        <f>+'[1]VENTAS(RESUMEN GLOBAL)'!M2423</f>
        <v>0</v>
      </c>
      <c r="C2423">
        <f>+'[1]VENTAS(RESUMEN GLOBAL)'!B2423</f>
        <v>0</v>
      </c>
      <c r="D2423" t="e">
        <f>INDEX('[1]CÓDIGOS DE PRODUCTO'!$D$3:$D$1000,MATCH(C2423,'[1]CÓDIGOS DE PRODUCTO'!$A$3:$A$1000,0))</f>
        <v>#N/A</v>
      </c>
      <c r="E2423">
        <f>VLOOKUP(C2423,'[1]CÓDIGOS DE PRODUCTO'!$A$4:$B$156,2,FALSE)</f>
        <v>0</v>
      </c>
      <c r="F2423">
        <f>INDEX('[1]CÓDIGOS DE PRODUCTO'!$C$3:$C$1000,MATCH(C2423,'[1]CÓDIGOS DE PRODUCTO'!$A$3:$A$1000,0))</f>
        <v>0</v>
      </c>
      <c r="G2423">
        <f>+'[1]VENTAS(RESUMEN GLOBAL)'!D2423-'[1]VENTAS(RESUMEN GLOBAL)'!E2423</f>
        <v>0</v>
      </c>
      <c r="H2423" s="9">
        <f>+'[1]VENTAS(RESUMEN GLOBAL)'!K2423</f>
        <v>0</v>
      </c>
      <c r="I2423" s="8">
        <f>+G2423*'[1]VENTAS(RESUMEN GLOBAL)'!F2423</f>
        <v>0</v>
      </c>
      <c r="J2423" s="8">
        <f>'[1]VENTAS(RESUMEN GLOBAL)'!G2423*(1-'[1]VENTAS(RESUMEN GLOBAL)'!H2423)</f>
        <v>0</v>
      </c>
      <c r="K2423" s="8">
        <f t="shared" si="37"/>
        <v>0</v>
      </c>
      <c r="L2423" s="8">
        <f>+'[1]VENTAS(RESUMEN GLOBAL)'!J2423</f>
        <v>0</v>
      </c>
      <c r="M2423" s="8">
        <f>+Tabla1[[#This Row],[utilidad x dia]]*7</f>
        <v>0</v>
      </c>
    </row>
    <row r="2424" spans="1:13" x14ac:dyDescent="0.3">
      <c r="A2424" s="6">
        <f>+'[1]VENTAS(RESUMEN GLOBAL)'!L2424</f>
        <v>0</v>
      </c>
      <c r="B2424" s="6">
        <f>+'[1]VENTAS(RESUMEN GLOBAL)'!M2424</f>
        <v>0</v>
      </c>
      <c r="C2424">
        <f>+'[1]VENTAS(RESUMEN GLOBAL)'!B2424</f>
        <v>0</v>
      </c>
      <c r="D2424" t="e">
        <f>INDEX('[1]CÓDIGOS DE PRODUCTO'!$D$3:$D$1000,MATCH(C2424,'[1]CÓDIGOS DE PRODUCTO'!$A$3:$A$1000,0))</f>
        <v>#N/A</v>
      </c>
      <c r="E2424">
        <f>VLOOKUP(C2424,'[1]CÓDIGOS DE PRODUCTO'!$A$4:$B$156,2,FALSE)</f>
        <v>0</v>
      </c>
      <c r="F2424">
        <f>INDEX('[1]CÓDIGOS DE PRODUCTO'!$C$3:$C$1000,MATCH(C2424,'[1]CÓDIGOS DE PRODUCTO'!$A$3:$A$1000,0))</f>
        <v>0</v>
      </c>
      <c r="G2424">
        <f>+'[1]VENTAS(RESUMEN GLOBAL)'!D2424-'[1]VENTAS(RESUMEN GLOBAL)'!E2424</f>
        <v>0</v>
      </c>
      <c r="H2424" s="9">
        <f>+'[1]VENTAS(RESUMEN GLOBAL)'!K2424</f>
        <v>0</v>
      </c>
      <c r="I2424" s="8">
        <f>+G2424*'[1]VENTAS(RESUMEN GLOBAL)'!F2424</f>
        <v>0</v>
      </c>
      <c r="J2424" s="8">
        <f>'[1]VENTAS(RESUMEN GLOBAL)'!G2424*(1-'[1]VENTAS(RESUMEN GLOBAL)'!H2424)</f>
        <v>0</v>
      </c>
      <c r="K2424" s="8">
        <f t="shared" si="37"/>
        <v>0</v>
      </c>
      <c r="L2424" s="8">
        <f>+'[1]VENTAS(RESUMEN GLOBAL)'!J2424</f>
        <v>0</v>
      </c>
      <c r="M2424" s="8">
        <f>+Tabla1[[#This Row],[utilidad x dia]]*7</f>
        <v>0</v>
      </c>
    </row>
    <row r="2425" spans="1:13" x14ac:dyDescent="0.3">
      <c r="A2425" s="6">
        <f>+'[1]VENTAS(RESUMEN GLOBAL)'!L2425</f>
        <v>0</v>
      </c>
      <c r="B2425" s="6">
        <f>+'[1]VENTAS(RESUMEN GLOBAL)'!M2425</f>
        <v>0</v>
      </c>
      <c r="C2425">
        <f>+'[1]VENTAS(RESUMEN GLOBAL)'!B2425</f>
        <v>0</v>
      </c>
      <c r="D2425" t="e">
        <f>INDEX('[1]CÓDIGOS DE PRODUCTO'!$D$3:$D$1000,MATCH(C2425,'[1]CÓDIGOS DE PRODUCTO'!$A$3:$A$1000,0))</f>
        <v>#N/A</v>
      </c>
      <c r="E2425">
        <f>VLOOKUP(C2425,'[1]CÓDIGOS DE PRODUCTO'!$A$4:$B$156,2,FALSE)</f>
        <v>0</v>
      </c>
      <c r="F2425">
        <f>INDEX('[1]CÓDIGOS DE PRODUCTO'!$C$3:$C$1000,MATCH(C2425,'[1]CÓDIGOS DE PRODUCTO'!$A$3:$A$1000,0))</f>
        <v>0</v>
      </c>
      <c r="G2425">
        <f>+'[1]VENTAS(RESUMEN GLOBAL)'!D2425-'[1]VENTAS(RESUMEN GLOBAL)'!E2425</f>
        <v>0</v>
      </c>
      <c r="H2425" s="9">
        <f>+'[1]VENTAS(RESUMEN GLOBAL)'!K2425</f>
        <v>0</v>
      </c>
      <c r="I2425" s="8">
        <f>+G2425*'[1]VENTAS(RESUMEN GLOBAL)'!F2425</f>
        <v>0</v>
      </c>
      <c r="J2425" s="8">
        <f>'[1]VENTAS(RESUMEN GLOBAL)'!G2425*(1-'[1]VENTAS(RESUMEN GLOBAL)'!H2425)</f>
        <v>0</v>
      </c>
      <c r="K2425" s="8">
        <f t="shared" si="37"/>
        <v>0</v>
      </c>
      <c r="L2425" s="8">
        <f>+'[1]VENTAS(RESUMEN GLOBAL)'!J2425</f>
        <v>0</v>
      </c>
      <c r="M2425" s="8">
        <f>+Tabla1[[#This Row],[utilidad x dia]]*7</f>
        <v>0</v>
      </c>
    </row>
    <row r="2426" spans="1:13" x14ac:dyDescent="0.3">
      <c r="A2426" s="6">
        <f>+'[1]VENTAS(RESUMEN GLOBAL)'!L2426</f>
        <v>0</v>
      </c>
      <c r="B2426" s="6">
        <f>+'[1]VENTAS(RESUMEN GLOBAL)'!M2426</f>
        <v>0</v>
      </c>
      <c r="C2426">
        <f>+'[1]VENTAS(RESUMEN GLOBAL)'!B2426</f>
        <v>0</v>
      </c>
      <c r="D2426" t="e">
        <f>INDEX('[1]CÓDIGOS DE PRODUCTO'!$D$3:$D$1000,MATCH(C2426,'[1]CÓDIGOS DE PRODUCTO'!$A$3:$A$1000,0))</f>
        <v>#N/A</v>
      </c>
      <c r="E2426">
        <f>VLOOKUP(C2426,'[1]CÓDIGOS DE PRODUCTO'!$A$4:$B$156,2,FALSE)</f>
        <v>0</v>
      </c>
      <c r="F2426">
        <f>INDEX('[1]CÓDIGOS DE PRODUCTO'!$C$3:$C$1000,MATCH(C2426,'[1]CÓDIGOS DE PRODUCTO'!$A$3:$A$1000,0))</f>
        <v>0</v>
      </c>
      <c r="G2426">
        <f>+'[1]VENTAS(RESUMEN GLOBAL)'!D2426-'[1]VENTAS(RESUMEN GLOBAL)'!E2426</f>
        <v>0</v>
      </c>
      <c r="H2426" s="9">
        <f>+'[1]VENTAS(RESUMEN GLOBAL)'!K2426</f>
        <v>0</v>
      </c>
      <c r="I2426" s="8">
        <f>+G2426*'[1]VENTAS(RESUMEN GLOBAL)'!F2426</f>
        <v>0</v>
      </c>
      <c r="J2426" s="8">
        <f>'[1]VENTAS(RESUMEN GLOBAL)'!G2426*(1-'[1]VENTAS(RESUMEN GLOBAL)'!H2426)</f>
        <v>0</v>
      </c>
      <c r="K2426" s="8">
        <f t="shared" si="37"/>
        <v>0</v>
      </c>
      <c r="L2426" s="8">
        <f>+'[1]VENTAS(RESUMEN GLOBAL)'!J2426</f>
        <v>0</v>
      </c>
      <c r="M2426" s="8">
        <f>+Tabla1[[#This Row],[utilidad x dia]]*7</f>
        <v>0</v>
      </c>
    </row>
    <row r="2427" spans="1:13" x14ac:dyDescent="0.3">
      <c r="A2427" s="6">
        <f>+'[1]VENTAS(RESUMEN GLOBAL)'!L2427</f>
        <v>0</v>
      </c>
      <c r="B2427" s="6">
        <f>+'[1]VENTAS(RESUMEN GLOBAL)'!M2427</f>
        <v>0</v>
      </c>
      <c r="C2427">
        <f>+'[1]VENTAS(RESUMEN GLOBAL)'!B2427</f>
        <v>0</v>
      </c>
      <c r="D2427" t="e">
        <f>INDEX('[1]CÓDIGOS DE PRODUCTO'!$D$3:$D$1000,MATCH(C2427,'[1]CÓDIGOS DE PRODUCTO'!$A$3:$A$1000,0))</f>
        <v>#N/A</v>
      </c>
      <c r="E2427">
        <f>VLOOKUP(C2427,'[1]CÓDIGOS DE PRODUCTO'!$A$4:$B$156,2,FALSE)</f>
        <v>0</v>
      </c>
      <c r="F2427">
        <f>INDEX('[1]CÓDIGOS DE PRODUCTO'!$C$3:$C$1000,MATCH(C2427,'[1]CÓDIGOS DE PRODUCTO'!$A$3:$A$1000,0))</f>
        <v>0</v>
      </c>
      <c r="G2427">
        <f>+'[1]VENTAS(RESUMEN GLOBAL)'!D2427-'[1]VENTAS(RESUMEN GLOBAL)'!E2427</f>
        <v>0</v>
      </c>
      <c r="H2427" s="9">
        <f>+'[1]VENTAS(RESUMEN GLOBAL)'!K2427</f>
        <v>0</v>
      </c>
      <c r="I2427" s="8">
        <f>+G2427*'[1]VENTAS(RESUMEN GLOBAL)'!F2427</f>
        <v>0</v>
      </c>
      <c r="J2427" s="8">
        <f>'[1]VENTAS(RESUMEN GLOBAL)'!G2427*(1-'[1]VENTAS(RESUMEN GLOBAL)'!H2427)</f>
        <v>0</v>
      </c>
      <c r="K2427" s="8">
        <f t="shared" si="37"/>
        <v>0</v>
      </c>
      <c r="L2427" s="8">
        <f>+'[1]VENTAS(RESUMEN GLOBAL)'!J2427</f>
        <v>0</v>
      </c>
      <c r="M2427" s="8">
        <f>+Tabla1[[#This Row],[utilidad x dia]]*7</f>
        <v>0</v>
      </c>
    </row>
    <row r="2428" spans="1:13" x14ac:dyDescent="0.3">
      <c r="A2428" s="6">
        <f>+'[1]VENTAS(RESUMEN GLOBAL)'!L2428</f>
        <v>0</v>
      </c>
      <c r="B2428" s="6">
        <f>+'[1]VENTAS(RESUMEN GLOBAL)'!M2428</f>
        <v>0</v>
      </c>
      <c r="C2428">
        <f>+'[1]VENTAS(RESUMEN GLOBAL)'!B2428</f>
        <v>0</v>
      </c>
      <c r="D2428" t="e">
        <f>INDEX('[1]CÓDIGOS DE PRODUCTO'!$D$3:$D$1000,MATCH(C2428,'[1]CÓDIGOS DE PRODUCTO'!$A$3:$A$1000,0))</f>
        <v>#N/A</v>
      </c>
      <c r="E2428">
        <f>VLOOKUP(C2428,'[1]CÓDIGOS DE PRODUCTO'!$A$4:$B$156,2,FALSE)</f>
        <v>0</v>
      </c>
      <c r="F2428">
        <f>INDEX('[1]CÓDIGOS DE PRODUCTO'!$C$3:$C$1000,MATCH(C2428,'[1]CÓDIGOS DE PRODUCTO'!$A$3:$A$1000,0))</f>
        <v>0</v>
      </c>
      <c r="G2428">
        <f>+'[1]VENTAS(RESUMEN GLOBAL)'!D2428-'[1]VENTAS(RESUMEN GLOBAL)'!E2428</f>
        <v>0</v>
      </c>
      <c r="H2428" s="9">
        <f>+'[1]VENTAS(RESUMEN GLOBAL)'!K2428</f>
        <v>0</v>
      </c>
      <c r="I2428" s="8">
        <f>+G2428*'[1]VENTAS(RESUMEN GLOBAL)'!F2428</f>
        <v>0</v>
      </c>
      <c r="J2428" s="8">
        <f>'[1]VENTAS(RESUMEN GLOBAL)'!G2428*(1-'[1]VENTAS(RESUMEN GLOBAL)'!H2428)</f>
        <v>0</v>
      </c>
      <c r="K2428" s="8">
        <f t="shared" si="37"/>
        <v>0</v>
      </c>
      <c r="L2428" s="8">
        <f>+'[1]VENTAS(RESUMEN GLOBAL)'!J2428</f>
        <v>0</v>
      </c>
      <c r="M2428" s="8">
        <f>+Tabla1[[#This Row],[utilidad x dia]]*7</f>
        <v>0</v>
      </c>
    </row>
    <row r="2429" spans="1:13" x14ac:dyDescent="0.3">
      <c r="A2429" s="6">
        <f>+'[1]VENTAS(RESUMEN GLOBAL)'!L2429</f>
        <v>0</v>
      </c>
      <c r="B2429" s="6">
        <f>+'[1]VENTAS(RESUMEN GLOBAL)'!M2429</f>
        <v>0</v>
      </c>
      <c r="C2429">
        <f>+'[1]VENTAS(RESUMEN GLOBAL)'!B2429</f>
        <v>0</v>
      </c>
      <c r="D2429" t="e">
        <f>INDEX('[1]CÓDIGOS DE PRODUCTO'!$D$3:$D$1000,MATCH(C2429,'[1]CÓDIGOS DE PRODUCTO'!$A$3:$A$1000,0))</f>
        <v>#N/A</v>
      </c>
      <c r="E2429">
        <f>VLOOKUP(C2429,'[1]CÓDIGOS DE PRODUCTO'!$A$4:$B$156,2,FALSE)</f>
        <v>0</v>
      </c>
      <c r="F2429">
        <f>INDEX('[1]CÓDIGOS DE PRODUCTO'!$C$3:$C$1000,MATCH(C2429,'[1]CÓDIGOS DE PRODUCTO'!$A$3:$A$1000,0))</f>
        <v>0</v>
      </c>
      <c r="G2429">
        <f>+'[1]VENTAS(RESUMEN GLOBAL)'!D2429-'[1]VENTAS(RESUMEN GLOBAL)'!E2429</f>
        <v>0</v>
      </c>
      <c r="H2429" s="9">
        <f>+'[1]VENTAS(RESUMEN GLOBAL)'!K2429</f>
        <v>0</v>
      </c>
      <c r="I2429" s="8">
        <f>+G2429*'[1]VENTAS(RESUMEN GLOBAL)'!F2429</f>
        <v>0</v>
      </c>
      <c r="J2429" s="8">
        <f>'[1]VENTAS(RESUMEN GLOBAL)'!G2429*(1-'[1]VENTAS(RESUMEN GLOBAL)'!H2429)</f>
        <v>0</v>
      </c>
      <c r="K2429" s="8">
        <f t="shared" si="37"/>
        <v>0</v>
      </c>
      <c r="L2429" s="8">
        <f>+'[1]VENTAS(RESUMEN GLOBAL)'!J2429</f>
        <v>0</v>
      </c>
      <c r="M2429" s="8">
        <f>+Tabla1[[#This Row],[utilidad x dia]]*7</f>
        <v>0</v>
      </c>
    </row>
    <row r="2430" spans="1:13" x14ac:dyDescent="0.3">
      <c r="A2430" s="6">
        <f>+'[1]VENTAS(RESUMEN GLOBAL)'!L2430</f>
        <v>0</v>
      </c>
      <c r="B2430" s="6">
        <f>+'[1]VENTAS(RESUMEN GLOBAL)'!M2430</f>
        <v>0</v>
      </c>
      <c r="C2430">
        <f>+'[1]VENTAS(RESUMEN GLOBAL)'!B2430</f>
        <v>0</v>
      </c>
      <c r="D2430" t="e">
        <f>INDEX('[1]CÓDIGOS DE PRODUCTO'!$D$3:$D$1000,MATCH(C2430,'[1]CÓDIGOS DE PRODUCTO'!$A$3:$A$1000,0))</f>
        <v>#N/A</v>
      </c>
      <c r="E2430">
        <f>VLOOKUP(C2430,'[1]CÓDIGOS DE PRODUCTO'!$A$4:$B$156,2,FALSE)</f>
        <v>0</v>
      </c>
      <c r="F2430">
        <f>INDEX('[1]CÓDIGOS DE PRODUCTO'!$C$3:$C$1000,MATCH(C2430,'[1]CÓDIGOS DE PRODUCTO'!$A$3:$A$1000,0))</f>
        <v>0</v>
      </c>
      <c r="G2430">
        <f>+'[1]VENTAS(RESUMEN GLOBAL)'!D2430-'[1]VENTAS(RESUMEN GLOBAL)'!E2430</f>
        <v>0</v>
      </c>
      <c r="H2430" s="9">
        <f>+'[1]VENTAS(RESUMEN GLOBAL)'!K2430</f>
        <v>0</v>
      </c>
      <c r="I2430" s="8">
        <f>+G2430*'[1]VENTAS(RESUMEN GLOBAL)'!F2430</f>
        <v>0</v>
      </c>
      <c r="J2430" s="8">
        <f>'[1]VENTAS(RESUMEN GLOBAL)'!G2430*(1-'[1]VENTAS(RESUMEN GLOBAL)'!H2430)</f>
        <v>0</v>
      </c>
      <c r="K2430" s="8">
        <f t="shared" si="37"/>
        <v>0</v>
      </c>
      <c r="L2430" s="8">
        <f>+'[1]VENTAS(RESUMEN GLOBAL)'!J2430</f>
        <v>0</v>
      </c>
      <c r="M2430" s="8">
        <f>+Tabla1[[#This Row],[utilidad x dia]]*7</f>
        <v>0</v>
      </c>
    </row>
    <row r="2431" spans="1:13" x14ac:dyDescent="0.3">
      <c r="A2431" s="6">
        <f>+'[1]VENTAS(RESUMEN GLOBAL)'!L2431</f>
        <v>0</v>
      </c>
      <c r="B2431" s="6">
        <f>+'[1]VENTAS(RESUMEN GLOBAL)'!M2431</f>
        <v>0</v>
      </c>
      <c r="C2431">
        <f>+'[1]VENTAS(RESUMEN GLOBAL)'!B2431</f>
        <v>0</v>
      </c>
      <c r="D2431" t="e">
        <f>INDEX('[1]CÓDIGOS DE PRODUCTO'!$D$3:$D$1000,MATCH(C2431,'[1]CÓDIGOS DE PRODUCTO'!$A$3:$A$1000,0))</f>
        <v>#N/A</v>
      </c>
      <c r="E2431">
        <f>VLOOKUP(C2431,'[1]CÓDIGOS DE PRODUCTO'!$A$4:$B$156,2,FALSE)</f>
        <v>0</v>
      </c>
      <c r="F2431">
        <f>INDEX('[1]CÓDIGOS DE PRODUCTO'!$C$3:$C$1000,MATCH(C2431,'[1]CÓDIGOS DE PRODUCTO'!$A$3:$A$1000,0))</f>
        <v>0</v>
      </c>
      <c r="G2431">
        <f>+'[1]VENTAS(RESUMEN GLOBAL)'!D2431-'[1]VENTAS(RESUMEN GLOBAL)'!E2431</f>
        <v>0</v>
      </c>
      <c r="H2431" s="9">
        <f>+'[1]VENTAS(RESUMEN GLOBAL)'!K2431</f>
        <v>0</v>
      </c>
      <c r="I2431" s="8">
        <f>+G2431*'[1]VENTAS(RESUMEN GLOBAL)'!F2431</f>
        <v>0</v>
      </c>
      <c r="J2431" s="8">
        <f>'[1]VENTAS(RESUMEN GLOBAL)'!G2431*(1-'[1]VENTAS(RESUMEN GLOBAL)'!H2431)</f>
        <v>0</v>
      </c>
      <c r="K2431" s="8">
        <f t="shared" si="37"/>
        <v>0</v>
      </c>
      <c r="L2431" s="8">
        <f>+'[1]VENTAS(RESUMEN GLOBAL)'!J2431</f>
        <v>0</v>
      </c>
      <c r="M2431" s="8">
        <f>+Tabla1[[#This Row],[utilidad x dia]]*7</f>
        <v>0</v>
      </c>
    </row>
    <row r="2432" spans="1:13" x14ac:dyDescent="0.3">
      <c r="A2432" s="6">
        <f>+'[1]VENTAS(RESUMEN GLOBAL)'!L2432</f>
        <v>0</v>
      </c>
      <c r="B2432" s="6">
        <f>+'[1]VENTAS(RESUMEN GLOBAL)'!M2432</f>
        <v>0</v>
      </c>
      <c r="C2432">
        <f>+'[1]VENTAS(RESUMEN GLOBAL)'!B2432</f>
        <v>0</v>
      </c>
      <c r="D2432" t="e">
        <f>INDEX('[1]CÓDIGOS DE PRODUCTO'!$D$3:$D$1000,MATCH(C2432,'[1]CÓDIGOS DE PRODUCTO'!$A$3:$A$1000,0))</f>
        <v>#N/A</v>
      </c>
      <c r="E2432">
        <f>VLOOKUP(C2432,'[1]CÓDIGOS DE PRODUCTO'!$A$4:$B$156,2,FALSE)</f>
        <v>0</v>
      </c>
      <c r="F2432">
        <f>INDEX('[1]CÓDIGOS DE PRODUCTO'!$C$3:$C$1000,MATCH(C2432,'[1]CÓDIGOS DE PRODUCTO'!$A$3:$A$1000,0))</f>
        <v>0</v>
      </c>
      <c r="G2432">
        <f>+'[1]VENTAS(RESUMEN GLOBAL)'!D2432-'[1]VENTAS(RESUMEN GLOBAL)'!E2432</f>
        <v>0</v>
      </c>
      <c r="H2432" s="9">
        <f>+'[1]VENTAS(RESUMEN GLOBAL)'!K2432</f>
        <v>0</v>
      </c>
      <c r="I2432" s="8">
        <f>+G2432*'[1]VENTAS(RESUMEN GLOBAL)'!F2432</f>
        <v>0</v>
      </c>
      <c r="J2432" s="8">
        <f>'[1]VENTAS(RESUMEN GLOBAL)'!G2432*(1-'[1]VENTAS(RESUMEN GLOBAL)'!H2432)</f>
        <v>0</v>
      </c>
      <c r="K2432" s="8">
        <f t="shared" si="37"/>
        <v>0</v>
      </c>
      <c r="L2432" s="8">
        <f>+'[1]VENTAS(RESUMEN GLOBAL)'!J2432</f>
        <v>0</v>
      </c>
      <c r="M2432" s="8">
        <f>+Tabla1[[#This Row],[utilidad x dia]]*7</f>
        <v>0</v>
      </c>
    </row>
    <row r="2433" spans="1:13" x14ac:dyDescent="0.3">
      <c r="A2433" s="6">
        <f>+'[1]VENTAS(RESUMEN GLOBAL)'!L2433</f>
        <v>0</v>
      </c>
      <c r="B2433" s="6">
        <f>+'[1]VENTAS(RESUMEN GLOBAL)'!M2433</f>
        <v>0</v>
      </c>
      <c r="C2433">
        <f>+'[1]VENTAS(RESUMEN GLOBAL)'!B2433</f>
        <v>0</v>
      </c>
      <c r="D2433" t="e">
        <f>INDEX('[1]CÓDIGOS DE PRODUCTO'!$D$3:$D$1000,MATCH(C2433,'[1]CÓDIGOS DE PRODUCTO'!$A$3:$A$1000,0))</f>
        <v>#N/A</v>
      </c>
      <c r="E2433">
        <f>VLOOKUP(C2433,'[1]CÓDIGOS DE PRODUCTO'!$A$4:$B$156,2,FALSE)</f>
        <v>0</v>
      </c>
      <c r="F2433">
        <f>INDEX('[1]CÓDIGOS DE PRODUCTO'!$C$3:$C$1000,MATCH(C2433,'[1]CÓDIGOS DE PRODUCTO'!$A$3:$A$1000,0))</f>
        <v>0</v>
      </c>
      <c r="G2433">
        <f>+'[1]VENTAS(RESUMEN GLOBAL)'!D2433-'[1]VENTAS(RESUMEN GLOBAL)'!E2433</f>
        <v>0</v>
      </c>
      <c r="H2433" s="9">
        <f>+'[1]VENTAS(RESUMEN GLOBAL)'!K2433</f>
        <v>0</v>
      </c>
      <c r="I2433" s="8">
        <f>+G2433*'[1]VENTAS(RESUMEN GLOBAL)'!F2433</f>
        <v>0</v>
      </c>
      <c r="J2433" s="8">
        <f>'[1]VENTAS(RESUMEN GLOBAL)'!G2433*(1-'[1]VENTAS(RESUMEN GLOBAL)'!H2433)</f>
        <v>0</v>
      </c>
      <c r="K2433" s="8">
        <f t="shared" si="37"/>
        <v>0</v>
      </c>
      <c r="L2433" s="8">
        <f>+'[1]VENTAS(RESUMEN GLOBAL)'!J2433</f>
        <v>0</v>
      </c>
      <c r="M2433" s="8">
        <f>+Tabla1[[#This Row],[utilidad x dia]]*7</f>
        <v>0</v>
      </c>
    </row>
    <row r="2434" spans="1:13" x14ac:dyDescent="0.3">
      <c r="A2434" s="6">
        <f>+'[1]VENTAS(RESUMEN GLOBAL)'!L2434</f>
        <v>0</v>
      </c>
      <c r="B2434" s="6">
        <f>+'[1]VENTAS(RESUMEN GLOBAL)'!M2434</f>
        <v>0</v>
      </c>
      <c r="C2434">
        <f>+'[1]VENTAS(RESUMEN GLOBAL)'!B2434</f>
        <v>0</v>
      </c>
      <c r="D2434" t="e">
        <f>INDEX('[1]CÓDIGOS DE PRODUCTO'!$D$3:$D$1000,MATCH(C2434,'[1]CÓDIGOS DE PRODUCTO'!$A$3:$A$1000,0))</f>
        <v>#N/A</v>
      </c>
      <c r="E2434">
        <f>VLOOKUP(C2434,'[1]CÓDIGOS DE PRODUCTO'!$A$4:$B$156,2,FALSE)</f>
        <v>0</v>
      </c>
      <c r="F2434">
        <f>INDEX('[1]CÓDIGOS DE PRODUCTO'!$C$3:$C$1000,MATCH(C2434,'[1]CÓDIGOS DE PRODUCTO'!$A$3:$A$1000,0))</f>
        <v>0</v>
      </c>
      <c r="G2434">
        <f>+'[1]VENTAS(RESUMEN GLOBAL)'!D2434-'[1]VENTAS(RESUMEN GLOBAL)'!E2434</f>
        <v>0</v>
      </c>
      <c r="H2434" s="9">
        <f>+'[1]VENTAS(RESUMEN GLOBAL)'!K2434</f>
        <v>0</v>
      </c>
      <c r="I2434" s="8">
        <f>+G2434*'[1]VENTAS(RESUMEN GLOBAL)'!F2434</f>
        <v>0</v>
      </c>
      <c r="J2434" s="8">
        <f>'[1]VENTAS(RESUMEN GLOBAL)'!G2434*(1-'[1]VENTAS(RESUMEN GLOBAL)'!H2434)</f>
        <v>0</v>
      </c>
      <c r="K2434" s="8">
        <f t="shared" si="37"/>
        <v>0</v>
      </c>
      <c r="L2434" s="8">
        <f>+'[1]VENTAS(RESUMEN GLOBAL)'!J2434</f>
        <v>0</v>
      </c>
      <c r="M2434" s="8">
        <f>+Tabla1[[#This Row],[utilidad x dia]]*7</f>
        <v>0</v>
      </c>
    </row>
    <row r="2435" spans="1:13" x14ac:dyDescent="0.3">
      <c r="A2435" s="6">
        <f>+'[1]VENTAS(RESUMEN GLOBAL)'!L2435</f>
        <v>0</v>
      </c>
      <c r="B2435" s="6">
        <f>+'[1]VENTAS(RESUMEN GLOBAL)'!M2435</f>
        <v>0</v>
      </c>
      <c r="C2435">
        <f>+'[1]VENTAS(RESUMEN GLOBAL)'!B2435</f>
        <v>0</v>
      </c>
      <c r="D2435" t="e">
        <f>INDEX('[1]CÓDIGOS DE PRODUCTO'!$D$3:$D$1000,MATCH(C2435,'[1]CÓDIGOS DE PRODUCTO'!$A$3:$A$1000,0))</f>
        <v>#N/A</v>
      </c>
      <c r="E2435">
        <f>VLOOKUP(C2435,'[1]CÓDIGOS DE PRODUCTO'!$A$4:$B$156,2,FALSE)</f>
        <v>0</v>
      </c>
      <c r="F2435">
        <f>INDEX('[1]CÓDIGOS DE PRODUCTO'!$C$3:$C$1000,MATCH(C2435,'[1]CÓDIGOS DE PRODUCTO'!$A$3:$A$1000,0))</f>
        <v>0</v>
      </c>
      <c r="G2435">
        <f>+'[1]VENTAS(RESUMEN GLOBAL)'!D2435-'[1]VENTAS(RESUMEN GLOBAL)'!E2435</f>
        <v>0</v>
      </c>
      <c r="H2435" s="9">
        <f>+'[1]VENTAS(RESUMEN GLOBAL)'!K2435</f>
        <v>0</v>
      </c>
      <c r="I2435" s="8">
        <f>+G2435*'[1]VENTAS(RESUMEN GLOBAL)'!F2435</f>
        <v>0</v>
      </c>
      <c r="J2435" s="8">
        <f>'[1]VENTAS(RESUMEN GLOBAL)'!G2435*(1-'[1]VENTAS(RESUMEN GLOBAL)'!H2435)</f>
        <v>0</v>
      </c>
      <c r="K2435" s="8">
        <f t="shared" ref="K2435:K2498" si="38">+I2435-J2435</f>
        <v>0</v>
      </c>
      <c r="L2435" s="8">
        <f>+'[1]VENTAS(RESUMEN GLOBAL)'!J2435</f>
        <v>0</v>
      </c>
      <c r="M2435" s="8">
        <f>+Tabla1[[#This Row],[utilidad x dia]]*7</f>
        <v>0</v>
      </c>
    </row>
    <row r="2436" spans="1:13" x14ac:dyDescent="0.3">
      <c r="A2436" s="6">
        <f>+'[1]VENTAS(RESUMEN GLOBAL)'!L2436</f>
        <v>0</v>
      </c>
      <c r="B2436" s="6">
        <f>+'[1]VENTAS(RESUMEN GLOBAL)'!M2436</f>
        <v>0</v>
      </c>
      <c r="C2436">
        <f>+'[1]VENTAS(RESUMEN GLOBAL)'!B2436</f>
        <v>0</v>
      </c>
      <c r="D2436" t="e">
        <f>INDEX('[1]CÓDIGOS DE PRODUCTO'!$D$3:$D$1000,MATCH(C2436,'[1]CÓDIGOS DE PRODUCTO'!$A$3:$A$1000,0))</f>
        <v>#N/A</v>
      </c>
      <c r="E2436">
        <f>VLOOKUP(C2436,'[1]CÓDIGOS DE PRODUCTO'!$A$4:$B$156,2,FALSE)</f>
        <v>0</v>
      </c>
      <c r="F2436">
        <f>INDEX('[1]CÓDIGOS DE PRODUCTO'!$C$3:$C$1000,MATCH(C2436,'[1]CÓDIGOS DE PRODUCTO'!$A$3:$A$1000,0))</f>
        <v>0</v>
      </c>
      <c r="G2436">
        <f>+'[1]VENTAS(RESUMEN GLOBAL)'!D2436-'[1]VENTAS(RESUMEN GLOBAL)'!E2436</f>
        <v>0</v>
      </c>
      <c r="H2436" s="9">
        <f>+'[1]VENTAS(RESUMEN GLOBAL)'!K2436</f>
        <v>0</v>
      </c>
      <c r="I2436" s="8">
        <f>+G2436*'[1]VENTAS(RESUMEN GLOBAL)'!F2436</f>
        <v>0</v>
      </c>
      <c r="J2436" s="8">
        <f>'[1]VENTAS(RESUMEN GLOBAL)'!G2436*(1-'[1]VENTAS(RESUMEN GLOBAL)'!H2436)</f>
        <v>0</v>
      </c>
      <c r="K2436" s="8">
        <f t="shared" si="38"/>
        <v>0</v>
      </c>
      <c r="L2436" s="8">
        <f>+'[1]VENTAS(RESUMEN GLOBAL)'!J2436</f>
        <v>0</v>
      </c>
      <c r="M2436" s="8">
        <f>+Tabla1[[#This Row],[utilidad x dia]]*7</f>
        <v>0</v>
      </c>
    </row>
    <row r="2437" spans="1:13" x14ac:dyDescent="0.3">
      <c r="A2437" s="6">
        <f>+'[1]VENTAS(RESUMEN GLOBAL)'!L2437</f>
        <v>0</v>
      </c>
      <c r="B2437" s="6">
        <f>+'[1]VENTAS(RESUMEN GLOBAL)'!M2437</f>
        <v>0</v>
      </c>
      <c r="C2437">
        <f>+'[1]VENTAS(RESUMEN GLOBAL)'!B2437</f>
        <v>0</v>
      </c>
      <c r="D2437" t="e">
        <f>INDEX('[1]CÓDIGOS DE PRODUCTO'!$D$3:$D$1000,MATCH(C2437,'[1]CÓDIGOS DE PRODUCTO'!$A$3:$A$1000,0))</f>
        <v>#N/A</v>
      </c>
      <c r="E2437">
        <f>VLOOKUP(C2437,'[1]CÓDIGOS DE PRODUCTO'!$A$4:$B$156,2,FALSE)</f>
        <v>0</v>
      </c>
      <c r="F2437">
        <f>INDEX('[1]CÓDIGOS DE PRODUCTO'!$C$3:$C$1000,MATCH(C2437,'[1]CÓDIGOS DE PRODUCTO'!$A$3:$A$1000,0))</f>
        <v>0</v>
      </c>
      <c r="G2437">
        <f>+'[1]VENTAS(RESUMEN GLOBAL)'!D2437-'[1]VENTAS(RESUMEN GLOBAL)'!E2437</f>
        <v>0</v>
      </c>
      <c r="H2437" s="9">
        <f>+'[1]VENTAS(RESUMEN GLOBAL)'!K2437</f>
        <v>0</v>
      </c>
      <c r="I2437" s="8">
        <f>+G2437*'[1]VENTAS(RESUMEN GLOBAL)'!F2437</f>
        <v>0</v>
      </c>
      <c r="J2437" s="8">
        <f>'[1]VENTAS(RESUMEN GLOBAL)'!G2437*(1-'[1]VENTAS(RESUMEN GLOBAL)'!H2437)</f>
        <v>0</v>
      </c>
      <c r="K2437" s="8">
        <f t="shared" si="38"/>
        <v>0</v>
      </c>
      <c r="L2437" s="8">
        <f>+'[1]VENTAS(RESUMEN GLOBAL)'!J2437</f>
        <v>0</v>
      </c>
      <c r="M2437" s="8">
        <f>+Tabla1[[#This Row],[utilidad x dia]]*7</f>
        <v>0</v>
      </c>
    </row>
    <row r="2438" spans="1:13" x14ac:dyDescent="0.3">
      <c r="A2438" s="6">
        <f>+'[1]VENTAS(RESUMEN GLOBAL)'!L2438</f>
        <v>0</v>
      </c>
      <c r="B2438" s="6">
        <f>+'[1]VENTAS(RESUMEN GLOBAL)'!M2438</f>
        <v>0</v>
      </c>
      <c r="C2438">
        <f>+'[1]VENTAS(RESUMEN GLOBAL)'!B2438</f>
        <v>0</v>
      </c>
      <c r="D2438" t="e">
        <f>INDEX('[1]CÓDIGOS DE PRODUCTO'!$D$3:$D$1000,MATCH(C2438,'[1]CÓDIGOS DE PRODUCTO'!$A$3:$A$1000,0))</f>
        <v>#N/A</v>
      </c>
      <c r="E2438">
        <f>VLOOKUP(C2438,'[1]CÓDIGOS DE PRODUCTO'!$A$4:$B$156,2,FALSE)</f>
        <v>0</v>
      </c>
      <c r="F2438">
        <f>INDEX('[1]CÓDIGOS DE PRODUCTO'!$C$3:$C$1000,MATCH(C2438,'[1]CÓDIGOS DE PRODUCTO'!$A$3:$A$1000,0))</f>
        <v>0</v>
      </c>
      <c r="G2438">
        <f>+'[1]VENTAS(RESUMEN GLOBAL)'!D2438-'[1]VENTAS(RESUMEN GLOBAL)'!E2438</f>
        <v>0</v>
      </c>
      <c r="H2438" s="9">
        <f>+'[1]VENTAS(RESUMEN GLOBAL)'!K2438</f>
        <v>0</v>
      </c>
      <c r="I2438" s="8">
        <f>+G2438*'[1]VENTAS(RESUMEN GLOBAL)'!F2438</f>
        <v>0</v>
      </c>
      <c r="J2438" s="8">
        <f>'[1]VENTAS(RESUMEN GLOBAL)'!G2438*(1-'[1]VENTAS(RESUMEN GLOBAL)'!H2438)</f>
        <v>0</v>
      </c>
      <c r="K2438" s="8">
        <f t="shared" si="38"/>
        <v>0</v>
      </c>
      <c r="L2438" s="8">
        <f>+'[1]VENTAS(RESUMEN GLOBAL)'!J2438</f>
        <v>0</v>
      </c>
      <c r="M2438" s="8">
        <f>+Tabla1[[#This Row],[utilidad x dia]]*7</f>
        <v>0</v>
      </c>
    </row>
    <row r="2439" spans="1:13" x14ac:dyDescent="0.3">
      <c r="A2439" s="6">
        <f>+'[1]VENTAS(RESUMEN GLOBAL)'!L2439</f>
        <v>0</v>
      </c>
      <c r="B2439" s="6">
        <f>+'[1]VENTAS(RESUMEN GLOBAL)'!M2439</f>
        <v>0</v>
      </c>
      <c r="C2439">
        <f>+'[1]VENTAS(RESUMEN GLOBAL)'!B2439</f>
        <v>0</v>
      </c>
      <c r="D2439" t="e">
        <f>INDEX('[1]CÓDIGOS DE PRODUCTO'!$D$3:$D$1000,MATCH(C2439,'[1]CÓDIGOS DE PRODUCTO'!$A$3:$A$1000,0))</f>
        <v>#N/A</v>
      </c>
      <c r="E2439">
        <f>VLOOKUP(C2439,'[1]CÓDIGOS DE PRODUCTO'!$A$4:$B$156,2,FALSE)</f>
        <v>0</v>
      </c>
      <c r="F2439">
        <f>INDEX('[1]CÓDIGOS DE PRODUCTO'!$C$3:$C$1000,MATCH(C2439,'[1]CÓDIGOS DE PRODUCTO'!$A$3:$A$1000,0))</f>
        <v>0</v>
      </c>
      <c r="G2439">
        <f>+'[1]VENTAS(RESUMEN GLOBAL)'!D2439-'[1]VENTAS(RESUMEN GLOBAL)'!E2439</f>
        <v>0</v>
      </c>
      <c r="H2439" s="9">
        <f>+'[1]VENTAS(RESUMEN GLOBAL)'!K2439</f>
        <v>0</v>
      </c>
      <c r="I2439" s="8">
        <f>+G2439*'[1]VENTAS(RESUMEN GLOBAL)'!F2439</f>
        <v>0</v>
      </c>
      <c r="J2439" s="8">
        <f>'[1]VENTAS(RESUMEN GLOBAL)'!G2439*(1-'[1]VENTAS(RESUMEN GLOBAL)'!H2439)</f>
        <v>0</v>
      </c>
      <c r="K2439" s="8">
        <f t="shared" si="38"/>
        <v>0</v>
      </c>
      <c r="L2439" s="8">
        <f>+'[1]VENTAS(RESUMEN GLOBAL)'!J2439</f>
        <v>0</v>
      </c>
      <c r="M2439" s="8">
        <f>+Tabla1[[#This Row],[utilidad x dia]]*7</f>
        <v>0</v>
      </c>
    </row>
    <row r="2440" spans="1:13" x14ac:dyDescent="0.3">
      <c r="A2440" s="6">
        <f>+'[1]VENTAS(RESUMEN GLOBAL)'!L2440</f>
        <v>0</v>
      </c>
      <c r="B2440" s="6">
        <f>+'[1]VENTAS(RESUMEN GLOBAL)'!M2440</f>
        <v>0</v>
      </c>
      <c r="C2440">
        <f>+'[1]VENTAS(RESUMEN GLOBAL)'!B2440</f>
        <v>0</v>
      </c>
      <c r="D2440" t="e">
        <f>INDEX('[1]CÓDIGOS DE PRODUCTO'!$D$3:$D$1000,MATCH(C2440,'[1]CÓDIGOS DE PRODUCTO'!$A$3:$A$1000,0))</f>
        <v>#N/A</v>
      </c>
      <c r="E2440">
        <f>VLOOKUP(C2440,'[1]CÓDIGOS DE PRODUCTO'!$A$4:$B$156,2,FALSE)</f>
        <v>0</v>
      </c>
      <c r="F2440">
        <f>INDEX('[1]CÓDIGOS DE PRODUCTO'!$C$3:$C$1000,MATCH(C2440,'[1]CÓDIGOS DE PRODUCTO'!$A$3:$A$1000,0))</f>
        <v>0</v>
      </c>
      <c r="G2440">
        <f>+'[1]VENTAS(RESUMEN GLOBAL)'!D2440-'[1]VENTAS(RESUMEN GLOBAL)'!E2440</f>
        <v>0</v>
      </c>
      <c r="H2440" s="9">
        <f>+'[1]VENTAS(RESUMEN GLOBAL)'!K2440</f>
        <v>0</v>
      </c>
      <c r="I2440" s="8">
        <f>+G2440*'[1]VENTAS(RESUMEN GLOBAL)'!F2440</f>
        <v>0</v>
      </c>
      <c r="J2440" s="8">
        <f>'[1]VENTAS(RESUMEN GLOBAL)'!G2440*(1-'[1]VENTAS(RESUMEN GLOBAL)'!H2440)</f>
        <v>0</v>
      </c>
      <c r="K2440" s="8">
        <f t="shared" si="38"/>
        <v>0</v>
      </c>
      <c r="L2440" s="8">
        <f>+'[1]VENTAS(RESUMEN GLOBAL)'!J2440</f>
        <v>0</v>
      </c>
      <c r="M2440" s="8">
        <f>+Tabla1[[#This Row],[utilidad x dia]]*7</f>
        <v>0</v>
      </c>
    </row>
    <row r="2441" spans="1:13" x14ac:dyDescent="0.3">
      <c r="A2441" s="6">
        <f>+'[1]VENTAS(RESUMEN GLOBAL)'!L2441</f>
        <v>0</v>
      </c>
      <c r="B2441" s="6">
        <f>+'[1]VENTAS(RESUMEN GLOBAL)'!M2441</f>
        <v>0</v>
      </c>
      <c r="C2441">
        <f>+'[1]VENTAS(RESUMEN GLOBAL)'!B2441</f>
        <v>0</v>
      </c>
      <c r="D2441" t="e">
        <f>INDEX('[1]CÓDIGOS DE PRODUCTO'!$D$3:$D$1000,MATCH(C2441,'[1]CÓDIGOS DE PRODUCTO'!$A$3:$A$1000,0))</f>
        <v>#N/A</v>
      </c>
      <c r="E2441">
        <f>VLOOKUP(C2441,'[1]CÓDIGOS DE PRODUCTO'!$A$4:$B$156,2,FALSE)</f>
        <v>0</v>
      </c>
      <c r="F2441">
        <f>INDEX('[1]CÓDIGOS DE PRODUCTO'!$C$3:$C$1000,MATCH(C2441,'[1]CÓDIGOS DE PRODUCTO'!$A$3:$A$1000,0))</f>
        <v>0</v>
      </c>
      <c r="G2441">
        <f>+'[1]VENTAS(RESUMEN GLOBAL)'!D2441-'[1]VENTAS(RESUMEN GLOBAL)'!E2441</f>
        <v>0</v>
      </c>
      <c r="H2441" s="9">
        <f>+'[1]VENTAS(RESUMEN GLOBAL)'!K2441</f>
        <v>0</v>
      </c>
      <c r="I2441" s="8">
        <f>+G2441*'[1]VENTAS(RESUMEN GLOBAL)'!F2441</f>
        <v>0</v>
      </c>
      <c r="J2441" s="8">
        <f>'[1]VENTAS(RESUMEN GLOBAL)'!G2441*(1-'[1]VENTAS(RESUMEN GLOBAL)'!H2441)</f>
        <v>0</v>
      </c>
      <c r="K2441" s="8">
        <f t="shared" si="38"/>
        <v>0</v>
      </c>
      <c r="L2441" s="8">
        <f>+'[1]VENTAS(RESUMEN GLOBAL)'!J2441</f>
        <v>0</v>
      </c>
      <c r="M2441" s="8">
        <f>+Tabla1[[#This Row],[utilidad x dia]]*7</f>
        <v>0</v>
      </c>
    </row>
    <row r="2442" spans="1:13" x14ac:dyDescent="0.3">
      <c r="A2442" s="6">
        <f>+'[1]VENTAS(RESUMEN GLOBAL)'!L2442</f>
        <v>0</v>
      </c>
      <c r="B2442" s="6">
        <f>+'[1]VENTAS(RESUMEN GLOBAL)'!M2442</f>
        <v>0</v>
      </c>
      <c r="C2442">
        <f>+'[1]VENTAS(RESUMEN GLOBAL)'!B2442</f>
        <v>0</v>
      </c>
      <c r="D2442" t="e">
        <f>INDEX('[1]CÓDIGOS DE PRODUCTO'!$D$3:$D$1000,MATCH(C2442,'[1]CÓDIGOS DE PRODUCTO'!$A$3:$A$1000,0))</f>
        <v>#N/A</v>
      </c>
      <c r="E2442">
        <f>VLOOKUP(C2442,'[1]CÓDIGOS DE PRODUCTO'!$A$4:$B$156,2,FALSE)</f>
        <v>0</v>
      </c>
      <c r="F2442">
        <f>INDEX('[1]CÓDIGOS DE PRODUCTO'!$C$3:$C$1000,MATCH(C2442,'[1]CÓDIGOS DE PRODUCTO'!$A$3:$A$1000,0))</f>
        <v>0</v>
      </c>
      <c r="G2442">
        <f>+'[1]VENTAS(RESUMEN GLOBAL)'!D2442-'[1]VENTAS(RESUMEN GLOBAL)'!E2442</f>
        <v>0</v>
      </c>
      <c r="H2442" s="9">
        <f>+'[1]VENTAS(RESUMEN GLOBAL)'!K2442</f>
        <v>0</v>
      </c>
      <c r="I2442" s="8">
        <f>+G2442*'[1]VENTAS(RESUMEN GLOBAL)'!F2442</f>
        <v>0</v>
      </c>
      <c r="J2442" s="8">
        <f>'[1]VENTAS(RESUMEN GLOBAL)'!G2442*(1-'[1]VENTAS(RESUMEN GLOBAL)'!H2442)</f>
        <v>0</v>
      </c>
      <c r="K2442" s="8">
        <f t="shared" si="38"/>
        <v>0</v>
      </c>
      <c r="L2442" s="8">
        <f>+'[1]VENTAS(RESUMEN GLOBAL)'!J2442</f>
        <v>0</v>
      </c>
      <c r="M2442" s="8">
        <f>+Tabla1[[#This Row],[utilidad x dia]]*7</f>
        <v>0</v>
      </c>
    </row>
    <row r="2443" spans="1:13" x14ac:dyDescent="0.3">
      <c r="A2443" s="6">
        <f>+'[1]VENTAS(RESUMEN GLOBAL)'!L2443</f>
        <v>0</v>
      </c>
      <c r="B2443" s="6">
        <f>+'[1]VENTAS(RESUMEN GLOBAL)'!M2443</f>
        <v>0</v>
      </c>
      <c r="C2443">
        <f>+'[1]VENTAS(RESUMEN GLOBAL)'!B2443</f>
        <v>0</v>
      </c>
      <c r="D2443" t="e">
        <f>INDEX('[1]CÓDIGOS DE PRODUCTO'!$D$3:$D$1000,MATCH(C2443,'[1]CÓDIGOS DE PRODUCTO'!$A$3:$A$1000,0))</f>
        <v>#N/A</v>
      </c>
      <c r="E2443">
        <f>VLOOKUP(C2443,'[1]CÓDIGOS DE PRODUCTO'!$A$4:$B$156,2,FALSE)</f>
        <v>0</v>
      </c>
      <c r="F2443">
        <f>INDEX('[1]CÓDIGOS DE PRODUCTO'!$C$3:$C$1000,MATCH(C2443,'[1]CÓDIGOS DE PRODUCTO'!$A$3:$A$1000,0))</f>
        <v>0</v>
      </c>
      <c r="G2443">
        <f>+'[1]VENTAS(RESUMEN GLOBAL)'!D2443-'[1]VENTAS(RESUMEN GLOBAL)'!E2443</f>
        <v>0</v>
      </c>
      <c r="H2443" s="9">
        <f>+'[1]VENTAS(RESUMEN GLOBAL)'!K2443</f>
        <v>0</v>
      </c>
      <c r="I2443" s="8">
        <f>+G2443*'[1]VENTAS(RESUMEN GLOBAL)'!F2443</f>
        <v>0</v>
      </c>
      <c r="J2443" s="8">
        <f>'[1]VENTAS(RESUMEN GLOBAL)'!G2443*(1-'[1]VENTAS(RESUMEN GLOBAL)'!H2443)</f>
        <v>0</v>
      </c>
      <c r="K2443" s="8">
        <f t="shared" si="38"/>
        <v>0</v>
      </c>
      <c r="L2443" s="8">
        <f>+'[1]VENTAS(RESUMEN GLOBAL)'!J2443</f>
        <v>0</v>
      </c>
      <c r="M2443" s="8">
        <f>+Tabla1[[#This Row],[utilidad x dia]]*7</f>
        <v>0</v>
      </c>
    </row>
    <row r="2444" spans="1:13" x14ac:dyDescent="0.3">
      <c r="A2444" s="6">
        <f>+'[1]VENTAS(RESUMEN GLOBAL)'!L2444</f>
        <v>0</v>
      </c>
      <c r="B2444" s="6">
        <f>+'[1]VENTAS(RESUMEN GLOBAL)'!M2444</f>
        <v>0</v>
      </c>
      <c r="C2444">
        <f>+'[1]VENTAS(RESUMEN GLOBAL)'!B2444</f>
        <v>0</v>
      </c>
      <c r="D2444" t="e">
        <f>INDEX('[1]CÓDIGOS DE PRODUCTO'!$D$3:$D$1000,MATCH(C2444,'[1]CÓDIGOS DE PRODUCTO'!$A$3:$A$1000,0))</f>
        <v>#N/A</v>
      </c>
      <c r="E2444">
        <f>VLOOKUP(C2444,'[1]CÓDIGOS DE PRODUCTO'!$A$4:$B$156,2,FALSE)</f>
        <v>0</v>
      </c>
      <c r="F2444">
        <f>INDEX('[1]CÓDIGOS DE PRODUCTO'!$C$3:$C$1000,MATCH(C2444,'[1]CÓDIGOS DE PRODUCTO'!$A$3:$A$1000,0))</f>
        <v>0</v>
      </c>
      <c r="G2444">
        <f>+'[1]VENTAS(RESUMEN GLOBAL)'!D2444-'[1]VENTAS(RESUMEN GLOBAL)'!E2444</f>
        <v>0</v>
      </c>
      <c r="H2444" s="9">
        <f>+'[1]VENTAS(RESUMEN GLOBAL)'!K2444</f>
        <v>0</v>
      </c>
      <c r="I2444" s="8">
        <f>+G2444*'[1]VENTAS(RESUMEN GLOBAL)'!F2444</f>
        <v>0</v>
      </c>
      <c r="J2444" s="8">
        <f>'[1]VENTAS(RESUMEN GLOBAL)'!G2444*(1-'[1]VENTAS(RESUMEN GLOBAL)'!H2444)</f>
        <v>0</v>
      </c>
      <c r="K2444" s="8">
        <f t="shared" si="38"/>
        <v>0</v>
      </c>
      <c r="L2444" s="8">
        <f>+'[1]VENTAS(RESUMEN GLOBAL)'!J2444</f>
        <v>0</v>
      </c>
      <c r="M2444" s="8">
        <f>+Tabla1[[#This Row],[utilidad x dia]]*7</f>
        <v>0</v>
      </c>
    </row>
    <row r="2445" spans="1:13" x14ac:dyDescent="0.3">
      <c r="A2445" s="6">
        <f>+'[1]VENTAS(RESUMEN GLOBAL)'!L2445</f>
        <v>0</v>
      </c>
      <c r="B2445" s="6">
        <f>+'[1]VENTAS(RESUMEN GLOBAL)'!M2445</f>
        <v>0</v>
      </c>
      <c r="C2445">
        <f>+'[1]VENTAS(RESUMEN GLOBAL)'!B2445</f>
        <v>0</v>
      </c>
      <c r="D2445" t="e">
        <f>INDEX('[1]CÓDIGOS DE PRODUCTO'!$D$3:$D$1000,MATCH(C2445,'[1]CÓDIGOS DE PRODUCTO'!$A$3:$A$1000,0))</f>
        <v>#N/A</v>
      </c>
      <c r="E2445">
        <f>VLOOKUP(C2445,'[1]CÓDIGOS DE PRODUCTO'!$A$4:$B$156,2,FALSE)</f>
        <v>0</v>
      </c>
      <c r="F2445">
        <f>INDEX('[1]CÓDIGOS DE PRODUCTO'!$C$3:$C$1000,MATCH(C2445,'[1]CÓDIGOS DE PRODUCTO'!$A$3:$A$1000,0))</f>
        <v>0</v>
      </c>
      <c r="G2445">
        <f>+'[1]VENTAS(RESUMEN GLOBAL)'!D2445-'[1]VENTAS(RESUMEN GLOBAL)'!E2445</f>
        <v>0</v>
      </c>
      <c r="H2445" s="9">
        <f>+'[1]VENTAS(RESUMEN GLOBAL)'!K2445</f>
        <v>0</v>
      </c>
      <c r="I2445" s="8">
        <f>+G2445*'[1]VENTAS(RESUMEN GLOBAL)'!F2445</f>
        <v>0</v>
      </c>
      <c r="J2445" s="8">
        <f>'[1]VENTAS(RESUMEN GLOBAL)'!G2445*(1-'[1]VENTAS(RESUMEN GLOBAL)'!H2445)</f>
        <v>0</v>
      </c>
      <c r="K2445" s="8">
        <f t="shared" si="38"/>
        <v>0</v>
      </c>
      <c r="L2445" s="8">
        <f>+'[1]VENTAS(RESUMEN GLOBAL)'!J2445</f>
        <v>0</v>
      </c>
      <c r="M2445" s="8">
        <f>+Tabla1[[#This Row],[utilidad x dia]]*7</f>
        <v>0</v>
      </c>
    </row>
    <row r="2446" spans="1:13" x14ac:dyDescent="0.3">
      <c r="A2446" s="6">
        <f>+'[1]VENTAS(RESUMEN GLOBAL)'!L2446</f>
        <v>0</v>
      </c>
      <c r="B2446" s="6">
        <f>+'[1]VENTAS(RESUMEN GLOBAL)'!M2446</f>
        <v>0</v>
      </c>
      <c r="C2446">
        <f>+'[1]VENTAS(RESUMEN GLOBAL)'!B2446</f>
        <v>0</v>
      </c>
      <c r="D2446" t="e">
        <f>INDEX('[1]CÓDIGOS DE PRODUCTO'!$D$3:$D$1000,MATCH(C2446,'[1]CÓDIGOS DE PRODUCTO'!$A$3:$A$1000,0))</f>
        <v>#N/A</v>
      </c>
      <c r="E2446">
        <f>VLOOKUP(C2446,'[1]CÓDIGOS DE PRODUCTO'!$A$4:$B$156,2,FALSE)</f>
        <v>0</v>
      </c>
      <c r="F2446">
        <f>INDEX('[1]CÓDIGOS DE PRODUCTO'!$C$3:$C$1000,MATCH(C2446,'[1]CÓDIGOS DE PRODUCTO'!$A$3:$A$1000,0))</f>
        <v>0</v>
      </c>
      <c r="G2446">
        <f>+'[1]VENTAS(RESUMEN GLOBAL)'!D2446-'[1]VENTAS(RESUMEN GLOBAL)'!E2446</f>
        <v>0</v>
      </c>
      <c r="H2446" s="9">
        <f>+'[1]VENTAS(RESUMEN GLOBAL)'!K2446</f>
        <v>0</v>
      </c>
      <c r="I2446" s="8">
        <f>+G2446*'[1]VENTAS(RESUMEN GLOBAL)'!F2446</f>
        <v>0</v>
      </c>
      <c r="J2446" s="8">
        <f>'[1]VENTAS(RESUMEN GLOBAL)'!G2446*(1-'[1]VENTAS(RESUMEN GLOBAL)'!H2446)</f>
        <v>0</v>
      </c>
      <c r="K2446" s="8">
        <f t="shared" si="38"/>
        <v>0</v>
      </c>
      <c r="L2446" s="8">
        <f>+'[1]VENTAS(RESUMEN GLOBAL)'!J2446</f>
        <v>0</v>
      </c>
      <c r="M2446" s="8">
        <f>+Tabla1[[#This Row],[utilidad x dia]]*7</f>
        <v>0</v>
      </c>
    </row>
    <row r="2447" spans="1:13" x14ac:dyDescent="0.3">
      <c r="A2447" s="6">
        <f>+'[1]VENTAS(RESUMEN GLOBAL)'!L2447</f>
        <v>0</v>
      </c>
      <c r="B2447" s="6">
        <f>+'[1]VENTAS(RESUMEN GLOBAL)'!M2447</f>
        <v>0</v>
      </c>
      <c r="C2447">
        <f>+'[1]VENTAS(RESUMEN GLOBAL)'!B2447</f>
        <v>0</v>
      </c>
      <c r="D2447" t="e">
        <f>INDEX('[1]CÓDIGOS DE PRODUCTO'!$D$3:$D$1000,MATCH(C2447,'[1]CÓDIGOS DE PRODUCTO'!$A$3:$A$1000,0))</f>
        <v>#N/A</v>
      </c>
      <c r="E2447">
        <f>VLOOKUP(C2447,'[1]CÓDIGOS DE PRODUCTO'!$A$4:$B$156,2,FALSE)</f>
        <v>0</v>
      </c>
      <c r="F2447">
        <f>INDEX('[1]CÓDIGOS DE PRODUCTO'!$C$3:$C$1000,MATCH(C2447,'[1]CÓDIGOS DE PRODUCTO'!$A$3:$A$1000,0))</f>
        <v>0</v>
      </c>
      <c r="G2447">
        <f>+'[1]VENTAS(RESUMEN GLOBAL)'!D2447-'[1]VENTAS(RESUMEN GLOBAL)'!E2447</f>
        <v>0</v>
      </c>
      <c r="H2447" s="9">
        <f>+'[1]VENTAS(RESUMEN GLOBAL)'!K2447</f>
        <v>0</v>
      </c>
      <c r="I2447" s="8">
        <f>+G2447*'[1]VENTAS(RESUMEN GLOBAL)'!F2447</f>
        <v>0</v>
      </c>
      <c r="J2447" s="8">
        <f>'[1]VENTAS(RESUMEN GLOBAL)'!G2447*(1-'[1]VENTAS(RESUMEN GLOBAL)'!H2447)</f>
        <v>0</v>
      </c>
      <c r="K2447" s="8">
        <f t="shared" si="38"/>
        <v>0</v>
      </c>
      <c r="L2447" s="8">
        <f>+'[1]VENTAS(RESUMEN GLOBAL)'!J2447</f>
        <v>0</v>
      </c>
      <c r="M2447" s="8">
        <f>+Tabla1[[#This Row],[utilidad x dia]]*7</f>
        <v>0</v>
      </c>
    </row>
    <row r="2448" spans="1:13" x14ac:dyDescent="0.3">
      <c r="A2448" s="6">
        <f>+'[1]VENTAS(RESUMEN GLOBAL)'!L2448</f>
        <v>0</v>
      </c>
      <c r="B2448" s="6">
        <f>+'[1]VENTAS(RESUMEN GLOBAL)'!M2448</f>
        <v>0</v>
      </c>
      <c r="C2448">
        <f>+'[1]VENTAS(RESUMEN GLOBAL)'!B2448</f>
        <v>0</v>
      </c>
      <c r="D2448" t="e">
        <f>INDEX('[1]CÓDIGOS DE PRODUCTO'!$D$3:$D$1000,MATCH(C2448,'[1]CÓDIGOS DE PRODUCTO'!$A$3:$A$1000,0))</f>
        <v>#N/A</v>
      </c>
      <c r="E2448">
        <f>VLOOKUP(C2448,'[1]CÓDIGOS DE PRODUCTO'!$A$4:$B$156,2,FALSE)</f>
        <v>0</v>
      </c>
      <c r="F2448">
        <f>INDEX('[1]CÓDIGOS DE PRODUCTO'!$C$3:$C$1000,MATCH(C2448,'[1]CÓDIGOS DE PRODUCTO'!$A$3:$A$1000,0))</f>
        <v>0</v>
      </c>
      <c r="G2448">
        <f>+'[1]VENTAS(RESUMEN GLOBAL)'!D2448-'[1]VENTAS(RESUMEN GLOBAL)'!E2448</f>
        <v>0</v>
      </c>
      <c r="H2448" s="9">
        <f>+'[1]VENTAS(RESUMEN GLOBAL)'!K2448</f>
        <v>0</v>
      </c>
      <c r="I2448" s="8">
        <f>+G2448*'[1]VENTAS(RESUMEN GLOBAL)'!F2448</f>
        <v>0</v>
      </c>
      <c r="J2448" s="8">
        <f>'[1]VENTAS(RESUMEN GLOBAL)'!G2448*(1-'[1]VENTAS(RESUMEN GLOBAL)'!H2448)</f>
        <v>0</v>
      </c>
      <c r="K2448" s="8">
        <f t="shared" si="38"/>
        <v>0</v>
      </c>
      <c r="L2448" s="8">
        <f>+'[1]VENTAS(RESUMEN GLOBAL)'!J2448</f>
        <v>0</v>
      </c>
      <c r="M2448" s="8">
        <f>+Tabla1[[#This Row],[utilidad x dia]]*7</f>
        <v>0</v>
      </c>
    </row>
    <row r="2449" spans="1:13" x14ac:dyDescent="0.3">
      <c r="A2449" s="6">
        <f>+'[1]VENTAS(RESUMEN GLOBAL)'!L2449</f>
        <v>0</v>
      </c>
      <c r="B2449" s="6">
        <f>+'[1]VENTAS(RESUMEN GLOBAL)'!M2449</f>
        <v>0</v>
      </c>
      <c r="C2449">
        <f>+'[1]VENTAS(RESUMEN GLOBAL)'!B2449</f>
        <v>0</v>
      </c>
      <c r="D2449" t="e">
        <f>INDEX('[1]CÓDIGOS DE PRODUCTO'!$D$3:$D$1000,MATCH(C2449,'[1]CÓDIGOS DE PRODUCTO'!$A$3:$A$1000,0))</f>
        <v>#N/A</v>
      </c>
      <c r="E2449">
        <f>VLOOKUP(C2449,'[1]CÓDIGOS DE PRODUCTO'!$A$4:$B$156,2,FALSE)</f>
        <v>0</v>
      </c>
      <c r="F2449">
        <f>INDEX('[1]CÓDIGOS DE PRODUCTO'!$C$3:$C$1000,MATCH(C2449,'[1]CÓDIGOS DE PRODUCTO'!$A$3:$A$1000,0))</f>
        <v>0</v>
      </c>
      <c r="G2449">
        <f>+'[1]VENTAS(RESUMEN GLOBAL)'!D2449-'[1]VENTAS(RESUMEN GLOBAL)'!E2449</f>
        <v>0</v>
      </c>
      <c r="H2449" s="9">
        <f>+'[1]VENTAS(RESUMEN GLOBAL)'!K2449</f>
        <v>0</v>
      </c>
      <c r="I2449" s="8">
        <f>+G2449*'[1]VENTAS(RESUMEN GLOBAL)'!F2449</f>
        <v>0</v>
      </c>
      <c r="J2449" s="8">
        <f>'[1]VENTAS(RESUMEN GLOBAL)'!G2449*(1-'[1]VENTAS(RESUMEN GLOBAL)'!H2449)</f>
        <v>0</v>
      </c>
      <c r="K2449" s="8">
        <f t="shared" si="38"/>
        <v>0</v>
      </c>
      <c r="L2449" s="8">
        <f>+'[1]VENTAS(RESUMEN GLOBAL)'!J2449</f>
        <v>0</v>
      </c>
      <c r="M2449" s="8">
        <f>+Tabla1[[#This Row],[utilidad x dia]]*7</f>
        <v>0</v>
      </c>
    </row>
    <row r="2450" spans="1:13" x14ac:dyDescent="0.3">
      <c r="A2450" s="6">
        <f>+'[1]VENTAS(RESUMEN GLOBAL)'!L2450</f>
        <v>0</v>
      </c>
      <c r="B2450" s="6">
        <f>+'[1]VENTAS(RESUMEN GLOBAL)'!M2450</f>
        <v>0</v>
      </c>
      <c r="C2450">
        <f>+'[1]VENTAS(RESUMEN GLOBAL)'!B2450</f>
        <v>0</v>
      </c>
      <c r="D2450" t="e">
        <f>INDEX('[1]CÓDIGOS DE PRODUCTO'!$D$3:$D$1000,MATCH(C2450,'[1]CÓDIGOS DE PRODUCTO'!$A$3:$A$1000,0))</f>
        <v>#N/A</v>
      </c>
      <c r="E2450">
        <f>VLOOKUP(C2450,'[1]CÓDIGOS DE PRODUCTO'!$A$4:$B$156,2,FALSE)</f>
        <v>0</v>
      </c>
      <c r="F2450">
        <f>INDEX('[1]CÓDIGOS DE PRODUCTO'!$C$3:$C$1000,MATCH(C2450,'[1]CÓDIGOS DE PRODUCTO'!$A$3:$A$1000,0))</f>
        <v>0</v>
      </c>
      <c r="G2450">
        <f>+'[1]VENTAS(RESUMEN GLOBAL)'!D2450-'[1]VENTAS(RESUMEN GLOBAL)'!E2450</f>
        <v>0</v>
      </c>
      <c r="H2450" s="9">
        <f>+'[1]VENTAS(RESUMEN GLOBAL)'!K2450</f>
        <v>0</v>
      </c>
      <c r="I2450" s="8">
        <f>+G2450*'[1]VENTAS(RESUMEN GLOBAL)'!F2450</f>
        <v>0</v>
      </c>
      <c r="J2450" s="8">
        <f>'[1]VENTAS(RESUMEN GLOBAL)'!G2450*(1-'[1]VENTAS(RESUMEN GLOBAL)'!H2450)</f>
        <v>0</v>
      </c>
      <c r="K2450" s="8">
        <f t="shared" si="38"/>
        <v>0</v>
      </c>
      <c r="L2450" s="8">
        <f>+'[1]VENTAS(RESUMEN GLOBAL)'!J2450</f>
        <v>0</v>
      </c>
      <c r="M2450" s="8">
        <f>+Tabla1[[#This Row],[utilidad x dia]]*7</f>
        <v>0</v>
      </c>
    </row>
    <row r="2451" spans="1:13" x14ac:dyDescent="0.3">
      <c r="A2451" s="6">
        <f>+'[1]VENTAS(RESUMEN GLOBAL)'!L2451</f>
        <v>0</v>
      </c>
      <c r="B2451" s="6">
        <f>+'[1]VENTAS(RESUMEN GLOBAL)'!M2451</f>
        <v>0</v>
      </c>
      <c r="C2451">
        <f>+'[1]VENTAS(RESUMEN GLOBAL)'!B2451</f>
        <v>0</v>
      </c>
      <c r="D2451" t="e">
        <f>INDEX('[1]CÓDIGOS DE PRODUCTO'!$D$3:$D$1000,MATCH(C2451,'[1]CÓDIGOS DE PRODUCTO'!$A$3:$A$1000,0))</f>
        <v>#N/A</v>
      </c>
      <c r="E2451">
        <f>VLOOKUP(C2451,'[1]CÓDIGOS DE PRODUCTO'!$A$4:$B$156,2,FALSE)</f>
        <v>0</v>
      </c>
      <c r="F2451">
        <f>INDEX('[1]CÓDIGOS DE PRODUCTO'!$C$3:$C$1000,MATCH(C2451,'[1]CÓDIGOS DE PRODUCTO'!$A$3:$A$1000,0))</f>
        <v>0</v>
      </c>
      <c r="G2451">
        <f>+'[1]VENTAS(RESUMEN GLOBAL)'!D2451-'[1]VENTAS(RESUMEN GLOBAL)'!E2451</f>
        <v>0</v>
      </c>
      <c r="H2451" s="9">
        <f>+'[1]VENTAS(RESUMEN GLOBAL)'!K2451</f>
        <v>0</v>
      </c>
      <c r="I2451" s="8">
        <f>+G2451*'[1]VENTAS(RESUMEN GLOBAL)'!F2451</f>
        <v>0</v>
      </c>
      <c r="J2451" s="8">
        <f>'[1]VENTAS(RESUMEN GLOBAL)'!G2451*(1-'[1]VENTAS(RESUMEN GLOBAL)'!H2451)</f>
        <v>0</v>
      </c>
      <c r="K2451" s="8">
        <f t="shared" si="38"/>
        <v>0</v>
      </c>
      <c r="L2451" s="8">
        <f>+'[1]VENTAS(RESUMEN GLOBAL)'!J2451</f>
        <v>0</v>
      </c>
      <c r="M2451" s="8">
        <f>+Tabla1[[#This Row],[utilidad x dia]]*7</f>
        <v>0</v>
      </c>
    </row>
    <row r="2452" spans="1:13" x14ac:dyDescent="0.3">
      <c r="A2452" s="6">
        <f>+'[1]VENTAS(RESUMEN GLOBAL)'!L2452</f>
        <v>0</v>
      </c>
      <c r="B2452" s="6">
        <f>+'[1]VENTAS(RESUMEN GLOBAL)'!M2452</f>
        <v>0</v>
      </c>
      <c r="C2452">
        <f>+'[1]VENTAS(RESUMEN GLOBAL)'!B2452</f>
        <v>0</v>
      </c>
      <c r="D2452" t="e">
        <f>INDEX('[1]CÓDIGOS DE PRODUCTO'!$D$3:$D$1000,MATCH(C2452,'[1]CÓDIGOS DE PRODUCTO'!$A$3:$A$1000,0))</f>
        <v>#N/A</v>
      </c>
      <c r="E2452">
        <f>VLOOKUP(C2452,'[1]CÓDIGOS DE PRODUCTO'!$A$4:$B$156,2,FALSE)</f>
        <v>0</v>
      </c>
      <c r="F2452">
        <f>INDEX('[1]CÓDIGOS DE PRODUCTO'!$C$3:$C$1000,MATCH(C2452,'[1]CÓDIGOS DE PRODUCTO'!$A$3:$A$1000,0))</f>
        <v>0</v>
      </c>
      <c r="G2452">
        <f>+'[1]VENTAS(RESUMEN GLOBAL)'!D2452-'[1]VENTAS(RESUMEN GLOBAL)'!E2452</f>
        <v>0</v>
      </c>
      <c r="H2452" s="9">
        <f>+'[1]VENTAS(RESUMEN GLOBAL)'!K2452</f>
        <v>0</v>
      </c>
      <c r="I2452" s="8">
        <f>+G2452*'[1]VENTAS(RESUMEN GLOBAL)'!F2452</f>
        <v>0</v>
      </c>
      <c r="J2452" s="8">
        <f>'[1]VENTAS(RESUMEN GLOBAL)'!G2452*(1-'[1]VENTAS(RESUMEN GLOBAL)'!H2452)</f>
        <v>0</v>
      </c>
      <c r="K2452" s="8">
        <f t="shared" si="38"/>
        <v>0</v>
      </c>
      <c r="L2452" s="8">
        <f>+'[1]VENTAS(RESUMEN GLOBAL)'!J2452</f>
        <v>0</v>
      </c>
      <c r="M2452" s="8">
        <f>+Tabla1[[#This Row],[utilidad x dia]]*7</f>
        <v>0</v>
      </c>
    </row>
    <row r="2453" spans="1:13" x14ac:dyDescent="0.3">
      <c r="A2453" s="6">
        <f>+'[1]VENTAS(RESUMEN GLOBAL)'!L2453</f>
        <v>0</v>
      </c>
      <c r="B2453" s="6">
        <f>+'[1]VENTAS(RESUMEN GLOBAL)'!M2453</f>
        <v>0</v>
      </c>
      <c r="C2453">
        <f>+'[1]VENTAS(RESUMEN GLOBAL)'!B2453</f>
        <v>0</v>
      </c>
      <c r="D2453" t="e">
        <f>INDEX('[1]CÓDIGOS DE PRODUCTO'!$D$3:$D$1000,MATCH(C2453,'[1]CÓDIGOS DE PRODUCTO'!$A$3:$A$1000,0))</f>
        <v>#N/A</v>
      </c>
      <c r="E2453">
        <f>VLOOKUP(C2453,'[1]CÓDIGOS DE PRODUCTO'!$A$4:$B$156,2,FALSE)</f>
        <v>0</v>
      </c>
      <c r="F2453">
        <f>INDEX('[1]CÓDIGOS DE PRODUCTO'!$C$3:$C$1000,MATCH(C2453,'[1]CÓDIGOS DE PRODUCTO'!$A$3:$A$1000,0))</f>
        <v>0</v>
      </c>
      <c r="G2453">
        <f>+'[1]VENTAS(RESUMEN GLOBAL)'!D2453-'[1]VENTAS(RESUMEN GLOBAL)'!E2453</f>
        <v>0</v>
      </c>
      <c r="H2453" s="9">
        <f>+'[1]VENTAS(RESUMEN GLOBAL)'!K2453</f>
        <v>0</v>
      </c>
      <c r="I2453" s="8">
        <f>+G2453*'[1]VENTAS(RESUMEN GLOBAL)'!F2453</f>
        <v>0</v>
      </c>
      <c r="J2453" s="8">
        <f>'[1]VENTAS(RESUMEN GLOBAL)'!G2453*(1-'[1]VENTAS(RESUMEN GLOBAL)'!H2453)</f>
        <v>0</v>
      </c>
      <c r="K2453" s="8">
        <f t="shared" si="38"/>
        <v>0</v>
      </c>
      <c r="L2453" s="8">
        <f>+'[1]VENTAS(RESUMEN GLOBAL)'!J2453</f>
        <v>0</v>
      </c>
      <c r="M2453" s="8">
        <f>+Tabla1[[#This Row],[utilidad x dia]]*7</f>
        <v>0</v>
      </c>
    </row>
    <row r="2454" spans="1:13" x14ac:dyDescent="0.3">
      <c r="A2454" s="6">
        <f>+'[1]VENTAS(RESUMEN GLOBAL)'!L2454</f>
        <v>0</v>
      </c>
      <c r="B2454" s="6">
        <f>+'[1]VENTAS(RESUMEN GLOBAL)'!M2454</f>
        <v>0</v>
      </c>
      <c r="C2454">
        <f>+'[1]VENTAS(RESUMEN GLOBAL)'!B2454</f>
        <v>0</v>
      </c>
      <c r="D2454" t="e">
        <f>INDEX('[1]CÓDIGOS DE PRODUCTO'!$D$3:$D$1000,MATCH(C2454,'[1]CÓDIGOS DE PRODUCTO'!$A$3:$A$1000,0))</f>
        <v>#N/A</v>
      </c>
      <c r="E2454">
        <f>VLOOKUP(C2454,'[1]CÓDIGOS DE PRODUCTO'!$A$4:$B$156,2,FALSE)</f>
        <v>0</v>
      </c>
      <c r="F2454">
        <f>INDEX('[1]CÓDIGOS DE PRODUCTO'!$C$3:$C$1000,MATCH(C2454,'[1]CÓDIGOS DE PRODUCTO'!$A$3:$A$1000,0))</f>
        <v>0</v>
      </c>
      <c r="G2454">
        <f>+'[1]VENTAS(RESUMEN GLOBAL)'!D2454-'[1]VENTAS(RESUMEN GLOBAL)'!E2454</f>
        <v>0</v>
      </c>
      <c r="H2454" s="9">
        <f>+'[1]VENTAS(RESUMEN GLOBAL)'!K2454</f>
        <v>0</v>
      </c>
      <c r="I2454" s="8">
        <f>+G2454*'[1]VENTAS(RESUMEN GLOBAL)'!F2454</f>
        <v>0</v>
      </c>
      <c r="J2454" s="8">
        <f>'[1]VENTAS(RESUMEN GLOBAL)'!G2454*(1-'[1]VENTAS(RESUMEN GLOBAL)'!H2454)</f>
        <v>0</v>
      </c>
      <c r="K2454" s="8">
        <f t="shared" si="38"/>
        <v>0</v>
      </c>
      <c r="L2454" s="8">
        <f>+'[1]VENTAS(RESUMEN GLOBAL)'!J2454</f>
        <v>0</v>
      </c>
      <c r="M2454" s="8">
        <f>+Tabla1[[#This Row],[utilidad x dia]]*7</f>
        <v>0</v>
      </c>
    </row>
    <row r="2455" spans="1:13" x14ac:dyDescent="0.3">
      <c r="A2455" s="6">
        <f>+'[1]VENTAS(RESUMEN GLOBAL)'!L2455</f>
        <v>0</v>
      </c>
      <c r="B2455" s="6">
        <f>+'[1]VENTAS(RESUMEN GLOBAL)'!M2455</f>
        <v>0</v>
      </c>
      <c r="C2455">
        <f>+'[1]VENTAS(RESUMEN GLOBAL)'!B2455</f>
        <v>0</v>
      </c>
      <c r="D2455" t="e">
        <f>INDEX('[1]CÓDIGOS DE PRODUCTO'!$D$3:$D$1000,MATCH(C2455,'[1]CÓDIGOS DE PRODUCTO'!$A$3:$A$1000,0))</f>
        <v>#N/A</v>
      </c>
      <c r="E2455">
        <f>VLOOKUP(C2455,'[1]CÓDIGOS DE PRODUCTO'!$A$4:$B$156,2,FALSE)</f>
        <v>0</v>
      </c>
      <c r="F2455">
        <f>INDEX('[1]CÓDIGOS DE PRODUCTO'!$C$3:$C$1000,MATCH(C2455,'[1]CÓDIGOS DE PRODUCTO'!$A$3:$A$1000,0))</f>
        <v>0</v>
      </c>
      <c r="G2455">
        <f>+'[1]VENTAS(RESUMEN GLOBAL)'!D2455-'[1]VENTAS(RESUMEN GLOBAL)'!E2455</f>
        <v>0</v>
      </c>
      <c r="H2455" s="9">
        <f>+'[1]VENTAS(RESUMEN GLOBAL)'!K2455</f>
        <v>0</v>
      </c>
      <c r="I2455" s="8">
        <f>+G2455*'[1]VENTAS(RESUMEN GLOBAL)'!F2455</f>
        <v>0</v>
      </c>
      <c r="J2455" s="8">
        <f>'[1]VENTAS(RESUMEN GLOBAL)'!G2455*(1-'[1]VENTAS(RESUMEN GLOBAL)'!H2455)</f>
        <v>0</v>
      </c>
      <c r="K2455" s="8">
        <f t="shared" si="38"/>
        <v>0</v>
      </c>
      <c r="L2455" s="8">
        <f>+'[1]VENTAS(RESUMEN GLOBAL)'!J2455</f>
        <v>0</v>
      </c>
      <c r="M2455" s="8">
        <f>+Tabla1[[#This Row],[utilidad x dia]]*7</f>
        <v>0</v>
      </c>
    </row>
    <row r="2456" spans="1:13" x14ac:dyDescent="0.3">
      <c r="A2456" s="6">
        <f>+'[1]VENTAS(RESUMEN GLOBAL)'!L2456</f>
        <v>0</v>
      </c>
      <c r="B2456" s="6">
        <f>+'[1]VENTAS(RESUMEN GLOBAL)'!M2456</f>
        <v>0</v>
      </c>
      <c r="C2456">
        <f>+'[1]VENTAS(RESUMEN GLOBAL)'!B2456</f>
        <v>0</v>
      </c>
      <c r="D2456" t="e">
        <f>INDEX('[1]CÓDIGOS DE PRODUCTO'!$D$3:$D$1000,MATCH(C2456,'[1]CÓDIGOS DE PRODUCTO'!$A$3:$A$1000,0))</f>
        <v>#N/A</v>
      </c>
      <c r="E2456">
        <f>VLOOKUP(C2456,'[1]CÓDIGOS DE PRODUCTO'!$A$4:$B$156,2,FALSE)</f>
        <v>0</v>
      </c>
      <c r="F2456">
        <f>INDEX('[1]CÓDIGOS DE PRODUCTO'!$C$3:$C$1000,MATCH(C2456,'[1]CÓDIGOS DE PRODUCTO'!$A$3:$A$1000,0))</f>
        <v>0</v>
      </c>
      <c r="G2456">
        <f>+'[1]VENTAS(RESUMEN GLOBAL)'!D2456-'[1]VENTAS(RESUMEN GLOBAL)'!E2456</f>
        <v>0</v>
      </c>
      <c r="H2456" s="9">
        <f>+'[1]VENTAS(RESUMEN GLOBAL)'!K2456</f>
        <v>0</v>
      </c>
      <c r="I2456" s="8">
        <f>+G2456*'[1]VENTAS(RESUMEN GLOBAL)'!F2456</f>
        <v>0</v>
      </c>
      <c r="J2456" s="8">
        <f>'[1]VENTAS(RESUMEN GLOBAL)'!G2456*(1-'[1]VENTAS(RESUMEN GLOBAL)'!H2456)</f>
        <v>0</v>
      </c>
      <c r="K2456" s="8">
        <f t="shared" si="38"/>
        <v>0</v>
      </c>
      <c r="L2456" s="8">
        <f>+'[1]VENTAS(RESUMEN GLOBAL)'!J2456</f>
        <v>0</v>
      </c>
      <c r="M2456" s="8">
        <f>+Tabla1[[#This Row],[utilidad x dia]]*7</f>
        <v>0</v>
      </c>
    </row>
    <row r="2457" spans="1:13" x14ac:dyDescent="0.3">
      <c r="A2457" s="6">
        <f>+'[1]VENTAS(RESUMEN GLOBAL)'!L2457</f>
        <v>0</v>
      </c>
      <c r="B2457" s="6">
        <f>+'[1]VENTAS(RESUMEN GLOBAL)'!M2457</f>
        <v>0</v>
      </c>
      <c r="C2457">
        <f>+'[1]VENTAS(RESUMEN GLOBAL)'!B2457</f>
        <v>0</v>
      </c>
      <c r="D2457" t="e">
        <f>INDEX('[1]CÓDIGOS DE PRODUCTO'!$D$3:$D$1000,MATCH(C2457,'[1]CÓDIGOS DE PRODUCTO'!$A$3:$A$1000,0))</f>
        <v>#N/A</v>
      </c>
      <c r="E2457">
        <f>VLOOKUP(C2457,'[1]CÓDIGOS DE PRODUCTO'!$A$4:$B$156,2,FALSE)</f>
        <v>0</v>
      </c>
      <c r="F2457">
        <f>INDEX('[1]CÓDIGOS DE PRODUCTO'!$C$3:$C$1000,MATCH(C2457,'[1]CÓDIGOS DE PRODUCTO'!$A$3:$A$1000,0))</f>
        <v>0</v>
      </c>
      <c r="G2457">
        <f>+'[1]VENTAS(RESUMEN GLOBAL)'!D2457-'[1]VENTAS(RESUMEN GLOBAL)'!E2457</f>
        <v>0</v>
      </c>
      <c r="H2457" s="9">
        <f>+'[1]VENTAS(RESUMEN GLOBAL)'!K2457</f>
        <v>0</v>
      </c>
      <c r="I2457" s="8">
        <f>+G2457*'[1]VENTAS(RESUMEN GLOBAL)'!F2457</f>
        <v>0</v>
      </c>
      <c r="J2457" s="8">
        <f>'[1]VENTAS(RESUMEN GLOBAL)'!G2457*(1-'[1]VENTAS(RESUMEN GLOBAL)'!H2457)</f>
        <v>0</v>
      </c>
      <c r="K2457" s="8">
        <f t="shared" si="38"/>
        <v>0</v>
      </c>
      <c r="L2457" s="8">
        <f>+'[1]VENTAS(RESUMEN GLOBAL)'!J2457</f>
        <v>0</v>
      </c>
      <c r="M2457" s="8">
        <f>+Tabla1[[#This Row],[utilidad x dia]]*7</f>
        <v>0</v>
      </c>
    </row>
    <row r="2458" spans="1:13" x14ac:dyDescent="0.3">
      <c r="A2458" s="6">
        <f>+'[1]VENTAS(RESUMEN GLOBAL)'!L2458</f>
        <v>0</v>
      </c>
      <c r="B2458" s="6">
        <f>+'[1]VENTAS(RESUMEN GLOBAL)'!M2458</f>
        <v>0</v>
      </c>
      <c r="C2458">
        <f>+'[1]VENTAS(RESUMEN GLOBAL)'!B2458</f>
        <v>0</v>
      </c>
      <c r="D2458" t="e">
        <f>INDEX('[1]CÓDIGOS DE PRODUCTO'!$D$3:$D$1000,MATCH(C2458,'[1]CÓDIGOS DE PRODUCTO'!$A$3:$A$1000,0))</f>
        <v>#N/A</v>
      </c>
      <c r="E2458">
        <f>VLOOKUP(C2458,'[1]CÓDIGOS DE PRODUCTO'!$A$4:$B$156,2,FALSE)</f>
        <v>0</v>
      </c>
      <c r="F2458">
        <f>INDEX('[1]CÓDIGOS DE PRODUCTO'!$C$3:$C$1000,MATCH(C2458,'[1]CÓDIGOS DE PRODUCTO'!$A$3:$A$1000,0))</f>
        <v>0</v>
      </c>
      <c r="G2458">
        <f>+'[1]VENTAS(RESUMEN GLOBAL)'!D2458-'[1]VENTAS(RESUMEN GLOBAL)'!E2458</f>
        <v>0</v>
      </c>
      <c r="H2458" s="9">
        <f>+'[1]VENTAS(RESUMEN GLOBAL)'!K2458</f>
        <v>0</v>
      </c>
      <c r="I2458" s="8">
        <f>+G2458*'[1]VENTAS(RESUMEN GLOBAL)'!F2458</f>
        <v>0</v>
      </c>
      <c r="J2458" s="8">
        <f>'[1]VENTAS(RESUMEN GLOBAL)'!G2458*(1-'[1]VENTAS(RESUMEN GLOBAL)'!H2458)</f>
        <v>0</v>
      </c>
      <c r="K2458" s="8">
        <f t="shared" si="38"/>
        <v>0</v>
      </c>
      <c r="L2458" s="8">
        <f>+'[1]VENTAS(RESUMEN GLOBAL)'!J2458</f>
        <v>0</v>
      </c>
      <c r="M2458" s="8">
        <f>+Tabla1[[#This Row],[utilidad x dia]]*7</f>
        <v>0</v>
      </c>
    </row>
    <row r="2459" spans="1:13" x14ac:dyDescent="0.3">
      <c r="A2459" s="6">
        <f>+'[1]VENTAS(RESUMEN GLOBAL)'!L2459</f>
        <v>0</v>
      </c>
      <c r="B2459" s="6">
        <f>+'[1]VENTAS(RESUMEN GLOBAL)'!M2459</f>
        <v>0</v>
      </c>
      <c r="C2459">
        <f>+'[1]VENTAS(RESUMEN GLOBAL)'!B2459</f>
        <v>0</v>
      </c>
      <c r="D2459" t="e">
        <f>INDEX('[1]CÓDIGOS DE PRODUCTO'!$D$3:$D$1000,MATCH(C2459,'[1]CÓDIGOS DE PRODUCTO'!$A$3:$A$1000,0))</f>
        <v>#N/A</v>
      </c>
      <c r="E2459">
        <f>VLOOKUP(C2459,'[1]CÓDIGOS DE PRODUCTO'!$A$4:$B$156,2,FALSE)</f>
        <v>0</v>
      </c>
      <c r="F2459">
        <f>INDEX('[1]CÓDIGOS DE PRODUCTO'!$C$3:$C$1000,MATCH(C2459,'[1]CÓDIGOS DE PRODUCTO'!$A$3:$A$1000,0))</f>
        <v>0</v>
      </c>
      <c r="G2459">
        <f>+'[1]VENTAS(RESUMEN GLOBAL)'!D2459-'[1]VENTAS(RESUMEN GLOBAL)'!E2459</f>
        <v>0</v>
      </c>
      <c r="H2459" s="9">
        <f>+'[1]VENTAS(RESUMEN GLOBAL)'!K2459</f>
        <v>0</v>
      </c>
      <c r="I2459" s="8">
        <f>+G2459*'[1]VENTAS(RESUMEN GLOBAL)'!F2459</f>
        <v>0</v>
      </c>
      <c r="J2459" s="8">
        <f>'[1]VENTAS(RESUMEN GLOBAL)'!G2459*(1-'[1]VENTAS(RESUMEN GLOBAL)'!H2459)</f>
        <v>0</v>
      </c>
      <c r="K2459" s="8">
        <f t="shared" si="38"/>
        <v>0</v>
      </c>
      <c r="L2459" s="8">
        <f>+'[1]VENTAS(RESUMEN GLOBAL)'!J2459</f>
        <v>0</v>
      </c>
      <c r="M2459" s="8">
        <f>+Tabla1[[#This Row],[utilidad x dia]]*7</f>
        <v>0</v>
      </c>
    </row>
    <row r="2460" spans="1:13" x14ac:dyDescent="0.3">
      <c r="A2460" s="6">
        <f>+'[1]VENTAS(RESUMEN GLOBAL)'!L2460</f>
        <v>0</v>
      </c>
      <c r="B2460" s="6">
        <f>+'[1]VENTAS(RESUMEN GLOBAL)'!M2460</f>
        <v>0</v>
      </c>
      <c r="C2460">
        <f>+'[1]VENTAS(RESUMEN GLOBAL)'!B2460</f>
        <v>0</v>
      </c>
      <c r="D2460" t="e">
        <f>INDEX('[1]CÓDIGOS DE PRODUCTO'!$D$3:$D$1000,MATCH(C2460,'[1]CÓDIGOS DE PRODUCTO'!$A$3:$A$1000,0))</f>
        <v>#N/A</v>
      </c>
      <c r="E2460">
        <f>VLOOKUP(C2460,'[1]CÓDIGOS DE PRODUCTO'!$A$4:$B$156,2,FALSE)</f>
        <v>0</v>
      </c>
      <c r="F2460">
        <f>INDEX('[1]CÓDIGOS DE PRODUCTO'!$C$3:$C$1000,MATCH(C2460,'[1]CÓDIGOS DE PRODUCTO'!$A$3:$A$1000,0))</f>
        <v>0</v>
      </c>
      <c r="G2460">
        <f>+'[1]VENTAS(RESUMEN GLOBAL)'!D2460-'[1]VENTAS(RESUMEN GLOBAL)'!E2460</f>
        <v>0</v>
      </c>
      <c r="H2460" s="9">
        <f>+'[1]VENTAS(RESUMEN GLOBAL)'!K2460</f>
        <v>0</v>
      </c>
      <c r="I2460" s="8">
        <f>+G2460*'[1]VENTAS(RESUMEN GLOBAL)'!F2460</f>
        <v>0</v>
      </c>
      <c r="J2460" s="8">
        <f>'[1]VENTAS(RESUMEN GLOBAL)'!G2460*(1-'[1]VENTAS(RESUMEN GLOBAL)'!H2460)</f>
        <v>0</v>
      </c>
      <c r="K2460" s="8">
        <f t="shared" si="38"/>
        <v>0</v>
      </c>
      <c r="L2460" s="8">
        <f>+'[1]VENTAS(RESUMEN GLOBAL)'!J2460</f>
        <v>0</v>
      </c>
      <c r="M2460" s="8">
        <f>+Tabla1[[#This Row],[utilidad x dia]]*7</f>
        <v>0</v>
      </c>
    </row>
    <row r="2461" spans="1:13" x14ac:dyDescent="0.3">
      <c r="A2461" s="6">
        <f>+'[1]VENTAS(RESUMEN GLOBAL)'!L2461</f>
        <v>0</v>
      </c>
      <c r="B2461" s="6">
        <f>+'[1]VENTAS(RESUMEN GLOBAL)'!M2461</f>
        <v>0</v>
      </c>
      <c r="C2461">
        <f>+'[1]VENTAS(RESUMEN GLOBAL)'!B2461</f>
        <v>0</v>
      </c>
      <c r="D2461" t="e">
        <f>INDEX('[1]CÓDIGOS DE PRODUCTO'!$D$3:$D$1000,MATCH(C2461,'[1]CÓDIGOS DE PRODUCTO'!$A$3:$A$1000,0))</f>
        <v>#N/A</v>
      </c>
      <c r="E2461">
        <f>VLOOKUP(C2461,'[1]CÓDIGOS DE PRODUCTO'!$A$4:$B$156,2,FALSE)</f>
        <v>0</v>
      </c>
      <c r="F2461">
        <f>INDEX('[1]CÓDIGOS DE PRODUCTO'!$C$3:$C$1000,MATCH(C2461,'[1]CÓDIGOS DE PRODUCTO'!$A$3:$A$1000,0))</f>
        <v>0</v>
      </c>
      <c r="G2461">
        <f>+'[1]VENTAS(RESUMEN GLOBAL)'!D2461-'[1]VENTAS(RESUMEN GLOBAL)'!E2461</f>
        <v>0</v>
      </c>
      <c r="H2461" s="9">
        <f>+'[1]VENTAS(RESUMEN GLOBAL)'!K2461</f>
        <v>0</v>
      </c>
      <c r="I2461" s="8">
        <f>+G2461*'[1]VENTAS(RESUMEN GLOBAL)'!F2461</f>
        <v>0</v>
      </c>
      <c r="J2461" s="8">
        <f>'[1]VENTAS(RESUMEN GLOBAL)'!G2461*(1-'[1]VENTAS(RESUMEN GLOBAL)'!H2461)</f>
        <v>0</v>
      </c>
      <c r="K2461" s="8">
        <f t="shared" si="38"/>
        <v>0</v>
      </c>
      <c r="L2461" s="8">
        <f>+'[1]VENTAS(RESUMEN GLOBAL)'!J2461</f>
        <v>0</v>
      </c>
      <c r="M2461" s="8">
        <f>+Tabla1[[#This Row],[utilidad x dia]]*7</f>
        <v>0</v>
      </c>
    </row>
    <row r="2462" spans="1:13" x14ac:dyDescent="0.3">
      <c r="A2462" s="6">
        <f>+'[1]VENTAS(RESUMEN GLOBAL)'!L2462</f>
        <v>0</v>
      </c>
      <c r="B2462" s="6">
        <f>+'[1]VENTAS(RESUMEN GLOBAL)'!M2462</f>
        <v>0</v>
      </c>
      <c r="C2462">
        <f>+'[1]VENTAS(RESUMEN GLOBAL)'!B2462</f>
        <v>0</v>
      </c>
      <c r="D2462" t="e">
        <f>INDEX('[1]CÓDIGOS DE PRODUCTO'!$D$3:$D$1000,MATCH(C2462,'[1]CÓDIGOS DE PRODUCTO'!$A$3:$A$1000,0))</f>
        <v>#N/A</v>
      </c>
      <c r="E2462">
        <f>VLOOKUP(C2462,'[1]CÓDIGOS DE PRODUCTO'!$A$4:$B$156,2,FALSE)</f>
        <v>0</v>
      </c>
      <c r="F2462">
        <f>INDEX('[1]CÓDIGOS DE PRODUCTO'!$C$3:$C$1000,MATCH(C2462,'[1]CÓDIGOS DE PRODUCTO'!$A$3:$A$1000,0))</f>
        <v>0</v>
      </c>
      <c r="G2462">
        <f>+'[1]VENTAS(RESUMEN GLOBAL)'!D2462-'[1]VENTAS(RESUMEN GLOBAL)'!E2462</f>
        <v>0</v>
      </c>
      <c r="H2462" s="9">
        <f>+'[1]VENTAS(RESUMEN GLOBAL)'!K2462</f>
        <v>0</v>
      </c>
      <c r="I2462" s="8">
        <f>+G2462*'[1]VENTAS(RESUMEN GLOBAL)'!F2462</f>
        <v>0</v>
      </c>
      <c r="J2462" s="8">
        <f>'[1]VENTAS(RESUMEN GLOBAL)'!G2462*(1-'[1]VENTAS(RESUMEN GLOBAL)'!H2462)</f>
        <v>0</v>
      </c>
      <c r="K2462" s="8">
        <f t="shared" si="38"/>
        <v>0</v>
      </c>
      <c r="L2462" s="8">
        <f>+'[1]VENTAS(RESUMEN GLOBAL)'!J2462</f>
        <v>0</v>
      </c>
      <c r="M2462" s="8">
        <f>+Tabla1[[#This Row],[utilidad x dia]]*7</f>
        <v>0</v>
      </c>
    </row>
    <row r="2463" spans="1:13" x14ac:dyDescent="0.3">
      <c r="A2463" s="6">
        <f>+'[1]VENTAS(RESUMEN GLOBAL)'!L2463</f>
        <v>0</v>
      </c>
      <c r="B2463" s="6">
        <f>+'[1]VENTAS(RESUMEN GLOBAL)'!M2463</f>
        <v>0</v>
      </c>
      <c r="C2463">
        <f>+'[1]VENTAS(RESUMEN GLOBAL)'!B2463</f>
        <v>0</v>
      </c>
      <c r="D2463" t="e">
        <f>INDEX('[1]CÓDIGOS DE PRODUCTO'!$D$3:$D$1000,MATCH(C2463,'[1]CÓDIGOS DE PRODUCTO'!$A$3:$A$1000,0))</f>
        <v>#N/A</v>
      </c>
      <c r="E2463">
        <f>VLOOKUP(C2463,'[1]CÓDIGOS DE PRODUCTO'!$A$4:$B$156,2,FALSE)</f>
        <v>0</v>
      </c>
      <c r="F2463">
        <f>INDEX('[1]CÓDIGOS DE PRODUCTO'!$C$3:$C$1000,MATCH(C2463,'[1]CÓDIGOS DE PRODUCTO'!$A$3:$A$1000,0))</f>
        <v>0</v>
      </c>
      <c r="G2463">
        <f>+'[1]VENTAS(RESUMEN GLOBAL)'!D2463-'[1]VENTAS(RESUMEN GLOBAL)'!E2463</f>
        <v>0</v>
      </c>
      <c r="H2463" s="9">
        <f>+'[1]VENTAS(RESUMEN GLOBAL)'!K2463</f>
        <v>0</v>
      </c>
      <c r="I2463" s="8">
        <f>+G2463*'[1]VENTAS(RESUMEN GLOBAL)'!F2463</f>
        <v>0</v>
      </c>
      <c r="J2463" s="8">
        <f>'[1]VENTAS(RESUMEN GLOBAL)'!G2463*(1-'[1]VENTAS(RESUMEN GLOBAL)'!H2463)</f>
        <v>0</v>
      </c>
      <c r="K2463" s="8">
        <f t="shared" si="38"/>
        <v>0</v>
      </c>
      <c r="L2463" s="8">
        <f>+'[1]VENTAS(RESUMEN GLOBAL)'!J2463</f>
        <v>0</v>
      </c>
      <c r="M2463" s="8">
        <f>+Tabla1[[#This Row],[utilidad x dia]]*7</f>
        <v>0</v>
      </c>
    </row>
    <row r="2464" spans="1:13" x14ac:dyDescent="0.3">
      <c r="A2464" s="6">
        <f>+'[1]VENTAS(RESUMEN GLOBAL)'!L2464</f>
        <v>0</v>
      </c>
      <c r="B2464" s="6">
        <f>+'[1]VENTAS(RESUMEN GLOBAL)'!M2464</f>
        <v>0</v>
      </c>
      <c r="C2464">
        <f>+'[1]VENTAS(RESUMEN GLOBAL)'!B2464</f>
        <v>0</v>
      </c>
      <c r="D2464" t="e">
        <f>INDEX('[1]CÓDIGOS DE PRODUCTO'!$D$3:$D$1000,MATCH(C2464,'[1]CÓDIGOS DE PRODUCTO'!$A$3:$A$1000,0))</f>
        <v>#N/A</v>
      </c>
      <c r="E2464">
        <f>VLOOKUP(C2464,'[1]CÓDIGOS DE PRODUCTO'!$A$4:$B$156,2,FALSE)</f>
        <v>0</v>
      </c>
      <c r="F2464">
        <f>INDEX('[1]CÓDIGOS DE PRODUCTO'!$C$3:$C$1000,MATCH(C2464,'[1]CÓDIGOS DE PRODUCTO'!$A$3:$A$1000,0))</f>
        <v>0</v>
      </c>
      <c r="G2464">
        <f>+'[1]VENTAS(RESUMEN GLOBAL)'!D2464-'[1]VENTAS(RESUMEN GLOBAL)'!E2464</f>
        <v>0</v>
      </c>
      <c r="H2464" s="9">
        <f>+'[1]VENTAS(RESUMEN GLOBAL)'!K2464</f>
        <v>0</v>
      </c>
      <c r="I2464" s="8">
        <f>+G2464*'[1]VENTAS(RESUMEN GLOBAL)'!F2464</f>
        <v>0</v>
      </c>
      <c r="J2464" s="8">
        <f>'[1]VENTAS(RESUMEN GLOBAL)'!G2464*(1-'[1]VENTAS(RESUMEN GLOBAL)'!H2464)</f>
        <v>0</v>
      </c>
      <c r="K2464" s="8">
        <f t="shared" si="38"/>
        <v>0</v>
      </c>
      <c r="L2464" s="8">
        <f>+'[1]VENTAS(RESUMEN GLOBAL)'!J2464</f>
        <v>0</v>
      </c>
      <c r="M2464" s="8">
        <f>+Tabla1[[#This Row],[utilidad x dia]]*7</f>
        <v>0</v>
      </c>
    </row>
    <row r="2465" spans="1:13" x14ac:dyDescent="0.3">
      <c r="A2465" s="6">
        <f>+'[1]VENTAS(RESUMEN GLOBAL)'!L2465</f>
        <v>0</v>
      </c>
      <c r="B2465" s="6">
        <f>+'[1]VENTAS(RESUMEN GLOBAL)'!M2465</f>
        <v>0</v>
      </c>
      <c r="C2465">
        <f>+'[1]VENTAS(RESUMEN GLOBAL)'!B2465</f>
        <v>0</v>
      </c>
      <c r="D2465" t="e">
        <f>INDEX('[1]CÓDIGOS DE PRODUCTO'!$D$3:$D$1000,MATCH(C2465,'[1]CÓDIGOS DE PRODUCTO'!$A$3:$A$1000,0))</f>
        <v>#N/A</v>
      </c>
      <c r="E2465">
        <f>VLOOKUP(C2465,'[1]CÓDIGOS DE PRODUCTO'!$A$4:$B$156,2,FALSE)</f>
        <v>0</v>
      </c>
      <c r="F2465">
        <f>INDEX('[1]CÓDIGOS DE PRODUCTO'!$C$3:$C$1000,MATCH(C2465,'[1]CÓDIGOS DE PRODUCTO'!$A$3:$A$1000,0))</f>
        <v>0</v>
      </c>
      <c r="G2465">
        <f>+'[1]VENTAS(RESUMEN GLOBAL)'!D2465-'[1]VENTAS(RESUMEN GLOBAL)'!E2465</f>
        <v>0</v>
      </c>
      <c r="H2465" s="9">
        <f>+'[1]VENTAS(RESUMEN GLOBAL)'!K2465</f>
        <v>0</v>
      </c>
      <c r="I2465" s="8">
        <f>+G2465*'[1]VENTAS(RESUMEN GLOBAL)'!F2465</f>
        <v>0</v>
      </c>
      <c r="J2465" s="8">
        <f>'[1]VENTAS(RESUMEN GLOBAL)'!G2465*(1-'[1]VENTAS(RESUMEN GLOBAL)'!H2465)</f>
        <v>0</v>
      </c>
      <c r="K2465" s="8">
        <f t="shared" si="38"/>
        <v>0</v>
      </c>
      <c r="L2465" s="8">
        <f>+'[1]VENTAS(RESUMEN GLOBAL)'!J2465</f>
        <v>0</v>
      </c>
      <c r="M2465" s="8">
        <f>+Tabla1[[#This Row],[utilidad x dia]]*7</f>
        <v>0</v>
      </c>
    </row>
    <row r="2466" spans="1:13" x14ac:dyDescent="0.3">
      <c r="A2466" s="6">
        <f>+'[1]VENTAS(RESUMEN GLOBAL)'!L2466</f>
        <v>0</v>
      </c>
      <c r="B2466" s="6">
        <f>+'[1]VENTAS(RESUMEN GLOBAL)'!M2466</f>
        <v>0</v>
      </c>
      <c r="C2466">
        <f>+'[1]VENTAS(RESUMEN GLOBAL)'!B2466</f>
        <v>0</v>
      </c>
      <c r="D2466" t="e">
        <f>INDEX('[1]CÓDIGOS DE PRODUCTO'!$D$3:$D$1000,MATCH(C2466,'[1]CÓDIGOS DE PRODUCTO'!$A$3:$A$1000,0))</f>
        <v>#N/A</v>
      </c>
      <c r="E2466">
        <f>VLOOKUP(C2466,'[1]CÓDIGOS DE PRODUCTO'!$A$4:$B$156,2,FALSE)</f>
        <v>0</v>
      </c>
      <c r="F2466">
        <f>INDEX('[1]CÓDIGOS DE PRODUCTO'!$C$3:$C$1000,MATCH(C2466,'[1]CÓDIGOS DE PRODUCTO'!$A$3:$A$1000,0))</f>
        <v>0</v>
      </c>
      <c r="G2466">
        <f>+'[1]VENTAS(RESUMEN GLOBAL)'!D2466-'[1]VENTAS(RESUMEN GLOBAL)'!E2466</f>
        <v>0</v>
      </c>
      <c r="H2466" s="9">
        <f>+'[1]VENTAS(RESUMEN GLOBAL)'!K2466</f>
        <v>0</v>
      </c>
      <c r="I2466" s="8">
        <f>+G2466*'[1]VENTAS(RESUMEN GLOBAL)'!F2466</f>
        <v>0</v>
      </c>
      <c r="J2466" s="8">
        <f>'[1]VENTAS(RESUMEN GLOBAL)'!G2466*(1-'[1]VENTAS(RESUMEN GLOBAL)'!H2466)</f>
        <v>0</v>
      </c>
      <c r="K2466" s="8">
        <f t="shared" si="38"/>
        <v>0</v>
      </c>
      <c r="L2466" s="8">
        <f>+'[1]VENTAS(RESUMEN GLOBAL)'!J2466</f>
        <v>0</v>
      </c>
      <c r="M2466" s="8">
        <f>+Tabla1[[#This Row],[utilidad x dia]]*7</f>
        <v>0</v>
      </c>
    </row>
    <row r="2467" spans="1:13" x14ac:dyDescent="0.3">
      <c r="A2467" s="6">
        <f>+'[1]VENTAS(RESUMEN GLOBAL)'!L2467</f>
        <v>0</v>
      </c>
      <c r="B2467" s="6">
        <f>+'[1]VENTAS(RESUMEN GLOBAL)'!M2467</f>
        <v>0</v>
      </c>
      <c r="C2467">
        <f>+'[1]VENTAS(RESUMEN GLOBAL)'!B2467</f>
        <v>0</v>
      </c>
      <c r="D2467" t="e">
        <f>INDEX('[1]CÓDIGOS DE PRODUCTO'!$D$3:$D$1000,MATCH(C2467,'[1]CÓDIGOS DE PRODUCTO'!$A$3:$A$1000,0))</f>
        <v>#N/A</v>
      </c>
      <c r="E2467">
        <f>VLOOKUP(C2467,'[1]CÓDIGOS DE PRODUCTO'!$A$4:$B$156,2,FALSE)</f>
        <v>0</v>
      </c>
      <c r="F2467">
        <f>INDEX('[1]CÓDIGOS DE PRODUCTO'!$C$3:$C$1000,MATCH(C2467,'[1]CÓDIGOS DE PRODUCTO'!$A$3:$A$1000,0))</f>
        <v>0</v>
      </c>
      <c r="G2467">
        <f>+'[1]VENTAS(RESUMEN GLOBAL)'!D2467-'[1]VENTAS(RESUMEN GLOBAL)'!E2467</f>
        <v>0</v>
      </c>
      <c r="H2467" s="9">
        <f>+'[1]VENTAS(RESUMEN GLOBAL)'!K2467</f>
        <v>0</v>
      </c>
      <c r="I2467" s="8">
        <f>+G2467*'[1]VENTAS(RESUMEN GLOBAL)'!F2467</f>
        <v>0</v>
      </c>
      <c r="J2467" s="8">
        <f>'[1]VENTAS(RESUMEN GLOBAL)'!G2467*(1-'[1]VENTAS(RESUMEN GLOBAL)'!H2467)</f>
        <v>0</v>
      </c>
      <c r="K2467" s="8">
        <f t="shared" si="38"/>
        <v>0</v>
      </c>
      <c r="L2467" s="8">
        <f>+'[1]VENTAS(RESUMEN GLOBAL)'!J2467</f>
        <v>0</v>
      </c>
      <c r="M2467" s="8">
        <f>+Tabla1[[#This Row],[utilidad x dia]]*7</f>
        <v>0</v>
      </c>
    </row>
    <row r="2468" spans="1:13" x14ac:dyDescent="0.3">
      <c r="A2468" s="6">
        <f>+'[1]VENTAS(RESUMEN GLOBAL)'!L2468</f>
        <v>0</v>
      </c>
      <c r="B2468" s="6">
        <f>+'[1]VENTAS(RESUMEN GLOBAL)'!M2468</f>
        <v>0</v>
      </c>
      <c r="C2468">
        <f>+'[1]VENTAS(RESUMEN GLOBAL)'!B2468</f>
        <v>0</v>
      </c>
      <c r="D2468" t="e">
        <f>INDEX('[1]CÓDIGOS DE PRODUCTO'!$D$3:$D$1000,MATCH(C2468,'[1]CÓDIGOS DE PRODUCTO'!$A$3:$A$1000,0))</f>
        <v>#N/A</v>
      </c>
      <c r="E2468">
        <f>VLOOKUP(C2468,'[1]CÓDIGOS DE PRODUCTO'!$A$4:$B$156,2,FALSE)</f>
        <v>0</v>
      </c>
      <c r="F2468">
        <f>INDEX('[1]CÓDIGOS DE PRODUCTO'!$C$3:$C$1000,MATCH(C2468,'[1]CÓDIGOS DE PRODUCTO'!$A$3:$A$1000,0))</f>
        <v>0</v>
      </c>
      <c r="G2468">
        <f>+'[1]VENTAS(RESUMEN GLOBAL)'!D2468-'[1]VENTAS(RESUMEN GLOBAL)'!E2468</f>
        <v>0</v>
      </c>
      <c r="H2468" s="9">
        <f>+'[1]VENTAS(RESUMEN GLOBAL)'!K2468</f>
        <v>0</v>
      </c>
      <c r="I2468" s="8">
        <f>+G2468*'[1]VENTAS(RESUMEN GLOBAL)'!F2468</f>
        <v>0</v>
      </c>
      <c r="J2468" s="8">
        <f>'[1]VENTAS(RESUMEN GLOBAL)'!G2468*(1-'[1]VENTAS(RESUMEN GLOBAL)'!H2468)</f>
        <v>0</v>
      </c>
      <c r="K2468" s="8">
        <f t="shared" si="38"/>
        <v>0</v>
      </c>
      <c r="L2468" s="8">
        <f>+'[1]VENTAS(RESUMEN GLOBAL)'!J2468</f>
        <v>0</v>
      </c>
      <c r="M2468" s="8">
        <f>+Tabla1[[#This Row],[utilidad x dia]]*7</f>
        <v>0</v>
      </c>
    </row>
    <row r="2469" spans="1:13" x14ac:dyDescent="0.3">
      <c r="A2469" s="6">
        <f>+'[1]VENTAS(RESUMEN GLOBAL)'!L2469</f>
        <v>0</v>
      </c>
      <c r="B2469" s="6">
        <f>+'[1]VENTAS(RESUMEN GLOBAL)'!M2469</f>
        <v>0</v>
      </c>
      <c r="C2469">
        <f>+'[1]VENTAS(RESUMEN GLOBAL)'!B2469</f>
        <v>0</v>
      </c>
      <c r="D2469" t="e">
        <f>INDEX('[1]CÓDIGOS DE PRODUCTO'!$D$3:$D$1000,MATCH(C2469,'[1]CÓDIGOS DE PRODUCTO'!$A$3:$A$1000,0))</f>
        <v>#N/A</v>
      </c>
      <c r="E2469">
        <f>VLOOKUP(C2469,'[1]CÓDIGOS DE PRODUCTO'!$A$4:$B$156,2,FALSE)</f>
        <v>0</v>
      </c>
      <c r="F2469">
        <f>INDEX('[1]CÓDIGOS DE PRODUCTO'!$C$3:$C$1000,MATCH(C2469,'[1]CÓDIGOS DE PRODUCTO'!$A$3:$A$1000,0))</f>
        <v>0</v>
      </c>
      <c r="G2469">
        <f>+'[1]VENTAS(RESUMEN GLOBAL)'!D2469-'[1]VENTAS(RESUMEN GLOBAL)'!E2469</f>
        <v>0</v>
      </c>
      <c r="H2469" s="9">
        <f>+'[1]VENTAS(RESUMEN GLOBAL)'!K2469</f>
        <v>0</v>
      </c>
      <c r="I2469" s="8">
        <f>+G2469*'[1]VENTAS(RESUMEN GLOBAL)'!F2469</f>
        <v>0</v>
      </c>
      <c r="J2469" s="8">
        <f>'[1]VENTAS(RESUMEN GLOBAL)'!G2469*(1-'[1]VENTAS(RESUMEN GLOBAL)'!H2469)</f>
        <v>0</v>
      </c>
      <c r="K2469" s="8">
        <f t="shared" si="38"/>
        <v>0</v>
      </c>
      <c r="L2469" s="8">
        <f>+'[1]VENTAS(RESUMEN GLOBAL)'!J2469</f>
        <v>0</v>
      </c>
      <c r="M2469" s="8">
        <f>+Tabla1[[#This Row],[utilidad x dia]]*7</f>
        <v>0</v>
      </c>
    </row>
    <row r="2470" spans="1:13" x14ac:dyDescent="0.3">
      <c r="A2470" s="6">
        <f>+'[1]VENTAS(RESUMEN GLOBAL)'!L2470</f>
        <v>0</v>
      </c>
      <c r="B2470" s="6">
        <f>+'[1]VENTAS(RESUMEN GLOBAL)'!M2470</f>
        <v>0</v>
      </c>
      <c r="C2470">
        <f>+'[1]VENTAS(RESUMEN GLOBAL)'!B2470</f>
        <v>0</v>
      </c>
      <c r="D2470" t="e">
        <f>INDEX('[1]CÓDIGOS DE PRODUCTO'!$D$3:$D$1000,MATCH(C2470,'[1]CÓDIGOS DE PRODUCTO'!$A$3:$A$1000,0))</f>
        <v>#N/A</v>
      </c>
      <c r="E2470">
        <f>VLOOKUP(C2470,'[1]CÓDIGOS DE PRODUCTO'!$A$4:$B$156,2,FALSE)</f>
        <v>0</v>
      </c>
      <c r="F2470">
        <f>INDEX('[1]CÓDIGOS DE PRODUCTO'!$C$3:$C$1000,MATCH(C2470,'[1]CÓDIGOS DE PRODUCTO'!$A$3:$A$1000,0))</f>
        <v>0</v>
      </c>
      <c r="G2470">
        <f>+'[1]VENTAS(RESUMEN GLOBAL)'!D2470-'[1]VENTAS(RESUMEN GLOBAL)'!E2470</f>
        <v>0</v>
      </c>
      <c r="H2470" s="9">
        <f>+'[1]VENTAS(RESUMEN GLOBAL)'!K2470</f>
        <v>0</v>
      </c>
      <c r="I2470" s="8">
        <f>+G2470*'[1]VENTAS(RESUMEN GLOBAL)'!F2470</f>
        <v>0</v>
      </c>
      <c r="J2470" s="8">
        <f>'[1]VENTAS(RESUMEN GLOBAL)'!G2470*(1-'[1]VENTAS(RESUMEN GLOBAL)'!H2470)</f>
        <v>0</v>
      </c>
      <c r="K2470" s="8">
        <f t="shared" si="38"/>
        <v>0</v>
      </c>
      <c r="L2470" s="8">
        <f>+'[1]VENTAS(RESUMEN GLOBAL)'!J2470</f>
        <v>0</v>
      </c>
      <c r="M2470" s="8">
        <f>+Tabla1[[#This Row],[utilidad x dia]]*7</f>
        <v>0</v>
      </c>
    </row>
    <row r="2471" spans="1:13" x14ac:dyDescent="0.3">
      <c r="A2471" s="6">
        <f>+'[1]VENTAS(RESUMEN GLOBAL)'!L2471</f>
        <v>0</v>
      </c>
      <c r="B2471" s="6">
        <f>+'[1]VENTAS(RESUMEN GLOBAL)'!M2471</f>
        <v>0</v>
      </c>
      <c r="C2471">
        <f>+'[1]VENTAS(RESUMEN GLOBAL)'!B2471</f>
        <v>0</v>
      </c>
      <c r="D2471" t="e">
        <f>INDEX('[1]CÓDIGOS DE PRODUCTO'!$D$3:$D$1000,MATCH(C2471,'[1]CÓDIGOS DE PRODUCTO'!$A$3:$A$1000,0))</f>
        <v>#N/A</v>
      </c>
      <c r="E2471">
        <f>VLOOKUP(C2471,'[1]CÓDIGOS DE PRODUCTO'!$A$4:$B$156,2,FALSE)</f>
        <v>0</v>
      </c>
      <c r="F2471">
        <f>INDEX('[1]CÓDIGOS DE PRODUCTO'!$C$3:$C$1000,MATCH(C2471,'[1]CÓDIGOS DE PRODUCTO'!$A$3:$A$1000,0))</f>
        <v>0</v>
      </c>
      <c r="G2471">
        <f>+'[1]VENTAS(RESUMEN GLOBAL)'!D2471-'[1]VENTAS(RESUMEN GLOBAL)'!E2471</f>
        <v>0</v>
      </c>
      <c r="H2471" s="9">
        <f>+'[1]VENTAS(RESUMEN GLOBAL)'!K2471</f>
        <v>0</v>
      </c>
      <c r="I2471" s="8">
        <f>+G2471*'[1]VENTAS(RESUMEN GLOBAL)'!F2471</f>
        <v>0</v>
      </c>
      <c r="J2471" s="8">
        <f>'[1]VENTAS(RESUMEN GLOBAL)'!G2471*(1-'[1]VENTAS(RESUMEN GLOBAL)'!H2471)</f>
        <v>0</v>
      </c>
      <c r="K2471" s="8">
        <f t="shared" si="38"/>
        <v>0</v>
      </c>
      <c r="L2471" s="8">
        <f>+'[1]VENTAS(RESUMEN GLOBAL)'!J2471</f>
        <v>0</v>
      </c>
      <c r="M2471" s="8">
        <f>+Tabla1[[#This Row],[utilidad x dia]]*7</f>
        <v>0</v>
      </c>
    </row>
    <row r="2472" spans="1:13" x14ac:dyDescent="0.3">
      <c r="A2472" s="6">
        <f>+'[1]VENTAS(RESUMEN GLOBAL)'!L2472</f>
        <v>0</v>
      </c>
      <c r="B2472" s="6">
        <f>+'[1]VENTAS(RESUMEN GLOBAL)'!M2472</f>
        <v>0</v>
      </c>
      <c r="C2472">
        <f>+'[1]VENTAS(RESUMEN GLOBAL)'!B2472</f>
        <v>0</v>
      </c>
      <c r="D2472" t="e">
        <f>INDEX('[1]CÓDIGOS DE PRODUCTO'!$D$3:$D$1000,MATCH(C2472,'[1]CÓDIGOS DE PRODUCTO'!$A$3:$A$1000,0))</f>
        <v>#N/A</v>
      </c>
      <c r="E2472">
        <f>VLOOKUP(C2472,'[1]CÓDIGOS DE PRODUCTO'!$A$4:$B$156,2,FALSE)</f>
        <v>0</v>
      </c>
      <c r="F2472">
        <f>INDEX('[1]CÓDIGOS DE PRODUCTO'!$C$3:$C$1000,MATCH(C2472,'[1]CÓDIGOS DE PRODUCTO'!$A$3:$A$1000,0))</f>
        <v>0</v>
      </c>
      <c r="G2472">
        <f>+'[1]VENTAS(RESUMEN GLOBAL)'!D2472-'[1]VENTAS(RESUMEN GLOBAL)'!E2472</f>
        <v>0</v>
      </c>
      <c r="H2472" s="9">
        <f>+'[1]VENTAS(RESUMEN GLOBAL)'!K2472</f>
        <v>0</v>
      </c>
      <c r="I2472" s="8">
        <f>+G2472*'[1]VENTAS(RESUMEN GLOBAL)'!F2472</f>
        <v>0</v>
      </c>
      <c r="J2472" s="8">
        <f>'[1]VENTAS(RESUMEN GLOBAL)'!G2472*(1-'[1]VENTAS(RESUMEN GLOBAL)'!H2472)</f>
        <v>0</v>
      </c>
      <c r="K2472" s="8">
        <f t="shared" si="38"/>
        <v>0</v>
      </c>
      <c r="L2472" s="8">
        <f>+'[1]VENTAS(RESUMEN GLOBAL)'!J2472</f>
        <v>0</v>
      </c>
      <c r="M2472" s="8">
        <f>+Tabla1[[#This Row],[utilidad x dia]]*7</f>
        <v>0</v>
      </c>
    </row>
    <row r="2473" spans="1:13" x14ac:dyDescent="0.3">
      <c r="A2473" s="6">
        <f>+'[1]VENTAS(RESUMEN GLOBAL)'!L2473</f>
        <v>0</v>
      </c>
      <c r="B2473" s="6">
        <f>+'[1]VENTAS(RESUMEN GLOBAL)'!M2473</f>
        <v>0</v>
      </c>
      <c r="C2473">
        <f>+'[1]VENTAS(RESUMEN GLOBAL)'!B2473</f>
        <v>0</v>
      </c>
      <c r="D2473" t="e">
        <f>INDEX('[1]CÓDIGOS DE PRODUCTO'!$D$3:$D$1000,MATCH(C2473,'[1]CÓDIGOS DE PRODUCTO'!$A$3:$A$1000,0))</f>
        <v>#N/A</v>
      </c>
      <c r="E2473">
        <f>VLOOKUP(C2473,'[1]CÓDIGOS DE PRODUCTO'!$A$4:$B$156,2,FALSE)</f>
        <v>0</v>
      </c>
      <c r="F2473">
        <f>INDEX('[1]CÓDIGOS DE PRODUCTO'!$C$3:$C$1000,MATCH(C2473,'[1]CÓDIGOS DE PRODUCTO'!$A$3:$A$1000,0))</f>
        <v>0</v>
      </c>
      <c r="G2473">
        <f>+'[1]VENTAS(RESUMEN GLOBAL)'!D2473-'[1]VENTAS(RESUMEN GLOBAL)'!E2473</f>
        <v>0</v>
      </c>
      <c r="H2473" s="9">
        <f>+'[1]VENTAS(RESUMEN GLOBAL)'!K2473</f>
        <v>0</v>
      </c>
      <c r="I2473" s="8">
        <f>+G2473*'[1]VENTAS(RESUMEN GLOBAL)'!F2473</f>
        <v>0</v>
      </c>
      <c r="J2473" s="8">
        <f>'[1]VENTAS(RESUMEN GLOBAL)'!G2473*(1-'[1]VENTAS(RESUMEN GLOBAL)'!H2473)</f>
        <v>0</v>
      </c>
      <c r="K2473" s="8">
        <f t="shared" si="38"/>
        <v>0</v>
      </c>
      <c r="L2473" s="8">
        <f>+'[1]VENTAS(RESUMEN GLOBAL)'!J2473</f>
        <v>0</v>
      </c>
      <c r="M2473" s="8">
        <f>+Tabla1[[#This Row],[utilidad x dia]]*7</f>
        <v>0</v>
      </c>
    </row>
    <row r="2474" spans="1:13" x14ac:dyDescent="0.3">
      <c r="A2474" s="6">
        <f>+'[1]VENTAS(RESUMEN GLOBAL)'!L2474</f>
        <v>0</v>
      </c>
      <c r="B2474" s="6">
        <f>+'[1]VENTAS(RESUMEN GLOBAL)'!M2474</f>
        <v>0</v>
      </c>
      <c r="C2474">
        <f>+'[1]VENTAS(RESUMEN GLOBAL)'!B2474</f>
        <v>0</v>
      </c>
      <c r="D2474" t="e">
        <f>INDEX('[1]CÓDIGOS DE PRODUCTO'!$D$3:$D$1000,MATCH(C2474,'[1]CÓDIGOS DE PRODUCTO'!$A$3:$A$1000,0))</f>
        <v>#N/A</v>
      </c>
      <c r="E2474">
        <f>VLOOKUP(C2474,'[1]CÓDIGOS DE PRODUCTO'!$A$4:$B$156,2,FALSE)</f>
        <v>0</v>
      </c>
      <c r="F2474">
        <f>INDEX('[1]CÓDIGOS DE PRODUCTO'!$C$3:$C$1000,MATCH(C2474,'[1]CÓDIGOS DE PRODUCTO'!$A$3:$A$1000,0))</f>
        <v>0</v>
      </c>
      <c r="G2474">
        <f>+'[1]VENTAS(RESUMEN GLOBAL)'!D2474-'[1]VENTAS(RESUMEN GLOBAL)'!E2474</f>
        <v>0</v>
      </c>
      <c r="H2474" s="9">
        <f>+'[1]VENTAS(RESUMEN GLOBAL)'!K2474</f>
        <v>0</v>
      </c>
      <c r="I2474" s="8">
        <f>+G2474*'[1]VENTAS(RESUMEN GLOBAL)'!F2474</f>
        <v>0</v>
      </c>
      <c r="J2474" s="8">
        <f>'[1]VENTAS(RESUMEN GLOBAL)'!G2474*(1-'[1]VENTAS(RESUMEN GLOBAL)'!H2474)</f>
        <v>0</v>
      </c>
      <c r="K2474" s="8">
        <f t="shared" si="38"/>
        <v>0</v>
      </c>
      <c r="L2474" s="8">
        <f>+'[1]VENTAS(RESUMEN GLOBAL)'!J2474</f>
        <v>0</v>
      </c>
      <c r="M2474" s="8">
        <f>+Tabla1[[#This Row],[utilidad x dia]]*7</f>
        <v>0</v>
      </c>
    </row>
    <row r="2475" spans="1:13" x14ac:dyDescent="0.3">
      <c r="A2475" s="6">
        <f>+'[1]VENTAS(RESUMEN GLOBAL)'!L2475</f>
        <v>0</v>
      </c>
      <c r="B2475" s="6">
        <f>+'[1]VENTAS(RESUMEN GLOBAL)'!M2475</f>
        <v>0</v>
      </c>
      <c r="C2475">
        <f>+'[1]VENTAS(RESUMEN GLOBAL)'!B2475</f>
        <v>0</v>
      </c>
      <c r="D2475" t="e">
        <f>INDEX('[1]CÓDIGOS DE PRODUCTO'!$D$3:$D$1000,MATCH(C2475,'[1]CÓDIGOS DE PRODUCTO'!$A$3:$A$1000,0))</f>
        <v>#N/A</v>
      </c>
      <c r="E2475">
        <f>VLOOKUP(C2475,'[1]CÓDIGOS DE PRODUCTO'!$A$4:$B$156,2,FALSE)</f>
        <v>0</v>
      </c>
      <c r="F2475">
        <f>INDEX('[1]CÓDIGOS DE PRODUCTO'!$C$3:$C$1000,MATCH(C2475,'[1]CÓDIGOS DE PRODUCTO'!$A$3:$A$1000,0))</f>
        <v>0</v>
      </c>
      <c r="G2475">
        <f>+'[1]VENTAS(RESUMEN GLOBAL)'!D2475-'[1]VENTAS(RESUMEN GLOBAL)'!E2475</f>
        <v>0</v>
      </c>
      <c r="H2475" s="9">
        <f>+'[1]VENTAS(RESUMEN GLOBAL)'!K2475</f>
        <v>0</v>
      </c>
      <c r="I2475" s="8">
        <f>+G2475*'[1]VENTAS(RESUMEN GLOBAL)'!F2475</f>
        <v>0</v>
      </c>
      <c r="J2475" s="8">
        <f>'[1]VENTAS(RESUMEN GLOBAL)'!G2475*(1-'[1]VENTAS(RESUMEN GLOBAL)'!H2475)</f>
        <v>0</v>
      </c>
      <c r="K2475" s="8">
        <f t="shared" si="38"/>
        <v>0</v>
      </c>
      <c r="L2475" s="8">
        <f>+'[1]VENTAS(RESUMEN GLOBAL)'!J2475</f>
        <v>0</v>
      </c>
      <c r="M2475" s="8">
        <f>+Tabla1[[#This Row],[utilidad x dia]]*7</f>
        <v>0</v>
      </c>
    </row>
    <row r="2476" spans="1:13" x14ac:dyDescent="0.3">
      <c r="A2476" s="6">
        <f>+'[1]VENTAS(RESUMEN GLOBAL)'!L2476</f>
        <v>0</v>
      </c>
      <c r="B2476" s="6">
        <f>+'[1]VENTAS(RESUMEN GLOBAL)'!M2476</f>
        <v>0</v>
      </c>
      <c r="C2476">
        <f>+'[1]VENTAS(RESUMEN GLOBAL)'!B2476</f>
        <v>0</v>
      </c>
      <c r="D2476" t="e">
        <f>INDEX('[1]CÓDIGOS DE PRODUCTO'!$D$3:$D$1000,MATCH(C2476,'[1]CÓDIGOS DE PRODUCTO'!$A$3:$A$1000,0))</f>
        <v>#N/A</v>
      </c>
      <c r="E2476">
        <f>VLOOKUP(C2476,'[1]CÓDIGOS DE PRODUCTO'!$A$4:$B$156,2,FALSE)</f>
        <v>0</v>
      </c>
      <c r="F2476">
        <f>INDEX('[1]CÓDIGOS DE PRODUCTO'!$C$3:$C$1000,MATCH(C2476,'[1]CÓDIGOS DE PRODUCTO'!$A$3:$A$1000,0))</f>
        <v>0</v>
      </c>
      <c r="G2476">
        <f>+'[1]VENTAS(RESUMEN GLOBAL)'!D2476-'[1]VENTAS(RESUMEN GLOBAL)'!E2476</f>
        <v>0</v>
      </c>
      <c r="H2476" s="9">
        <f>+'[1]VENTAS(RESUMEN GLOBAL)'!K2476</f>
        <v>0</v>
      </c>
      <c r="I2476" s="8">
        <f>+G2476*'[1]VENTAS(RESUMEN GLOBAL)'!F2476</f>
        <v>0</v>
      </c>
      <c r="J2476" s="8">
        <f>'[1]VENTAS(RESUMEN GLOBAL)'!G2476*(1-'[1]VENTAS(RESUMEN GLOBAL)'!H2476)</f>
        <v>0</v>
      </c>
      <c r="K2476" s="8">
        <f t="shared" si="38"/>
        <v>0</v>
      </c>
      <c r="L2476" s="8">
        <f>+'[1]VENTAS(RESUMEN GLOBAL)'!J2476</f>
        <v>0</v>
      </c>
      <c r="M2476" s="8">
        <f>+Tabla1[[#This Row],[utilidad x dia]]*7</f>
        <v>0</v>
      </c>
    </row>
    <row r="2477" spans="1:13" x14ac:dyDescent="0.3">
      <c r="A2477" s="6">
        <f>+'[1]VENTAS(RESUMEN GLOBAL)'!L2477</f>
        <v>0</v>
      </c>
      <c r="B2477" s="6">
        <f>+'[1]VENTAS(RESUMEN GLOBAL)'!M2477</f>
        <v>0</v>
      </c>
      <c r="C2477">
        <f>+'[1]VENTAS(RESUMEN GLOBAL)'!B2477</f>
        <v>0</v>
      </c>
      <c r="D2477" t="e">
        <f>INDEX('[1]CÓDIGOS DE PRODUCTO'!$D$3:$D$1000,MATCH(C2477,'[1]CÓDIGOS DE PRODUCTO'!$A$3:$A$1000,0))</f>
        <v>#N/A</v>
      </c>
      <c r="E2477">
        <f>VLOOKUP(C2477,'[1]CÓDIGOS DE PRODUCTO'!$A$4:$B$156,2,FALSE)</f>
        <v>0</v>
      </c>
      <c r="F2477">
        <f>INDEX('[1]CÓDIGOS DE PRODUCTO'!$C$3:$C$1000,MATCH(C2477,'[1]CÓDIGOS DE PRODUCTO'!$A$3:$A$1000,0))</f>
        <v>0</v>
      </c>
      <c r="G2477">
        <f>+'[1]VENTAS(RESUMEN GLOBAL)'!D2477-'[1]VENTAS(RESUMEN GLOBAL)'!E2477</f>
        <v>0</v>
      </c>
      <c r="H2477" s="9">
        <f>+'[1]VENTAS(RESUMEN GLOBAL)'!K2477</f>
        <v>0</v>
      </c>
      <c r="I2477" s="8">
        <f>+G2477*'[1]VENTAS(RESUMEN GLOBAL)'!F2477</f>
        <v>0</v>
      </c>
      <c r="J2477" s="8">
        <f>'[1]VENTAS(RESUMEN GLOBAL)'!G2477*(1-'[1]VENTAS(RESUMEN GLOBAL)'!H2477)</f>
        <v>0</v>
      </c>
      <c r="K2477" s="8">
        <f t="shared" si="38"/>
        <v>0</v>
      </c>
      <c r="L2477" s="8">
        <f>+'[1]VENTAS(RESUMEN GLOBAL)'!J2477</f>
        <v>0</v>
      </c>
      <c r="M2477" s="8">
        <f>+Tabla1[[#This Row],[utilidad x dia]]*7</f>
        <v>0</v>
      </c>
    </row>
    <row r="2478" spans="1:13" x14ac:dyDescent="0.3">
      <c r="A2478" s="6">
        <f>+'[1]VENTAS(RESUMEN GLOBAL)'!L2478</f>
        <v>0</v>
      </c>
      <c r="B2478" s="6">
        <f>+'[1]VENTAS(RESUMEN GLOBAL)'!M2478</f>
        <v>0</v>
      </c>
      <c r="C2478">
        <f>+'[1]VENTAS(RESUMEN GLOBAL)'!B2478</f>
        <v>0</v>
      </c>
      <c r="D2478" t="e">
        <f>INDEX('[1]CÓDIGOS DE PRODUCTO'!$D$3:$D$1000,MATCH(C2478,'[1]CÓDIGOS DE PRODUCTO'!$A$3:$A$1000,0))</f>
        <v>#N/A</v>
      </c>
      <c r="E2478">
        <f>VLOOKUP(C2478,'[1]CÓDIGOS DE PRODUCTO'!$A$4:$B$156,2,FALSE)</f>
        <v>0</v>
      </c>
      <c r="F2478">
        <f>INDEX('[1]CÓDIGOS DE PRODUCTO'!$C$3:$C$1000,MATCH(C2478,'[1]CÓDIGOS DE PRODUCTO'!$A$3:$A$1000,0))</f>
        <v>0</v>
      </c>
      <c r="G2478">
        <f>+'[1]VENTAS(RESUMEN GLOBAL)'!D2478-'[1]VENTAS(RESUMEN GLOBAL)'!E2478</f>
        <v>0</v>
      </c>
      <c r="H2478" s="9">
        <f>+'[1]VENTAS(RESUMEN GLOBAL)'!K2478</f>
        <v>0</v>
      </c>
      <c r="I2478" s="8">
        <f>+G2478*'[1]VENTAS(RESUMEN GLOBAL)'!F2478</f>
        <v>0</v>
      </c>
      <c r="J2478" s="8">
        <f>'[1]VENTAS(RESUMEN GLOBAL)'!G2478*(1-'[1]VENTAS(RESUMEN GLOBAL)'!H2478)</f>
        <v>0</v>
      </c>
      <c r="K2478" s="8">
        <f t="shared" si="38"/>
        <v>0</v>
      </c>
      <c r="L2478" s="8">
        <f>+'[1]VENTAS(RESUMEN GLOBAL)'!J2478</f>
        <v>0</v>
      </c>
      <c r="M2478" s="8">
        <f>+Tabla1[[#This Row],[utilidad x dia]]*7</f>
        <v>0</v>
      </c>
    </row>
    <row r="2479" spans="1:13" x14ac:dyDescent="0.3">
      <c r="A2479" s="6">
        <f>+'[1]VENTAS(RESUMEN GLOBAL)'!L2479</f>
        <v>0</v>
      </c>
      <c r="B2479" s="6">
        <f>+'[1]VENTAS(RESUMEN GLOBAL)'!M2479</f>
        <v>0</v>
      </c>
      <c r="C2479">
        <f>+'[1]VENTAS(RESUMEN GLOBAL)'!B2479</f>
        <v>0</v>
      </c>
      <c r="D2479" t="e">
        <f>INDEX('[1]CÓDIGOS DE PRODUCTO'!$D$3:$D$1000,MATCH(C2479,'[1]CÓDIGOS DE PRODUCTO'!$A$3:$A$1000,0))</f>
        <v>#N/A</v>
      </c>
      <c r="E2479">
        <f>VLOOKUP(C2479,'[1]CÓDIGOS DE PRODUCTO'!$A$4:$B$156,2,FALSE)</f>
        <v>0</v>
      </c>
      <c r="F2479">
        <f>INDEX('[1]CÓDIGOS DE PRODUCTO'!$C$3:$C$1000,MATCH(C2479,'[1]CÓDIGOS DE PRODUCTO'!$A$3:$A$1000,0))</f>
        <v>0</v>
      </c>
      <c r="G2479">
        <f>+'[1]VENTAS(RESUMEN GLOBAL)'!D2479-'[1]VENTAS(RESUMEN GLOBAL)'!E2479</f>
        <v>0</v>
      </c>
      <c r="H2479" s="9">
        <f>+'[1]VENTAS(RESUMEN GLOBAL)'!K2479</f>
        <v>0</v>
      </c>
      <c r="I2479" s="8">
        <f>+G2479*'[1]VENTAS(RESUMEN GLOBAL)'!F2479</f>
        <v>0</v>
      </c>
      <c r="J2479" s="8">
        <f>'[1]VENTAS(RESUMEN GLOBAL)'!G2479*(1-'[1]VENTAS(RESUMEN GLOBAL)'!H2479)</f>
        <v>0</v>
      </c>
      <c r="K2479" s="8">
        <f t="shared" si="38"/>
        <v>0</v>
      </c>
      <c r="L2479" s="8">
        <f>+'[1]VENTAS(RESUMEN GLOBAL)'!J2479</f>
        <v>0</v>
      </c>
      <c r="M2479" s="8">
        <f>+Tabla1[[#This Row],[utilidad x dia]]*7</f>
        <v>0</v>
      </c>
    </row>
    <row r="2480" spans="1:13" x14ac:dyDescent="0.3">
      <c r="A2480" s="6">
        <f>+'[1]VENTAS(RESUMEN GLOBAL)'!L2480</f>
        <v>0</v>
      </c>
      <c r="B2480" s="6">
        <f>+'[1]VENTAS(RESUMEN GLOBAL)'!M2480</f>
        <v>0</v>
      </c>
      <c r="C2480">
        <f>+'[1]VENTAS(RESUMEN GLOBAL)'!B2480</f>
        <v>0</v>
      </c>
      <c r="D2480" t="e">
        <f>INDEX('[1]CÓDIGOS DE PRODUCTO'!$D$3:$D$1000,MATCH(C2480,'[1]CÓDIGOS DE PRODUCTO'!$A$3:$A$1000,0))</f>
        <v>#N/A</v>
      </c>
      <c r="E2480">
        <f>VLOOKUP(C2480,'[1]CÓDIGOS DE PRODUCTO'!$A$4:$B$156,2,FALSE)</f>
        <v>0</v>
      </c>
      <c r="F2480">
        <f>INDEX('[1]CÓDIGOS DE PRODUCTO'!$C$3:$C$1000,MATCH(C2480,'[1]CÓDIGOS DE PRODUCTO'!$A$3:$A$1000,0))</f>
        <v>0</v>
      </c>
      <c r="G2480">
        <f>+'[1]VENTAS(RESUMEN GLOBAL)'!D2480-'[1]VENTAS(RESUMEN GLOBAL)'!E2480</f>
        <v>0</v>
      </c>
      <c r="H2480" s="9">
        <f>+'[1]VENTAS(RESUMEN GLOBAL)'!K2480</f>
        <v>0</v>
      </c>
      <c r="I2480" s="8">
        <f>+G2480*'[1]VENTAS(RESUMEN GLOBAL)'!F2480</f>
        <v>0</v>
      </c>
      <c r="J2480" s="8">
        <f>'[1]VENTAS(RESUMEN GLOBAL)'!G2480*(1-'[1]VENTAS(RESUMEN GLOBAL)'!H2480)</f>
        <v>0</v>
      </c>
      <c r="K2480" s="8">
        <f t="shared" si="38"/>
        <v>0</v>
      </c>
      <c r="L2480" s="8">
        <f>+'[1]VENTAS(RESUMEN GLOBAL)'!J2480</f>
        <v>0</v>
      </c>
      <c r="M2480" s="8">
        <f>+Tabla1[[#This Row],[utilidad x dia]]*7</f>
        <v>0</v>
      </c>
    </row>
    <row r="2481" spans="1:13" x14ac:dyDescent="0.3">
      <c r="A2481" s="6">
        <f>+'[1]VENTAS(RESUMEN GLOBAL)'!L2481</f>
        <v>0</v>
      </c>
      <c r="B2481" s="6">
        <f>+'[1]VENTAS(RESUMEN GLOBAL)'!M2481</f>
        <v>0</v>
      </c>
      <c r="C2481">
        <f>+'[1]VENTAS(RESUMEN GLOBAL)'!B2481</f>
        <v>0</v>
      </c>
      <c r="D2481" t="e">
        <f>INDEX('[1]CÓDIGOS DE PRODUCTO'!$D$3:$D$1000,MATCH(C2481,'[1]CÓDIGOS DE PRODUCTO'!$A$3:$A$1000,0))</f>
        <v>#N/A</v>
      </c>
      <c r="E2481">
        <f>VLOOKUP(C2481,'[1]CÓDIGOS DE PRODUCTO'!$A$4:$B$156,2,FALSE)</f>
        <v>0</v>
      </c>
      <c r="F2481">
        <f>INDEX('[1]CÓDIGOS DE PRODUCTO'!$C$3:$C$1000,MATCH(C2481,'[1]CÓDIGOS DE PRODUCTO'!$A$3:$A$1000,0))</f>
        <v>0</v>
      </c>
      <c r="G2481">
        <f>+'[1]VENTAS(RESUMEN GLOBAL)'!D2481-'[1]VENTAS(RESUMEN GLOBAL)'!E2481</f>
        <v>0</v>
      </c>
      <c r="H2481" s="9">
        <f>+'[1]VENTAS(RESUMEN GLOBAL)'!K2481</f>
        <v>0</v>
      </c>
      <c r="I2481" s="8">
        <f>+G2481*'[1]VENTAS(RESUMEN GLOBAL)'!F2481</f>
        <v>0</v>
      </c>
      <c r="J2481" s="8">
        <f>'[1]VENTAS(RESUMEN GLOBAL)'!G2481*(1-'[1]VENTAS(RESUMEN GLOBAL)'!H2481)</f>
        <v>0</v>
      </c>
      <c r="K2481" s="8">
        <f t="shared" si="38"/>
        <v>0</v>
      </c>
      <c r="L2481" s="8">
        <f>+'[1]VENTAS(RESUMEN GLOBAL)'!J2481</f>
        <v>0</v>
      </c>
      <c r="M2481" s="8">
        <f>+Tabla1[[#This Row],[utilidad x dia]]*7</f>
        <v>0</v>
      </c>
    </row>
    <row r="2482" spans="1:13" x14ac:dyDescent="0.3">
      <c r="A2482" s="6">
        <f>+'[1]VENTAS(RESUMEN GLOBAL)'!L2482</f>
        <v>0</v>
      </c>
      <c r="B2482" s="6">
        <f>+'[1]VENTAS(RESUMEN GLOBAL)'!M2482</f>
        <v>0</v>
      </c>
      <c r="C2482">
        <f>+'[1]VENTAS(RESUMEN GLOBAL)'!B2482</f>
        <v>0</v>
      </c>
      <c r="D2482" t="e">
        <f>INDEX('[1]CÓDIGOS DE PRODUCTO'!$D$3:$D$1000,MATCH(C2482,'[1]CÓDIGOS DE PRODUCTO'!$A$3:$A$1000,0))</f>
        <v>#N/A</v>
      </c>
      <c r="E2482">
        <f>VLOOKUP(C2482,'[1]CÓDIGOS DE PRODUCTO'!$A$4:$B$156,2,FALSE)</f>
        <v>0</v>
      </c>
      <c r="F2482">
        <f>INDEX('[1]CÓDIGOS DE PRODUCTO'!$C$3:$C$1000,MATCH(C2482,'[1]CÓDIGOS DE PRODUCTO'!$A$3:$A$1000,0))</f>
        <v>0</v>
      </c>
      <c r="G2482">
        <f>+'[1]VENTAS(RESUMEN GLOBAL)'!D2482-'[1]VENTAS(RESUMEN GLOBAL)'!E2482</f>
        <v>0</v>
      </c>
      <c r="H2482" s="9">
        <f>+'[1]VENTAS(RESUMEN GLOBAL)'!K2482</f>
        <v>0</v>
      </c>
      <c r="I2482" s="8">
        <f>+G2482*'[1]VENTAS(RESUMEN GLOBAL)'!F2482</f>
        <v>0</v>
      </c>
      <c r="J2482" s="8">
        <f>'[1]VENTAS(RESUMEN GLOBAL)'!G2482*(1-'[1]VENTAS(RESUMEN GLOBAL)'!H2482)</f>
        <v>0</v>
      </c>
      <c r="K2482" s="8">
        <f t="shared" si="38"/>
        <v>0</v>
      </c>
      <c r="L2482" s="8">
        <f>+'[1]VENTAS(RESUMEN GLOBAL)'!J2482</f>
        <v>0</v>
      </c>
      <c r="M2482" s="8">
        <f>+Tabla1[[#This Row],[utilidad x dia]]*7</f>
        <v>0</v>
      </c>
    </row>
    <row r="2483" spans="1:13" x14ac:dyDescent="0.3">
      <c r="A2483" s="6">
        <f>+'[1]VENTAS(RESUMEN GLOBAL)'!L2483</f>
        <v>0</v>
      </c>
      <c r="B2483" s="6">
        <f>+'[1]VENTAS(RESUMEN GLOBAL)'!M2483</f>
        <v>0</v>
      </c>
      <c r="C2483">
        <f>+'[1]VENTAS(RESUMEN GLOBAL)'!B2483</f>
        <v>0</v>
      </c>
      <c r="D2483" t="e">
        <f>INDEX('[1]CÓDIGOS DE PRODUCTO'!$D$3:$D$1000,MATCH(C2483,'[1]CÓDIGOS DE PRODUCTO'!$A$3:$A$1000,0))</f>
        <v>#N/A</v>
      </c>
      <c r="E2483">
        <f>VLOOKUP(C2483,'[1]CÓDIGOS DE PRODUCTO'!$A$4:$B$156,2,FALSE)</f>
        <v>0</v>
      </c>
      <c r="F2483">
        <f>INDEX('[1]CÓDIGOS DE PRODUCTO'!$C$3:$C$1000,MATCH(C2483,'[1]CÓDIGOS DE PRODUCTO'!$A$3:$A$1000,0))</f>
        <v>0</v>
      </c>
      <c r="G2483">
        <f>+'[1]VENTAS(RESUMEN GLOBAL)'!D2483-'[1]VENTAS(RESUMEN GLOBAL)'!E2483</f>
        <v>0</v>
      </c>
      <c r="H2483" s="9">
        <f>+'[1]VENTAS(RESUMEN GLOBAL)'!K2483</f>
        <v>0</v>
      </c>
      <c r="I2483" s="8">
        <f>+G2483*'[1]VENTAS(RESUMEN GLOBAL)'!F2483</f>
        <v>0</v>
      </c>
      <c r="J2483" s="8">
        <f>'[1]VENTAS(RESUMEN GLOBAL)'!G2483*(1-'[1]VENTAS(RESUMEN GLOBAL)'!H2483)</f>
        <v>0</v>
      </c>
      <c r="K2483" s="8">
        <f t="shared" si="38"/>
        <v>0</v>
      </c>
      <c r="L2483" s="8">
        <f>+'[1]VENTAS(RESUMEN GLOBAL)'!J2483</f>
        <v>0</v>
      </c>
      <c r="M2483" s="8">
        <f>+Tabla1[[#This Row],[utilidad x dia]]*7</f>
        <v>0</v>
      </c>
    </row>
    <row r="2484" spans="1:13" x14ac:dyDescent="0.3">
      <c r="A2484" s="6">
        <f>+'[1]VENTAS(RESUMEN GLOBAL)'!L2484</f>
        <v>0</v>
      </c>
      <c r="B2484" s="6">
        <f>+'[1]VENTAS(RESUMEN GLOBAL)'!M2484</f>
        <v>0</v>
      </c>
      <c r="C2484">
        <f>+'[1]VENTAS(RESUMEN GLOBAL)'!B2484</f>
        <v>0</v>
      </c>
      <c r="D2484" t="e">
        <f>INDEX('[1]CÓDIGOS DE PRODUCTO'!$D$3:$D$1000,MATCH(C2484,'[1]CÓDIGOS DE PRODUCTO'!$A$3:$A$1000,0))</f>
        <v>#N/A</v>
      </c>
      <c r="E2484">
        <f>VLOOKUP(C2484,'[1]CÓDIGOS DE PRODUCTO'!$A$4:$B$156,2,FALSE)</f>
        <v>0</v>
      </c>
      <c r="F2484">
        <f>INDEX('[1]CÓDIGOS DE PRODUCTO'!$C$3:$C$1000,MATCH(C2484,'[1]CÓDIGOS DE PRODUCTO'!$A$3:$A$1000,0))</f>
        <v>0</v>
      </c>
      <c r="G2484">
        <f>+'[1]VENTAS(RESUMEN GLOBAL)'!D2484-'[1]VENTAS(RESUMEN GLOBAL)'!E2484</f>
        <v>0</v>
      </c>
      <c r="H2484" s="9">
        <f>+'[1]VENTAS(RESUMEN GLOBAL)'!K2484</f>
        <v>0</v>
      </c>
      <c r="I2484" s="8">
        <f>+G2484*'[1]VENTAS(RESUMEN GLOBAL)'!F2484</f>
        <v>0</v>
      </c>
      <c r="J2484" s="8">
        <f>'[1]VENTAS(RESUMEN GLOBAL)'!G2484*(1-'[1]VENTAS(RESUMEN GLOBAL)'!H2484)</f>
        <v>0</v>
      </c>
      <c r="K2484" s="8">
        <f t="shared" si="38"/>
        <v>0</v>
      </c>
      <c r="L2484" s="8">
        <f>+'[1]VENTAS(RESUMEN GLOBAL)'!J2484</f>
        <v>0</v>
      </c>
      <c r="M2484" s="8">
        <f>+Tabla1[[#This Row],[utilidad x dia]]*7</f>
        <v>0</v>
      </c>
    </row>
    <row r="2485" spans="1:13" x14ac:dyDescent="0.3">
      <c r="A2485" s="6">
        <f>+'[1]VENTAS(RESUMEN GLOBAL)'!L2485</f>
        <v>0</v>
      </c>
      <c r="B2485" s="6">
        <f>+'[1]VENTAS(RESUMEN GLOBAL)'!M2485</f>
        <v>0</v>
      </c>
      <c r="C2485">
        <f>+'[1]VENTAS(RESUMEN GLOBAL)'!B2485</f>
        <v>0</v>
      </c>
      <c r="D2485" t="e">
        <f>INDEX('[1]CÓDIGOS DE PRODUCTO'!$D$3:$D$1000,MATCH(C2485,'[1]CÓDIGOS DE PRODUCTO'!$A$3:$A$1000,0))</f>
        <v>#N/A</v>
      </c>
      <c r="E2485">
        <f>VLOOKUP(C2485,'[1]CÓDIGOS DE PRODUCTO'!$A$4:$B$156,2,FALSE)</f>
        <v>0</v>
      </c>
      <c r="F2485">
        <f>INDEX('[1]CÓDIGOS DE PRODUCTO'!$C$3:$C$1000,MATCH(C2485,'[1]CÓDIGOS DE PRODUCTO'!$A$3:$A$1000,0))</f>
        <v>0</v>
      </c>
      <c r="G2485">
        <f>+'[1]VENTAS(RESUMEN GLOBAL)'!D2485-'[1]VENTAS(RESUMEN GLOBAL)'!E2485</f>
        <v>0</v>
      </c>
      <c r="H2485" s="9">
        <f>+'[1]VENTAS(RESUMEN GLOBAL)'!K2485</f>
        <v>0</v>
      </c>
      <c r="I2485" s="8">
        <f>+G2485*'[1]VENTAS(RESUMEN GLOBAL)'!F2485</f>
        <v>0</v>
      </c>
      <c r="J2485" s="8">
        <f>'[1]VENTAS(RESUMEN GLOBAL)'!G2485*(1-'[1]VENTAS(RESUMEN GLOBAL)'!H2485)</f>
        <v>0</v>
      </c>
      <c r="K2485" s="8">
        <f t="shared" si="38"/>
        <v>0</v>
      </c>
      <c r="L2485" s="8">
        <f>+'[1]VENTAS(RESUMEN GLOBAL)'!J2485</f>
        <v>0</v>
      </c>
      <c r="M2485" s="8">
        <f>+Tabla1[[#This Row],[utilidad x dia]]*7</f>
        <v>0</v>
      </c>
    </row>
    <row r="2486" spans="1:13" x14ac:dyDescent="0.3">
      <c r="A2486" s="6">
        <f>+'[1]VENTAS(RESUMEN GLOBAL)'!L2486</f>
        <v>0</v>
      </c>
      <c r="B2486" s="6">
        <f>+'[1]VENTAS(RESUMEN GLOBAL)'!M2486</f>
        <v>0</v>
      </c>
      <c r="C2486">
        <f>+'[1]VENTAS(RESUMEN GLOBAL)'!B2486</f>
        <v>0</v>
      </c>
      <c r="D2486" t="e">
        <f>INDEX('[1]CÓDIGOS DE PRODUCTO'!$D$3:$D$1000,MATCH(C2486,'[1]CÓDIGOS DE PRODUCTO'!$A$3:$A$1000,0))</f>
        <v>#N/A</v>
      </c>
      <c r="E2486">
        <f>VLOOKUP(C2486,'[1]CÓDIGOS DE PRODUCTO'!$A$4:$B$156,2,FALSE)</f>
        <v>0</v>
      </c>
      <c r="F2486">
        <f>INDEX('[1]CÓDIGOS DE PRODUCTO'!$C$3:$C$1000,MATCH(C2486,'[1]CÓDIGOS DE PRODUCTO'!$A$3:$A$1000,0))</f>
        <v>0</v>
      </c>
      <c r="G2486">
        <f>+'[1]VENTAS(RESUMEN GLOBAL)'!D2486-'[1]VENTAS(RESUMEN GLOBAL)'!E2486</f>
        <v>0</v>
      </c>
      <c r="H2486" s="9">
        <f>+'[1]VENTAS(RESUMEN GLOBAL)'!K2486</f>
        <v>0</v>
      </c>
      <c r="I2486" s="8">
        <f>+G2486*'[1]VENTAS(RESUMEN GLOBAL)'!F2486</f>
        <v>0</v>
      </c>
      <c r="J2486" s="8">
        <f>'[1]VENTAS(RESUMEN GLOBAL)'!G2486*(1-'[1]VENTAS(RESUMEN GLOBAL)'!H2486)</f>
        <v>0</v>
      </c>
      <c r="K2486" s="8">
        <f t="shared" si="38"/>
        <v>0</v>
      </c>
      <c r="L2486" s="8">
        <f>+'[1]VENTAS(RESUMEN GLOBAL)'!J2486</f>
        <v>0</v>
      </c>
      <c r="M2486" s="8">
        <f>+Tabla1[[#This Row],[utilidad x dia]]*7</f>
        <v>0</v>
      </c>
    </row>
    <row r="2487" spans="1:13" x14ac:dyDescent="0.3">
      <c r="A2487" s="6">
        <f>+'[1]VENTAS(RESUMEN GLOBAL)'!L2487</f>
        <v>0</v>
      </c>
      <c r="B2487" s="6">
        <f>+'[1]VENTAS(RESUMEN GLOBAL)'!M2487</f>
        <v>0</v>
      </c>
      <c r="C2487">
        <f>+'[1]VENTAS(RESUMEN GLOBAL)'!B2487</f>
        <v>0</v>
      </c>
      <c r="D2487" t="e">
        <f>INDEX('[1]CÓDIGOS DE PRODUCTO'!$D$3:$D$1000,MATCH(C2487,'[1]CÓDIGOS DE PRODUCTO'!$A$3:$A$1000,0))</f>
        <v>#N/A</v>
      </c>
      <c r="E2487">
        <f>VLOOKUP(C2487,'[1]CÓDIGOS DE PRODUCTO'!$A$4:$B$156,2,FALSE)</f>
        <v>0</v>
      </c>
      <c r="F2487">
        <f>INDEX('[1]CÓDIGOS DE PRODUCTO'!$C$3:$C$1000,MATCH(C2487,'[1]CÓDIGOS DE PRODUCTO'!$A$3:$A$1000,0))</f>
        <v>0</v>
      </c>
      <c r="G2487">
        <f>+'[1]VENTAS(RESUMEN GLOBAL)'!D2487-'[1]VENTAS(RESUMEN GLOBAL)'!E2487</f>
        <v>0</v>
      </c>
      <c r="H2487" s="9">
        <f>+'[1]VENTAS(RESUMEN GLOBAL)'!K2487</f>
        <v>0</v>
      </c>
      <c r="I2487" s="8">
        <f>+G2487*'[1]VENTAS(RESUMEN GLOBAL)'!F2487</f>
        <v>0</v>
      </c>
      <c r="J2487" s="8">
        <f>'[1]VENTAS(RESUMEN GLOBAL)'!G2487*(1-'[1]VENTAS(RESUMEN GLOBAL)'!H2487)</f>
        <v>0</v>
      </c>
      <c r="K2487" s="8">
        <f t="shared" si="38"/>
        <v>0</v>
      </c>
      <c r="L2487" s="8">
        <f>+'[1]VENTAS(RESUMEN GLOBAL)'!J2487</f>
        <v>0</v>
      </c>
      <c r="M2487" s="8">
        <f>+Tabla1[[#This Row],[utilidad x dia]]*7</f>
        <v>0</v>
      </c>
    </row>
    <row r="2488" spans="1:13" x14ac:dyDescent="0.3">
      <c r="A2488" s="6">
        <f>+'[1]VENTAS(RESUMEN GLOBAL)'!L2488</f>
        <v>0</v>
      </c>
      <c r="B2488" s="6">
        <f>+'[1]VENTAS(RESUMEN GLOBAL)'!M2488</f>
        <v>0</v>
      </c>
      <c r="C2488">
        <f>+'[1]VENTAS(RESUMEN GLOBAL)'!B2488</f>
        <v>0</v>
      </c>
      <c r="D2488" t="e">
        <f>INDEX('[1]CÓDIGOS DE PRODUCTO'!$D$3:$D$1000,MATCH(C2488,'[1]CÓDIGOS DE PRODUCTO'!$A$3:$A$1000,0))</f>
        <v>#N/A</v>
      </c>
      <c r="E2488">
        <f>VLOOKUP(C2488,'[1]CÓDIGOS DE PRODUCTO'!$A$4:$B$156,2,FALSE)</f>
        <v>0</v>
      </c>
      <c r="F2488">
        <f>INDEX('[1]CÓDIGOS DE PRODUCTO'!$C$3:$C$1000,MATCH(C2488,'[1]CÓDIGOS DE PRODUCTO'!$A$3:$A$1000,0))</f>
        <v>0</v>
      </c>
      <c r="G2488">
        <f>+'[1]VENTAS(RESUMEN GLOBAL)'!D2488-'[1]VENTAS(RESUMEN GLOBAL)'!E2488</f>
        <v>0</v>
      </c>
      <c r="H2488" s="9">
        <f>+'[1]VENTAS(RESUMEN GLOBAL)'!K2488</f>
        <v>0</v>
      </c>
      <c r="I2488" s="8">
        <f>+G2488*'[1]VENTAS(RESUMEN GLOBAL)'!F2488</f>
        <v>0</v>
      </c>
      <c r="J2488" s="8">
        <f>'[1]VENTAS(RESUMEN GLOBAL)'!G2488*(1-'[1]VENTAS(RESUMEN GLOBAL)'!H2488)</f>
        <v>0</v>
      </c>
      <c r="K2488" s="8">
        <f t="shared" si="38"/>
        <v>0</v>
      </c>
      <c r="L2488" s="8">
        <f>+'[1]VENTAS(RESUMEN GLOBAL)'!J2488</f>
        <v>0</v>
      </c>
      <c r="M2488" s="8">
        <f>+Tabla1[[#This Row],[utilidad x dia]]*7</f>
        <v>0</v>
      </c>
    </row>
    <row r="2489" spans="1:13" x14ac:dyDescent="0.3">
      <c r="A2489" s="6">
        <f>+'[1]VENTAS(RESUMEN GLOBAL)'!L2489</f>
        <v>0</v>
      </c>
      <c r="B2489" s="6">
        <f>+'[1]VENTAS(RESUMEN GLOBAL)'!M2489</f>
        <v>0</v>
      </c>
      <c r="C2489">
        <f>+'[1]VENTAS(RESUMEN GLOBAL)'!B2489</f>
        <v>0</v>
      </c>
      <c r="D2489" t="e">
        <f>INDEX('[1]CÓDIGOS DE PRODUCTO'!$D$3:$D$1000,MATCH(C2489,'[1]CÓDIGOS DE PRODUCTO'!$A$3:$A$1000,0))</f>
        <v>#N/A</v>
      </c>
      <c r="E2489">
        <f>VLOOKUP(C2489,'[1]CÓDIGOS DE PRODUCTO'!$A$4:$B$156,2,FALSE)</f>
        <v>0</v>
      </c>
      <c r="F2489">
        <f>INDEX('[1]CÓDIGOS DE PRODUCTO'!$C$3:$C$1000,MATCH(C2489,'[1]CÓDIGOS DE PRODUCTO'!$A$3:$A$1000,0))</f>
        <v>0</v>
      </c>
      <c r="G2489">
        <f>+'[1]VENTAS(RESUMEN GLOBAL)'!D2489-'[1]VENTAS(RESUMEN GLOBAL)'!E2489</f>
        <v>0</v>
      </c>
      <c r="H2489" s="9">
        <f>+'[1]VENTAS(RESUMEN GLOBAL)'!K2489</f>
        <v>0</v>
      </c>
      <c r="I2489" s="8">
        <f>+G2489*'[1]VENTAS(RESUMEN GLOBAL)'!F2489</f>
        <v>0</v>
      </c>
      <c r="J2489" s="8">
        <f>'[1]VENTAS(RESUMEN GLOBAL)'!G2489*(1-'[1]VENTAS(RESUMEN GLOBAL)'!H2489)</f>
        <v>0</v>
      </c>
      <c r="K2489" s="8">
        <f t="shared" si="38"/>
        <v>0</v>
      </c>
      <c r="L2489" s="8">
        <f>+'[1]VENTAS(RESUMEN GLOBAL)'!J2489</f>
        <v>0</v>
      </c>
      <c r="M2489" s="8">
        <f>+Tabla1[[#This Row],[utilidad x dia]]*7</f>
        <v>0</v>
      </c>
    </row>
    <row r="2490" spans="1:13" x14ac:dyDescent="0.3">
      <c r="A2490" s="6">
        <f>+'[1]VENTAS(RESUMEN GLOBAL)'!L2490</f>
        <v>0</v>
      </c>
      <c r="B2490" s="6">
        <f>+'[1]VENTAS(RESUMEN GLOBAL)'!M2490</f>
        <v>0</v>
      </c>
      <c r="C2490">
        <f>+'[1]VENTAS(RESUMEN GLOBAL)'!B2490</f>
        <v>0</v>
      </c>
      <c r="D2490" t="e">
        <f>INDEX('[1]CÓDIGOS DE PRODUCTO'!$D$3:$D$1000,MATCH(C2490,'[1]CÓDIGOS DE PRODUCTO'!$A$3:$A$1000,0))</f>
        <v>#N/A</v>
      </c>
      <c r="E2490">
        <f>VLOOKUP(C2490,'[1]CÓDIGOS DE PRODUCTO'!$A$4:$B$156,2,FALSE)</f>
        <v>0</v>
      </c>
      <c r="F2490">
        <f>INDEX('[1]CÓDIGOS DE PRODUCTO'!$C$3:$C$1000,MATCH(C2490,'[1]CÓDIGOS DE PRODUCTO'!$A$3:$A$1000,0))</f>
        <v>0</v>
      </c>
      <c r="G2490">
        <f>+'[1]VENTAS(RESUMEN GLOBAL)'!D2490-'[1]VENTAS(RESUMEN GLOBAL)'!E2490</f>
        <v>0</v>
      </c>
      <c r="H2490" s="9">
        <f>+'[1]VENTAS(RESUMEN GLOBAL)'!K2490</f>
        <v>0</v>
      </c>
      <c r="I2490" s="8">
        <f>+G2490*'[1]VENTAS(RESUMEN GLOBAL)'!F2490</f>
        <v>0</v>
      </c>
      <c r="J2490" s="8">
        <f>'[1]VENTAS(RESUMEN GLOBAL)'!G2490*(1-'[1]VENTAS(RESUMEN GLOBAL)'!H2490)</f>
        <v>0</v>
      </c>
      <c r="K2490" s="8">
        <f t="shared" si="38"/>
        <v>0</v>
      </c>
      <c r="L2490" s="8">
        <f>+'[1]VENTAS(RESUMEN GLOBAL)'!J2490</f>
        <v>0</v>
      </c>
      <c r="M2490" s="8">
        <f>+Tabla1[[#This Row],[utilidad x dia]]*7</f>
        <v>0</v>
      </c>
    </row>
    <row r="2491" spans="1:13" x14ac:dyDescent="0.3">
      <c r="A2491" s="6">
        <f>+'[1]VENTAS(RESUMEN GLOBAL)'!L2491</f>
        <v>0</v>
      </c>
      <c r="B2491" s="6">
        <f>+'[1]VENTAS(RESUMEN GLOBAL)'!M2491</f>
        <v>0</v>
      </c>
      <c r="C2491">
        <f>+'[1]VENTAS(RESUMEN GLOBAL)'!B2491</f>
        <v>0</v>
      </c>
      <c r="D2491" t="e">
        <f>INDEX('[1]CÓDIGOS DE PRODUCTO'!$D$3:$D$1000,MATCH(C2491,'[1]CÓDIGOS DE PRODUCTO'!$A$3:$A$1000,0))</f>
        <v>#N/A</v>
      </c>
      <c r="E2491">
        <f>VLOOKUP(C2491,'[1]CÓDIGOS DE PRODUCTO'!$A$4:$B$156,2,FALSE)</f>
        <v>0</v>
      </c>
      <c r="F2491">
        <f>INDEX('[1]CÓDIGOS DE PRODUCTO'!$C$3:$C$1000,MATCH(C2491,'[1]CÓDIGOS DE PRODUCTO'!$A$3:$A$1000,0))</f>
        <v>0</v>
      </c>
      <c r="G2491">
        <f>+'[1]VENTAS(RESUMEN GLOBAL)'!D2491-'[1]VENTAS(RESUMEN GLOBAL)'!E2491</f>
        <v>0</v>
      </c>
      <c r="H2491" s="9">
        <f>+'[1]VENTAS(RESUMEN GLOBAL)'!K2491</f>
        <v>0</v>
      </c>
      <c r="I2491" s="8">
        <f>+G2491*'[1]VENTAS(RESUMEN GLOBAL)'!F2491</f>
        <v>0</v>
      </c>
      <c r="J2491" s="8">
        <f>'[1]VENTAS(RESUMEN GLOBAL)'!G2491*(1-'[1]VENTAS(RESUMEN GLOBAL)'!H2491)</f>
        <v>0</v>
      </c>
      <c r="K2491" s="8">
        <f t="shared" si="38"/>
        <v>0</v>
      </c>
      <c r="L2491" s="8">
        <f>+'[1]VENTAS(RESUMEN GLOBAL)'!J2491</f>
        <v>0</v>
      </c>
      <c r="M2491" s="8">
        <f>+Tabla1[[#This Row],[utilidad x dia]]*7</f>
        <v>0</v>
      </c>
    </row>
    <row r="2492" spans="1:13" x14ac:dyDescent="0.3">
      <c r="A2492" s="6">
        <f>+'[1]VENTAS(RESUMEN GLOBAL)'!L2492</f>
        <v>0</v>
      </c>
      <c r="B2492" s="6">
        <f>+'[1]VENTAS(RESUMEN GLOBAL)'!M2492</f>
        <v>0</v>
      </c>
      <c r="C2492">
        <f>+'[1]VENTAS(RESUMEN GLOBAL)'!B2492</f>
        <v>0</v>
      </c>
      <c r="D2492" t="e">
        <f>INDEX('[1]CÓDIGOS DE PRODUCTO'!$D$3:$D$1000,MATCH(C2492,'[1]CÓDIGOS DE PRODUCTO'!$A$3:$A$1000,0))</f>
        <v>#N/A</v>
      </c>
      <c r="E2492">
        <f>VLOOKUP(C2492,'[1]CÓDIGOS DE PRODUCTO'!$A$4:$B$156,2,FALSE)</f>
        <v>0</v>
      </c>
      <c r="F2492">
        <f>INDEX('[1]CÓDIGOS DE PRODUCTO'!$C$3:$C$1000,MATCH(C2492,'[1]CÓDIGOS DE PRODUCTO'!$A$3:$A$1000,0))</f>
        <v>0</v>
      </c>
      <c r="G2492">
        <f>+'[1]VENTAS(RESUMEN GLOBAL)'!D2492-'[1]VENTAS(RESUMEN GLOBAL)'!E2492</f>
        <v>0</v>
      </c>
      <c r="H2492" s="9">
        <f>+'[1]VENTAS(RESUMEN GLOBAL)'!K2492</f>
        <v>0</v>
      </c>
      <c r="I2492" s="8">
        <f>+G2492*'[1]VENTAS(RESUMEN GLOBAL)'!F2492</f>
        <v>0</v>
      </c>
      <c r="J2492" s="8">
        <f>'[1]VENTAS(RESUMEN GLOBAL)'!G2492*(1-'[1]VENTAS(RESUMEN GLOBAL)'!H2492)</f>
        <v>0</v>
      </c>
      <c r="K2492" s="8">
        <f t="shared" si="38"/>
        <v>0</v>
      </c>
      <c r="L2492" s="8">
        <f>+'[1]VENTAS(RESUMEN GLOBAL)'!J2492</f>
        <v>0</v>
      </c>
      <c r="M2492" s="8">
        <f>+Tabla1[[#This Row],[utilidad x dia]]*7</f>
        <v>0</v>
      </c>
    </row>
    <row r="2493" spans="1:13" x14ac:dyDescent="0.3">
      <c r="A2493" s="6">
        <f>+'[1]VENTAS(RESUMEN GLOBAL)'!L2493</f>
        <v>0</v>
      </c>
      <c r="B2493" s="6">
        <f>+'[1]VENTAS(RESUMEN GLOBAL)'!M2493</f>
        <v>0</v>
      </c>
      <c r="C2493">
        <f>+'[1]VENTAS(RESUMEN GLOBAL)'!B2493</f>
        <v>0</v>
      </c>
      <c r="D2493" t="e">
        <f>INDEX('[1]CÓDIGOS DE PRODUCTO'!$D$3:$D$1000,MATCH(C2493,'[1]CÓDIGOS DE PRODUCTO'!$A$3:$A$1000,0))</f>
        <v>#N/A</v>
      </c>
      <c r="E2493">
        <f>VLOOKUP(C2493,'[1]CÓDIGOS DE PRODUCTO'!$A$4:$B$156,2,FALSE)</f>
        <v>0</v>
      </c>
      <c r="F2493">
        <f>INDEX('[1]CÓDIGOS DE PRODUCTO'!$C$3:$C$1000,MATCH(C2493,'[1]CÓDIGOS DE PRODUCTO'!$A$3:$A$1000,0))</f>
        <v>0</v>
      </c>
      <c r="G2493">
        <f>+'[1]VENTAS(RESUMEN GLOBAL)'!D2493-'[1]VENTAS(RESUMEN GLOBAL)'!E2493</f>
        <v>0</v>
      </c>
      <c r="H2493" s="9">
        <f>+'[1]VENTAS(RESUMEN GLOBAL)'!K2493</f>
        <v>0</v>
      </c>
      <c r="I2493" s="8">
        <f>+G2493*'[1]VENTAS(RESUMEN GLOBAL)'!F2493</f>
        <v>0</v>
      </c>
      <c r="J2493" s="8">
        <f>'[1]VENTAS(RESUMEN GLOBAL)'!G2493*(1-'[1]VENTAS(RESUMEN GLOBAL)'!H2493)</f>
        <v>0</v>
      </c>
      <c r="K2493" s="8">
        <f t="shared" si="38"/>
        <v>0</v>
      </c>
      <c r="L2493" s="8">
        <f>+'[1]VENTAS(RESUMEN GLOBAL)'!J2493</f>
        <v>0</v>
      </c>
      <c r="M2493" s="8">
        <f>+Tabla1[[#This Row],[utilidad x dia]]*7</f>
        <v>0</v>
      </c>
    </row>
    <row r="2494" spans="1:13" x14ac:dyDescent="0.3">
      <c r="A2494" s="6">
        <f>+'[1]VENTAS(RESUMEN GLOBAL)'!L2494</f>
        <v>0</v>
      </c>
      <c r="B2494" s="6">
        <f>+'[1]VENTAS(RESUMEN GLOBAL)'!M2494</f>
        <v>0</v>
      </c>
      <c r="C2494">
        <f>+'[1]VENTAS(RESUMEN GLOBAL)'!B2494</f>
        <v>0</v>
      </c>
      <c r="D2494" t="e">
        <f>INDEX('[1]CÓDIGOS DE PRODUCTO'!$D$3:$D$1000,MATCH(C2494,'[1]CÓDIGOS DE PRODUCTO'!$A$3:$A$1000,0))</f>
        <v>#N/A</v>
      </c>
      <c r="E2494">
        <f>VLOOKUP(C2494,'[1]CÓDIGOS DE PRODUCTO'!$A$4:$B$156,2,FALSE)</f>
        <v>0</v>
      </c>
      <c r="F2494">
        <f>INDEX('[1]CÓDIGOS DE PRODUCTO'!$C$3:$C$1000,MATCH(C2494,'[1]CÓDIGOS DE PRODUCTO'!$A$3:$A$1000,0))</f>
        <v>0</v>
      </c>
      <c r="G2494">
        <f>+'[1]VENTAS(RESUMEN GLOBAL)'!D2494-'[1]VENTAS(RESUMEN GLOBAL)'!E2494</f>
        <v>0</v>
      </c>
      <c r="H2494" s="9">
        <f>+'[1]VENTAS(RESUMEN GLOBAL)'!K2494</f>
        <v>0</v>
      </c>
      <c r="I2494" s="8">
        <f>+G2494*'[1]VENTAS(RESUMEN GLOBAL)'!F2494</f>
        <v>0</v>
      </c>
      <c r="J2494" s="8">
        <f>'[1]VENTAS(RESUMEN GLOBAL)'!G2494*(1-'[1]VENTAS(RESUMEN GLOBAL)'!H2494)</f>
        <v>0</v>
      </c>
      <c r="K2494" s="8">
        <f t="shared" si="38"/>
        <v>0</v>
      </c>
      <c r="L2494" s="8">
        <f>+'[1]VENTAS(RESUMEN GLOBAL)'!J2494</f>
        <v>0</v>
      </c>
      <c r="M2494" s="8">
        <f>+Tabla1[[#This Row],[utilidad x dia]]*7</f>
        <v>0</v>
      </c>
    </row>
    <row r="2495" spans="1:13" x14ac:dyDescent="0.3">
      <c r="A2495" s="6">
        <f>+'[1]VENTAS(RESUMEN GLOBAL)'!L2495</f>
        <v>0</v>
      </c>
      <c r="B2495" s="6">
        <f>+'[1]VENTAS(RESUMEN GLOBAL)'!M2495</f>
        <v>0</v>
      </c>
      <c r="C2495">
        <f>+'[1]VENTAS(RESUMEN GLOBAL)'!B2495</f>
        <v>0</v>
      </c>
      <c r="D2495" t="e">
        <f>INDEX('[1]CÓDIGOS DE PRODUCTO'!$D$3:$D$1000,MATCH(C2495,'[1]CÓDIGOS DE PRODUCTO'!$A$3:$A$1000,0))</f>
        <v>#N/A</v>
      </c>
      <c r="E2495">
        <f>VLOOKUP(C2495,'[1]CÓDIGOS DE PRODUCTO'!$A$4:$B$156,2,FALSE)</f>
        <v>0</v>
      </c>
      <c r="F2495">
        <f>INDEX('[1]CÓDIGOS DE PRODUCTO'!$C$3:$C$1000,MATCH(C2495,'[1]CÓDIGOS DE PRODUCTO'!$A$3:$A$1000,0))</f>
        <v>0</v>
      </c>
      <c r="G2495">
        <f>+'[1]VENTAS(RESUMEN GLOBAL)'!D2495-'[1]VENTAS(RESUMEN GLOBAL)'!E2495</f>
        <v>0</v>
      </c>
      <c r="H2495" s="9">
        <f>+'[1]VENTAS(RESUMEN GLOBAL)'!K2495</f>
        <v>0</v>
      </c>
      <c r="I2495" s="8">
        <f>+G2495*'[1]VENTAS(RESUMEN GLOBAL)'!F2495</f>
        <v>0</v>
      </c>
      <c r="J2495" s="8">
        <f>'[1]VENTAS(RESUMEN GLOBAL)'!G2495*(1-'[1]VENTAS(RESUMEN GLOBAL)'!H2495)</f>
        <v>0</v>
      </c>
      <c r="K2495" s="8">
        <f t="shared" si="38"/>
        <v>0</v>
      </c>
      <c r="L2495" s="8">
        <f>+'[1]VENTAS(RESUMEN GLOBAL)'!J2495</f>
        <v>0</v>
      </c>
      <c r="M2495" s="8">
        <f>+Tabla1[[#This Row],[utilidad x dia]]*7</f>
        <v>0</v>
      </c>
    </row>
    <row r="2496" spans="1:13" x14ac:dyDescent="0.3">
      <c r="A2496" s="6">
        <f>+'[1]VENTAS(RESUMEN GLOBAL)'!L2496</f>
        <v>0</v>
      </c>
      <c r="B2496" s="6">
        <f>+'[1]VENTAS(RESUMEN GLOBAL)'!M2496</f>
        <v>0</v>
      </c>
      <c r="C2496">
        <f>+'[1]VENTAS(RESUMEN GLOBAL)'!B2496</f>
        <v>0</v>
      </c>
      <c r="D2496" t="e">
        <f>INDEX('[1]CÓDIGOS DE PRODUCTO'!$D$3:$D$1000,MATCH(C2496,'[1]CÓDIGOS DE PRODUCTO'!$A$3:$A$1000,0))</f>
        <v>#N/A</v>
      </c>
      <c r="E2496">
        <f>VLOOKUP(C2496,'[1]CÓDIGOS DE PRODUCTO'!$A$4:$B$156,2,FALSE)</f>
        <v>0</v>
      </c>
      <c r="F2496">
        <f>INDEX('[1]CÓDIGOS DE PRODUCTO'!$C$3:$C$1000,MATCH(C2496,'[1]CÓDIGOS DE PRODUCTO'!$A$3:$A$1000,0))</f>
        <v>0</v>
      </c>
      <c r="G2496">
        <f>+'[1]VENTAS(RESUMEN GLOBAL)'!D2496-'[1]VENTAS(RESUMEN GLOBAL)'!E2496</f>
        <v>0</v>
      </c>
      <c r="H2496" s="9">
        <f>+'[1]VENTAS(RESUMEN GLOBAL)'!K2496</f>
        <v>0</v>
      </c>
      <c r="I2496" s="8">
        <f>+G2496*'[1]VENTAS(RESUMEN GLOBAL)'!F2496</f>
        <v>0</v>
      </c>
      <c r="J2496" s="8">
        <f>'[1]VENTAS(RESUMEN GLOBAL)'!G2496*(1-'[1]VENTAS(RESUMEN GLOBAL)'!H2496)</f>
        <v>0</v>
      </c>
      <c r="K2496" s="8">
        <f t="shared" si="38"/>
        <v>0</v>
      </c>
      <c r="L2496" s="8">
        <f>+'[1]VENTAS(RESUMEN GLOBAL)'!J2496</f>
        <v>0</v>
      </c>
      <c r="M2496" s="8">
        <f>+Tabla1[[#This Row],[utilidad x dia]]*7</f>
        <v>0</v>
      </c>
    </row>
    <row r="2497" spans="1:13" x14ac:dyDescent="0.3">
      <c r="A2497" s="6">
        <f>+'[1]VENTAS(RESUMEN GLOBAL)'!L2497</f>
        <v>0</v>
      </c>
      <c r="B2497" s="6">
        <f>+'[1]VENTAS(RESUMEN GLOBAL)'!M2497</f>
        <v>0</v>
      </c>
      <c r="C2497">
        <f>+'[1]VENTAS(RESUMEN GLOBAL)'!B2497</f>
        <v>0</v>
      </c>
      <c r="D2497" t="e">
        <f>INDEX('[1]CÓDIGOS DE PRODUCTO'!$D$3:$D$1000,MATCH(C2497,'[1]CÓDIGOS DE PRODUCTO'!$A$3:$A$1000,0))</f>
        <v>#N/A</v>
      </c>
      <c r="E2497">
        <f>VLOOKUP(C2497,'[1]CÓDIGOS DE PRODUCTO'!$A$4:$B$156,2,FALSE)</f>
        <v>0</v>
      </c>
      <c r="F2497">
        <f>INDEX('[1]CÓDIGOS DE PRODUCTO'!$C$3:$C$1000,MATCH(C2497,'[1]CÓDIGOS DE PRODUCTO'!$A$3:$A$1000,0))</f>
        <v>0</v>
      </c>
      <c r="G2497">
        <f>+'[1]VENTAS(RESUMEN GLOBAL)'!D2497-'[1]VENTAS(RESUMEN GLOBAL)'!E2497</f>
        <v>0</v>
      </c>
      <c r="H2497" s="9">
        <f>+'[1]VENTAS(RESUMEN GLOBAL)'!K2497</f>
        <v>0</v>
      </c>
      <c r="I2497" s="8">
        <f>+G2497*'[1]VENTAS(RESUMEN GLOBAL)'!F2497</f>
        <v>0</v>
      </c>
      <c r="J2497" s="8">
        <f>'[1]VENTAS(RESUMEN GLOBAL)'!G2497*(1-'[1]VENTAS(RESUMEN GLOBAL)'!H2497)</f>
        <v>0</v>
      </c>
      <c r="K2497" s="8">
        <f t="shared" si="38"/>
        <v>0</v>
      </c>
      <c r="L2497" s="8">
        <f>+'[1]VENTAS(RESUMEN GLOBAL)'!J2497</f>
        <v>0</v>
      </c>
      <c r="M2497" s="8">
        <f>+Tabla1[[#This Row],[utilidad x dia]]*7</f>
        <v>0</v>
      </c>
    </row>
    <row r="2498" spans="1:13" x14ac:dyDescent="0.3">
      <c r="A2498" s="6">
        <f>+'[1]VENTAS(RESUMEN GLOBAL)'!L2498</f>
        <v>0</v>
      </c>
      <c r="B2498" s="6">
        <f>+'[1]VENTAS(RESUMEN GLOBAL)'!M2498</f>
        <v>0</v>
      </c>
      <c r="C2498">
        <f>+'[1]VENTAS(RESUMEN GLOBAL)'!B2498</f>
        <v>0</v>
      </c>
      <c r="D2498" t="e">
        <f>INDEX('[1]CÓDIGOS DE PRODUCTO'!$D$3:$D$1000,MATCH(C2498,'[1]CÓDIGOS DE PRODUCTO'!$A$3:$A$1000,0))</f>
        <v>#N/A</v>
      </c>
      <c r="E2498">
        <f>VLOOKUP(C2498,'[1]CÓDIGOS DE PRODUCTO'!$A$4:$B$156,2,FALSE)</f>
        <v>0</v>
      </c>
      <c r="F2498">
        <f>INDEX('[1]CÓDIGOS DE PRODUCTO'!$C$3:$C$1000,MATCH(C2498,'[1]CÓDIGOS DE PRODUCTO'!$A$3:$A$1000,0))</f>
        <v>0</v>
      </c>
      <c r="G2498">
        <f>+'[1]VENTAS(RESUMEN GLOBAL)'!D2498-'[1]VENTAS(RESUMEN GLOBAL)'!E2498</f>
        <v>0</v>
      </c>
      <c r="H2498" s="9">
        <f>+'[1]VENTAS(RESUMEN GLOBAL)'!K2498</f>
        <v>0</v>
      </c>
      <c r="I2498" s="8">
        <f>+G2498*'[1]VENTAS(RESUMEN GLOBAL)'!F2498</f>
        <v>0</v>
      </c>
      <c r="J2498" s="8">
        <f>'[1]VENTAS(RESUMEN GLOBAL)'!G2498*(1-'[1]VENTAS(RESUMEN GLOBAL)'!H2498)</f>
        <v>0</v>
      </c>
      <c r="K2498" s="8">
        <f t="shared" si="38"/>
        <v>0</v>
      </c>
      <c r="L2498" s="8">
        <f>+'[1]VENTAS(RESUMEN GLOBAL)'!J2498</f>
        <v>0</v>
      </c>
      <c r="M2498" s="8">
        <f>+Tabla1[[#This Row],[utilidad x dia]]*7</f>
        <v>0</v>
      </c>
    </row>
    <row r="2499" spans="1:13" x14ac:dyDescent="0.3">
      <c r="A2499" s="6">
        <f>+'[1]VENTAS(RESUMEN GLOBAL)'!L2499</f>
        <v>0</v>
      </c>
      <c r="B2499" s="6">
        <f>+'[1]VENTAS(RESUMEN GLOBAL)'!M2499</f>
        <v>0</v>
      </c>
      <c r="C2499">
        <f>+'[1]VENTAS(RESUMEN GLOBAL)'!B2499</f>
        <v>0</v>
      </c>
      <c r="D2499" t="e">
        <f>INDEX('[1]CÓDIGOS DE PRODUCTO'!$D$3:$D$1000,MATCH(C2499,'[1]CÓDIGOS DE PRODUCTO'!$A$3:$A$1000,0))</f>
        <v>#N/A</v>
      </c>
      <c r="E2499">
        <f>VLOOKUP(C2499,'[1]CÓDIGOS DE PRODUCTO'!$A$4:$B$156,2,FALSE)</f>
        <v>0</v>
      </c>
      <c r="F2499">
        <f>INDEX('[1]CÓDIGOS DE PRODUCTO'!$C$3:$C$1000,MATCH(C2499,'[1]CÓDIGOS DE PRODUCTO'!$A$3:$A$1000,0))</f>
        <v>0</v>
      </c>
      <c r="G2499">
        <f>+'[1]VENTAS(RESUMEN GLOBAL)'!D2499-'[1]VENTAS(RESUMEN GLOBAL)'!E2499</f>
        <v>0</v>
      </c>
      <c r="H2499" s="9">
        <f>+'[1]VENTAS(RESUMEN GLOBAL)'!K2499</f>
        <v>0</v>
      </c>
      <c r="I2499" s="8">
        <f>+G2499*'[1]VENTAS(RESUMEN GLOBAL)'!F2499</f>
        <v>0</v>
      </c>
      <c r="J2499" s="8">
        <f>'[1]VENTAS(RESUMEN GLOBAL)'!G2499*(1-'[1]VENTAS(RESUMEN GLOBAL)'!H2499)</f>
        <v>0</v>
      </c>
      <c r="K2499" s="8">
        <f t="shared" ref="K2499:K2562" si="39">+I2499-J2499</f>
        <v>0</v>
      </c>
      <c r="L2499" s="8">
        <f>+'[1]VENTAS(RESUMEN GLOBAL)'!J2499</f>
        <v>0</v>
      </c>
      <c r="M2499" s="8">
        <f>+Tabla1[[#This Row],[utilidad x dia]]*7</f>
        <v>0</v>
      </c>
    </row>
    <row r="2500" spans="1:13" x14ac:dyDescent="0.3">
      <c r="A2500" s="6">
        <f>+'[1]VENTAS(RESUMEN GLOBAL)'!L2500</f>
        <v>0</v>
      </c>
      <c r="B2500" s="6">
        <f>+'[1]VENTAS(RESUMEN GLOBAL)'!M2500</f>
        <v>0</v>
      </c>
      <c r="C2500">
        <f>+'[1]VENTAS(RESUMEN GLOBAL)'!B2500</f>
        <v>0</v>
      </c>
      <c r="D2500" t="e">
        <f>INDEX('[1]CÓDIGOS DE PRODUCTO'!$D$3:$D$1000,MATCH(C2500,'[1]CÓDIGOS DE PRODUCTO'!$A$3:$A$1000,0))</f>
        <v>#N/A</v>
      </c>
      <c r="E2500">
        <f>VLOOKUP(C2500,'[1]CÓDIGOS DE PRODUCTO'!$A$4:$B$156,2,FALSE)</f>
        <v>0</v>
      </c>
      <c r="F2500">
        <f>INDEX('[1]CÓDIGOS DE PRODUCTO'!$C$3:$C$1000,MATCH(C2500,'[1]CÓDIGOS DE PRODUCTO'!$A$3:$A$1000,0))</f>
        <v>0</v>
      </c>
      <c r="G2500">
        <f>+'[1]VENTAS(RESUMEN GLOBAL)'!D2500-'[1]VENTAS(RESUMEN GLOBAL)'!E2500</f>
        <v>0</v>
      </c>
      <c r="H2500" s="9">
        <f>+'[1]VENTAS(RESUMEN GLOBAL)'!K2500</f>
        <v>0</v>
      </c>
      <c r="I2500" s="8">
        <f>+G2500*'[1]VENTAS(RESUMEN GLOBAL)'!F2500</f>
        <v>0</v>
      </c>
      <c r="J2500" s="8">
        <f>'[1]VENTAS(RESUMEN GLOBAL)'!G2500*(1-'[1]VENTAS(RESUMEN GLOBAL)'!H2500)</f>
        <v>0</v>
      </c>
      <c r="K2500" s="8">
        <f t="shared" si="39"/>
        <v>0</v>
      </c>
      <c r="L2500" s="8">
        <f>+'[1]VENTAS(RESUMEN GLOBAL)'!J2500</f>
        <v>0</v>
      </c>
      <c r="M2500" s="8">
        <f>+Tabla1[[#This Row],[utilidad x dia]]*7</f>
        <v>0</v>
      </c>
    </row>
    <row r="2501" spans="1:13" x14ac:dyDescent="0.3">
      <c r="A2501" s="6">
        <f>+'[1]VENTAS(RESUMEN GLOBAL)'!L2501</f>
        <v>0</v>
      </c>
      <c r="B2501" s="6">
        <f>+'[1]VENTAS(RESUMEN GLOBAL)'!M2501</f>
        <v>0</v>
      </c>
      <c r="C2501">
        <f>+'[1]VENTAS(RESUMEN GLOBAL)'!B2501</f>
        <v>0</v>
      </c>
      <c r="D2501" t="e">
        <f>INDEX('[1]CÓDIGOS DE PRODUCTO'!$D$3:$D$1000,MATCH(C2501,'[1]CÓDIGOS DE PRODUCTO'!$A$3:$A$1000,0))</f>
        <v>#N/A</v>
      </c>
      <c r="E2501">
        <f>VLOOKUP(C2501,'[1]CÓDIGOS DE PRODUCTO'!$A$4:$B$156,2,FALSE)</f>
        <v>0</v>
      </c>
      <c r="F2501">
        <f>INDEX('[1]CÓDIGOS DE PRODUCTO'!$C$3:$C$1000,MATCH(C2501,'[1]CÓDIGOS DE PRODUCTO'!$A$3:$A$1000,0))</f>
        <v>0</v>
      </c>
      <c r="G2501">
        <f>+'[1]VENTAS(RESUMEN GLOBAL)'!D2501-'[1]VENTAS(RESUMEN GLOBAL)'!E2501</f>
        <v>0</v>
      </c>
      <c r="H2501" s="9">
        <f>+'[1]VENTAS(RESUMEN GLOBAL)'!K2501</f>
        <v>0</v>
      </c>
      <c r="I2501" s="8">
        <f>+G2501*'[1]VENTAS(RESUMEN GLOBAL)'!F2501</f>
        <v>0</v>
      </c>
      <c r="J2501" s="8">
        <f>'[1]VENTAS(RESUMEN GLOBAL)'!G2501*(1-'[1]VENTAS(RESUMEN GLOBAL)'!H2501)</f>
        <v>0</v>
      </c>
      <c r="K2501" s="8">
        <f t="shared" si="39"/>
        <v>0</v>
      </c>
      <c r="L2501" s="8">
        <f>+'[1]VENTAS(RESUMEN GLOBAL)'!J2501</f>
        <v>0</v>
      </c>
      <c r="M2501" s="8">
        <f>+Tabla1[[#This Row],[utilidad x dia]]*7</f>
        <v>0</v>
      </c>
    </row>
    <row r="2502" spans="1:13" x14ac:dyDescent="0.3">
      <c r="A2502" s="6">
        <f>+'[1]VENTAS(RESUMEN GLOBAL)'!L2502</f>
        <v>0</v>
      </c>
      <c r="B2502" s="6">
        <f>+'[1]VENTAS(RESUMEN GLOBAL)'!M2502</f>
        <v>0</v>
      </c>
      <c r="C2502">
        <f>+'[1]VENTAS(RESUMEN GLOBAL)'!B2502</f>
        <v>0</v>
      </c>
      <c r="D2502" t="e">
        <f>INDEX('[1]CÓDIGOS DE PRODUCTO'!$D$3:$D$1000,MATCH(C2502,'[1]CÓDIGOS DE PRODUCTO'!$A$3:$A$1000,0))</f>
        <v>#N/A</v>
      </c>
      <c r="E2502">
        <f>VLOOKUP(C2502,'[1]CÓDIGOS DE PRODUCTO'!$A$4:$B$156,2,FALSE)</f>
        <v>0</v>
      </c>
      <c r="F2502">
        <f>INDEX('[1]CÓDIGOS DE PRODUCTO'!$C$3:$C$1000,MATCH(C2502,'[1]CÓDIGOS DE PRODUCTO'!$A$3:$A$1000,0))</f>
        <v>0</v>
      </c>
      <c r="G2502">
        <f>+'[1]VENTAS(RESUMEN GLOBAL)'!D2502-'[1]VENTAS(RESUMEN GLOBAL)'!E2502</f>
        <v>0</v>
      </c>
      <c r="H2502" s="9">
        <f>+'[1]VENTAS(RESUMEN GLOBAL)'!K2502</f>
        <v>0</v>
      </c>
      <c r="I2502" s="8">
        <f>+G2502*'[1]VENTAS(RESUMEN GLOBAL)'!F2502</f>
        <v>0</v>
      </c>
      <c r="J2502" s="8">
        <f>'[1]VENTAS(RESUMEN GLOBAL)'!G2502*(1-'[1]VENTAS(RESUMEN GLOBAL)'!H2502)</f>
        <v>0</v>
      </c>
      <c r="K2502" s="8">
        <f t="shared" si="39"/>
        <v>0</v>
      </c>
      <c r="L2502" s="8">
        <f>+'[1]VENTAS(RESUMEN GLOBAL)'!J2502</f>
        <v>0</v>
      </c>
      <c r="M2502" s="8">
        <f>+Tabla1[[#This Row],[utilidad x dia]]*7</f>
        <v>0</v>
      </c>
    </row>
    <row r="2503" spans="1:13" x14ac:dyDescent="0.3">
      <c r="A2503" s="6">
        <f>+'[1]VENTAS(RESUMEN GLOBAL)'!L2503</f>
        <v>0</v>
      </c>
      <c r="B2503" s="6">
        <f>+'[1]VENTAS(RESUMEN GLOBAL)'!M2503</f>
        <v>0</v>
      </c>
      <c r="C2503">
        <f>+'[1]VENTAS(RESUMEN GLOBAL)'!B2503</f>
        <v>0</v>
      </c>
      <c r="D2503" t="e">
        <f>INDEX('[1]CÓDIGOS DE PRODUCTO'!$D$3:$D$1000,MATCH(C2503,'[1]CÓDIGOS DE PRODUCTO'!$A$3:$A$1000,0))</f>
        <v>#N/A</v>
      </c>
      <c r="E2503">
        <f>VLOOKUP(C2503,'[1]CÓDIGOS DE PRODUCTO'!$A$4:$B$156,2,FALSE)</f>
        <v>0</v>
      </c>
      <c r="F2503">
        <f>INDEX('[1]CÓDIGOS DE PRODUCTO'!$C$3:$C$1000,MATCH(C2503,'[1]CÓDIGOS DE PRODUCTO'!$A$3:$A$1000,0))</f>
        <v>0</v>
      </c>
      <c r="G2503">
        <f>+'[1]VENTAS(RESUMEN GLOBAL)'!D2503-'[1]VENTAS(RESUMEN GLOBAL)'!E2503</f>
        <v>0</v>
      </c>
      <c r="H2503" s="9">
        <f>+'[1]VENTAS(RESUMEN GLOBAL)'!K2503</f>
        <v>0</v>
      </c>
      <c r="I2503" s="8">
        <f>+G2503*'[1]VENTAS(RESUMEN GLOBAL)'!F2503</f>
        <v>0</v>
      </c>
      <c r="J2503" s="8">
        <f>'[1]VENTAS(RESUMEN GLOBAL)'!G2503*(1-'[1]VENTAS(RESUMEN GLOBAL)'!H2503)</f>
        <v>0</v>
      </c>
      <c r="K2503" s="8">
        <f t="shared" si="39"/>
        <v>0</v>
      </c>
      <c r="L2503" s="8">
        <f>+'[1]VENTAS(RESUMEN GLOBAL)'!J2503</f>
        <v>0</v>
      </c>
      <c r="M2503" s="8">
        <f>+Tabla1[[#This Row],[utilidad x dia]]*7</f>
        <v>0</v>
      </c>
    </row>
    <row r="2504" spans="1:13" x14ac:dyDescent="0.3">
      <c r="A2504" s="6">
        <f>+'[1]VENTAS(RESUMEN GLOBAL)'!L2504</f>
        <v>0</v>
      </c>
      <c r="B2504" s="6">
        <f>+'[1]VENTAS(RESUMEN GLOBAL)'!M2504</f>
        <v>0</v>
      </c>
      <c r="C2504">
        <f>+'[1]VENTAS(RESUMEN GLOBAL)'!B2504</f>
        <v>0</v>
      </c>
      <c r="D2504" t="e">
        <f>INDEX('[1]CÓDIGOS DE PRODUCTO'!$D$3:$D$1000,MATCH(C2504,'[1]CÓDIGOS DE PRODUCTO'!$A$3:$A$1000,0))</f>
        <v>#N/A</v>
      </c>
      <c r="E2504">
        <f>VLOOKUP(C2504,'[1]CÓDIGOS DE PRODUCTO'!$A$4:$B$156,2,FALSE)</f>
        <v>0</v>
      </c>
      <c r="F2504">
        <f>INDEX('[1]CÓDIGOS DE PRODUCTO'!$C$3:$C$1000,MATCH(C2504,'[1]CÓDIGOS DE PRODUCTO'!$A$3:$A$1000,0))</f>
        <v>0</v>
      </c>
      <c r="G2504">
        <f>+'[1]VENTAS(RESUMEN GLOBAL)'!D2504-'[1]VENTAS(RESUMEN GLOBAL)'!E2504</f>
        <v>0</v>
      </c>
      <c r="H2504" s="9">
        <f>+'[1]VENTAS(RESUMEN GLOBAL)'!K2504</f>
        <v>0</v>
      </c>
      <c r="I2504" s="8">
        <f>+G2504*'[1]VENTAS(RESUMEN GLOBAL)'!F2504</f>
        <v>0</v>
      </c>
      <c r="J2504" s="8">
        <f>'[1]VENTAS(RESUMEN GLOBAL)'!G2504*(1-'[1]VENTAS(RESUMEN GLOBAL)'!H2504)</f>
        <v>0</v>
      </c>
      <c r="K2504" s="8">
        <f t="shared" si="39"/>
        <v>0</v>
      </c>
      <c r="L2504" s="8">
        <f>+'[1]VENTAS(RESUMEN GLOBAL)'!J2504</f>
        <v>0</v>
      </c>
      <c r="M2504" s="8">
        <f>+Tabla1[[#This Row],[utilidad x dia]]*7</f>
        <v>0</v>
      </c>
    </row>
    <row r="2505" spans="1:13" x14ac:dyDescent="0.3">
      <c r="A2505" s="6">
        <f>+'[1]VENTAS(RESUMEN GLOBAL)'!L2505</f>
        <v>0</v>
      </c>
      <c r="B2505" s="6">
        <f>+'[1]VENTAS(RESUMEN GLOBAL)'!M2505</f>
        <v>0</v>
      </c>
      <c r="C2505">
        <f>+'[1]VENTAS(RESUMEN GLOBAL)'!B2505</f>
        <v>0</v>
      </c>
      <c r="D2505" t="e">
        <f>INDEX('[1]CÓDIGOS DE PRODUCTO'!$D$3:$D$1000,MATCH(C2505,'[1]CÓDIGOS DE PRODUCTO'!$A$3:$A$1000,0))</f>
        <v>#N/A</v>
      </c>
      <c r="E2505">
        <f>VLOOKUP(C2505,'[1]CÓDIGOS DE PRODUCTO'!$A$4:$B$156,2,FALSE)</f>
        <v>0</v>
      </c>
      <c r="F2505">
        <f>INDEX('[1]CÓDIGOS DE PRODUCTO'!$C$3:$C$1000,MATCH(C2505,'[1]CÓDIGOS DE PRODUCTO'!$A$3:$A$1000,0))</f>
        <v>0</v>
      </c>
      <c r="G2505">
        <f>+'[1]VENTAS(RESUMEN GLOBAL)'!D2505-'[1]VENTAS(RESUMEN GLOBAL)'!E2505</f>
        <v>0</v>
      </c>
      <c r="H2505" s="9">
        <f>+'[1]VENTAS(RESUMEN GLOBAL)'!K2505</f>
        <v>0</v>
      </c>
      <c r="I2505" s="8">
        <f>+G2505*'[1]VENTAS(RESUMEN GLOBAL)'!F2505</f>
        <v>0</v>
      </c>
      <c r="J2505" s="8">
        <f>'[1]VENTAS(RESUMEN GLOBAL)'!G2505*(1-'[1]VENTAS(RESUMEN GLOBAL)'!H2505)</f>
        <v>0</v>
      </c>
      <c r="K2505" s="8">
        <f t="shared" si="39"/>
        <v>0</v>
      </c>
      <c r="L2505" s="8">
        <f>+'[1]VENTAS(RESUMEN GLOBAL)'!J2505</f>
        <v>0</v>
      </c>
      <c r="M2505" s="8">
        <f>+Tabla1[[#This Row],[utilidad x dia]]*7</f>
        <v>0</v>
      </c>
    </row>
    <row r="2506" spans="1:13" x14ac:dyDescent="0.3">
      <c r="A2506" s="6">
        <f>+'[1]VENTAS(RESUMEN GLOBAL)'!L2506</f>
        <v>0</v>
      </c>
      <c r="B2506" s="6">
        <f>+'[1]VENTAS(RESUMEN GLOBAL)'!M2506</f>
        <v>0</v>
      </c>
      <c r="C2506">
        <f>+'[1]VENTAS(RESUMEN GLOBAL)'!B2506</f>
        <v>0</v>
      </c>
      <c r="D2506" t="e">
        <f>INDEX('[1]CÓDIGOS DE PRODUCTO'!$D$3:$D$1000,MATCH(C2506,'[1]CÓDIGOS DE PRODUCTO'!$A$3:$A$1000,0))</f>
        <v>#N/A</v>
      </c>
      <c r="E2506">
        <f>VLOOKUP(C2506,'[1]CÓDIGOS DE PRODUCTO'!$A$4:$B$156,2,FALSE)</f>
        <v>0</v>
      </c>
      <c r="F2506">
        <f>INDEX('[1]CÓDIGOS DE PRODUCTO'!$C$3:$C$1000,MATCH(C2506,'[1]CÓDIGOS DE PRODUCTO'!$A$3:$A$1000,0))</f>
        <v>0</v>
      </c>
      <c r="G2506">
        <f>+'[1]VENTAS(RESUMEN GLOBAL)'!D2506-'[1]VENTAS(RESUMEN GLOBAL)'!E2506</f>
        <v>0</v>
      </c>
      <c r="H2506" s="9">
        <f>+'[1]VENTAS(RESUMEN GLOBAL)'!K2506</f>
        <v>0</v>
      </c>
      <c r="I2506" s="8">
        <f>+G2506*'[1]VENTAS(RESUMEN GLOBAL)'!F2506</f>
        <v>0</v>
      </c>
      <c r="J2506" s="8">
        <f>'[1]VENTAS(RESUMEN GLOBAL)'!G2506*(1-'[1]VENTAS(RESUMEN GLOBAL)'!H2506)</f>
        <v>0</v>
      </c>
      <c r="K2506" s="8">
        <f t="shared" si="39"/>
        <v>0</v>
      </c>
      <c r="L2506" s="8">
        <f>+'[1]VENTAS(RESUMEN GLOBAL)'!J2506</f>
        <v>0</v>
      </c>
      <c r="M2506" s="8">
        <f>+Tabla1[[#This Row],[utilidad x dia]]*7</f>
        <v>0</v>
      </c>
    </row>
    <row r="2507" spans="1:13" x14ac:dyDescent="0.3">
      <c r="A2507" s="6">
        <f>+'[1]VENTAS(RESUMEN GLOBAL)'!L2507</f>
        <v>0</v>
      </c>
      <c r="B2507" s="6">
        <f>+'[1]VENTAS(RESUMEN GLOBAL)'!M2507</f>
        <v>0</v>
      </c>
      <c r="C2507">
        <f>+'[1]VENTAS(RESUMEN GLOBAL)'!B2507</f>
        <v>0</v>
      </c>
      <c r="D2507" t="e">
        <f>INDEX('[1]CÓDIGOS DE PRODUCTO'!$D$3:$D$1000,MATCH(C2507,'[1]CÓDIGOS DE PRODUCTO'!$A$3:$A$1000,0))</f>
        <v>#N/A</v>
      </c>
      <c r="E2507">
        <f>VLOOKUP(C2507,'[1]CÓDIGOS DE PRODUCTO'!$A$4:$B$156,2,FALSE)</f>
        <v>0</v>
      </c>
      <c r="F2507">
        <f>INDEX('[1]CÓDIGOS DE PRODUCTO'!$C$3:$C$1000,MATCH(C2507,'[1]CÓDIGOS DE PRODUCTO'!$A$3:$A$1000,0))</f>
        <v>0</v>
      </c>
      <c r="G2507">
        <f>+'[1]VENTAS(RESUMEN GLOBAL)'!D2507-'[1]VENTAS(RESUMEN GLOBAL)'!E2507</f>
        <v>0</v>
      </c>
      <c r="H2507" s="9">
        <f>+'[1]VENTAS(RESUMEN GLOBAL)'!K2507</f>
        <v>0</v>
      </c>
      <c r="I2507" s="8">
        <f>+G2507*'[1]VENTAS(RESUMEN GLOBAL)'!F2507</f>
        <v>0</v>
      </c>
      <c r="J2507" s="8">
        <f>'[1]VENTAS(RESUMEN GLOBAL)'!G2507*(1-'[1]VENTAS(RESUMEN GLOBAL)'!H2507)</f>
        <v>0</v>
      </c>
      <c r="K2507" s="8">
        <f t="shared" si="39"/>
        <v>0</v>
      </c>
      <c r="L2507" s="8">
        <f>+'[1]VENTAS(RESUMEN GLOBAL)'!J2507</f>
        <v>0</v>
      </c>
      <c r="M2507" s="8">
        <f>+Tabla1[[#This Row],[utilidad x dia]]*7</f>
        <v>0</v>
      </c>
    </row>
    <row r="2508" spans="1:13" x14ac:dyDescent="0.3">
      <c r="A2508" s="6">
        <f>+'[1]VENTAS(RESUMEN GLOBAL)'!L2508</f>
        <v>0</v>
      </c>
      <c r="B2508" s="6">
        <f>+'[1]VENTAS(RESUMEN GLOBAL)'!M2508</f>
        <v>0</v>
      </c>
      <c r="C2508">
        <f>+'[1]VENTAS(RESUMEN GLOBAL)'!B2508</f>
        <v>0</v>
      </c>
      <c r="D2508" t="e">
        <f>INDEX('[1]CÓDIGOS DE PRODUCTO'!$D$3:$D$1000,MATCH(C2508,'[1]CÓDIGOS DE PRODUCTO'!$A$3:$A$1000,0))</f>
        <v>#N/A</v>
      </c>
      <c r="E2508">
        <f>VLOOKUP(C2508,'[1]CÓDIGOS DE PRODUCTO'!$A$4:$B$156,2,FALSE)</f>
        <v>0</v>
      </c>
      <c r="F2508">
        <f>INDEX('[1]CÓDIGOS DE PRODUCTO'!$C$3:$C$1000,MATCH(C2508,'[1]CÓDIGOS DE PRODUCTO'!$A$3:$A$1000,0))</f>
        <v>0</v>
      </c>
      <c r="G2508">
        <f>+'[1]VENTAS(RESUMEN GLOBAL)'!D2508-'[1]VENTAS(RESUMEN GLOBAL)'!E2508</f>
        <v>0</v>
      </c>
      <c r="H2508" s="9">
        <f>+'[1]VENTAS(RESUMEN GLOBAL)'!K2508</f>
        <v>0</v>
      </c>
      <c r="I2508" s="8">
        <f>+G2508*'[1]VENTAS(RESUMEN GLOBAL)'!F2508</f>
        <v>0</v>
      </c>
      <c r="J2508" s="8">
        <f>'[1]VENTAS(RESUMEN GLOBAL)'!G2508*(1-'[1]VENTAS(RESUMEN GLOBAL)'!H2508)</f>
        <v>0</v>
      </c>
      <c r="K2508" s="8">
        <f t="shared" si="39"/>
        <v>0</v>
      </c>
      <c r="L2508" s="8">
        <f>+'[1]VENTAS(RESUMEN GLOBAL)'!J2508</f>
        <v>0</v>
      </c>
      <c r="M2508" s="8">
        <f>+Tabla1[[#This Row],[utilidad x dia]]*7</f>
        <v>0</v>
      </c>
    </row>
    <row r="2509" spans="1:13" x14ac:dyDescent="0.3">
      <c r="A2509" s="6">
        <f>+'[1]VENTAS(RESUMEN GLOBAL)'!L2509</f>
        <v>0</v>
      </c>
      <c r="B2509" s="6">
        <f>+'[1]VENTAS(RESUMEN GLOBAL)'!M2509</f>
        <v>0</v>
      </c>
      <c r="C2509">
        <f>+'[1]VENTAS(RESUMEN GLOBAL)'!B2509</f>
        <v>0</v>
      </c>
      <c r="D2509" t="e">
        <f>INDEX('[1]CÓDIGOS DE PRODUCTO'!$D$3:$D$1000,MATCH(C2509,'[1]CÓDIGOS DE PRODUCTO'!$A$3:$A$1000,0))</f>
        <v>#N/A</v>
      </c>
      <c r="E2509">
        <f>VLOOKUP(C2509,'[1]CÓDIGOS DE PRODUCTO'!$A$4:$B$156,2,FALSE)</f>
        <v>0</v>
      </c>
      <c r="F2509">
        <f>INDEX('[1]CÓDIGOS DE PRODUCTO'!$C$3:$C$1000,MATCH(C2509,'[1]CÓDIGOS DE PRODUCTO'!$A$3:$A$1000,0))</f>
        <v>0</v>
      </c>
      <c r="G2509">
        <f>+'[1]VENTAS(RESUMEN GLOBAL)'!D2509-'[1]VENTAS(RESUMEN GLOBAL)'!E2509</f>
        <v>0</v>
      </c>
      <c r="H2509" s="9">
        <f>+'[1]VENTAS(RESUMEN GLOBAL)'!K2509</f>
        <v>0</v>
      </c>
      <c r="I2509" s="8">
        <f>+G2509*'[1]VENTAS(RESUMEN GLOBAL)'!F2509</f>
        <v>0</v>
      </c>
      <c r="J2509" s="8">
        <f>'[1]VENTAS(RESUMEN GLOBAL)'!G2509*(1-'[1]VENTAS(RESUMEN GLOBAL)'!H2509)</f>
        <v>0</v>
      </c>
      <c r="K2509" s="8">
        <f t="shared" si="39"/>
        <v>0</v>
      </c>
      <c r="L2509" s="8">
        <f>+'[1]VENTAS(RESUMEN GLOBAL)'!J2509</f>
        <v>0</v>
      </c>
      <c r="M2509" s="8">
        <f>+Tabla1[[#This Row],[utilidad x dia]]*7</f>
        <v>0</v>
      </c>
    </row>
    <row r="2510" spans="1:13" x14ac:dyDescent="0.3">
      <c r="A2510" s="6">
        <f>+'[1]VENTAS(RESUMEN GLOBAL)'!L2510</f>
        <v>0</v>
      </c>
      <c r="B2510" s="6">
        <f>+'[1]VENTAS(RESUMEN GLOBAL)'!M2510</f>
        <v>0</v>
      </c>
      <c r="C2510">
        <f>+'[1]VENTAS(RESUMEN GLOBAL)'!B2510</f>
        <v>0</v>
      </c>
      <c r="D2510" t="e">
        <f>INDEX('[1]CÓDIGOS DE PRODUCTO'!$D$3:$D$1000,MATCH(C2510,'[1]CÓDIGOS DE PRODUCTO'!$A$3:$A$1000,0))</f>
        <v>#N/A</v>
      </c>
      <c r="E2510">
        <f>VLOOKUP(C2510,'[1]CÓDIGOS DE PRODUCTO'!$A$4:$B$156,2,FALSE)</f>
        <v>0</v>
      </c>
      <c r="F2510">
        <f>INDEX('[1]CÓDIGOS DE PRODUCTO'!$C$3:$C$1000,MATCH(C2510,'[1]CÓDIGOS DE PRODUCTO'!$A$3:$A$1000,0))</f>
        <v>0</v>
      </c>
      <c r="G2510">
        <f>+'[1]VENTAS(RESUMEN GLOBAL)'!D2510-'[1]VENTAS(RESUMEN GLOBAL)'!E2510</f>
        <v>0</v>
      </c>
      <c r="H2510" s="9">
        <f>+'[1]VENTAS(RESUMEN GLOBAL)'!K2510</f>
        <v>0</v>
      </c>
      <c r="I2510" s="8">
        <f>+G2510*'[1]VENTAS(RESUMEN GLOBAL)'!F2510</f>
        <v>0</v>
      </c>
      <c r="J2510" s="8">
        <f>'[1]VENTAS(RESUMEN GLOBAL)'!G2510*(1-'[1]VENTAS(RESUMEN GLOBAL)'!H2510)</f>
        <v>0</v>
      </c>
      <c r="K2510" s="8">
        <f t="shared" si="39"/>
        <v>0</v>
      </c>
      <c r="L2510" s="8">
        <f>+'[1]VENTAS(RESUMEN GLOBAL)'!J2510</f>
        <v>0</v>
      </c>
      <c r="M2510" s="8">
        <f>+Tabla1[[#This Row],[utilidad x dia]]*7</f>
        <v>0</v>
      </c>
    </row>
    <row r="2511" spans="1:13" x14ac:dyDescent="0.3">
      <c r="A2511" s="6">
        <f>+'[1]VENTAS(RESUMEN GLOBAL)'!L2511</f>
        <v>0</v>
      </c>
      <c r="B2511" s="6">
        <f>+'[1]VENTAS(RESUMEN GLOBAL)'!M2511</f>
        <v>0</v>
      </c>
      <c r="C2511">
        <f>+'[1]VENTAS(RESUMEN GLOBAL)'!B2511</f>
        <v>0</v>
      </c>
      <c r="D2511" t="e">
        <f>INDEX('[1]CÓDIGOS DE PRODUCTO'!$D$3:$D$1000,MATCH(C2511,'[1]CÓDIGOS DE PRODUCTO'!$A$3:$A$1000,0))</f>
        <v>#N/A</v>
      </c>
      <c r="E2511">
        <f>VLOOKUP(C2511,'[1]CÓDIGOS DE PRODUCTO'!$A$4:$B$156,2,FALSE)</f>
        <v>0</v>
      </c>
      <c r="F2511">
        <f>INDEX('[1]CÓDIGOS DE PRODUCTO'!$C$3:$C$1000,MATCH(C2511,'[1]CÓDIGOS DE PRODUCTO'!$A$3:$A$1000,0))</f>
        <v>0</v>
      </c>
      <c r="G2511">
        <f>+'[1]VENTAS(RESUMEN GLOBAL)'!D2511-'[1]VENTAS(RESUMEN GLOBAL)'!E2511</f>
        <v>0</v>
      </c>
      <c r="H2511" s="9">
        <f>+'[1]VENTAS(RESUMEN GLOBAL)'!K2511</f>
        <v>0</v>
      </c>
      <c r="I2511" s="8">
        <f>+G2511*'[1]VENTAS(RESUMEN GLOBAL)'!F2511</f>
        <v>0</v>
      </c>
      <c r="J2511" s="8">
        <f>'[1]VENTAS(RESUMEN GLOBAL)'!G2511*(1-'[1]VENTAS(RESUMEN GLOBAL)'!H2511)</f>
        <v>0</v>
      </c>
      <c r="K2511" s="8">
        <f t="shared" si="39"/>
        <v>0</v>
      </c>
      <c r="L2511" s="8">
        <f>+'[1]VENTAS(RESUMEN GLOBAL)'!J2511</f>
        <v>0</v>
      </c>
      <c r="M2511" s="8">
        <f>+Tabla1[[#This Row],[utilidad x dia]]*7</f>
        <v>0</v>
      </c>
    </row>
    <row r="2512" spans="1:13" x14ac:dyDescent="0.3">
      <c r="A2512" s="6">
        <f>+'[1]VENTAS(RESUMEN GLOBAL)'!L2512</f>
        <v>0</v>
      </c>
      <c r="B2512" s="6">
        <f>+'[1]VENTAS(RESUMEN GLOBAL)'!M2512</f>
        <v>0</v>
      </c>
      <c r="C2512">
        <f>+'[1]VENTAS(RESUMEN GLOBAL)'!B2512</f>
        <v>0</v>
      </c>
      <c r="D2512" t="e">
        <f>INDEX('[1]CÓDIGOS DE PRODUCTO'!$D$3:$D$1000,MATCH(C2512,'[1]CÓDIGOS DE PRODUCTO'!$A$3:$A$1000,0))</f>
        <v>#N/A</v>
      </c>
      <c r="E2512">
        <f>VLOOKUP(C2512,'[1]CÓDIGOS DE PRODUCTO'!$A$4:$B$156,2,FALSE)</f>
        <v>0</v>
      </c>
      <c r="F2512">
        <f>INDEX('[1]CÓDIGOS DE PRODUCTO'!$C$3:$C$1000,MATCH(C2512,'[1]CÓDIGOS DE PRODUCTO'!$A$3:$A$1000,0))</f>
        <v>0</v>
      </c>
      <c r="G2512">
        <f>+'[1]VENTAS(RESUMEN GLOBAL)'!D2512-'[1]VENTAS(RESUMEN GLOBAL)'!E2512</f>
        <v>0</v>
      </c>
      <c r="H2512" s="9">
        <f>+'[1]VENTAS(RESUMEN GLOBAL)'!K2512</f>
        <v>0</v>
      </c>
      <c r="I2512" s="8">
        <f>+G2512*'[1]VENTAS(RESUMEN GLOBAL)'!F2512</f>
        <v>0</v>
      </c>
      <c r="J2512" s="8">
        <f>'[1]VENTAS(RESUMEN GLOBAL)'!G2512*(1-'[1]VENTAS(RESUMEN GLOBAL)'!H2512)</f>
        <v>0</v>
      </c>
      <c r="K2512" s="8">
        <f t="shared" si="39"/>
        <v>0</v>
      </c>
      <c r="L2512" s="8">
        <f>+'[1]VENTAS(RESUMEN GLOBAL)'!J2512</f>
        <v>0</v>
      </c>
      <c r="M2512" s="8">
        <f>+Tabla1[[#This Row],[utilidad x dia]]*7</f>
        <v>0</v>
      </c>
    </row>
    <row r="2513" spans="1:13" x14ac:dyDescent="0.3">
      <c r="A2513" s="6">
        <f>+'[1]VENTAS(RESUMEN GLOBAL)'!L2513</f>
        <v>0</v>
      </c>
      <c r="B2513" s="6">
        <f>+'[1]VENTAS(RESUMEN GLOBAL)'!M2513</f>
        <v>0</v>
      </c>
      <c r="C2513">
        <f>+'[1]VENTAS(RESUMEN GLOBAL)'!B2513</f>
        <v>0</v>
      </c>
      <c r="D2513" t="e">
        <f>INDEX('[1]CÓDIGOS DE PRODUCTO'!$D$3:$D$1000,MATCH(C2513,'[1]CÓDIGOS DE PRODUCTO'!$A$3:$A$1000,0))</f>
        <v>#N/A</v>
      </c>
      <c r="E2513">
        <f>VLOOKUP(C2513,'[1]CÓDIGOS DE PRODUCTO'!$A$4:$B$156,2,FALSE)</f>
        <v>0</v>
      </c>
      <c r="F2513">
        <f>INDEX('[1]CÓDIGOS DE PRODUCTO'!$C$3:$C$1000,MATCH(C2513,'[1]CÓDIGOS DE PRODUCTO'!$A$3:$A$1000,0))</f>
        <v>0</v>
      </c>
      <c r="G2513">
        <f>+'[1]VENTAS(RESUMEN GLOBAL)'!D2513-'[1]VENTAS(RESUMEN GLOBAL)'!E2513</f>
        <v>0</v>
      </c>
      <c r="H2513" s="9">
        <f>+'[1]VENTAS(RESUMEN GLOBAL)'!K2513</f>
        <v>0</v>
      </c>
      <c r="I2513" s="8">
        <f>+G2513*'[1]VENTAS(RESUMEN GLOBAL)'!F2513</f>
        <v>0</v>
      </c>
      <c r="J2513" s="8">
        <f>'[1]VENTAS(RESUMEN GLOBAL)'!G2513*(1-'[1]VENTAS(RESUMEN GLOBAL)'!H2513)</f>
        <v>0</v>
      </c>
      <c r="K2513" s="8">
        <f t="shared" si="39"/>
        <v>0</v>
      </c>
      <c r="L2513" s="8">
        <f>+'[1]VENTAS(RESUMEN GLOBAL)'!J2513</f>
        <v>0</v>
      </c>
      <c r="M2513" s="8">
        <f>+Tabla1[[#This Row],[utilidad x dia]]*7</f>
        <v>0</v>
      </c>
    </row>
    <row r="2514" spans="1:13" x14ac:dyDescent="0.3">
      <c r="A2514" s="6">
        <f>+'[1]VENTAS(RESUMEN GLOBAL)'!L2514</f>
        <v>0</v>
      </c>
      <c r="B2514" s="6">
        <f>+'[1]VENTAS(RESUMEN GLOBAL)'!M2514</f>
        <v>0</v>
      </c>
      <c r="C2514">
        <f>+'[1]VENTAS(RESUMEN GLOBAL)'!B2514</f>
        <v>0</v>
      </c>
      <c r="D2514" t="e">
        <f>INDEX('[1]CÓDIGOS DE PRODUCTO'!$D$3:$D$1000,MATCH(C2514,'[1]CÓDIGOS DE PRODUCTO'!$A$3:$A$1000,0))</f>
        <v>#N/A</v>
      </c>
      <c r="E2514">
        <f>VLOOKUP(C2514,'[1]CÓDIGOS DE PRODUCTO'!$A$4:$B$156,2,FALSE)</f>
        <v>0</v>
      </c>
      <c r="F2514">
        <f>INDEX('[1]CÓDIGOS DE PRODUCTO'!$C$3:$C$1000,MATCH(C2514,'[1]CÓDIGOS DE PRODUCTO'!$A$3:$A$1000,0))</f>
        <v>0</v>
      </c>
      <c r="G2514">
        <f>+'[1]VENTAS(RESUMEN GLOBAL)'!D2514-'[1]VENTAS(RESUMEN GLOBAL)'!E2514</f>
        <v>0</v>
      </c>
      <c r="H2514" s="9">
        <f>+'[1]VENTAS(RESUMEN GLOBAL)'!K2514</f>
        <v>0</v>
      </c>
      <c r="I2514" s="8">
        <f>+G2514*'[1]VENTAS(RESUMEN GLOBAL)'!F2514</f>
        <v>0</v>
      </c>
      <c r="J2514" s="8">
        <f>'[1]VENTAS(RESUMEN GLOBAL)'!G2514*(1-'[1]VENTAS(RESUMEN GLOBAL)'!H2514)</f>
        <v>0</v>
      </c>
      <c r="K2514" s="8">
        <f t="shared" si="39"/>
        <v>0</v>
      </c>
      <c r="L2514" s="8">
        <f>+'[1]VENTAS(RESUMEN GLOBAL)'!J2514</f>
        <v>0</v>
      </c>
      <c r="M2514" s="8">
        <f>+Tabla1[[#This Row],[utilidad x dia]]*7</f>
        <v>0</v>
      </c>
    </row>
    <row r="2515" spans="1:13" x14ac:dyDescent="0.3">
      <c r="A2515" s="6">
        <f>+'[1]VENTAS(RESUMEN GLOBAL)'!L2515</f>
        <v>0</v>
      </c>
      <c r="B2515" s="6">
        <f>+'[1]VENTAS(RESUMEN GLOBAL)'!M2515</f>
        <v>0</v>
      </c>
      <c r="C2515">
        <f>+'[1]VENTAS(RESUMEN GLOBAL)'!B2515</f>
        <v>0</v>
      </c>
      <c r="D2515" t="e">
        <f>INDEX('[1]CÓDIGOS DE PRODUCTO'!$D$3:$D$1000,MATCH(C2515,'[1]CÓDIGOS DE PRODUCTO'!$A$3:$A$1000,0))</f>
        <v>#N/A</v>
      </c>
      <c r="E2515">
        <f>VLOOKUP(C2515,'[1]CÓDIGOS DE PRODUCTO'!$A$4:$B$156,2,FALSE)</f>
        <v>0</v>
      </c>
      <c r="F2515">
        <f>INDEX('[1]CÓDIGOS DE PRODUCTO'!$C$3:$C$1000,MATCH(C2515,'[1]CÓDIGOS DE PRODUCTO'!$A$3:$A$1000,0))</f>
        <v>0</v>
      </c>
      <c r="G2515">
        <f>+'[1]VENTAS(RESUMEN GLOBAL)'!D2515-'[1]VENTAS(RESUMEN GLOBAL)'!E2515</f>
        <v>0</v>
      </c>
      <c r="H2515" s="9">
        <f>+'[1]VENTAS(RESUMEN GLOBAL)'!K2515</f>
        <v>0</v>
      </c>
      <c r="I2515" s="8">
        <f>+G2515*'[1]VENTAS(RESUMEN GLOBAL)'!F2515</f>
        <v>0</v>
      </c>
      <c r="J2515" s="8">
        <f>'[1]VENTAS(RESUMEN GLOBAL)'!G2515*(1-'[1]VENTAS(RESUMEN GLOBAL)'!H2515)</f>
        <v>0</v>
      </c>
      <c r="K2515" s="8">
        <f t="shared" si="39"/>
        <v>0</v>
      </c>
      <c r="L2515" s="8">
        <f>+'[1]VENTAS(RESUMEN GLOBAL)'!J2515</f>
        <v>0</v>
      </c>
      <c r="M2515" s="8">
        <f>+Tabla1[[#This Row],[utilidad x dia]]*7</f>
        <v>0</v>
      </c>
    </row>
    <row r="2516" spans="1:13" x14ac:dyDescent="0.3">
      <c r="A2516" s="6">
        <f>+'[1]VENTAS(RESUMEN GLOBAL)'!L2516</f>
        <v>0</v>
      </c>
      <c r="B2516" s="6">
        <f>+'[1]VENTAS(RESUMEN GLOBAL)'!M2516</f>
        <v>0</v>
      </c>
      <c r="C2516">
        <f>+'[1]VENTAS(RESUMEN GLOBAL)'!B2516</f>
        <v>0</v>
      </c>
      <c r="D2516" t="e">
        <f>INDEX('[1]CÓDIGOS DE PRODUCTO'!$D$3:$D$1000,MATCH(C2516,'[1]CÓDIGOS DE PRODUCTO'!$A$3:$A$1000,0))</f>
        <v>#N/A</v>
      </c>
      <c r="E2516">
        <f>VLOOKUP(C2516,'[1]CÓDIGOS DE PRODUCTO'!$A$4:$B$156,2,FALSE)</f>
        <v>0</v>
      </c>
      <c r="F2516">
        <f>INDEX('[1]CÓDIGOS DE PRODUCTO'!$C$3:$C$1000,MATCH(C2516,'[1]CÓDIGOS DE PRODUCTO'!$A$3:$A$1000,0))</f>
        <v>0</v>
      </c>
      <c r="G2516">
        <f>+'[1]VENTAS(RESUMEN GLOBAL)'!D2516-'[1]VENTAS(RESUMEN GLOBAL)'!E2516</f>
        <v>0</v>
      </c>
      <c r="H2516" s="9">
        <f>+'[1]VENTAS(RESUMEN GLOBAL)'!K2516</f>
        <v>0</v>
      </c>
      <c r="I2516" s="8">
        <f>+G2516*'[1]VENTAS(RESUMEN GLOBAL)'!F2516</f>
        <v>0</v>
      </c>
      <c r="J2516" s="8">
        <f>'[1]VENTAS(RESUMEN GLOBAL)'!G2516*(1-'[1]VENTAS(RESUMEN GLOBAL)'!H2516)</f>
        <v>0</v>
      </c>
      <c r="K2516" s="8">
        <f t="shared" si="39"/>
        <v>0</v>
      </c>
      <c r="L2516" s="8">
        <f>+'[1]VENTAS(RESUMEN GLOBAL)'!J2516</f>
        <v>0</v>
      </c>
      <c r="M2516" s="8">
        <f>+Tabla1[[#This Row],[utilidad x dia]]*7</f>
        <v>0</v>
      </c>
    </row>
    <row r="2517" spans="1:13" x14ac:dyDescent="0.3">
      <c r="A2517" s="6">
        <f>+'[1]VENTAS(RESUMEN GLOBAL)'!L2517</f>
        <v>0</v>
      </c>
      <c r="B2517" s="6">
        <f>+'[1]VENTAS(RESUMEN GLOBAL)'!M2517</f>
        <v>0</v>
      </c>
      <c r="C2517">
        <f>+'[1]VENTAS(RESUMEN GLOBAL)'!B2517</f>
        <v>0</v>
      </c>
      <c r="D2517" t="e">
        <f>INDEX('[1]CÓDIGOS DE PRODUCTO'!$D$3:$D$1000,MATCH(C2517,'[1]CÓDIGOS DE PRODUCTO'!$A$3:$A$1000,0))</f>
        <v>#N/A</v>
      </c>
      <c r="E2517">
        <f>VLOOKUP(C2517,'[1]CÓDIGOS DE PRODUCTO'!$A$4:$B$156,2,FALSE)</f>
        <v>0</v>
      </c>
      <c r="F2517">
        <f>INDEX('[1]CÓDIGOS DE PRODUCTO'!$C$3:$C$1000,MATCH(C2517,'[1]CÓDIGOS DE PRODUCTO'!$A$3:$A$1000,0))</f>
        <v>0</v>
      </c>
      <c r="G2517">
        <f>+'[1]VENTAS(RESUMEN GLOBAL)'!D2517-'[1]VENTAS(RESUMEN GLOBAL)'!E2517</f>
        <v>0</v>
      </c>
      <c r="H2517" s="9">
        <f>+'[1]VENTAS(RESUMEN GLOBAL)'!K2517</f>
        <v>0</v>
      </c>
      <c r="I2517" s="8">
        <f>+G2517*'[1]VENTAS(RESUMEN GLOBAL)'!F2517</f>
        <v>0</v>
      </c>
      <c r="J2517" s="8">
        <f>'[1]VENTAS(RESUMEN GLOBAL)'!G2517*(1-'[1]VENTAS(RESUMEN GLOBAL)'!H2517)</f>
        <v>0</v>
      </c>
      <c r="K2517" s="8">
        <f t="shared" si="39"/>
        <v>0</v>
      </c>
      <c r="L2517" s="8">
        <f>+'[1]VENTAS(RESUMEN GLOBAL)'!J2517</f>
        <v>0</v>
      </c>
      <c r="M2517" s="8">
        <f>+Tabla1[[#This Row],[utilidad x dia]]*7</f>
        <v>0</v>
      </c>
    </row>
    <row r="2518" spans="1:13" x14ac:dyDescent="0.3">
      <c r="A2518" s="6">
        <f>+'[1]VENTAS(RESUMEN GLOBAL)'!L2518</f>
        <v>0</v>
      </c>
      <c r="B2518" s="6">
        <f>+'[1]VENTAS(RESUMEN GLOBAL)'!M2518</f>
        <v>0</v>
      </c>
      <c r="C2518">
        <f>+'[1]VENTAS(RESUMEN GLOBAL)'!B2518</f>
        <v>0</v>
      </c>
      <c r="D2518" t="e">
        <f>INDEX('[1]CÓDIGOS DE PRODUCTO'!$D$3:$D$1000,MATCH(C2518,'[1]CÓDIGOS DE PRODUCTO'!$A$3:$A$1000,0))</f>
        <v>#N/A</v>
      </c>
      <c r="E2518">
        <f>VLOOKUP(C2518,'[1]CÓDIGOS DE PRODUCTO'!$A$4:$B$156,2,FALSE)</f>
        <v>0</v>
      </c>
      <c r="F2518">
        <f>INDEX('[1]CÓDIGOS DE PRODUCTO'!$C$3:$C$1000,MATCH(C2518,'[1]CÓDIGOS DE PRODUCTO'!$A$3:$A$1000,0))</f>
        <v>0</v>
      </c>
      <c r="G2518">
        <f>+'[1]VENTAS(RESUMEN GLOBAL)'!D2518-'[1]VENTAS(RESUMEN GLOBAL)'!E2518</f>
        <v>0</v>
      </c>
      <c r="H2518" s="9">
        <f>+'[1]VENTAS(RESUMEN GLOBAL)'!K2518</f>
        <v>0</v>
      </c>
      <c r="I2518" s="8">
        <f>+G2518*'[1]VENTAS(RESUMEN GLOBAL)'!F2518</f>
        <v>0</v>
      </c>
      <c r="J2518" s="8">
        <f>'[1]VENTAS(RESUMEN GLOBAL)'!G2518*(1-'[1]VENTAS(RESUMEN GLOBAL)'!H2518)</f>
        <v>0</v>
      </c>
      <c r="K2518" s="8">
        <f t="shared" si="39"/>
        <v>0</v>
      </c>
      <c r="L2518" s="8">
        <f>+'[1]VENTAS(RESUMEN GLOBAL)'!J2518</f>
        <v>0</v>
      </c>
      <c r="M2518" s="8">
        <f>+Tabla1[[#This Row],[utilidad x dia]]*7</f>
        <v>0</v>
      </c>
    </row>
    <row r="2519" spans="1:13" x14ac:dyDescent="0.3">
      <c r="A2519" s="6">
        <f>+'[1]VENTAS(RESUMEN GLOBAL)'!L2519</f>
        <v>0</v>
      </c>
      <c r="B2519" s="6">
        <f>+'[1]VENTAS(RESUMEN GLOBAL)'!M2519</f>
        <v>0</v>
      </c>
      <c r="C2519">
        <f>+'[1]VENTAS(RESUMEN GLOBAL)'!B2519</f>
        <v>0</v>
      </c>
      <c r="D2519" t="e">
        <f>INDEX('[1]CÓDIGOS DE PRODUCTO'!$D$3:$D$1000,MATCH(C2519,'[1]CÓDIGOS DE PRODUCTO'!$A$3:$A$1000,0))</f>
        <v>#N/A</v>
      </c>
      <c r="E2519">
        <f>VLOOKUP(C2519,'[1]CÓDIGOS DE PRODUCTO'!$A$4:$B$156,2,FALSE)</f>
        <v>0</v>
      </c>
      <c r="F2519">
        <f>INDEX('[1]CÓDIGOS DE PRODUCTO'!$C$3:$C$1000,MATCH(C2519,'[1]CÓDIGOS DE PRODUCTO'!$A$3:$A$1000,0))</f>
        <v>0</v>
      </c>
      <c r="G2519">
        <f>+'[1]VENTAS(RESUMEN GLOBAL)'!D2519-'[1]VENTAS(RESUMEN GLOBAL)'!E2519</f>
        <v>0</v>
      </c>
      <c r="H2519" s="9">
        <f>+'[1]VENTAS(RESUMEN GLOBAL)'!K2519</f>
        <v>0</v>
      </c>
      <c r="I2519" s="8">
        <f>+G2519*'[1]VENTAS(RESUMEN GLOBAL)'!F2519</f>
        <v>0</v>
      </c>
      <c r="J2519" s="8">
        <f>'[1]VENTAS(RESUMEN GLOBAL)'!G2519*(1-'[1]VENTAS(RESUMEN GLOBAL)'!H2519)</f>
        <v>0</v>
      </c>
      <c r="K2519" s="8">
        <f t="shared" si="39"/>
        <v>0</v>
      </c>
      <c r="L2519" s="8">
        <f>+'[1]VENTAS(RESUMEN GLOBAL)'!J2519</f>
        <v>0</v>
      </c>
      <c r="M2519" s="8">
        <f>+Tabla1[[#This Row],[utilidad x dia]]*7</f>
        <v>0</v>
      </c>
    </row>
    <row r="2520" spans="1:13" x14ac:dyDescent="0.3">
      <c r="A2520" s="6">
        <f>+'[1]VENTAS(RESUMEN GLOBAL)'!L2520</f>
        <v>0</v>
      </c>
      <c r="B2520" s="6">
        <f>+'[1]VENTAS(RESUMEN GLOBAL)'!M2520</f>
        <v>0</v>
      </c>
      <c r="C2520">
        <f>+'[1]VENTAS(RESUMEN GLOBAL)'!B2520</f>
        <v>0</v>
      </c>
      <c r="D2520" t="e">
        <f>INDEX('[1]CÓDIGOS DE PRODUCTO'!$D$3:$D$1000,MATCH(C2520,'[1]CÓDIGOS DE PRODUCTO'!$A$3:$A$1000,0))</f>
        <v>#N/A</v>
      </c>
      <c r="E2520">
        <f>VLOOKUP(C2520,'[1]CÓDIGOS DE PRODUCTO'!$A$4:$B$156,2,FALSE)</f>
        <v>0</v>
      </c>
      <c r="F2520">
        <f>INDEX('[1]CÓDIGOS DE PRODUCTO'!$C$3:$C$1000,MATCH(C2520,'[1]CÓDIGOS DE PRODUCTO'!$A$3:$A$1000,0))</f>
        <v>0</v>
      </c>
      <c r="G2520">
        <f>+'[1]VENTAS(RESUMEN GLOBAL)'!D2520-'[1]VENTAS(RESUMEN GLOBAL)'!E2520</f>
        <v>0</v>
      </c>
      <c r="H2520" s="9">
        <f>+'[1]VENTAS(RESUMEN GLOBAL)'!K2520</f>
        <v>0</v>
      </c>
      <c r="I2520" s="8">
        <f>+G2520*'[1]VENTAS(RESUMEN GLOBAL)'!F2520</f>
        <v>0</v>
      </c>
      <c r="J2520" s="8">
        <f>'[1]VENTAS(RESUMEN GLOBAL)'!G2520*(1-'[1]VENTAS(RESUMEN GLOBAL)'!H2520)</f>
        <v>0</v>
      </c>
      <c r="K2520" s="8">
        <f t="shared" si="39"/>
        <v>0</v>
      </c>
      <c r="L2520" s="8">
        <f>+'[1]VENTAS(RESUMEN GLOBAL)'!J2520</f>
        <v>0</v>
      </c>
      <c r="M2520" s="8">
        <f>+Tabla1[[#This Row],[utilidad x dia]]*7</f>
        <v>0</v>
      </c>
    </row>
    <row r="2521" spans="1:13" x14ac:dyDescent="0.3">
      <c r="A2521" s="6">
        <f>+'[1]VENTAS(RESUMEN GLOBAL)'!L2521</f>
        <v>0</v>
      </c>
      <c r="B2521" s="6">
        <f>+'[1]VENTAS(RESUMEN GLOBAL)'!M2521</f>
        <v>0</v>
      </c>
      <c r="C2521">
        <f>+'[1]VENTAS(RESUMEN GLOBAL)'!B2521</f>
        <v>0</v>
      </c>
      <c r="D2521" t="e">
        <f>INDEX('[1]CÓDIGOS DE PRODUCTO'!$D$3:$D$1000,MATCH(C2521,'[1]CÓDIGOS DE PRODUCTO'!$A$3:$A$1000,0))</f>
        <v>#N/A</v>
      </c>
      <c r="E2521">
        <f>VLOOKUP(C2521,'[1]CÓDIGOS DE PRODUCTO'!$A$4:$B$156,2,FALSE)</f>
        <v>0</v>
      </c>
      <c r="F2521">
        <f>INDEX('[1]CÓDIGOS DE PRODUCTO'!$C$3:$C$1000,MATCH(C2521,'[1]CÓDIGOS DE PRODUCTO'!$A$3:$A$1000,0))</f>
        <v>0</v>
      </c>
      <c r="G2521">
        <f>+'[1]VENTAS(RESUMEN GLOBAL)'!D2521-'[1]VENTAS(RESUMEN GLOBAL)'!E2521</f>
        <v>0</v>
      </c>
      <c r="H2521" s="9">
        <f>+'[1]VENTAS(RESUMEN GLOBAL)'!K2521</f>
        <v>0</v>
      </c>
      <c r="I2521" s="8">
        <f>+G2521*'[1]VENTAS(RESUMEN GLOBAL)'!F2521</f>
        <v>0</v>
      </c>
      <c r="J2521" s="8">
        <f>'[1]VENTAS(RESUMEN GLOBAL)'!G2521*(1-'[1]VENTAS(RESUMEN GLOBAL)'!H2521)</f>
        <v>0</v>
      </c>
      <c r="K2521" s="8">
        <f t="shared" si="39"/>
        <v>0</v>
      </c>
      <c r="L2521" s="8">
        <f>+'[1]VENTAS(RESUMEN GLOBAL)'!J2521</f>
        <v>0</v>
      </c>
      <c r="M2521" s="8">
        <f>+Tabla1[[#This Row],[utilidad x dia]]*7</f>
        <v>0</v>
      </c>
    </row>
    <row r="2522" spans="1:13" x14ac:dyDescent="0.3">
      <c r="A2522" s="6">
        <f>+'[1]VENTAS(RESUMEN GLOBAL)'!L2522</f>
        <v>0</v>
      </c>
      <c r="B2522" s="6">
        <f>+'[1]VENTAS(RESUMEN GLOBAL)'!M2522</f>
        <v>0</v>
      </c>
      <c r="C2522">
        <f>+'[1]VENTAS(RESUMEN GLOBAL)'!B2522</f>
        <v>0</v>
      </c>
      <c r="D2522" t="e">
        <f>INDEX('[1]CÓDIGOS DE PRODUCTO'!$D$3:$D$1000,MATCH(C2522,'[1]CÓDIGOS DE PRODUCTO'!$A$3:$A$1000,0))</f>
        <v>#N/A</v>
      </c>
      <c r="E2522">
        <f>VLOOKUP(C2522,'[1]CÓDIGOS DE PRODUCTO'!$A$4:$B$156,2,FALSE)</f>
        <v>0</v>
      </c>
      <c r="F2522">
        <f>INDEX('[1]CÓDIGOS DE PRODUCTO'!$C$3:$C$1000,MATCH(C2522,'[1]CÓDIGOS DE PRODUCTO'!$A$3:$A$1000,0))</f>
        <v>0</v>
      </c>
      <c r="G2522">
        <f>+'[1]VENTAS(RESUMEN GLOBAL)'!D2522-'[1]VENTAS(RESUMEN GLOBAL)'!E2522</f>
        <v>0</v>
      </c>
      <c r="H2522" s="9">
        <f>+'[1]VENTAS(RESUMEN GLOBAL)'!K2522</f>
        <v>0</v>
      </c>
      <c r="I2522" s="8">
        <f>+G2522*'[1]VENTAS(RESUMEN GLOBAL)'!F2522</f>
        <v>0</v>
      </c>
      <c r="J2522" s="8">
        <f>'[1]VENTAS(RESUMEN GLOBAL)'!G2522*(1-'[1]VENTAS(RESUMEN GLOBAL)'!H2522)</f>
        <v>0</v>
      </c>
      <c r="K2522" s="8">
        <f t="shared" si="39"/>
        <v>0</v>
      </c>
      <c r="L2522" s="8">
        <f>+'[1]VENTAS(RESUMEN GLOBAL)'!J2522</f>
        <v>0</v>
      </c>
      <c r="M2522" s="8">
        <f>+Tabla1[[#This Row],[utilidad x dia]]*7</f>
        <v>0</v>
      </c>
    </row>
    <row r="2523" spans="1:13" x14ac:dyDescent="0.3">
      <c r="A2523" s="6">
        <f>+'[1]VENTAS(RESUMEN GLOBAL)'!L2523</f>
        <v>0</v>
      </c>
      <c r="B2523" s="6">
        <f>+'[1]VENTAS(RESUMEN GLOBAL)'!M2523</f>
        <v>0</v>
      </c>
      <c r="C2523">
        <f>+'[1]VENTAS(RESUMEN GLOBAL)'!B2523</f>
        <v>0</v>
      </c>
      <c r="D2523" t="e">
        <f>INDEX('[1]CÓDIGOS DE PRODUCTO'!$D$3:$D$1000,MATCH(C2523,'[1]CÓDIGOS DE PRODUCTO'!$A$3:$A$1000,0))</f>
        <v>#N/A</v>
      </c>
      <c r="E2523">
        <f>VLOOKUP(C2523,'[1]CÓDIGOS DE PRODUCTO'!$A$4:$B$156,2,FALSE)</f>
        <v>0</v>
      </c>
      <c r="F2523">
        <f>INDEX('[1]CÓDIGOS DE PRODUCTO'!$C$3:$C$1000,MATCH(C2523,'[1]CÓDIGOS DE PRODUCTO'!$A$3:$A$1000,0))</f>
        <v>0</v>
      </c>
      <c r="G2523">
        <f>+'[1]VENTAS(RESUMEN GLOBAL)'!D2523-'[1]VENTAS(RESUMEN GLOBAL)'!E2523</f>
        <v>0</v>
      </c>
      <c r="H2523" s="9">
        <f>+'[1]VENTAS(RESUMEN GLOBAL)'!K2523</f>
        <v>0</v>
      </c>
      <c r="I2523" s="8">
        <f>+G2523*'[1]VENTAS(RESUMEN GLOBAL)'!F2523</f>
        <v>0</v>
      </c>
      <c r="J2523" s="8">
        <f>'[1]VENTAS(RESUMEN GLOBAL)'!G2523*(1-'[1]VENTAS(RESUMEN GLOBAL)'!H2523)</f>
        <v>0</v>
      </c>
      <c r="K2523" s="8">
        <f t="shared" si="39"/>
        <v>0</v>
      </c>
      <c r="L2523" s="8">
        <f>+'[1]VENTAS(RESUMEN GLOBAL)'!J2523</f>
        <v>0</v>
      </c>
      <c r="M2523" s="8">
        <f>+Tabla1[[#This Row],[utilidad x dia]]*7</f>
        <v>0</v>
      </c>
    </row>
    <row r="2524" spans="1:13" x14ac:dyDescent="0.3">
      <c r="A2524" s="6">
        <f>+'[1]VENTAS(RESUMEN GLOBAL)'!L2524</f>
        <v>0</v>
      </c>
      <c r="B2524" s="6">
        <f>+'[1]VENTAS(RESUMEN GLOBAL)'!M2524</f>
        <v>0</v>
      </c>
      <c r="C2524">
        <f>+'[1]VENTAS(RESUMEN GLOBAL)'!B2524</f>
        <v>0</v>
      </c>
      <c r="D2524" t="e">
        <f>INDEX('[1]CÓDIGOS DE PRODUCTO'!$D$3:$D$1000,MATCH(C2524,'[1]CÓDIGOS DE PRODUCTO'!$A$3:$A$1000,0))</f>
        <v>#N/A</v>
      </c>
      <c r="E2524">
        <f>VLOOKUP(C2524,'[1]CÓDIGOS DE PRODUCTO'!$A$4:$B$156,2,FALSE)</f>
        <v>0</v>
      </c>
      <c r="F2524">
        <f>INDEX('[1]CÓDIGOS DE PRODUCTO'!$C$3:$C$1000,MATCH(C2524,'[1]CÓDIGOS DE PRODUCTO'!$A$3:$A$1000,0))</f>
        <v>0</v>
      </c>
      <c r="G2524">
        <f>+'[1]VENTAS(RESUMEN GLOBAL)'!D2524-'[1]VENTAS(RESUMEN GLOBAL)'!E2524</f>
        <v>0</v>
      </c>
      <c r="H2524" s="9">
        <f>+'[1]VENTAS(RESUMEN GLOBAL)'!K2524</f>
        <v>0</v>
      </c>
      <c r="I2524" s="8">
        <f>+G2524*'[1]VENTAS(RESUMEN GLOBAL)'!F2524</f>
        <v>0</v>
      </c>
      <c r="J2524" s="8">
        <f>'[1]VENTAS(RESUMEN GLOBAL)'!G2524*(1-'[1]VENTAS(RESUMEN GLOBAL)'!H2524)</f>
        <v>0</v>
      </c>
      <c r="K2524" s="8">
        <f t="shared" si="39"/>
        <v>0</v>
      </c>
      <c r="L2524" s="8">
        <f>+'[1]VENTAS(RESUMEN GLOBAL)'!J2524</f>
        <v>0</v>
      </c>
      <c r="M2524" s="8">
        <f>+Tabla1[[#This Row],[utilidad x dia]]*7</f>
        <v>0</v>
      </c>
    </row>
    <row r="2525" spans="1:13" x14ac:dyDescent="0.3">
      <c r="A2525" s="6">
        <f>+'[1]VENTAS(RESUMEN GLOBAL)'!L2525</f>
        <v>0</v>
      </c>
      <c r="B2525" s="6">
        <f>+'[1]VENTAS(RESUMEN GLOBAL)'!M2525</f>
        <v>0</v>
      </c>
      <c r="C2525">
        <f>+'[1]VENTAS(RESUMEN GLOBAL)'!B2525</f>
        <v>0</v>
      </c>
      <c r="D2525" t="e">
        <f>INDEX('[1]CÓDIGOS DE PRODUCTO'!$D$3:$D$1000,MATCH(C2525,'[1]CÓDIGOS DE PRODUCTO'!$A$3:$A$1000,0))</f>
        <v>#N/A</v>
      </c>
      <c r="E2525">
        <f>VLOOKUP(C2525,'[1]CÓDIGOS DE PRODUCTO'!$A$4:$B$156,2,FALSE)</f>
        <v>0</v>
      </c>
      <c r="F2525">
        <f>INDEX('[1]CÓDIGOS DE PRODUCTO'!$C$3:$C$1000,MATCH(C2525,'[1]CÓDIGOS DE PRODUCTO'!$A$3:$A$1000,0))</f>
        <v>0</v>
      </c>
      <c r="G2525">
        <f>+'[1]VENTAS(RESUMEN GLOBAL)'!D2525-'[1]VENTAS(RESUMEN GLOBAL)'!E2525</f>
        <v>0</v>
      </c>
      <c r="H2525" s="9">
        <f>+'[1]VENTAS(RESUMEN GLOBAL)'!K2525</f>
        <v>0</v>
      </c>
      <c r="I2525" s="8">
        <f>+G2525*'[1]VENTAS(RESUMEN GLOBAL)'!F2525</f>
        <v>0</v>
      </c>
      <c r="J2525" s="8">
        <f>'[1]VENTAS(RESUMEN GLOBAL)'!G2525*(1-'[1]VENTAS(RESUMEN GLOBAL)'!H2525)</f>
        <v>0</v>
      </c>
      <c r="K2525" s="8">
        <f t="shared" si="39"/>
        <v>0</v>
      </c>
      <c r="L2525" s="8">
        <f>+'[1]VENTAS(RESUMEN GLOBAL)'!J2525</f>
        <v>0</v>
      </c>
      <c r="M2525" s="8">
        <f>+Tabla1[[#This Row],[utilidad x dia]]*7</f>
        <v>0</v>
      </c>
    </row>
    <row r="2526" spans="1:13" x14ac:dyDescent="0.3">
      <c r="A2526" s="6">
        <f>+'[1]VENTAS(RESUMEN GLOBAL)'!L2526</f>
        <v>0</v>
      </c>
      <c r="B2526" s="6">
        <f>+'[1]VENTAS(RESUMEN GLOBAL)'!M2526</f>
        <v>0</v>
      </c>
      <c r="C2526">
        <f>+'[1]VENTAS(RESUMEN GLOBAL)'!B2526</f>
        <v>0</v>
      </c>
      <c r="D2526" t="e">
        <f>INDEX('[1]CÓDIGOS DE PRODUCTO'!$D$3:$D$1000,MATCH(C2526,'[1]CÓDIGOS DE PRODUCTO'!$A$3:$A$1000,0))</f>
        <v>#N/A</v>
      </c>
      <c r="E2526">
        <f>VLOOKUP(C2526,'[1]CÓDIGOS DE PRODUCTO'!$A$4:$B$156,2,FALSE)</f>
        <v>0</v>
      </c>
      <c r="F2526">
        <f>INDEX('[1]CÓDIGOS DE PRODUCTO'!$C$3:$C$1000,MATCH(C2526,'[1]CÓDIGOS DE PRODUCTO'!$A$3:$A$1000,0))</f>
        <v>0</v>
      </c>
      <c r="G2526">
        <f>+'[1]VENTAS(RESUMEN GLOBAL)'!D2526-'[1]VENTAS(RESUMEN GLOBAL)'!E2526</f>
        <v>0</v>
      </c>
      <c r="H2526" s="9">
        <f>+'[1]VENTAS(RESUMEN GLOBAL)'!K2526</f>
        <v>0</v>
      </c>
      <c r="I2526" s="8">
        <f>+G2526*'[1]VENTAS(RESUMEN GLOBAL)'!F2526</f>
        <v>0</v>
      </c>
      <c r="J2526" s="8">
        <f>'[1]VENTAS(RESUMEN GLOBAL)'!G2526*(1-'[1]VENTAS(RESUMEN GLOBAL)'!H2526)</f>
        <v>0</v>
      </c>
      <c r="K2526" s="8">
        <f t="shared" si="39"/>
        <v>0</v>
      </c>
      <c r="L2526" s="8">
        <f>+'[1]VENTAS(RESUMEN GLOBAL)'!J2526</f>
        <v>0</v>
      </c>
      <c r="M2526" s="8">
        <f>+Tabla1[[#This Row],[utilidad x dia]]*7</f>
        <v>0</v>
      </c>
    </row>
    <row r="2527" spans="1:13" x14ac:dyDescent="0.3">
      <c r="A2527" s="6">
        <f>+'[1]VENTAS(RESUMEN GLOBAL)'!L2527</f>
        <v>0</v>
      </c>
      <c r="B2527" s="6">
        <f>+'[1]VENTAS(RESUMEN GLOBAL)'!M2527</f>
        <v>0</v>
      </c>
      <c r="C2527">
        <f>+'[1]VENTAS(RESUMEN GLOBAL)'!B2527</f>
        <v>0</v>
      </c>
      <c r="D2527" t="e">
        <f>INDEX('[1]CÓDIGOS DE PRODUCTO'!$D$3:$D$1000,MATCH(C2527,'[1]CÓDIGOS DE PRODUCTO'!$A$3:$A$1000,0))</f>
        <v>#N/A</v>
      </c>
      <c r="E2527">
        <f>VLOOKUP(C2527,'[1]CÓDIGOS DE PRODUCTO'!$A$4:$B$156,2,FALSE)</f>
        <v>0</v>
      </c>
      <c r="F2527">
        <f>INDEX('[1]CÓDIGOS DE PRODUCTO'!$C$3:$C$1000,MATCH(C2527,'[1]CÓDIGOS DE PRODUCTO'!$A$3:$A$1000,0))</f>
        <v>0</v>
      </c>
      <c r="G2527">
        <f>+'[1]VENTAS(RESUMEN GLOBAL)'!D2527-'[1]VENTAS(RESUMEN GLOBAL)'!E2527</f>
        <v>0</v>
      </c>
      <c r="H2527" s="9">
        <f>+'[1]VENTAS(RESUMEN GLOBAL)'!K2527</f>
        <v>0</v>
      </c>
      <c r="I2527" s="8">
        <f>+G2527*'[1]VENTAS(RESUMEN GLOBAL)'!F2527</f>
        <v>0</v>
      </c>
      <c r="J2527" s="8">
        <f>'[1]VENTAS(RESUMEN GLOBAL)'!G2527*(1-'[1]VENTAS(RESUMEN GLOBAL)'!H2527)</f>
        <v>0</v>
      </c>
      <c r="K2527" s="8">
        <f t="shared" si="39"/>
        <v>0</v>
      </c>
      <c r="L2527" s="8">
        <f>+'[1]VENTAS(RESUMEN GLOBAL)'!J2527</f>
        <v>0</v>
      </c>
      <c r="M2527" s="8">
        <f>+Tabla1[[#This Row],[utilidad x dia]]*7</f>
        <v>0</v>
      </c>
    </row>
    <row r="2528" spans="1:13" x14ac:dyDescent="0.3">
      <c r="A2528" s="6">
        <f>+'[1]VENTAS(RESUMEN GLOBAL)'!L2528</f>
        <v>0</v>
      </c>
      <c r="B2528" s="6">
        <f>+'[1]VENTAS(RESUMEN GLOBAL)'!M2528</f>
        <v>0</v>
      </c>
      <c r="C2528">
        <f>+'[1]VENTAS(RESUMEN GLOBAL)'!B2528</f>
        <v>0</v>
      </c>
      <c r="D2528" t="e">
        <f>INDEX('[1]CÓDIGOS DE PRODUCTO'!$D$3:$D$1000,MATCH(C2528,'[1]CÓDIGOS DE PRODUCTO'!$A$3:$A$1000,0))</f>
        <v>#N/A</v>
      </c>
      <c r="E2528">
        <f>VLOOKUP(C2528,'[1]CÓDIGOS DE PRODUCTO'!$A$4:$B$156,2,FALSE)</f>
        <v>0</v>
      </c>
      <c r="F2528">
        <f>INDEX('[1]CÓDIGOS DE PRODUCTO'!$C$3:$C$1000,MATCH(C2528,'[1]CÓDIGOS DE PRODUCTO'!$A$3:$A$1000,0))</f>
        <v>0</v>
      </c>
      <c r="G2528">
        <f>+'[1]VENTAS(RESUMEN GLOBAL)'!D2528-'[1]VENTAS(RESUMEN GLOBAL)'!E2528</f>
        <v>0</v>
      </c>
      <c r="H2528" s="9">
        <f>+'[1]VENTAS(RESUMEN GLOBAL)'!K2528</f>
        <v>0</v>
      </c>
      <c r="I2528" s="8">
        <f>+G2528*'[1]VENTAS(RESUMEN GLOBAL)'!F2528</f>
        <v>0</v>
      </c>
      <c r="J2528" s="8">
        <f>'[1]VENTAS(RESUMEN GLOBAL)'!G2528*(1-'[1]VENTAS(RESUMEN GLOBAL)'!H2528)</f>
        <v>0</v>
      </c>
      <c r="K2528" s="8">
        <f t="shared" si="39"/>
        <v>0</v>
      </c>
      <c r="L2528" s="8">
        <f>+'[1]VENTAS(RESUMEN GLOBAL)'!J2528</f>
        <v>0</v>
      </c>
      <c r="M2528" s="8">
        <f>+Tabla1[[#This Row],[utilidad x dia]]*7</f>
        <v>0</v>
      </c>
    </row>
    <row r="2529" spans="1:13" x14ac:dyDescent="0.3">
      <c r="A2529" s="6">
        <f>+'[1]VENTAS(RESUMEN GLOBAL)'!L2529</f>
        <v>0</v>
      </c>
      <c r="B2529" s="6">
        <f>+'[1]VENTAS(RESUMEN GLOBAL)'!M2529</f>
        <v>0</v>
      </c>
      <c r="C2529">
        <f>+'[1]VENTAS(RESUMEN GLOBAL)'!B2529</f>
        <v>0</v>
      </c>
      <c r="D2529" t="e">
        <f>INDEX('[1]CÓDIGOS DE PRODUCTO'!$D$3:$D$1000,MATCH(C2529,'[1]CÓDIGOS DE PRODUCTO'!$A$3:$A$1000,0))</f>
        <v>#N/A</v>
      </c>
      <c r="E2529">
        <f>VLOOKUP(C2529,'[1]CÓDIGOS DE PRODUCTO'!$A$4:$B$156,2,FALSE)</f>
        <v>0</v>
      </c>
      <c r="F2529">
        <f>INDEX('[1]CÓDIGOS DE PRODUCTO'!$C$3:$C$1000,MATCH(C2529,'[1]CÓDIGOS DE PRODUCTO'!$A$3:$A$1000,0))</f>
        <v>0</v>
      </c>
      <c r="G2529">
        <f>+'[1]VENTAS(RESUMEN GLOBAL)'!D2529-'[1]VENTAS(RESUMEN GLOBAL)'!E2529</f>
        <v>0</v>
      </c>
      <c r="H2529" s="9">
        <f>+'[1]VENTAS(RESUMEN GLOBAL)'!K2529</f>
        <v>0</v>
      </c>
      <c r="I2529" s="8">
        <f>+G2529*'[1]VENTAS(RESUMEN GLOBAL)'!F2529</f>
        <v>0</v>
      </c>
      <c r="J2529" s="8">
        <f>'[1]VENTAS(RESUMEN GLOBAL)'!G2529*(1-'[1]VENTAS(RESUMEN GLOBAL)'!H2529)</f>
        <v>0</v>
      </c>
      <c r="K2529" s="8">
        <f t="shared" si="39"/>
        <v>0</v>
      </c>
      <c r="L2529" s="8">
        <f>+'[1]VENTAS(RESUMEN GLOBAL)'!J2529</f>
        <v>0</v>
      </c>
      <c r="M2529" s="8">
        <f>+Tabla1[[#This Row],[utilidad x dia]]*7</f>
        <v>0</v>
      </c>
    </row>
    <row r="2530" spans="1:13" x14ac:dyDescent="0.3">
      <c r="A2530" s="6">
        <f>+'[1]VENTAS(RESUMEN GLOBAL)'!L2530</f>
        <v>0</v>
      </c>
      <c r="B2530" s="6">
        <f>+'[1]VENTAS(RESUMEN GLOBAL)'!M2530</f>
        <v>0</v>
      </c>
      <c r="C2530">
        <f>+'[1]VENTAS(RESUMEN GLOBAL)'!B2530</f>
        <v>0</v>
      </c>
      <c r="D2530" t="e">
        <f>INDEX('[1]CÓDIGOS DE PRODUCTO'!$D$3:$D$1000,MATCH(C2530,'[1]CÓDIGOS DE PRODUCTO'!$A$3:$A$1000,0))</f>
        <v>#N/A</v>
      </c>
      <c r="E2530">
        <f>VLOOKUP(C2530,'[1]CÓDIGOS DE PRODUCTO'!$A$4:$B$156,2,FALSE)</f>
        <v>0</v>
      </c>
      <c r="F2530">
        <f>INDEX('[1]CÓDIGOS DE PRODUCTO'!$C$3:$C$1000,MATCH(C2530,'[1]CÓDIGOS DE PRODUCTO'!$A$3:$A$1000,0))</f>
        <v>0</v>
      </c>
      <c r="G2530">
        <f>+'[1]VENTAS(RESUMEN GLOBAL)'!D2530-'[1]VENTAS(RESUMEN GLOBAL)'!E2530</f>
        <v>0</v>
      </c>
      <c r="H2530" s="9">
        <f>+'[1]VENTAS(RESUMEN GLOBAL)'!K2530</f>
        <v>0</v>
      </c>
      <c r="I2530" s="8">
        <f>+G2530*'[1]VENTAS(RESUMEN GLOBAL)'!F2530</f>
        <v>0</v>
      </c>
      <c r="J2530" s="8">
        <f>'[1]VENTAS(RESUMEN GLOBAL)'!G2530*(1-'[1]VENTAS(RESUMEN GLOBAL)'!H2530)</f>
        <v>0</v>
      </c>
      <c r="K2530" s="8">
        <f t="shared" si="39"/>
        <v>0</v>
      </c>
      <c r="L2530" s="8">
        <f>+'[1]VENTAS(RESUMEN GLOBAL)'!J2530</f>
        <v>0</v>
      </c>
      <c r="M2530" s="8">
        <f>+Tabla1[[#This Row],[utilidad x dia]]*7</f>
        <v>0</v>
      </c>
    </row>
    <row r="2531" spans="1:13" x14ac:dyDescent="0.3">
      <c r="A2531" s="6">
        <f>+'[1]VENTAS(RESUMEN GLOBAL)'!L2531</f>
        <v>0</v>
      </c>
      <c r="B2531" s="6">
        <f>+'[1]VENTAS(RESUMEN GLOBAL)'!M2531</f>
        <v>0</v>
      </c>
      <c r="C2531">
        <f>+'[1]VENTAS(RESUMEN GLOBAL)'!B2531</f>
        <v>0</v>
      </c>
      <c r="D2531" t="e">
        <f>INDEX('[1]CÓDIGOS DE PRODUCTO'!$D$3:$D$1000,MATCH(C2531,'[1]CÓDIGOS DE PRODUCTO'!$A$3:$A$1000,0))</f>
        <v>#N/A</v>
      </c>
      <c r="E2531">
        <f>VLOOKUP(C2531,'[1]CÓDIGOS DE PRODUCTO'!$A$4:$B$156,2,FALSE)</f>
        <v>0</v>
      </c>
      <c r="F2531">
        <f>INDEX('[1]CÓDIGOS DE PRODUCTO'!$C$3:$C$1000,MATCH(C2531,'[1]CÓDIGOS DE PRODUCTO'!$A$3:$A$1000,0))</f>
        <v>0</v>
      </c>
      <c r="G2531">
        <f>+'[1]VENTAS(RESUMEN GLOBAL)'!D2531-'[1]VENTAS(RESUMEN GLOBAL)'!E2531</f>
        <v>0</v>
      </c>
      <c r="H2531" s="9">
        <f>+'[1]VENTAS(RESUMEN GLOBAL)'!K2531</f>
        <v>0</v>
      </c>
      <c r="I2531" s="8">
        <f>+G2531*'[1]VENTAS(RESUMEN GLOBAL)'!F2531</f>
        <v>0</v>
      </c>
      <c r="J2531" s="8">
        <f>'[1]VENTAS(RESUMEN GLOBAL)'!G2531*(1-'[1]VENTAS(RESUMEN GLOBAL)'!H2531)</f>
        <v>0</v>
      </c>
      <c r="K2531" s="8">
        <f t="shared" si="39"/>
        <v>0</v>
      </c>
      <c r="L2531" s="8">
        <f>+'[1]VENTAS(RESUMEN GLOBAL)'!J2531</f>
        <v>0</v>
      </c>
      <c r="M2531" s="8">
        <f>+Tabla1[[#This Row],[utilidad x dia]]*7</f>
        <v>0</v>
      </c>
    </row>
    <row r="2532" spans="1:13" x14ac:dyDescent="0.3">
      <c r="A2532" s="6">
        <f>+'[1]VENTAS(RESUMEN GLOBAL)'!L2532</f>
        <v>0</v>
      </c>
      <c r="B2532" s="6">
        <f>+'[1]VENTAS(RESUMEN GLOBAL)'!M2532</f>
        <v>0</v>
      </c>
      <c r="C2532">
        <f>+'[1]VENTAS(RESUMEN GLOBAL)'!B2532</f>
        <v>0</v>
      </c>
      <c r="D2532" t="e">
        <f>INDEX('[1]CÓDIGOS DE PRODUCTO'!$D$3:$D$1000,MATCH(C2532,'[1]CÓDIGOS DE PRODUCTO'!$A$3:$A$1000,0))</f>
        <v>#N/A</v>
      </c>
      <c r="E2532">
        <f>VLOOKUP(C2532,'[1]CÓDIGOS DE PRODUCTO'!$A$4:$B$156,2,FALSE)</f>
        <v>0</v>
      </c>
      <c r="F2532">
        <f>INDEX('[1]CÓDIGOS DE PRODUCTO'!$C$3:$C$1000,MATCH(C2532,'[1]CÓDIGOS DE PRODUCTO'!$A$3:$A$1000,0))</f>
        <v>0</v>
      </c>
      <c r="G2532">
        <f>+'[1]VENTAS(RESUMEN GLOBAL)'!D2532-'[1]VENTAS(RESUMEN GLOBAL)'!E2532</f>
        <v>0</v>
      </c>
      <c r="H2532" s="9">
        <f>+'[1]VENTAS(RESUMEN GLOBAL)'!K2532</f>
        <v>0</v>
      </c>
      <c r="I2532" s="8">
        <f>+G2532*'[1]VENTAS(RESUMEN GLOBAL)'!F2532</f>
        <v>0</v>
      </c>
      <c r="J2532" s="8">
        <f>'[1]VENTAS(RESUMEN GLOBAL)'!G2532*(1-'[1]VENTAS(RESUMEN GLOBAL)'!H2532)</f>
        <v>0</v>
      </c>
      <c r="K2532" s="8">
        <f t="shared" si="39"/>
        <v>0</v>
      </c>
      <c r="L2532" s="8">
        <f>+'[1]VENTAS(RESUMEN GLOBAL)'!J2532</f>
        <v>0</v>
      </c>
      <c r="M2532" s="8">
        <f>+Tabla1[[#This Row],[utilidad x dia]]*7</f>
        <v>0</v>
      </c>
    </row>
    <row r="2533" spans="1:13" x14ac:dyDescent="0.3">
      <c r="A2533" s="6">
        <f>+'[1]VENTAS(RESUMEN GLOBAL)'!L2533</f>
        <v>0</v>
      </c>
      <c r="B2533" s="6">
        <f>+'[1]VENTAS(RESUMEN GLOBAL)'!M2533</f>
        <v>0</v>
      </c>
      <c r="C2533">
        <f>+'[1]VENTAS(RESUMEN GLOBAL)'!B2533</f>
        <v>0</v>
      </c>
      <c r="D2533" t="e">
        <f>INDEX('[1]CÓDIGOS DE PRODUCTO'!$D$3:$D$1000,MATCH(C2533,'[1]CÓDIGOS DE PRODUCTO'!$A$3:$A$1000,0))</f>
        <v>#N/A</v>
      </c>
      <c r="E2533">
        <f>VLOOKUP(C2533,'[1]CÓDIGOS DE PRODUCTO'!$A$4:$B$156,2,FALSE)</f>
        <v>0</v>
      </c>
      <c r="F2533">
        <f>INDEX('[1]CÓDIGOS DE PRODUCTO'!$C$3:$C$1000,MATCH(C2533,'[1]CÓDIGOS DE PRODUCTO'!$A$3:$A$1000,0))</f>
        <v>0</v>
      </c>
      <c r="G2533">
        <f>+'[1]VENTAS(RESUMEN GLOBAL)'!D2533-'[1]VENTAS(RESUMEN GLOBAL)'!E2533</f>
        <v>0</v>
      </c>
      <c r="H2533" s="9">
        <f>+'[1]VENTAS(RESUMEN GLOBAL)'!K2533</f>
        <v>0</v>
      </c>
      <c r="I2533" s="8">
        <f>+G2533*'[1]VENTAS(RESUMEN GLOBAL)'!F2533</f>
        <v>0</v>
      </c>
      <c r="J2533" s="8">
        <f>'[1]VENTAS(RESUMEN GLOBAL)'!G2533*(1-'[1]VENTAS(RESUMEN GLOBAL)'!H2533)</f>
        <v>0</v>
      </c>
      <c r="K2533" s="8">
        <f t="shared" si="39"/>
        <v>0</v>
      </c>
      <c r="L2533" s="8">
        <f>+'[1]VENTAS(RESUMEN GLOBAL)'!J2533</f>
        <v>0</v>
      </c>
      <c r="M2533" s="8">
        <f>+Tabla1[[#This Row],[utilidad x dia]]*7</f>
        <v>0</v>
      </c>
    </row>
    <row r="2534" spans="1:13" x14ac:dyDescent="0.3">
      <c r="A2534" s="6">
        <f>+'[1]VENTAS(RESUMEN GLOBAL)'!L2534</f>
        <v>0</v>
      </c>
      <c r="B2534" s="6">
        <f>+'[1]VENTAS(RESUMEN GLOBAL)'!M2534</f>
        <v>0</v>
      </c>
      <c r="C2534">
        <f>+'[1]VENTAS(RESUMEN GLOBAL)'!B2534</f>
        <v>0</v>
      </c>
      <c r="D2534" t="e">
        <f>INDEX('[1]CÓDIGOS DE PRODUCTO'!$D$3:$D$1000,MATCH(C2534,'[1]CÓDIGOS DE PRODUCTO'!$A$3:$A$1000,0))</f>
        <v>#N/A</v>
      </c>
      <c r="E2534">
        <f>VLOOKUP(C2534,'[1]CÓDIGOS DE PRODUCTO'!$A$4:$B$156,2,FALSE)</f>
        <v>0</v>
      </c>
      <c r="F2534">
        <f>INDEX('[1]CÓDIGOS DE PRODUCTO'!$C$3:$C$1000,MATCH(C2534,'[1]CÓDIGOS DE PRODUCTO'!$A$3:$A$1000,0))</f>
        <v>0</v>
      </c>
      <c r="G2534">
        <f>+'[1]VENTAS(RESUMEN GLOBAL)'!D2534-'[1]VENTAS(RESUMEN GLOBAL)'!E2534</f>
        <v>0</v>
      </c>
      <c r="H2534" s="9">
        <f>+'[1]VENTAS(RESUMEN GLOBAL)'!K2534</f>
        <v>0</v>
      </c>
      <c r="I2534" s="8">
        <f>+G2534*'[1]VENTAS(RESUMEN GLOBAL)'!F2534</f>
        <v>0</v>
      </c>
      <c r="J2534" s="8">
        <f>'[1]VENTAS(RESUMEN GLOBAL)'!G2534*(1-'[1]VENTAS(RESUMEN GLOBAL)'!H2534)</f>
        <v>0</v>
      </c>
      <c r="K2534" s="8">
        <f t="shared" si="39"/>
        <v>0</v>
      </c>
      <c r="L2534" s="8">
        <f>+'[1]VENTAS(RESUMEN GLOBAL)'!J2534</f>
        <v>0</v>
      </c>
      <c r="M2534" s="8">
        <f>+Tabla1[[#This Row],[utilidad x dia]]*7</f>
        <v>0</v>
      </c>
    </row>
    <row r="2535" spans="1:13" x14ac:dyDescent="0.3">
      <c r="A2535" s="6">
        <f>+'[1]VENTAS(RESUMEN GLOBAL)'!L2535</f>
        <v>0</v>
      </c>
      <c r="B2535" s="6">
        <f>+'[1]VENTAS(RESUMEN GLOBAL)'!M2535</f>
        <v>0</v>
      </c>
      <c r="C2535">
        <f>+'[1]VENTAS(RESUMEN GLOBAL)'!B2535</f>
        <v>0</v>
      </c>
      <c r="D2535" t="e">
        <f>INDEX('[1]CÓDIGOS DE PRODUCTO'!$D$3:$D$1000,MATCH(C2535,'[1]CÓDIGOS DE PRODUCTO'!$A$3:$A$1000,0))</f>
        <v>#N/A</v>
      </c>
      <c r="E2535">
        <f>VLOOKUP(C2535,'[1]CÓDIGOS DE PRODUCTO'!$A$4:$B$156,2,FALSE)</f>
        <v>0</v>
      </c>
      <c r="F2535">
        <f>INDEX('[1]CÓDIGOS DE PRODUCTO'!$C$3:$C$1000,MATCH(C2535,'[1]CÓDIGOS DE PRODUCTO'!$A$3:$A$1000,0))</f>
        <v>0</v>
      </c>
      <c r="G2535">
        <f>+'[1]VENTAS(RESUMEN GLOBAL)'!D2535-'[1]VENTAS(RESUMEN GLOBAL)'!E2535</f>
        <v>0</v>
      </c>
      <c r="H2535" s="9">
        <f>+'[1]VENTAS(RESUMEN GLOBAL)'!K2535</f>
        <v>0</v>
      </c>
      <c r="I2535" s="8">
        <f>+G2535*'[1]VENTAS(RESUMEN GLOBAL)'!F2535</f>
        <v>0</v>
      </c>
      <c r="J2535" s="8">
        <f>'[1]VENTAS(RESUMEN GLOBAL)'!G2535*(1-'[1]VENTAS(RESUMEN GLOBAL)'!H2535)</f>
        <v>0</v>
      </c>
      <c r="K2535" s="8">
        <f t="shared" si="39"/>
        <v>0</v>
      </c>
      <c r="L2535" s="8">
        <f>+'[1]VENTAS(RESUMEN GLOBAL)'!J2535</f>
        <v>0</v>
      </c>
      <c r="M2535" s="8">
        <f>+Tabla1[[#This Row],[utilidad x dia]]*7</f>
        <v>0</v>
      </c>
    </row>
    <row r="2536" spans="1:13" x14ac:dyDescent="0.3">
      <c r="A2536" s="6">
        <f>+'[1]VENTAS(RESUMEN GLOBAL)'!L2536</f>
        <v>0</v>
      </c>
      <c r="B2536" s="6">
        <f>+'[1]VENTAS(RESUMEN GLOBAL)'!M2536</f>
        <v>0</v>
      </c>
      <c r="C2536">
        <f>+'[1]VENTAS(RESUMEN GLOBAL)'!B2536</f>
        <v>0</v>
      </c>
      <c r="D2536" t="e">
        <f>INDEX('[1]CÓDIGOS DE PRODUCTO'!$D$3:$D$1000,MATCH(C2536,'[1]CÓDIGOS DE PRODUCTO'!$A$3:$A$1000,0))</f>
        <v>#N/A</v>
      </c>
      <c r="E2536">
        <f>VLOOKUP(C2536,'[1]CÓDIGOS DE PRODUCTO'!$A$4:$B$156,2,FALSE)</f>
        <v>0</v>
      </c>
      <c r="F2536">
        <f>INDEX('[1]CÓDIGOS DE PRODUCTO'!$C$3:$C$1000,MATCH(C2536,'[1]CÓDIGOS DE PRODUCTO'!$A$3:$A$1000,0))</f>
        <v>0</v>
      </c>
      <c r="G2536">
        <f>+'[1]VENTAS(RESUMEN GLOBAL)'!D2536-'[1]VENTAS(RESUMEN GLOBAL)'!E2536</f>
        <v>0</v>
      </c>
      <c r="H2536" s="9">
        <f>+'[1]VENTAS(RESUMEN GLOBAL)'!K2536</f>
        <v>0</v>
      </c>
      <c r="I2536" s="8">
        <f>+G2536*'[1]VENTAS(RESUMEN GLOBAL)'!F2536</f>
        <v>0</v>
      </c>
      <c r="J2536" s="8">
        <f>'[1]VENTAS(RESUMEN GLOBAL)'!G2536*(1-'[1]VENTAS(RESUMEN GLOBAL)'!H2536)</f>
        <v>0</v>
      </c>
      <c r="K2536" s="8">
        <f t="shared" si="39"/>
        <v>0</v>
      </c>
      <c r="L2536" s="8">
        <f>+'[1]VENTAS(RESUMEN GLOBAL)'!J2536</f>
        <v>0</v>
      </c>
      <c r="M2536" s="8">
        <f>+Tabla1[[#This Row],[utilidad x dia]]*7</f>
        <v>0</v>
      </c>
    </row>
    <row r="2537" spans="1:13" x14ac:dyDescent="0.3">
      <c r="A2537" s="6">
        <f>+'[1]VENTAS(RESUMEN GLOBAL)'!L2537</f>
        <v>0</v>
      </c>
      <c r="B2537" s="6">
        <f>+'[1]VENTAS(RESUMEN GLOBAL)'!M2537</f>
        <v>0</v>
      </c>
      <c r="C2537">
        <f>+'[1]VENTAS(RESUMEN GLOBAL)'!B2537</f>
        <v>0</v>
      </c>
      <c r="D2537" t="e">
        <f>INDEX('[1]CÓDIGOS DE PRODUCTO'!$D$3:$D$1000,MATCH(C2537,'[1]CÓDIGOS DE PRODUCTO'!$A$3:$A$1000,0))</f>
        <v>#N/A</v>
      </c>
      <c r="E2537">
        <f>VLOOKUP(C2537,'[1]CÓDIGOS DE PRODUCTO'!$A$4:$B$156,2,FALSE)</f>
        <v>0</v>
      </c>
      <c r="F2537">
        <f>INDEX('[1]CÓDIGOS DE PRODUCTO'!$C$3:$C$1000,MATCH(C2537,'[1]CÓDIGOS DE PRODUCTO'!$A$3:$A$1000,0))</f>
        <v>0</v>
      </c>
      <c r="G2537">
        <f>+'[1]VENTAS(RESUMEN GLOBAL)'!D2537-'[1]VENTAS(RESUMEN GLOBAL)'!E2537</f>
        <v>0</v>
      </c>
      <c r="H2537" s="9">
        <f>+'[1]VENTAS(RESUMEN GLOBAL)'!K2537</f>
        <v>0</v>
      </c>
      <c r="I2537" s="8">
        <f>+G2537*'[1]VENTAS(RESUMEN GLOBAL)'!F2537</f>
        <v>0</v>
      </c>
      <c r="J2537" s="8">
        <f>'[1]VENTAS(RESUMEN GLOBAL)'!G2537*(1-'[1]VENTAS(RESUMEN GLOBAL)'!H2537)</f>
        <v>0</v>
      </c>
      <c r="K2537" s="8">
        <f t="shared" si="39"/>
        <v>0</v>
      </c>
      <c r="L2537" s="8">
        <f>+'[1]VENTAS(RESUMEN GLOBAL)'!J2537</f>
        <v>0</v>
      </c>
      <c r="M2537" s="8">
        <f>+Tabla1[[#This Row],[utilidad x dia]]*7</f>
        <v>0</v>
      </c>
    </row>
    <row r="2538" spans="1:13" x14ac:dyDescent="0.3">
      <c r="A2538" s="6">
        <f>+'[1]VENTAS(RESUMEN GLOBAL)'!L2538</f>
        <v>0</v>
      </c>
      <c r="B2538" s="6">
        <f>+'[1]VENTAS(RESUMEN GLOBAL)'!M2538</f>
        <v>0</v>
      </c>
      <c r="C2538">
        <f>+'[1]VENTAS(RESUMEN GLOBAL)'!B2538</f>
        <v>0</v>
      </c>
      <c r="D2538" t="e">
        <f>INDEX('[1]CÓDIGOS DE PRODUCTO'!$D$3:$D$1000,MATCH(C2538,'[1]CÓDIGOS DE PRODUCTO'!$A$3:$A$1000,0))</f>
        <v>#N/A</v>
      </c>
      <c r="E2538">
        <f>VLOOKUP(C2538,'[1]CÓDIGOS DE PRODUCTO'!$A$4:$B$156,2,FALSE)</f>
        <v>0</v>
      </c>
      <c r="F2538">
        <f>INDEX('[1]CÓDIGOS DE PRODUCTO'!$C$3:$C$1000,MATCH(C2538,'[1]CÓDIGOS DE PRODUCTO'!$A$3:$A$1000,0))</f>
        <v>0</v>
      </c>
      <c r="G2538">
        <f>+'[1]VENTAS(RESUMEN GLOBAL)'!D2538-'[1]VENTAS(RESUMEN GLOBAL)'!E2538</f>
        <v>0</v>
      </c>
      <c r="H2538" s="9">
        <f>+'[1]VENTAS(RESUMEN GLOBAL)'!K2538</f>
        <v>0</v>
      </c>
      <c r="I2538" s="8">
        <f>+G2538*'[1]VENTAS(RESUMEN GLOBAL)'!F2538</f>
        <v>0</v>
      </c>
      <c r="J2538" s="8">
        <f>'[1]VENTAS(RESUMEN GLOBAL)'!G2538*(1-'[1]VENTAS(RESUMEN GLOBAL)'!H2538)</f>
        <v>0</v>
      </c>
      <c r="K2538" s="8">
        <f t="shared" si="39"/>
        <v>0</v>
      </c>
      <c r="L2538" s="8">
        <f>+'[1]VENTAS(RESUMEN GLOBAL)'!J2538</f>
        <v>0</v>
      </c>
      <c r="M2538" s="8">
        <f>+Tabla1[[#This Row],[utilidad x dia]]*7</f>
        <v>0</v>
      </c>
    </row>
    <row r="2539" spans="1:13" x14ac:dyDescent="0.3">
      <c r="A2539" s="6">
        <f>+'[1]VENTAS(RESUMEN GLOBAL)'!L2539</f>
        <v>0</v>
      </c>
      <c r="B2539" s="6">
        <f>+'[1]VENTAS(RESUMEN GLOBAL)'!M2539</f>
        <v>0</v>
      </c>
      <c r="C2539">
        <f>+'[1]VENTAS(RESUMEN GLOBAL)'!B2539</f>
        <v>0</v>
      </c>
      <c r="D2539" t="e">
        <f>INDEX('[1]CÓDIGOS DE PRODUCTO'!$D$3:$D$1000,MATCH(C2539,'[1]CÓDIGOS DE PRODUCTO'!$A$3:$A$1000,0))</f>
        <v>#N/A</v>
      </c>
      <c r="E2539">
        <f>VLOOKUP(C2539,'[1]CÓDIGOS DE PRODUCTO'!$A$4:$B$156,2,FALSE)</f>
        <v>0</v>
      </c>
      <c r="F2539">
        <f>INDEX('[1]CÓDIGOS DE PRODUCTO'!$C$3:$C$1000,MATCH(C2539,'[1]CÓDIGOS DE PRODUCTO'!$A$3:$A$1000,0))</f>
        <v>0</v>
      </c>
      <c r="G2539">
        <f>+'[1]VENTAS(RESUMEN GLOBAL)'!D2539-'[1]VENTAS(RESUMEN GLOBAL)'!E2539</f>
        <v>0</v>
      </c>
      <c r="H2539" s="9">
        <f>+'[1]VENTAS(RESUMEN GLOBAL)'!K2539</f>
        <v>0</v>
      </c>
      <c r="I2539" s="8">
        <f>+G2539*'[1]VENTAS(RESUMEN GLOBAL)'!F2539</f>
        <v>0</v>
      </c>
      <c r="J2539" s="8">
        <f>'[1]VENTAS(RESUMEN GLOBAL)'!G2539*(1-'[1]VENTAS(RESUMEN GLOBAL)'!H2539)</f>
        <v>0</v>
      </c>
      <c r="K2539" s="8">
        <f t="shared" si="39"/>
        <v>0</v>
      </c>
      <c r="L2539" s="8">
        <f>+'[1]VENTAS(RESUMEN GLOBAL)'!J2539</f>
        <v>0</v>
      </c>
      <c r="M2539" s="8">
        <f>+Tabla1[[#This Row],[utilidad x dia]]*7</f>
        <v>0</v>
      </c>
    </row>
    <row r="2540" spans="1:13" x14ac:dyDescent="0.3">
      <c r="A2540" s="6">
        <f>+'[1]VENTAS(RESUMEN GLOBAL)'!L2540</f>
        <v>0</v>
      </c>
      <c r="B2540" s="6">
        <f>+'[1]VENTAS(RESUMEN GLOBAL)'!M2540</f>
        <v>0</v>
      </c>
      <c r="C2540">
        <f>+'[1]VENTAS(RESUMEN GLOBAL)'!B2540</f>
        <v>0</v>
      </c>
      <c r="D2540" t="e">
        <f>INDEX('[1]CÓDIGOS DE PRODUCTO'!$D$3:$D$1000,MATCH(C2540,'[1]CÓDIGOS DE PRODUCTO'!$A$3:$A$1000,0))</f>
        <v>#N/A</v>
      </c>
      <c r="E2540">
        <f>VLOOKUP(C2540,'[1]CÓDIGOS DE PRODUCTO'!$A$4:$B$156,2,FALSE)</f>
        <v>0</v>
      </c>
      <c r="F2540">
        <f>INDEX('[1]CÓDIGOS DE PRODUCTO'!$C$3:$C$1000,MATCH(C2540,'[1]CÓDIGOS DE PRODUCTO'!$A$3:$A$1000,0))</f>
        <v>0</v>
      </c>
      <c r="G2540">
        <f>+'[1]VENTAS(RESUMEN GLOBAL)'!D2540-'[1]VENTAS(RESUMEN GLOBAL)'!E2540</f>
        <v>0</v>
      </c>
      <c r="H2540" s="9">
        <f>+'[1]VENTAS(RESUMEN GLOBAL)'!K2540</f>
        <v>0</v>
      </c>
      <c r="I2540" s="8">
        <f>+G2540*'[1]VENTAS(RESUMEN GLOBAL)'!F2540</f>
        <v>0</v>
      </c>
      <c r="J2540" s="8">
        <f>'[1]VENTAS(RESUMEN GLOBAL)'!G2540*(1-'[1]VENTAS(RESUMEN GLOBAL)'!H2540)</f>
        <v>0</v>
      </c>
      <c r="K2540" s="8">
        <f t="shared" si="39"/>
        <v>0</v>
      </c>
      <c r="L2540" s="8">
        <f>+'[1]VENTAS(RESUMEN GLOBAL)'!J2540</f>
        <v>0</v>
      </c>
      <c r="M2540" s="8">
        <f>+Tabla1[[#This Row],[utilidad x dia]]*7</f>
        <v>0</v>
      </c>
    </row>
    <row r="2541" spans="1:13" x14ac:dyDescent="0.3">
      <c r="A2541" s="6">
        <f>+'[1]VENTAS(RESUMEN GLOBAL)'!L2541</f>
        <v>0</v>
      </c>
      <c r="B2541" s="6">
        <f>+'[1]VENTAS(RESUMEN GLOBAL)'!M2541</f>
        <v>0</v>
      </c>
      <c r="C2541">
        <f>+'[1]VENTAS(RESUMEN GLOBAL)'!B2541</f>
        <v>0</v>
      </c>
      <c r="D2541" t="e">
        <f>INDEX('[1]CÓDIGOS DE PRODUCTO'!$D$3:$D$1000,MATCH(C2541,'[1]CÓDIGOS DE PRODUCTO'!$A$3:$A$1000,0))</f>
        <v>#N/A</v>
      </c>
      <c r="E2541">
        <f>VLOOKUP(C2541,'[1]CÓDIGOS DE PRODUCTO'!$A$4:$B$156,2,FALSE)</f>
        <v>0</v>
      </c>
      <c r="F2541">
        <f>INDEX('[1]CÓDIGOS DE PRODUCTO'!$C$3:$C$1000,MATCH(C2541,'[1]CÓDIGOS DE PRODUCTO'!$A$3:$A$1000,0))</f>
        <v>0</v>
      </c>
      <c r="G2541">
        <f>+'[1]VENTAS(RESUMEN GLOBAL)'!D2541-'[1]VENTAS(RESUMEN GLOBAL)'!E2541</f>
        <v>0</v>
      </c>
      <c r="H2541" s="9">
        <f>+'[1]VENTAS(RESUMEN GLOBAL)'!K2541</f>
        <v>0</v>
      </c>
      <c r="I2541" s="8">
        <f>+G2541*'[1]VENTAS(RESUMEN GLOBAL)'!F2541</f>
        <v>0</v>
      </c>
      <c r="J2541" s="8">
        <f>'[1]VENTAS(RESUMEN GLOBAL)'!G2541*(1-'[1]VENTAS(RESUMEN GLOBAL)'!H2541)</f>
        <v>0</v>
      </c>
      <c r="K2541" s="8">
        <f t="shared" si="39"/>
        <v>0</v>
      </c>
      <c r="L2541" s="8">
        <f>+'[1]VENTAS(RESUMEN GLOBAL)'!J2541</f>
        <v>0</v>
      </c>
      <c r="M2541" s="8">
        <f>+Tabla1[[#This Row],[utilidad x dia]]*7</f>
        <v>0</v>
      </c>
    </row>
    <row r="2542" spans="1:13" x14ac:dyDescent="0.3">
      <c r="A2542" s="6">
        <f>+'[1]VENTAS(RESUMEN GLOBAL)'!L2542</f>
        <v>0</v>
      </c>
      <c r="B2542" s="6">
        <f>+'[1]VENTAS(RESUMEN GLOBAL)'!M2542</f>
        <v>0</v>
      </c>
      <c r="C2542">
        <f>+'[1]VENTAS(RESUMEN GLOBAL)'!B2542</f>
        <v>0</v>
      </c>
      <c r="D2542" t="e">
        <f>INDEX('[1]CÓDIGOS DE PRODUCTO'!$D$3:$D$1000,MATCH(C2542,'[1]CÓDIGOS DE PRODUCTO'!$A$3:$A$1000,0))</f>
        <v>#N/A</v>
      </c>
      <c r="E2542">
        <f>VLOOKUP(C2542,'[1]CÓDIGOS DE PRODUCTO'!$A$4:$B$156,2,FALSE)</f>
        <v>0</v>
      </c>
      <c r="F2542">
        <f>INDEX('[1]CÓDIGOS DE PRODUCTO'!$C$3:$C$1000,MATCH(C2542,'[1]CÓDIGOS DE PRODUCTO'!$A$3:$A$1000,0))</f>
        <v>0</v>
      </c>
      <c r="G2542">
        <f>+'[1]VENTAS(RESUMEN GLOBAL)'!D2542-'[1]VENTAS(RESUMEN GLOBAL)'!E2542</f>
        <v>0</v>
      </c>
      <c r="H2542" s="9">
        <f>+'[1]VENTAS(RESUMEN GLOBAL)'!K2542</f>
        <v>0</v>
      </c>
      <c r="I2542" s="8">
        <f>+G2542*'[1]VENTAS(RESUMEN GLOBAL)'!F2542</f>
        <v>0</v>
      </c>
      <c r="J2542" s="8">
        <f>'[1]VENTAS(RESUMEN GLOBAL)'!G2542*(1-'[1]VENTAS(RESUMEN GLOBAL)'!H2542)</f>
        <v>0</v>
      </c>
      <c r="K2542" s="8">
        <f t="shared" si="39"/>
        <v>0</v>
      </c>
      <c r="L2542" s="8">
        <f>+'[1]VENTAS(RESUMEN GLOBAL)'!J2542</f>
        <v>0</v>
      </c>
      <c r="M2542" s="8">
        <f>+Tabla1[[#This Row],[utilidad x dia]]*7</f>
        <v>0</v>
      </c>
    </row>
    <row r="2543" spans="1:13" x14ac:dyDescent="0.3">
      <c r="A2543" s="6">
        <f>+'[1]VENTAS(RESUMEN GLOBAL)'!L2543</f>
        <v>0</v>
      </c>
      <c r="B2543" s="6">
        <f>+'[1]VENTAS(RESUMEN GLOBAL)'!M2543</f>
        <v>0</v>
      </c>
      <c r="C2543">
        <f>+'[1]VENTAS(RESUMEN GLOBAL)'!B2543</f>
        <v>0</v>
      </c>
      <c r="D2543" t="e">
        <f>INDEX('[1]CÓDIGOS DE PRODUCTO'!$D$3:$D$1000,MATCH(C2543,'[1]CÓDIGOS DE PRODUCTO'!$A$3:$A$1000,0))</f>
        <v>#N/A</v>
      </c>
      <c r="E2543">
        <f>VLOOKUP(C2543,'[1]CÓDIGOS DE PRODUCTO'!$A$4:$B$156,2,FALSE)</f>
        <v>0</v>
      </c>
      <c r="F2543">
        <f>INDEX('[1]CÓDIGOS DE PRODUCTO'!$C$3:$C$1000,MATCH(C2543,'[1]CÓDIGOS DE PRODUCTO'!$A$3:$A$1000,0))</f>
        <v>0</v>
      </c>
      <c r="G2543">
        <f>+'[1]VENTAS(RESUMEN GLOBAL)'!D2543-'[1]VENTAS(RESUMEN GLOBAL)'!E2543</f>
        <v>0</v>
      </c>
      <c r="H2543" s="9">
        <f>+'[1]VENTAS(RESUMEN GLOBAL)'!K2543</f>
        <v>0</v>
      </c>
      <c r="I2543" s="8">
        <f>+G2543*'[1]VENTAS(RESUMEN GLOBAL)'!F2543</f>
        <v>0</v>
      </c>
      <c r="J2543" s="8">
        <f>'[1]VENTAS(RESUMEN GLOBAL)'!G2543*(1-'[1]VENTAS(RESUMEN GLOBAL)'!H2543)</f>
        <v>0</v>
      </c>
      <c r="K2543" s="8">
        <f t="shared" si="39"/>
        <v>0</v>
      </c>
      <c r="L2543" s="8">
        <f>+'[1]VENTAS(RESUMEN GLOBAL)'!J2543</f>
        <v>0</v>
      </c>
      <c r="M2543" s="8">
        <f>+Tabla1[[#This Row],[utilidad x dia]]*7</f>
        <v>0</v>
      </c>
    </row>
    <row r="2544" spans="1:13" x14ac:dyDescent="0.3">
      <c r="A2544" s="6">
        <f>+'[1]VENTAS(RESUMEN GLOBAL)'!L2544</f>
        <v>0</v>
      </c>
      <c r="B2544" s="6">
        <f>+'[1]VENTAS(RESUMEN GLOBAL)'!M2544</f>
        <v>0</v>
      </c>
      <c r="C2544">
        <f>+'[1]VENTAS(RESUMEN GLOBAL)'!B2544</f>
        <v>0</v>
      </c>
      <c r="D2544" t="e">
        <f>INDEX('[1]CÓDIGOS DE PRODUCTO'!$D$3:$D$1000,MATCH(C2544,'[1]CÓDIGOS DE PRODUCTO'!$A$3:$A$1000,0))</f>
        <v>#N/A</v>
      </c>
      <c r="E2544">
        <f>VLOOKUP(C2544,'[1]CÓDIGOS DE PRODUCTO'!$A$4:$B$156,2,FALSE)</f>
        <v>0</v>
      </c>
      <c r="F2544">
        <f>INDEX('[1]CÓDIGOS DE PRODUCTO'!$C$3:$C$1000,MATCH(C2544,'[1]CÓDIGOS DE PRODUCTO'!$A$3:$A$1000,0))</f>
        <v>0</v>
      </c>
      <c r="G2544">
        <f>+'[1]VENTAS(RESUMEN GLOBAL)'!D2544-'[1]VENTAS(RESUMEN GLOBAL)'!E2544</f>
        <v>0</v>
      </c>
      <c r="H2544" s="9">
        <f>+'[1]VENTAS(RESUMEN GLOBAL)'!K2544</f>
        <v>0</v>
      </c>
      <c r="I2544" s="8">
        <f>+G2544*'[1]VENTAS(RESUMEN GLOBAL)'!F2544</f>
        <v>0</v>
      </c>
      <c r="J2544" s="8">
        <f>'[1]VENTAS(RESUMEN GLOBAL)'!G2544*(1-'[1]VENTAS(RESUMEN GLOBAL)'!H2544)</f>
        <v>0</v>
      </c>
      <c r="K2544" s="8">
        <f t="shared" si="39"/>
        <v>0</v>
      </c>
      <c r="L2544" s="8">
        <f>+'[1]VENTAS(RESUMEN GLOBAL)'!J2544</f>
        <v>0</v>
      </c>
      <c r="M2544" s="8">
        <f>+Tabla1[[#This Row],[utilidad x dia]]*7</f>
        <v>0</v>
      </c>
    </row>
    <row r="2545" spans="1:13" x14ac:dyDescent="0.3">
      <c r="A2545" s="6">
        <f>+'[1]VENTAS(RESUMEN GLOBAL)'!L2545</f>
        <v>0</v>
      </c>
      <c r="B2545" s="6">
        <f>+'[1]VENTAS(RESUMEN GLOBAL)'!M2545</f>
        <v>0</v>
      </c>
      <c r="C2545">
        <f>+'[1]VENTAS(RESUMEN GLOBAL)'!B2545</f>
        <v>0</v>
      </c>
      <c r="D2545" t="e">
        <f>INDEX('[1]CÓDIGOS DE PRODUCTO'!$D$3:$D$1000,MATCH(C2545,'[1]CÓDIGOS DE PRODUCTO'!$A$3:$A$1000,0))</f>
        <v>#N/A</v>
      </c>
      <c r="E2545">
        <f>VLOOKUP(C2545,'[1]CÓDIGOS DE PRODUCTO'!$A$4:$B$156,2,FALSE)</f>
        <v>0</v>
      </c>
      <c r="F2545">
        <f>INDEX('[1]CÓDIGOS DE PRODUCTO'!$C$3:$C$1000,MATCH(C2545,'[1]CÓDIGOS DE PRODUCTO'!$A$3:$A$1000,0))</f>
        <v>0</v>
      </c>
      <c r="G2545">
        <f>+'[1]VENTAS(RESUMEN GLOBAL)'!D2545-'[1]VENTAS(RESUMEN GLOBAL)'!E2545</f>
        <v>0</v>
      </c>
      <c r="H2545" s="9">
        <f>+'[1]VENTAS(RESUMEN GLOBAL)'!K2545</f>
        <v>0</v>
      </c>
      <c r="I2545" s="8">
        <f>+G2545*'[1]VENTAS(RESUMEN GLOBAL)'!F2545</f>
        <v>0</v>
      </c>
      <c r="J2545" s="8">
        <f>'[1]VENTAS(RESUMEN GLOBAL)'!G2545*(1-'[1]VENTAS(RESUMEN GLOBAL)'!H2545)</f>
        <v>0</v>
      </c>
      <c r="K2545" s="8">
        <f t="shared" si="39"/>
        <v>0</v>
      </c>
      <c r="L2545" s="8">
        <f>+'[1]VENTAS(RESUMEN GLOBAL)'!J2545</f>
        <v>0</v>
      </c>
      <c r="M2545" s="8">
        <f>+Tabla1[[#This Row],[utilidad x dia]]*7</f>
        <v>0</v>
      </c>
    </row>
    <row r="2546" spans="1:13" x14ac:dyDescent="0.3">
      <c r="A2546" s="6">
        <f>+'[1]VENTAS(RESUMEN GLOBAL)'!L2546</f>
        <v>0</v>
      </c>
      <c r="B2546" s="6">
        <f>+'[1]VENTAS(RESUMEN GLOBAL)'!M2546</f>
        <v>0</v>
      </c>
      <c r="C2546">
        <f>+'[1]VENTAS(RESUMEN GLOBAL)'!B2546</f>
        <v>0</v>
      </c>
      <c r="D2546" t="e">
        <f>INDEX('[1]CÓDIGOS DE PRODUCTO'!$D$3:$D$1000,MATCH(C2546,'[1]CÓDIGOS DE PRODUCTO'!$A$3:$A$1000,0))</f>
        <v>#N/A</v>
      </c>
      <c r="E2546">
        <f>VLOOKUP(C2546,'[1]CÓDIGOS DE PRODUCTO'!$A$4:$B$156,2,FALSE)</f>
        <v>0</v>
      </c>
      <c r="F2546">
        <f>INDEX('[1]CÓDIGOS DE PRODUCTO'!$C$3:$C$1000,MATCH(C2546,'[1]CÓDIGOS DE PRODUCTO'!$A$3:$A$1000,0))</f>
        <v>0</v>
      </c>
      <c r="G2546">
        <f>+'[1]VENTAS(RESUMEN GLOBAL)'!D2546-'[1]VENTAS(RESUMEN GLOBAL)'!E2546</f>
        <v>0</v>
      </c>
      <c r="H2546" s="9">
        <f>+'[1]VENTAS(RESUMEN GLOBAL)'!K2546</f>
        <v>0</v>
      </c>
      <c r="I2546" s="8">
        <f>+G2546*'[1]VENTAS(RESUMEN GLOBAL)'!F2546</f>
        <v>0</v>
      </c>
      <c r="J2546" s="8">
        <f>'[1]VENTAS(RESUMEN GLOBAL)'!G2546*(1-'[1]VENTAS(RESUMEN GLOBAL)'!H2546)</f>
        <v>0</v>
      </c>
      <c r="K2546" s="8">
        <f t="shared" si="39"/>
        <v>0</v>
      </c>
      <c r="L2546" s="8">
        <f>+'[1]VENTAS(RESUMEN GLOBAL)'!J2546</f>
        <v>0</v>
      </c>
      <c r="M2546" s="8">
        <f>+Tabla1[[#This Row],[utilidad x dia]]*7</f>
        <v>0</v>
      </c>
    </row>
    <row r="2547" spans="1:13" x14ac:dyDescent="0.3">
      <c r="A2547" s="6">
        <f>+'[1]VENTAS(RESUMEN GLOBAL)'!L2547</f>
        <v>0</v>
      </c>
      <c r="B2547" s="6">
        <f>+'[1]VENTAS(RESUMEN GLOBAL)'!M2547</f>
        <v>0</v>
      </c>
      <c r="C2547">
        <f>+'[1]VENTAS(RESUMEN GLOBAL)'!B2547</f>
        <v>0</v>
      </c>
      <c r="D2547" t="e">
        <f>INDEX('[1]CÓDIGOS DE PRODUCTO'!$D$3:$D$1000,MATCH(C2547,'[1]CÓDIGOS DE PRODUCTO'!$A$3:$A$1000,0))</f>
        <v>#N/A</v>
      </c>
      <c r="E2547">
        <f>VLOOKUP(C2547,'[1]CÓDIGOS DE PRODUCTO'!$A$4:$B$156,2,FALSE)</f>
        <v>0</v>
      </c>
      <c r="F2547">
        <f>INDEX('[1]CÓDIGOS DE PRODUCTO'!$C$3:$C$1000,MATCH(C2547,'[1]CÓDIGOS DE PRODUCTO'!$A$3:$A$1000,0))</f>
        <v>0</v>
      </c>
      <c r="G2547">
        <f>+'[1]VENTAS(RESUMEN GLOBAL)'!D2547-'[1]VENTAS(RESUMEN GLOBAL)'!E2547</f>
        <v>0</v>
      </c>
      <c r="H2547" s="9">
        <f>+'[1]VENTAS(RESUMEN GLOBAL)'!K2547</f>
        <v>0</v>
      </c>
      <c r="I2547" s="8">
        <f>+G2547*'[1]VENTAS(RESUMEN GLOBAL)'!F2547</f>
        <v>0</v>
      </c>
      <c r="J2547" s="8">
        <f>'[1]VENTAS(RESUMEN GLOBAL)'!G2547*(1-'[1]VENTAS(RESUMEN GLOBAL)'!H2547)</f>
        <v>0</v>
      </c>
      <c r="K2547" s="8">
        <f t="shared" si="39"/>
        <v>0</v>
      </c>
      <c r="L2547" s="8">
        <f>+'[1]VENTAS(RESUMEN GLOBAL)'!J2547</f>
        <v>0</v>
      </c>
      <c r="M2547" s="8">
        <f>+Tabla1[[#This Row],[utilidad x dia]]*7</f>
        <v>0</v>
      </c>
    </row>
    <row r="2548" spans="1:13" x14ac:dyDescent="0.3">
      <c r="A2548" s="6">
        <f>+'[1]VENTAS(RESUMEN GLOBAL)'!L2548</f>
        <v>0</v>
      </c>
      <c r="B2548" s="6">
        <f>+'[1]VENTAS(RESUMEN GLOBAL)'!M2548</f>
        <v>0</v>
      </c>
      <c r="C2548">
        <f>+'[1]VENTAS(RESUMEN GLOBAL)'!B2548</f>
        <v>0</v>
      </c>
      <c r="D2548" t="e">
        <f>INDEX('[1]CÓDIGOS DE PRODUCTO'!$D$3:$D$1000,MATCH(C2548,'[1]CÓDIGOS DE PRODUCTO'!$A$3:$A$1000,0))</f>
        <v>#N/A</v>
      </c>
      <c r="E2548">
        <f>VLOOKUP(C2548,'[1]CÓDIGOS DE PRODUCTO'!$A$4:$B$156,2,FALSE)</f>
        <v>0</v>
      </c>
      <c r="F2548">
        <f>INDEX('[1]CÓDIGOS DE PRODUCTO'!$C$3:$C$1000,MATCH(C2548,'[1]CÓDIGOS DE PRODUCTO'!$A$3:$A$1000,0))</f>
        <v>0</v>
      </c>
      <c r="G2548">
        <f>+'[1]VENTAS(RESUMEN GLOBAL)'!D2548-'[1]VENTAS(RESUMEN GLOBAL)'!E2548</f>
        <v>0</v>
      </c>
      <c r="H2548" s="9">
        <f>+'[1]VENTAS(RESUMEN GLOBAL)'!K2548</f>
        <v>0</v>
      </c>
      <c r="I2548" s="8">
        <f>+G2548*'[1]VENTAS(RESUMEN GLOBAL)'!F2548</f>
        <v>0</v>
      </c>
      <c r="J2548" s="8">
        <f>'[1]VENTAS(RESUMEN GLOBAL)'!G2548*(1-'[1]VENTAS(RESUMEN GLOBAL)'!H2548)</f>
        <v>0</v>
      </c>
      <c r="K2548" s="8">
        <f t="shared" si="39"/>
        <v>0</v>
      </c>
      <c r="L2548" s="8">
        <f>+'[1]VENTAS(RESUMEN GLOBAL)'!J2548</f>
        <v>0</v>
      </c>
      <c r="M2548" s="8">
        <f>+Tabla1[[#This Row],[utilidad x dia]]*7</f>
        <v>0</v>
      </c>
    </row>
    <row r="2549" spans="1:13" x14ac:dyDescent="0.3">
      <c r="A2549" s="6">
        <f>+'[1]VENTAS(RESUMEN GLOBAL)'!L2549</f>
        <v>0</v>
      </c>
      <c r="B2549" s="6">
        <f>+'[1]VENTAS(RESUMEN GLOBAL)'!M2549</f>
        <v>0</v>
      </c>
      <c r="C2549">
        <f>+'[1]VENTAS(RESUMEN GLOBAL)'!B2549</f>
        <v>0</v>
      </c>
      <c r="D2549" t="e">
        <f>INDEX('[1]CÓDIGOS DE PRODUCTO'!$D$3:$D$1000,MATCH(C2549,'[1]CÓDIGOS DE PRODUCTO'!$A$3:$A$1000,0))</f>
        <v>#N/A</v>
      </c>
      <c r="E2549">
        <f>VLOOKUP(C2549,'[1]CÓDIGOS DE PRODUCTO'!$A$4:$B$156,2,FALSE)</f>
        <v>0</v>
      </c>
      <c r="F2549">
        <f>INDEX('[1]CÓDIGOS DE PRODUCTO'!$C$3:$C$1000,MATCH(C2549,'[1]CÓDIGOS DE PRODUCTO'!$A$3:$A$1000,0))</f>
        <v>0</v>
      </c>
      <c r="G2549">
        <f>+'[1]VENTAS(RESUMEN GLOBAL)'!D2549-'[1]VENTAS(RESUMEN GLOBAL)'!E2549</f>
        <v>0</v>
      </c>
      <c r="H2549" s="9">
        <f>+'[1]VENTAS(RESUMEN GLOBAL)'!K2549</f>
        <v>0</v>
      </c>
      <c r="I2549" s="8">
        <f>+G2549*'[1]VENTAS(RESUMEN GLOBAL)'!F2549</f>
        <v>0</v>
      </c>
      <c r="J2549" s="8">
        <f>'[1]VENTAS(RESUMEN GLOBAL)'!G2549*(1-'[1]VENTAS(RESUMEN GLOBAL)'!H2549)</f>
        <v>0</v>
      </c>
      <c r="K2549" s="8">
        <f t="shared" si="39"/>
        <v>0</v>
      </c>
      <c r="L2549" s="8">
        <f>+'[1]VENTAS(RESUMEN GLOBAL)'!J2549</f>
        <v>0</v>
      </c>
      <c r="M2549" s="8">
        <f>+Tabla1[[#This Row],[utilidad x dia]]*7</f>
        <v>0</v>
      </c>
    </row>
    <row r="2550" spans="1:13" x14ac:dyDescent="0.3">
      <c r="A2550" s="6">
        <f>+'[1]VENTAS(RESUMEN GLOBAL)'!L2550</f>
        <v>0</v>
      </c>
      <c r="B2550" s="6">
        <f>+'[1]VENTAS(RESUMEN GLOBAL)'!M2550</f>
        <v>0</v>
      </c>
      <c r="C2550">
        <f>+'[1]VENTAS(RESUMEN GLOBAL)'!B2550</f>
        <v>0</v>
      </c>
      <c r="D2550" t="e">
        <f>INDEX('[1]CÓDIGOS DE PRODUCTO'!$D$3:$D$1000,MATCH(C2550,'[1]CÓDIGOS DE PRODUCTO'!$A$3:$A$1000,0))</f>
        <v>#N/A</v>
      </c>
      <c r="E2550">
        <f>VLOOKUP(C2550,'[1]CÓDIGOS DE PRODUCTO'!$A$4:$B$156,2,FALSE)</f>
        <v>0</v>
      </c>
      <c r="F2550">
        <f>INDEX('[1]CÓDIGOS DE PRODUCTO'!$C$3:$C$1000,MATCH(C2550,'[1]CÓDIGOS DE PRODUCTO'!$A$3:$A$1000,0))</f>
        <v>0</v>
      </c>
      <c r="G2550">
        <f>+'[1]VENTAS(RESUMEN GLOBAL)'!D2550-'[1]VENTAS(RESUMEN GLOBAL)'!E2550</f>
        <v>0</v>
      </c>
      <c r="H2550" s="9">
        <f>+'[1]VENTAS(RESUMEN GLOBAL)'!K2550</f>
        <v>0</v>
      </c>
      <c r="I2550" s="8">
        <f>+G2550*'[1]VENTAS(RESUMEN GLOBAL)'!F2550</f>
        <v>0</v>
      </c>
      <c r="J2550" s="8">
        <f>'[1]VENTAS(RESUMEN GLOBAL)'!G2550*(1-'[1]VENTAS(RESUMEN GLOBAL)'!H2550)</f>
        <v>0</v>
      </c>
      <c r="K2550" s="8">
        <f t="shared" si="39"/>
        <v>0</v>
      </c>
      <c r="L2550" s="8">
        <f>+'[1]VENTAS(RESUMEN GLOBAL)'!J2550</f>
        <v>0</v>
      </c>
      <c r="M2550" s="8">
        <f>+Tabla1[[#This Row],[utilidad x dia]]*7</f>
        <v>0</v>
      </c>
    </row>
    <row r="2551" spans="1:13" x14ac:dyDescent="0.3">
      <c r="A2551" s="6">
        <f>+'[1]VENTAS(RESUMEN GLOBAL)'!L2551</f>
        <v>0</v>
      </c>
      <c r="B2551" s="6">
        <f>+'[1]VENTAS(RESUMEN GLOBAL)'!M2551</f>
        <v>0</v>
      </c>
      <c r="C2551">
        <f>+'[1]VENTAS(RESUMEN GLOBAL)'!B2551</f>
        <v>0</v>
      </c>
      <c r="D2551" t="e">
        <f>INDEX('[1]CÓDIGOS DE PRODUCTO'!$D$3:$D$1000,MATCH(C2551,'[1]CÓDIGOS DE PRODUCTO'!$A$3:$A$1000,0))</f>
        <v>#N/A</v>
      </c>
      <c r="E2551">
        <f>VLOOKUP(C2551,'[1]CÓDIGOS DE PRODUCTO'!$A$4:$B$156,2,FALSE)</f>
        <v>0</v>
      </c>
      <c r="F2551">
        <f>INDEX('[1]CÓDIGOS DE PRODUCTO'!$C$3:$C$1000,MATCH(C2551,'[1]CÓDIGOS DE PRODUCTO'!$A$3:$A$1000,0))</f>
        <v>0</v>
      </c>
      <c r="G2551">
        <f>+'[1]VENTAS(RESUMEN GLOBAL)'!D2551-'[1]VENTAS(RESUMEN GLOBAL)'!E2551</f>
        <v>0</v>
      </c>
      <c r="H2551" s="9">
        <f>+'[1]VENTAS(RESUMEN GLOBAL)'!K2551</f>
        <v>0</v>
      </c>
      <c r="I2551" s="8">
        <f>+G2551*'[1]VENTAS(RESUMEN GLOBAL)'!F2551</f>
        <v>0</v>
      </c>
      <c r="J2551" s="8">
        <f>'[1]VENTAS(RESUMEN GLOBAL)'!G2551*(1-'[1]VENTAS(RESUMEN GLOBAL)'!H2551)</f>
        <v>0</v>
      </c>
      <c r="K2551" s="8">
        <f t="shared" si="39"/>
        <v>0</v>
      </c>
      <c r="L2551" s="8">
        <f>+'[1]VENTAS(RESUMEN GLOBAL)'!J2551</f>
        <v>0</v>
      </c>
      <c r="M2551" s="8">
        <f>+Tabla1[[#This Row],[utilidad x dia]]*7</f>
        <v>0</v>
      </c>
    </row>
    <row r="2552" spans="1:13" x14ac:dyDescent="0.3">
      <c r="A2552" s="6">
        <f>+'[1]VENTAS(RESUMEN GLOBAL)'!L2552</f>
        <v>0</v>
      </c>
      <c r="B2552" s="6">
        <f>+'[1]VENTAS(RESUMEN GLOBAL)'!M2552</f>
        <v>0</v>
      </c>
      <c r="C2552">
        <f>+'[1]VENTAS(RESUMEN GLOBAL)'!B2552</f>
        <v>0</v>
      </c>
      <c r="D2552" t="e">
        <f>INDEX('[1]CÓDIGOS DE PRODUCTO'!$D$3:$D$1000,MATCH(C2552,'[1]CÓDIGOS DE PRODUCTO'!$A$3:$A$1000,0))</f>
        <v>#N/A</v>
      </c>
      <c r="E2552">
        <f>VLOOKUP(C2552,'[1]CÓDIGOS DE PRODUCTO'!$A$4:$B$156,2,FALSE)</f>
        <v>0</v>
      </c>
      <c r="F2552">
        <f>INDEX('[1]CÓDIGOS DE PRODUCTO'!$C$3:$C$1000,MATCH(C2552,'[1]CÓDIGOS DE PRODUCTO'!$A$3:$A$1000,0))</f>
        <v>0</v>
      </c>
      <c r="G2552">
        <f>+'[1]VENTAS(RESUMEN GLOBAL)'!D2552-'[1]VENTAS(RESUMEN GLOBAL)'!E2552</f>
        <v>0</v>
      </c>
      <c r="H2552" s="9">
        <f>+'[1]VENTAS(RESUMEN GLOBAL)'!K2552</f>
        <v>0</v>
      </c>
      <c r="I2552" s="8">
        <f>+G2552*'[1]VENTAS(RESUMEN GLOBAL)'!F2552</f>
        <v>0</v>
      </c>
      <c r="J2552" s="8">
        <f>'[1]VENTAS(RESUMEN GLOBAL)'!G2552*(1-'[1]VENTAS(RESUMEN GLOBAL)'!H2552)</f>
        <v>0</v>
      </c>
      <c r="K2552" s="8">
        <f t="shared" si="39"/>
        <v>0</v>
      </c>
      <c r="L2552" s="8">
        <f>+'[1]VENTAS(RESUMEN GLOBAL)'!J2552</f>
        <v>0</v>
      </c>
      <c r="M2552" s="8">
        <f>+Tabla1[[#This Row],[utilidad x dia]]*7</f>
        <v>0</v>
      </c>
    </row>
    <row r="2553" spans="1:13" x14ac:dyDescent="0.3">
      <c r="A2553" s="6">
        <f>+'[1]VENTAS(RESUMEN GLOBAL)'!L2553</f>
        <v>0</v>
      </c>
      <c r="B2553" s="6">
        <f>+'[1]VENTAS(RESUMEN GLOBAL)'!M2553</f>
        <v>0</v>
      </c>
      <c r="C2553">
        <f>+'[1]VENTAS(RESUMEN GLOBAL)'!B2553</f>
        <v>0</v>
      </c>
      <c r="D2553" t="e">
        <f>INDEX('[1]CÓDIGOS DE PRODUCTO'!$D$3:$D$1000,MATCH(C2553,'[1]CÓDIGOS DE PRODUCTO'!$A$3:$A$1000,0))</f>
        <v>#N/A</v>
      </c>
      <c r="E2553">
        <f>VLOOKUP(C2553,'[1]CÓDIGOS DE PRODUCTO'!$A$4:$B$156,2,FALSE)</f>
        <v>0</v>
      </c>
      <c r="F2553">
        <f>INDEX('[1]CÓDIGOS DE PRODUCTO'!$C$3:$C$1000,MATCH(C2553,'[1]CÓDIGOS DE PRODUCTO'!$A$3:$A$1000,0))</f>
        <v>0</v>
      </c>
      <c r="G2553">
        <f>+'[1]VENTAS(RESUMEN GLOBAL)'!D2553-'[1]VENTAS(RESUMEN GLOBAL)'!E2553</f>
        <v>0</v>
      </c>
      <c r="H2553" s="9">
        <f>+'[1]VENTAS(RESUMEN GLOBAL)'!K2553</f>
        <v>0</v>
      </c>
      <c r="I2553" s="8">
        <f>+G2553*'[1]VENTAS(RESUMEN GLOBAL)'!F2553</f>
        <v>0</v>
      </c>
      <c r="J2553" s="8">
        <f>'[1]VENTAS(RESUMEN GLOBAL)'!G2553*(1-'[1]VENTAS(RESUMEN GLOBAL)'!H2553)</f>
        <v>0</v>
      </c>
      <c r="K2553" s="8">
        <f t="shared" si="39"/>
        <v>0</v>
      </c>
      <c r="L2553" s="8">
        <f>+'[1]VENTAS(RESUMEN GLOBAL)'!J2553</f>
        <v>0</v>
      </c>
      <c r="M2553" s="8">
        <f>+Tabla1[[#This Row],[utilidad x dia]]*7</f>
        <v>0</v>
      </c>
    </row>
    <row r="2554" spans="1:13" x14ac:dyDescent="0.3">
      <c r="A2554" s="6">
        <f>+'[1]VENTAS(RESUMEN GLOBAL)'!L2554</f>
        <v>0</v>
      </c>
      <c r="B2554" s="6">
        <f>+'[1]VENTAS(RESUMEN GLOBAL)'!M2554</f>
        <v>0</v>
      </c>
      <c r="C2554">
        <f>+'[1]VENTAS(RESUMEN GLOBAL)'!B2554</f>
        <v>0</v>
      </c>
      <c r="D2554" t="e">
        <f>INDEX('[1]CÓDIGOS DE PRODUCTO'!$D$3:$D$1000,MATCH(C2554,'[1]CÓDIGOS DE PRODUCTO'!$A$3:$A$1000,0))</f>
        <v>#N/A</v>
      </c>
      <c r="E2554">
        <f>VLOOKUP(C2554,'[1]CÓDIGOS DE PRODUCTO'!$A$4:$B$156,2,FALSE)</f>
        <v>0</v>
      </c>
      <c r="F2554">
        <f>INDEX('[1]CÓDIGOS DE PRODUCTO'!$C$3:$C$1000,MATCH(C2554,'[1]CÓDIGOS DE PRODUCTO'!$A$3:$A$1000,0))</f>
        <v>0</v>
      </c>
      <c r="G2554">
        <f>+'[1]VENTAS(RESUMEN GLOBAL)'!D2554-'[1]VENTAS(RESUMEN GLOBAL)'!E2554</f>
        <v>0</v>
      </c>
      <c r="H2554" s="9">
        <f>+'[1]VENTAS(RESUMEN GLOBAL)'!K2554</f>
        <v>0</v>
      </c>
      <c r="I2554" s="8">
        <f>+G2554*'[1]VENTAS(RESUMEN GLOBAL)'!F2554</f>
        <v>0</v>
      </c>
      <c r="J2554" s="8">
        <f>'[1]VENTAS(RESUMEN GLOBAL)'!G2554*(1-'[1]VENTAS(RESUMEN GLOBAL)'!H2554)</f>
        <v>0</v>
      </c>
      <c r="K2554" s="8">
        <f t="shared" si="39"/>
        <v>0</v>
      </c>
      <c r="L2554" s="8">
        <f>+'[1]VENTAS(RESUMEN GLOBAL)'!J2554</f>
        <v>0</v>
      </c>
      <c r="M2554" s="8">
        <f>+Tabla1[[#This Row],[utilidad x dia]]*7</f>
        <v>0</v>
      </c>
    </row>
    <row r="2555" spans="1:13" x14ac:dyDescent="0.3">
      <c r="A2555" s="6">
        <f>+'[1]VENTAS(RESUMEN GLOBAL)'!L2555</f>
        <v>0</v>
      </c>
      <c r="B2555" s="6">
        <f>+'[1]VENTAS(RESUMEN GLOBAL)'!M2555</f>
        <v>0</v>
      </c>
      <c r="C2555">
        <f>+'[1]VENTAS(RESUMEN GLOBAL)'!B2555</f>
        <v>0</v>
      </c>
      <c r="D2555" t="e">
        <f>INDEX('[1]CÓDIGOS DE PRODUCTO'!$D$3:$D$1000,MATCH(C2555,'[1]CÓDIGOS DE PRODUCTO'!$A$3:$A$1000,0))</f>
        <v>#N/A</v>
      </c>
      <c r="E2555">
        <f>VLOOKUP(C2555,'[1]CÓDIGOS DE PRODUCTO'!$A$4:$B$156,2,FALSE)</f>
        <v>0</v>
      </c>
      <c r="F2555">
        <f>INDEX('[1]CÓDIGOS DE PRODUCTO'!$C$3:$C$1000,MATCH(C2555,'[1]CÓDIGOS DE PRODUCTO'!$A$3:$A$1000,0))</f>
        <v>0</v>
      </c>
      <c r="G2555">
        <f>+'[1]VENTAS(RESUMEN GLOBAL)'!D2555-'[1]VENTAS(RESUMEN GLOBAL)'!E2555</f>
        <v>0</v>
      </c>
      <c r="H2555" s="9">
        <f>+'[1]VENTAS(RESUMEN GLOBAL)'!K2555</f>
        <v>0</v>
      </c>
      <c r="I2555" s="8">
        <f>+G2555*'[1]VENTAS(RESUMEN GLOBAL)'!F2555</f>
        <v>0</v>
      </c>
      <c r="J2555" s="8">
        <f>'[1]VENTAS(RESUMEN GLOBAL)'!G2555*(1-'[1]VENTAS(RESUMEN GLOBAL)'!H2555)</f>
        <v>0</v>
      </c>
      <c r="K2555" s="8">
        <f t="shared" si="39"/>
        <v>0</v>
      </c>
      <c r="L2555" s="8">
        <f>+'[1]VENTAS(RESUMEN GLOBAL)'!J2555</f>
        <v>0</v>
      </c>
      <c r="M2555" s="8">
        <f>+Tabla1[[#This Row],[utilidad x dia]]*7</f>
        <v>0</v>
      </c>
    </row>
    <row r="2556" spans="1:13" x14ac:dyDescent="0.3">
      <c r="A2556" s="6">
        <f>+'[1]VENTAS(RESUMEN GLOBAL)'!L2556</f>
        <v>0</v>
      </c>
      <c r="B2556" s="6">
        <f>+'[1]VENTAS(RESUMEN GLOBAL)'!M2556</f>
        <v>0</v>
      </c>
      <c r="C2556">
        <f>+'[1]VENTAS(RESUMEN GLOBAL)'!B2556</f>
        <v>0</v>
      </c>
      <c r="D2556" t="e">
        <f>INDEX('[1]CÓDIGOS DE PRODUCTO'!$D$3:$D$1000,MATCH(C2556,'[1]CÓDIGOS DE PRODUCTO'!$A$3:$A$1000,0))</f>
        <v>#N/A</v>
      </c>
      <c r="E2556">
        <f>VLOOKUP(C2556,'[1]CÓDIGOS DE PRODUCTO'!$A$4:$B$156,2,FALSE)</f>
        <v>0</v>
      </c>
      <c r="F2556">
        <f>INDEX('[1]CÓDIGOS DE PRODUCTO'!$C$3:$C$1000,MATCH(C2556,'[1]CÓDIGOS DE PRODUCTO'!$A$3:$A$1000,0))</f>
        <v>0</v>
      </c>
      <c r="G2556">
        <f>+'[1]VENTAS(RESUMEN GLOBAL)'!D2556-'[1]VENTAS(RESUMEN GLOBAL)'!E2556</f>
        <v>0</v>
      </c>
      <c r="H2556" s="9">
        <f>+'[1]VENTAS(RESUMEN GLOBAL)'!K2556</f>
        <v>0</v>
      </c>
      <c r="I2556" s="8">
        <f>+G2556*'[1]VENTAS(RESUMEN GLOBAL)'!F2556</f>
        <v>0</v>
      </c>
      <c r="J2556" s="8">
        <f>'[1]VENTAS(RESUMEN GLOBAL)'!G2556*(1-'[1]VENTAS(RESUMEN GLOBAL)'!H2556)</f>
        <v>0</v>
      </c>
      <c r="K2556" s="8">
        <f t="shared" si="39"/>
        <v>0</v>
      </c>
      <c r="L2556" s="8">
        <f>+'[1]VENTAS(RESUMEN GLOBAL)'!J2556</f>
        <v>0</v>
      </c>
      <c r="M2556" s="8">
        <f>+Tabla1[[#This Row],[utilidad x dia]]*7</f>
        <v>0</v>
      </c>
    </row>
    <row r="2557" spans="1:13" x14ac:dyDescent="0.3">
      <c r="A2557" s="6">
        <f>+'[1]VENTAS(RESUMEN GLOBAL)'!L2557</f>
        <v>0</v>
      </c>
      <c r="B2557" s="6">
        <f>+'[1]VENTAS(RESUMEN GLOBAL)'!M2557</f>
        <v>0</v>
      </c>
      <c r="C2557">
        <f>+'[1]VENTAS(RESUMEN GLOBAL)'!B2557</f>
        <v>0</v>
      </c>
      <c r="D2557" t="e">
        <f>INDEX('[1]CÓDIGOS DE PRODUCTO'!$D$3:$D$1000,MATCH(C2557,'[1]CÓDIGOS DE PRODUCTO'!$A$3:$A$1000,0))</f>
        <v>#N/A</v>
      </c>
      <c r="E2557">
        <f>VLOOKUP(C2557,'[1]CÓDIGOS DE PRODUCTO'!$A$4:$B$156,2,FALSE)</f>
        <v>0</v>
      </c>
      <c r="F2557">
        <f>INDEX('[1]CÓDIGOS DE PRODUCTO'!$C$3:$C$1000,MATCH(C2557,'[1]CÓDIGOS DE PRODUCTO'!$A$3:$A$1000,0))</f>
        <v>0</v>
      </c>
      <c r="G2557">
        <f>+'[1]VENTAS(RESUMEN GLOBAL)'!D2557-'[1]VENTAS(RESUMEN GLOBAL)'!E2557</f>
        <v>0</v>
      </c>
      <c r="H2557" s="9">
        <f>+'[1]VENTAS(RESUMEN GLOBAL)'!K2557</f>
        <v>0</v>
      </c>
      <c r="I2557" s="8">
        <f>+G2557*'[1]VENTAS(RESUMEN GLOBAL)'!F2557</f>
        <v>0</v>
      </c>
      <c r="J2557" s="8">
        <f>'[1]VENTAS(RESUMEN GLOBAL)'!G2557*(1-'[1]VENTAS(RESUMEN GLOBAL)'!H2557)</f>
        <v>0</v>
      </c>
      <c r="K2557" s="8">
        <f t="shared" si="39"/>
        <v>0</v>
      </c>
      <c r="L2557" s="8">
        <f>+'[1]VENTAS(RESUMEN GLOBAL)'!J2557</f>
        <v>0</v>
      </c>
      <c r="M2557" s="8">
        <f>+Tabla1[[#This Row],[utilidad x dia]]*7</f>
        <v>0</v>
      </c>
    </row>
    <row r="2558" spans="1:13" x14ac:dyDescent="0.3">
      <c r="A2558" s="6">
        <f>+'[1]VENTAS(RESUMEN GLOBAL)'!L2558</f>
        <v>0</v>
      </c>
      <c r="B2558" s="6">
        <f>+'[1]VENTAS(RESUMEN GLOBAL)'!M2558</f>
        <v>0</v>
      </c>
      <c r="C2558">
        <f>+'[1]VENTAS(RESUMEN GLOBAL)'!B2558</f>
        <v>0</v>
      </c>
      <c r="D2558" t="e">
        <f>INDEX('[1]CÓDIGOS DE PRODUCTO'!$D$3:$D$1000,MATCH(C2558,'[1]CÓDIGOS DE PRODUCTO'!$A$3:$A$1000,0))</f>
        <v>#N/A</v>
      </c>
      <c r="E2558">
        <f>VLOOKUP(C2558,'[1]CÓDIGOS DE PRODUCTO'!$A$4:$B$156,2,FALSE)</f>
        <v>0</v>
      </c>
      <c r="F2558">
        <f>INDEX('[1]CÓDIGOS DE PRODUCTO'!$C$3:$C$1000,MATCH(C2558,'[1]CÓDIGOS DE PRODUCTO'!$A$3:$A$1000,0))</f>
        <v>0</v>
      </c>
      <c r="G2558">
        <f>+'[1]VENTAS(RESUMEN GLOBAL)'!D2558-'[1]VENTAS(RESUMEN GLOBAL)'!E2558</f>
        <v>0</v>
      </c>
      <c r="H2558" s="9">
        <f>+'[1]VENTAS(RESUMEN GLOBAL)'!K2558</f>
        <v>0</v>
      </c>
      <c r="I2558" s="8">
        <f>+G2558*'[1]VENTAS(RESUMEN GLOBAL)'!F2558</f>
        <v>0</v>
      </c>
      <c r="J2558" s="8">
        <f>'[1]VENTAS(RESUMEN GLOBAL)'!G2558*(1-'[1]VENTAS(RESUMEN GLOBAL)'!H2558)</f>
        <v>0</v>
      </c>
      <c r="K2558" s="8">
        <f t="shared" si="39"/>
        <v>0</v>
      </c>
      <c r="L2558" s="8">
        <f>+'[1]VENTAS(RESUMEN GLOBAL)'!J2558</f>
        <v>0</v>
      </c>
      <c r="M2558" s="8">
        <f>+Tabla1[[#This Row],[utilidad x dia]]*7</f>
        <v>0</v>
      </c>
    </row>
    <row r="2559" spans="1:13" x14ac:dyDescent="0.3">
      <c r="A2559" s="6">
        <f>+'[1]VENTAS(RESUMEN GLOBAL)'!L2559</f>
        <v>0</v>
      </c>
      <c r="B2559" s="6">
        <f>+'[1]VENTAS(RESUMEN GLOBAL)'!M2559</f>
        <v>0</v>
      </c>
      <c r="C2559">
        <f>+'[1]VENTAS(RESUMEN GLOBAL)'!B2559</f>
        <v>0</v>
      </c>
      <c r="D2559" t="e">
        <f>INDEX('[1]CÓDIGOS DE PRODUCTO'!$D$3:$D$1000,MATCH(C2559,'[1]CÓDIGOS DE PRODUCTO'!$A$3:$A$1000,0))</f>
        <v>#N/A</v>
      </c>
      <c r="E2559">
        <f>VLOOKUP(C2559,'[1]CÓDIGOS DE PRODUCTO'!$A$4:$B$156,2,FALSE)</f>
        <v>0</v>
      </c>
      <c r="F2559">
        <f>INDEX('[1]CÓDIGOS DE PRODUCTO'!$C$3:$C$1000,MATCH(C2559,'[1]CÓDIGOS DE PRODUCTO'!$A$3:$A$1000,0))</f>
        <v>0</v>
      </c>
      <c r="G2559">
        <f>+'[1]VENTAS(RESUMEN GLOBAL)'!D2559-'[1]VENTAS(RESUMEN GLOBAL)'!E2559</f>
        <v>0</v>
      </c>
      <c r="H2559" s="9">
        <f>+'[1]VENTAS(RESUMEN GLOBAL)'!K2559</f>
        <v>0</v>
      </c>
      <c r="I2559" s="8">
        <f>+G2559*'[1]VENTAS(RESUMEN GLOBAL)'!F2559</f>
        <v>0</v>
      </c>
      <c r="J2559" s="8">
        <f>'[1]VENTAS(RESUMEN GLOBAL)'!G2559*(1-'[1]VENTAS(RESUMEN GLOBAL)'!H2559)</f>
        <v>0</v>
      </c>
      <c r="K2559" s="8">
        <f t="shared" si="39"/>
        <v>0</v>
      </c>
      <c r="L2559" s="8">
        <f>+'[1]VENTAS(RESUMEN GLOBAL)'!J2559</f>
        <v>0</v>
      </c>
      <c r="M2559" s="8">
        <f>+Tabla1[[#This Row],[utilidad x dia]]*7</f>
        <v>0</v>
      </c>
    </row>
    <row r="2560" spans="1:13" x14ac:dyDescent="0.3">
      <c r="A2560" s="6">
        <f>+'[1]VENTAS(RESUMEN GLOBAL)'!L2560</f>
        <v>0</v>
      </c>
      <c r="B2560" s="6">
        <f>+'[1]VENTAS(RESUMEN GLOBAL)'!M2560</f>
        <v>0</v>
      </c>
      <c r="C2560">
        <f>+'[1]VENTAS(RESUMEN GLOBAL)'!B2560</f>
        <v>0</v>
      </c>
      <c r="D2560" t="e">
        <f>INDEX('[1]CÓDIGOS DE PRODUCTO'!$D$3:$D$1000,MATCH(C2560,'[1]CÓDIGOS DE PRODUCTO'!$A$3:$A$1000,0))</f>
        <v>#N/A</v>
      </c>
      <c r="E2560">
        <f>VLOOKUP(C2560,'[1]CÓDIGOS DE PRODUCTO'!$A$4:$B$156,2,FALSE)</f>
        <v>0</v>
      </c>
      <c r="F2560">
        <f>INDEX('[1]CÓDIGOS DE PRODUCTO'!$C$3:$C$1000,MATCH(C2560,'[1]CÓDIGOS DE PRODUCTO'!$A$3:$A$1000,0))</f>
        <v>0</v>
      </c>
      <c r="G2560">
        <f>+'[1]VENTAS(RESUMEN GLOBAL)'!D2560-'[1]VENTAS(RESUMEN GLOBAL)'!E2560</f>
        <v>0</v>
      </c>
      <c r="H2560" s="9">
        <f>+'[1]VENTAS(RESUMEN GLOBAL)'!K2560</f>
        <v>0</v>
      </c>
      <c r="I2560" s="8">
        <f>+G2560*'[1]VENTAS(RESUMEN GLOBAL)'!F2560</f>
        <v>0</v>
      </c>
      <c r="J2560" s="8">
        <f>'[1]VENTAS(RESUMEN GLOBAL)'!G2560*(1-'[1]VENTAS(RESUMEN GLOBAL)'!H2560)</f>
        <v>0</v>
      </c>
      <c r="K2560" s="8">
        <f t="shared" si="39"/>
        <v>0</v>
      </c>
      <c r="L2560" s="8">
        <f>+'[1]VENTAS(RESUMEN GLOBAL)'!J2560</f>
        <v>0</v>
      </c>
      <c r="M2560" s="8">
        <f>+Tabla1[[#This Row],[utilidad x dia]]*7</f>
        <v>0</v>
      </c>
    </row>
    <row r="2561" spans="1:13" x14ac:dyDescent="0.3">
      <c r="A2561" s="6">
        <f>+'[1]VENTAS(RESUMEN GLOBAL)'!L2561</f>
        <v>0</v>
      </c>
      <c r="B2561" s="6">
        <f>+'[1]VENTAS(RESUMEN GLOBAL)'!M2561</f>
        <v>0</v>
      </c>
      <c r="C2561">
        <f>+'[1]VENTAS(RESUMEN GLOBAL)'!B2561</f>
        <v>0</v>
      </c>
      <c r="D2561" t="e">
        <f>INDEX('[1]CÓDIGOS DE PRODUCTO'!$D$3:$D$1000,MATCH(C2561,'[1]CÓDIGOS DE PRODUCTO'!$A$3:$A$1000,0))</f>
        <v>#N/A</v>
      </c>
      <c r="E2561">
        <f>VLOOKUP(C2561,'[1]CÓDIGOS DE PRODUCTO'!$A$4:$B$156,2,FALSE)</f>
        <v>0</v>
      </c>
      <c r="F2561">
        <f>INDEX('[1]CÓDIGOS DE PRODUCTO'!$C$3:$C$1000,MATCH(C2561,'[1]CÓDIGOS DE PRODUCTO'!$A$3:$A$1000,0))</f>
        <v>0</v>
      </c>
      <c r="G2561">
        <f>+'[1]VENTAS(RESUMEN GLOBAL)'!D2561-'[1]VENTAS(RESUMEN GLOBAL)'!E2561</f>
        <v>0</v>
      </c>
      <c r="H2561" s="9">
        <f>+'[1]VENTAS(RESUMEN GLOBAL)'!K2561</f>
        <v>0</v>
      </c>
      <c r="I2561" s="8">
        <f>+G2561*'[1]VENTAS(RESUMEN GLOBAL)'!F2561</f>
        <v>0</v>
      </c>
      <c r="J2561" s="8">
        <f>'[1]VENTAS(RESUMEN GLOBAL)'!G2561*(1-'[1]VENTAS(RESUMEN GLOBAL)'!H2561)</f>
        <v>0</v>
      </c>
      <c r="K2561" s="8">
        <f t="shared" si="39"/>
        <v>0</v>
      </c>
      <c r="L2561" s="8">
        <f>+'[1]VENTAS(RESUMEN GLOBAL)'!J2561</f>
        <v>0</v>
      </c>
      <c r="M2561" s="8">
        <f>+Tabla1[[#This Row],[utilidad x dia]]*7</f>
        <v>0</v>
      </c>
    </row>
    <row r="2562" spans="1:13" x14ac:dyDescent="0.3">
      <c r="A2562" s="6">
        <f>+'[1]VENTAS(RESUMEN GLOBAL)'!L2562</f>
        <v>0</v>
      </c>
      <c r="B2562" s="6">
        <f>+'[1]VENTAS(RESUMEN GLOBAL)'!M2562</f>
        <v>0</v>
      </c>
      <c r="C2562">
        <f>+'[1]VENTAS(RESUMEN GLOBAL)'!B2562</f>
        <v>0</v>
      </c>
      <c r="D2562" t="e">
        <f>INDEX('[1]CÓDIGOS DE PRODUCTO'!$D$3:$D$1000,MATCH(C2562,'[1]CÓDIGOS DE PRODUCTO'!$A$3:$A$1000,0))</f>
        <v>#N/A</v>
      </c>
      <c r="E2562">
        <f>VLOOKUP(C2562,'[1]CÓDIGOS DE PRODUCTO'!$A$4:$B$156,2,FALSE)</f>
        <v>0</v>
      </c>
      <c r="F2562">
        <f>INDEX('[1]CÓDIGOS DE PRODUCTO'!$C$3:$C$1000,MATCH(C2562,'[1]CÓDIGOS DE PRODUCTO'!$A$3:$A$1000,0))</f>
        <v>0</v>
      </c>
      <c r="G2562">
        <f>+'[1]VENTAS(RESUMEN GLOBAL)'!D2562-'[1]VENTAS(RESUMEN GLOBAL)'!E2562</f>
        <v>0</v>
      </c>
      <c r="H2562" s="9">
        <f>+'[1]VENTAS(RESUMEN GLOBAL)'!K2562</f>
        <v>0</v>
      </c>
      <c r="I2562" s="8">
        <f>+G2562*'[1]VENTAS(RESUMEN GLOBAL)'!F2562</f>
        <v>0</v>
      </c>
      <c r="J2562" s="8">
        <f>'[1]VENTAS(RESUMEN GLOBAL)'!G2562*(1-'[1]VENTAS(RESUMEN GLOBAL)'!H2562)</f>
        <v>0</v>
      </c>
      <c r="K2562" s="8">
        <f t="shared" si="39"/>
        <v>0</v>
      </c>
      <c r="L2562" s="8">
        <f>+'[1]VENTAS(RESUMEN GLOBAL)'!J2562</f>
        <v>0</v>
      </c>
      <c r="M2562" s="8">
        <f>+Tabla1[[#This Row],[utilidad x dia]]*7</f>
        <v>0</v>
      </c>
    </row>
    <row r="2563" spans="1:13" x14ac:dyDescent="0.3">
      <c r="A2563" s="6">
        <f>+'[1]VENTAS(RESUMEN GLOBAL)'!L2563</f>
        <v>0</v>
      </c>
      <c r="B2563" s="6">
        <f>+'[1]VENTAS(RESUMEN GLOBAL)'!M2563</f>
        <v>0</v>
      </c>
      <c r="C2563">
        <f>+'[1]VENTAS(RESUMEN GLOBAL)'!B2563</f>
        <v>0</v>
      </c>
      <c r="D2563" t="e">
        <f>INDEX('[1]CÓDIGOS DE PRODUCTO'!$D$3:$D$1000,MATCH(C2563,'[1]CÓDIGOS DE PRODUCTO'!$A$3:$A$1000,0))</f>
        <v>#N/A</v>
      </c>
      <c r="E2563">
        <f>VLOOKUP(C2563,'[1]CÓDIGOS DE PRODUCTO'!$A$4:$B$156,2,FALSE)</f>
        <v>0</v>
      </c>
      <c r="F2563">
        <f>INDEX('[1]CÓDIGOS DE PRODUCTO'!$C$3:$C$1000,MATCH(C2563,'[1]CÓDIGOS DE PRODUCTO'!$A$3:$A$1000,0))</f>
        <v>0</v>
      </c>
      <c r="G2563">
        <f>+'[1]VENTAS(RESUMEN GLOBAL)'!D2563-'[1]VENTAS(RESUMEN GLOBAL)'!E2563</f>
        <v>0</v>
      </c>
      <c r="H2563" s="9">
        <f>+'[1]VENTAS(RESUMEN GLOBAL)'!K2563</f>
        <v>0</v>
      </c>
      <c r="I2563" s="8">
        <f>+G2563*'[1]VENTAS(RESUMEN GLOBAL)'!F2563</f>
        <v>0</v>
      </c>
      <c r="J2563" s="8">
        <f>'[1]VENTAS(RESUMEN GLOBAL)'!G2563*(1-'[1]VENTAS(RESUMEN GLOBAL)'!H2563)</f>
        <v>0</v>
      </c>
      <c r="K2563" s="8">
        <f t="shared" ref="K2563:K2626" si="40">+I2563-J2563</f>
        <v>0</v>
      </c>
      <c r="L2563" s="8">
        <f>+'[1]VENTAS(RESUMEN GLOBAL)'!J2563</f>
        <v>0</v>
      </c>
      <c r="M2563" s="8">
        <f>+Tabla1[[#This Row],[utilidad x dia]]*7</f>
        <v>0</v>
      </c>
    </row>
    <row r="2564" spans="1:13" x14ac:dyDescent="0.3">
      <c r="A2564" s="6">
        <f>+'[1]VENTAS(RESUMEN GLOBAL)'!L2564</f>
        <v>0</v>
      </c>
      <c r="B2564" s="6">
        <f>+'[1]VENTAS(RESUMEN GLOBAL)'!M2564</f>
        <v>0</v>
      </c>
      <c r="C2564">
        <f>+'[1]VENTAS(RESUMEN GLOBAL)'!B2564</f>
        <v>0</v>
      </c>
      <c r="D2564" t="e">
        <f>INDEX('[1]CÓDIGOS DE PRODUCTO'!$D$3:$D$1000,MATCH(C2564,'[1]CÓDIGOS DE PRODUCTO'!$A$3:$A$1000,0))</f>
        <v>#N/A</v>
      </c>
      <c r="E2564">
        <f>VLOOKUP(C2564,'[1]CÓDIGOS DE PRODUCTO'!$A$4:$B$156,2,FALSE)</f>
        <v>0</v>
      </c>
      <c r="F2564">
        <f>INDEX('[1]CÓDIGOS DE PRODUCTO'!$C$3:$C$1000,MATCH(C2564,'[1]CÓDIGOS DE PRODUCTO'!$A$3:$A$1000,0))</f>
        <v>0</v>
      </c>
      <c r="G2564">
        <f>+'[1]VENTAS(RESUMEN GLOBAL)'!D2564-'[1]VENTAS(RESUMEN GLOBAL)'!E2564</f>
        <v>0</v>
      </c>
      <c r="H2564" s="9">
        <f>+'[1]VENTAS(RESUMEN GLOBAL)'!K2564</f>
        <v>0</v>
      </c>
      <c r="I2564" s="8">
        <f>+G2564*'[1]VENTAS(RESUMEN GLOBAL)'!F2564</f>
        <v>0</v>
      </c>
      <c r="J2564" s="8">
        <f>'[1]VENTAS(RESUMEN GLOBAL)'!G2564*(1-'[1]VENTAS(RESUMEN GLOBAL)'!H2564)</f>
        <v>0</v>
      </c>
      <c r="K2564" s="8">
        <f t="shared" si="40"/>
        <v>0</v>
      </c>
      <c r="L2564" s="8">
        <f>+'[1]VENTAS(RESUMEN GLOBAL)'!J2564</f>
        <v>0</v>
      </c>
      <c r="M2564" s="8">
        <f>+Tabla1[[#This Row],[utilidad x dia]]*7</f>
        <v>0</v>
      </c>
    </row>
    <row r="2565" spans="1:13" x14ac:dyDescent="0.3">
      <c r="A2565" s="6">
        <f>+'[1]VENTAS(RESUMEN GLOBAL)'!L2565</f>
        <v>0</v>
      </c>
      <c r="B2565" s="6">
        <f>+'[1]VENTAS(RESUMEN GLOBAL)'!M2565</f>
        <v>0</v>
      </c>
      <c r="C2565">
        <f>+'[1]VENTAS(RESUMEN GLOBAL)'!B2565</f>
        <v>0</v>
      </c>
      <c r="D2565" t="e">
        <f>INDEX('[1]CÓDIGOS DE PRODUCTO'!$D$3:$D$1000,MATCH(C2565,'[1]CÓDIGOS DE PRODUCTO'!$A$3:$A$1000,0))</f>
        <v>#N/A</v>
      </c>
      <c r="E2565">
        <f>VLOOKUP(C2565,'[1]CÓDIGOS DE PRODUCTO'!$A$4:$B$156,2,FALSE)</f>
        <v>0</v>
      </c>
      <c r="F2565">
        <f>INDEX('[1]CÓDIGOS DE PRODUCTO'!$C$3:$C$1000,MATCH(C2565,'[1]CÓDIGOS DE PRODUCTO'!$A$3:$A$1000,0))</f>
        <v>0</v>
      </c>
      <c r="G2565">
        <f>+'[1]VENTAS(RESUMEN GLOBAL)'!D2565-'[1]VENTAS(RESUMEN GLOBAL)'!E2565</f>
        <v>0</v>
      </c>
      <c r="H2565" s="9">
        <f>+'[1]VENTAS(RESUMEN GLOBAL)'!K2565</f>
        <v>0</v>
      </c>
      <c r="I2565" s="8">
        <f>+G2565*'[1]VENTAS(RESUMEN GLOBAL)'!F2565</f>
        <v>0</v>
      </c>
      <c r="J2565" s="8">
        <f>'[1]VENTAS(RESUMEN GLOBAL)'!G2565*(1-'[1]VENTAS(RESUMEN GLOBAL)'!H2565)</f>
        <v>0</v>
      </c>
      <c r="K2565" s="8">
        <f t="shared" si="40"/>
        <v>0</v>
      </c>
      <c r="L2565" s="8">
        <f>+'[1]VENTAS(RESUMEN GLOBAL)'!J2565</f>
        <v>0</v>
      </c>
      <c r="M2565" s="8">
        <f>+Tabla1[[#This Row],[utilidad x dia]]*7</f>
        <v>0</v>
      </c>
    </row>
    <row r="2566" spans="1:13" x14ac:dyDescent="0.3">
      <c r="A2566" s="6">
        <f>+'[1]VENTAS(RESUMEN GLOBAL)'!L2566</f>
        <v>0</v>
      </c>
      <c r="B2566" s="6">
        <f>+'[1]VENTAS(RESUMEN GLOBAL)'!M2566</f>
        <v>0</v>
      </c>
      <c r="C2566">
        <f>+'[1]VENTAS(RESUMEN GLOBAL)'!B2566</f>
        <v>0</v>
      </c>
      <c r="D2566" t="e">
        <f>INDEX('[1]CÓDIGOS DE PRODUCTO'!$D$3:$D$1000,MATCH(C2566,'[1]CÓDIGOS DE PRODUCTO'!$A$3:$A$1000,0))</f>
        <v>#N/A</v>
      </c>
      <c r="E2566">
        <f>VLOOKUP(C2566,'[1]CÓDIGOS DE PRODUCTO'!$A$4:$B$156,2,FALSE)</f>
        <v>0</v>
      </c>
      <c r="F2566">
        <f>INDEX('[1]CÓDIGOS DE PRODUCTO'!$C$3:$C$1000,MATCH(C2566,'[1]CÓDIGOS DE PRODUCTO'!$A$3:$A$1000,0))</f>
        <v>0</v>
      </c>
      <c r="G2566">
        <f>+'[1]VENTAS(RESUMEN GLOBAL)'!D2566-'[1]VENTAS(RESUMEN GLOBAL)'!E2566</f>
        <v>0</v>
      </c>
      <c r="H2566" s="9">
        <f>+'[1]VENTAS(RESUMEN GLOBAL)'!K2566</f>
        <v>0</v>
      </c>
      <c r="I2566" s="8">
        <f>+G2566*'[1]VENTAS(RESUMEN GLOBAL)'!F2566</f>
        <v>0</v>
      </c>
      <c r="J2566" s="8">
        <f>'[1]VENTAS(RESUMEN GLOBAL)'!G2566*(1-'[1]VENTAS(RESUMEN GLOBAL)'!H2566)</f>
        <v>0</v>
      </c>
      <c r="K2566" s="8">
        <f t="shared" si="40"/>
        <v>0</v>
      </c>
      <c r="L2566" s="8">
        <f>+'[1]VENTAS(RESUMEN GLOBAL)'!J2566</f>
        <v>0</v>
      </c>
      <c r="M2566" s="8">
        <f>+Tabla1[[#This Row],[utilidad x dia]]*7</f>
        <v>0</v>
      </c>
    </row>
    <row r="2567" spans="1:13" x14ac:dyDescent="0.3">
      <c r="A2567" s="6">
        <f>+'[1]VENTAS(RESUMEN GLOBAL)'!L2567</f>
        <v>0</v>
      </c>
      <c r="B2567" s="6">
        <f>+'[1]VENTAS(RESUMEN GLOBAL)'!M2567</f>
        <v>0</v>
      </c>
      <c r="C2567">
        <f>+'[1]VENTAS(RESUMEN GLOBAL)'!B2567</f>
        <v>0</v>
      </c>
      <c r="D2567" t="e">
        <f>INDEX('[1]CÓDIGOS DE PRODUCTO'!$D$3:$D$1000,MATCH(C2567,'[1]CÓDIGOS DE PRODUCTO'!$A$3:$A$1000,0))</f>
        <v>#N/A</v>
      </c>
      <c r="E2567">
        <f>VLOOKUP(C2567,'[1]CÓDIGOS DE PRODUCTO'!$A$4:$B$156,2,FALSE)</f>
        <v>0</v>
      </c>
      <c r="F2567">
        <f>INDEX('[1]CÓDIGOS DE PRODUCTO'!$C$3:$C$1000,MATCH(C2567,'[1]CÓDIGOS DE PRODUCTO'!$A$3:$A$1000,0))</f>
        <v>0</v>
      </c>
      <c r="G2567">
        <f>+'[1]VENTAS(RESUMEN GLOBAL)'!D2567-'[1]VENTAS(RESUMEN GLOBAL)'!E2567</f>
        <v>0</v>
      </c>
      <c r="H2567" s="9">
        <f>+'[1]VENTAS(RESUMEN GLOBAL)'!K2567</f>
        <v>0</v>
      </c>
      <c r="I2567" s="8">
        <f>+G2567*'[1]VENTAS(RESUMEN GLOBAL)'!F2567</f>
        <v>0</v>
      </c>
      <c r="J2567" s="8">
        <f>'[1]VENTAS(RESUMEN GLOBAL)'!G2567*(1-'[1]VENTAS(RESUMEN GLOBAL)'!H2567)</f>
        <v>0</v>
      </c>
      <c r="K2567" s="8">
        <f t="shared" si="40"/>
        <v>0</v>
      </c>
      <c r="L2567" s="8">
        <f>+'[1]VENTAS(RESUMEN GLOBAL)'!J2567</f>
        <v>0</v>
      </c>
      <c r="M2567" s="8">
        <f>+Tabla1[[#This Row],[utilidad x dia]]*7</f>
        <v>0</v>
      </c>
    </row>
    <row r="2568" spans="1:13" x14ac:dyDescent="0.3">
      <c r="A2568" s="6">
        <f>+'[1]VENTAS(RESUMEN GLOBAL)'!L2568</f>
        <v>0</v>
      </c>
      <c r="B2568" s="6">
        <f>+'[1]VENTAS(RESUMEN GLOBAL)'!M2568</f>
        <v>0</v>
      </c>
      <c r="C2568">
        <f>+'[1]VENTAS(RESUMEN GLOBAL)'!B2568</f>
        <v>0</v>
      </c>
      <c r="D2568" t="e">
        <f>INDEX('[1]CÓDIGOS DE PRODUCTO'!$D$3:$D$1000,MATCH(C2568,'[1]CÓDIGOS DE PRODUCTO'!$A$3:$A$1000,0))</f>
        <v>#N/A</v>
      </c>
      <c r="E2568">
        <f>VLOOKUP(C2568,'[1]CÓDIGOS DE PRODUCTO'!$A$4:$B$156,2,FALSE)</f>
        <v>0</v>
      </c>
      <c r="F2568">
        <f>INDEX('[1]CÓDIGOS DE PRODUCTO'!$C$3:$C$1000,MATCH(C2568,'[1]CÓDIGOS DE PRODUCTO'!$A$3:$A$1000,0))</f>
        <v>0</v>
      </c>
      <c r="G2568">
        <f>+'[1]VENTAS(RESUMEN GLOBAL)'!D2568-'[1]VENTAS(RESUMEN GLOBAL)'!E2568</f>
        <v>0</v>
      </c>
      <c r="H2568" s="9">
        <f>+'[1]VENTAS(RESUMEN GLOBAL)'!K2568</f>
        <v>0</v>
      </c>
      <c r="I2568" s="8">
        <f>+G2568*'[1]VENTAS(RESUMEN GLOBAL)'!F2568</f>
        <v>0</v>
      </c>
      <c r="J2568" s="8">
        <f>'[1]VENTAS(RESUMEN GLOBAL)'!G2568*(1-'[1]VENTAS(RESUMEN GLOBAL)'!H2568)</f>
        <v>0</v>
      </c>
      <c r="K2568" s="8">
        <f t="shared" si="40"/>
        <v>0</v>
      </c>
      <c r="L2568" s="8">
        <f>+'[1]VENTAS(RESUMEN GLOBAL)'!J2568</f>
        <v>0</v>
      </c>
      <c r="M2568" s="8">
        <f>+Tabla1[[#This Row],[utilidad x dia]]*7</f>
        <v>0</v>
      </c>
    </row>
    <row r="2569" spans="1:13" x14ac:dyDescent="0.3">
      <c r="A2569" s="6">
        <f>+'[1]VENTAS(RESUMEN GLOBAL)'!L2569</f>
        <v>0</v>
      </c>
      <c r="B2569" s="6">
        <f>+'[1]VENTAS(RESUMEN GLOBAL)'!M2569</f>
        <v>0</v>
      </c>
      <c r="C2569">
        <f>+'[1]VENTAS(RESUMEN GLOBAL)'!B2569</f>
        <v>0</v>
      </c>
      <c r="D2569" t="e">
        <f>INDEX('[1]CÓDIGOS DE PRODUCTO'!$D$3:$D$1000,MATCH(C2569,'[1]CÓDIGOS DE PRODUCTO'!$A$3:$A$1000,0))</f>
        <v>#N/A</v>
      </c>
      <c r="E2569">
        <f>VLOOKUP(C2569,'[1]CÓDIGOS DE PRODUCTO'!$A$4:$B$156,2,FALSE)</f>
        <v>0</v>
      </c>
      <c r="F2569">
        <f>INDEX('[1]CÓDIGOS DE PRODUCTO'!$C$3:$C$1000,MATCH(C2569,'[1]CÓDIGOS DE PRODUCTO'!$A$3:$A$1000,0))</f>
        <v>0</v>
      </c>
      <c r="G2569">
        <f>+'[1]VENTAS(RESUMEN GLOBAL)'!D2569-'[1]VENTAS(RESUMEN GLOBAL)'!E2569</f>
        <v>0</v>
      </c>
      <c r="H2569" s="9">
        <f>+'[1]VENTAS(RESUMEN GLOBAL)'!K2569</f>
        <v>0</v>
      </c>
      <c r="I2569" s="8">
        <f>+G2569*'[1]VENTAS(RESUMEN GLOBAL)'!F2569</f>
        <v>0</v>
      </c>
      <c r="J2569" s="8">
        <f>'[1]VENTAS(RESUMEN GLOBAL)'!G2569*(1-'[1]VENTAS(RESUMEN GLOBAL)'!H2569)</f>
        <v>0</v>
      </c>
      <c r="K2569" s="8">
        <f t="shared" si="40"/>
        <v>0</v>
      </c>
      <c r="L2569" s="8">
        <f>+'[1]VENTAS(RESUMEN GLOBAL)'!J2569</f>
        <v>0</v>
      </c>
      <c r="M2569" s="8">
        <f>+Tabla1[[#This Row],[utilidad x dia]]*7</f>
        <v>0</v>
      </c>
    </row>
    <row r="2570" spans="1:13" x14ac:dyDescent="0.3">
      <c r="A2570" s="6">
        <f>+'[1]VENTAS(RESUMEN GLOBAL)'!L2570</f>
        <v>0</v>
      </c>
      <c r="B2570" s="6">
        <f>+'[1]VENTAS(RESUMEN GLOBAL)'!M2570</f>
        <v>0</v>
      </c>
      <c r="C2570">
        <f>+'[1]VENTAS(RESUMEN GLOBAL)'!B2570</f>
        <v>0</v>
      </c>
      <c r="D2570" t="e">
        <f>INDEX('[1]CÓDIGOS DE PRODUCTO'!$D$3:$D$1000,MATCH(C2570,'[1]CÓDIGOS DE PRODUCTO'!$A$3:$A$1000,0))</f>
        <v>#N/A</v>
      </c>
      <c r="E2570">
        <f>VLOOKUP(C2570,'[1]CÓDIGOS DE PRODUCTO'!$A$4:$B$156,2,FALSE)</f>
        <v>0</v>
      </c>
      <c r="F2570">
        <f>INDEX('[1]CÓDIGOS DE PRODUCTO'!$C$3:$C$1000,MATCH(C2570,'[1]CÓDIGOS DE PRODUCTO'!$A$3:$A$1000,0))</f>
        <v>0</v>
      </c>
      <c r="G2570">
        <f>+'[1]VENTAS(RESUMEN GLOBAL)'!D2570-'[1]VENTAS(RESUMEN GLOBAL)'!E2570</f>
        <v>0</v>
      </c>
      <c r="H2570" s="9">
        <f>+'[1]VENTAS(RESUMEN GLOBAL)'!K2570</f>
        <v>0</v>
      </c>
      <c r="I2570" s="8">
        <f>+G2570*'[1]VENTAS(RESUMEN GLOBAL)'!F2570</f>
        <v>0</v>
      </c>
      <c r="J2570" s="8">
        <f>'[1]VENTAS(RESUMEN GLOBAL)'!G2570*(1-'[1]VENTAS(RESUMEN GLOBAL)'!H2570)</f>
        <v>0</v>
      </c>
      <c r="K2570" s="8">
        <f t="shared" si="40"/>
        <v>0</v>
      </c>
      <c r="L2570" s="8">
        <f>+'[1]VENTAS(RESUMEN GLOBAL)'!J2570</f>
        <v>0</v>
      </c>
      <c r="M2570" s="8">
        <f>+Tabla1[[#This Row],[utilidad x dia]]*7</f>
        <v>0</v>
      </c>
    </row>
    <row r="2571" spans="1:13" x14ac:dyDescent="0.3">
      <c r="A2571" s="6">
        <f>+'[1]VENTAS(RESUMEN GLOBAL)'!L2571</f>
        <v>0</v>
      </c>
      <c r="B2571" s="6">
        <f>+'[1]VENTAS(RESUMEN GLOBAL)'!M2571</f>
        <v>0</v>
      </c>
      <c r="C2571">
        <f>+'[1]VENTAS(RESUMEN GLOBAL)'!B2571</f>
        <v>0</v>
      </c>
      <c r="D2571" t="e">
        <f>INDEX('[1]CÓDIGOS DE PRODUCTO'!$D$3:$D$1000,MATCH(C2571,'[1]CÓDIGOS DE PRODUCTO'!$A$3:$A$1000,0))</f>
        <v>#N/A</v>
      </c>
      <c r="E2571">
        <f>VLOOKUP(C2571,'[1]CÓDIGOS DE PRODUCTO'!$A$4:$B$156,2,FALSE)</f>
        <v>0</v>
      </c>
      <c r="F2571">
        <f>INDEX('[1]CÓDIGOS DE PRODUCTO'!$C$3:$C$1000,MATCH(C2571,'[1]CÓDIGOS DE PRODUCTO'!$A$3:$A$1000,0))</f>
        <v>0</v>
      </c>
      <c r="G2571">
        <f>+'[1]VENTAS(RESUMEN GLOBAL)'!D2571-'[1]VENTAS(RESUMEN GLOBAL)'!E2571</f>
        <v>0</v>
      </c>
      <c r="H2571" s="9">
        <f>+'[1]VENTAS(RESUMEN GLOBAL)'!K2571</f>
        <v>0</v>
      </c>
      <c r="I2571" s="8">
        <f>+G2571*'[1]VENTAS(RESUMEN GLOBAL)'!F2571</f>
        <v>0</v>
      </c>
      <c r="J2571" s="8">
        <f>'[1]VENTAS(RESUMEN GLOBAL)'!G2571*(1-'[1]VENTAS(RESUMEN GLOBAL)'!H2571)</f>
        <v>0</v>
      </c>
      <c r="K2571" s="8">
        <f t="shared" si="40"/>
        <v>0</v>
      </c>
      <c r="L2571" s="8">
        <f>+'[1]VENTAS(RESUMEN GLOBAL)'!J2571</f>
        <v>0</v>
      </c>
      <c r="M2571" s="8">
        <f>+Tabla1[[#This Row],[utilidad x dia]]*7</f>
        <v>0</v>
      </c>
    </row>
    <row r="2572" spans="1:13" x14ac:dyDescent="0.3">
      <c r="A2572" s="6">
        <f>+'[1]VENTAS(RESUMEN GLOBAL)'!L2572</f>
        <v>0</v>
      </c>
      <c r="B2572" s="6">
        <f>+'[1]VENTAS(RESUMEN GLOBAL)'!M2572</f>
        <v>0</v>
      </c>
      <c r="C2572">
        <f>+'[1]VENTAS(RESUMEN GLOBAL)'!B2572</f>
        <v>0</v>
      </c>
      <c r="D2572" t="e">
        <f>INDEX('[1]CÓDIGOS DE PRODUCTO'!$D$3:$D$1000,MATCH(C2572,'[1]CÓDIGOS DE PRODUCTO'!$A$3:$A$1000,0))</f>
        <v>#N/A</v>
      </c>
      <c r="E2572">
        <f>VLOOKUP(C2572,'[1]CÓDIGOS DE PRODUCTO'!$A$4:$B$156,2,FALSE)</f>
        <v>0</v>
      </c>
      <c r="F2572">
        <f>INDEX('[1]CÓDIGOS DE PRODUCTO'!$C$3:$C$1000,MATCH(C2572,'[1]CÓDIGOS DE PRODUCTO'!$A$3:$A$1000,0))</f>
        <v>0</v>
      </c>
      <c r="G2572">
        <f>+'[1]VENTAS(RESUMEN GLOBAL)'!D2572-'[1]VENTAS(RESUMEN GLOBAL)'!E2572</f>
        <v>0</v>
      </c>
      <c r="H2572" s="9">
        <f>+'[1]VENTAS(RESUMEN GLOBAL)'!K2572</f>
        <v>0</v>
      </c>
      <c r="I2572" s="8">
        <f>+G2572*'[1]VENTAS(RESUMEN GLOBAL)'!F2572</f>
        <v>0</v>
      </c>
      <c r="J2572" s="8">
        <f>'[1]VENTAS(RESUMEN GLOBAL)'!G2572*(1-'[1]VENTAS(RESUMEN GLOBAL)'!H2572)</f>
        <v>0</v>
      </c>
      <c r="K2572" s="8">
        <f t="shared" si="40"/>
        <v>0</v>
      </c>
      <c r="L2572" s="8">
        <f>+'[1]VENTAS(RESUMEN GLOBAL)'!J2572</f>
        <v>0</v>
      </c>
      <c r="M2572" s="8">
        <f>+Tabla1[[#This Row],[utilidad x dia]]*7</f>
        <v>0</v>
      </c>
    </row>
    <row r="2573" spans="1:13" x14ac:dyDescent="0.3">
      <c r="A2573" s="6">
        <f>+'[1]VENTAS(RESUMEN GLOBAL)'!L2573</f>
        <v>0</v>
      </c>
      <c r="B2573" s="6">
        <f>+'[1]VENTAS(RESUMEN GLOBAL)'!M2573</f>
        <v>0</v>
      </c>
      <c r="C2573">
        <f>+'[1]VENTAS(RESUMEN GLOBAL)'!B2573</f>
        <v>0</v>
      </c>
      <c r="D2573" t="e">
        <f>INDEX('[1]CÓDIGOS DE PRODUCTO'!$D$3:$D$1000,MATCH(C2573,'[1]CÓDIGOS DE PRODUCTO'!$A$3:$A$1000,0))</f>
        <v>#N/A</v>
      </c>
      <c r="E2573">
        <f>VLOOKUP(C2573,'[1]CÓDIGOS DE PRODUCTO'!$A$4:$B$156,2,FALSE)</f>
        <v>0</v>
      </c>
      <c r="F2573">
        <f>INDEX('[1]CÓDIGOS DE PRODUCTO'!$C$3:$C$1000,MATCH(C2573,'[1]CÓDIGOS DE PRODUCTO'!$A$3:$A$1000,0))</f>
        <v>0</v>
      </c>
      <c r="G2573">
        <f>+'[1]VENTAS(RESUMEN GLOBAL)'!D2573-'[1]VENTAS(RESUMEN GLOBAL)'!E2573</f>
        <v>0</v>
      </c>
      <c r="H2573" s="9">
        <f>+'[1]VENTAS(RESUMEN GLOBAL)'!K2573</f>
        <v>0</v>
      </c>
      <c r="I2573" s="8">
        <f>+G2573*'[1]VENTAS(RESUMEN GLOBAL)'!F2573</f>
        <v>0</v>
      </c>
      <c r="J2573" s="8">
        <f>'[1]VENTAS(RESUMEN GLOBAL)'!G2573*(1-'[1]VENTAS(RESUMEN GLOBAL)'!H2573)</f>
        <v>0</v>
      </c>
      <c r="K2573" s="8">
        <f t="shared" si="40"/>
        <v>0</v>
      </c>
      <c r="L2573" s="8">
        <f>+'[1]VENTAS(RESUMEN GLOBAL)'!J2573</f>
        <v>0</v>
      </c>
      <c r="M2573" s="8">
        <f>+Tabla1[[#This Row],[utilidad x dia]]*7</f>
        <v>0</v>
      </c>
    </row>
    <row r="2574" spans="1:13" x14ac:dyDescent="0.3">
      <c r="A2574" s="6">
        <f>+'[1]VENTAS(RESUMEN GLOBAL)'!L2574</f>
        <v>0</v>
      </c>
      <c r="B2574" s="6">
        <f>+'[1]VENTAS(RESUMEN GLOBAL)'!M2574</f>
        <v>0</v>
      </c>
      <c r="C2574">
        <f>+'[1]VENTAS(RESUMEN GLOBAL)'!B2574</f>
        <v>0</v>
      </c>
      <c r="D2574" t="e">
        <f>INDEX('[1]CÓDIGOS DE PRODUCTO'!$D$3:$D$1000,MATCH(C2574,'[1]CÓDIGOS DE PRODUCTO'!$A$3:$A$1000,0))</f>
        <v>#N/A</v>
      </c>
      <c r="E2574">
        <f>VLOOKUP(C2574,'[1]CÓDIGOS DE PRODUCTO'!$A$4:$B$156,2,FALSE)</f>
        <v>0</v>
      </c>
      <c r="F2574">
        <f>INDEX('[1]CÓDIGOS DE PRODUCTO'!$C$3:$C$1000,MATCH(C2574,'[1]CÓDIGOS DE PRODUCTO'!$A$3:$A$1000,0))</f>
        <v>0</v>
      </c>
      <c r="G2574">
        <f>+'[1]VENTAS(RESUMEN GLOBAL)'!D2574-'[1]VENTAS(RESUMEN GLOBAL)'!E2574</f>
        <v>0</v>
      </c>
      <c r="H2574" s="9">
        <f>+'[1]VENTAS(RESUMEN GLOBAL)'!K2574</f>
        <v>0</v>
      </c>
      <c r="I2574" s="8">
        <f>+G2574*'[1]VENTAS(RESUMEN GLOBAL)'!F2574</f>
        <v>0</v>
      </c>
      <c r="J2574" s="8">
        <f>'[1]VENTAS(RESUMEN GLOBAL)'!G2574*(1-'[1]VENTAS(RESUMEN GLOBAL)'!H2574)</f>
        <v>0</v>
      </c>
      <c r="K2574" s="8">
        <f t="shared" si="40"/>
        <v>0</v>
      </c>
      <c r="L2574" s="8">
        <f>+'[1]VENTAS(RESUMEN GLOBAL)'!J2574</f>
        <v>0</v>
      </c>
      <c r="M2574" s="8">
        <f>+Tabla1[[#This Row],[utilidad x dia]]*7</f>
        <v>0</v>
      </c>
    </row>
    <row r="2575" spans="1:13" x14ac:dyDescent="0.3">
      <c r="A2575" s="6">
        <f>+'[1]VENTAS(RESUMEN GLOBAL)'!L2575</f>
        <v>0</v>
      </c>
      <c r="B2575" s="6">
        <f>+'[1]VENTAS(RESUMEN GLOBAL)'!M2575</f>
        <v>0</v>
      </c>
      <c r="C2575">
        <f>+'[1]VENTAS(RESUMEN GLOBAL)'!B2575</f>
        <v>0</v>
      </c>
      <c r="D2575" t="e">
        <f>INDEX('[1]CÓDIGOS DE PRODUCTO'!$D$3:$D$1000,MATCH(C2575,'[1]CÓDIGOS DE PRODUCTO'!$A$3:$A$1000,0))</f>
        <v>#N/A</v>
      </c>
      <c r="E2575">
        <f>VLOOKUP(C2575,'[1]CÓDIGOS DE PRODUCTO'!$A$4:$B$156,2,FALSE)</f>
        <v>0</v>
      </c>
      <c r="F2575">
        <f>INDEX('[1]CÓDIGOS DE PRODUCTO'!$C$3:$C$1000,MATCH(C2575,'[1]CÓDIGOS DE PRODUCTO'!$A$3:$A$1000,0))</f>
        <v>0</v>
      </c>
      <c r="G2575">
        <f>+'[1]VENTAS(RESUMEN GLOBAL)'!D2575-'[1]VENTAS(RESUMEN GLOBAL)'!E2575</f>
        <v>0</v>
      </c>
      <c r="H2575" s="9">
        <f>+'[1]VENTAS(RESUMEN GLOBAL)'!K2575</f>
        <v>0</v>
      </c>
      <c r="I2575" s="8">
        <f>+G2575*'[1]VENTAS(RESUMEN GLOBAL)'!F2575</f>
        <v>0</v>
      </c>
      <c r="J2575" s="8">
        <f>'[1]VENTAS(RESUMEN GLOBAL)'!G2575*(1-'[1]VENTAS(RESUMEN GLOBAL)'!H2575)</f>
        <v>0</v>
      </c>
      <c r="K2575" s="8">
        <f t="shared" si="40"/>
        <v>0</v>
      </c>
      <c r="L2575" s="8">
        <f>+'[1]VENTAS(RESUMEN GLOBAL)'!J2575</f>
        <v>0</v>
      </c>
      <c r="M2575" s="8">
        <f>+Tabla1[[#This Row],[utilidad x dia]]*7</f>
        <v>0</v>
      </c>
    </row>
    <row r="2576" spans="1:13" x14ac:dyDescent="0.3">
      <c r="A2576" s="6">
        <f>+'[1]VENTAS(RESUMEN GLOBAL)'!L2576</f>
        <v>0</v>
      </c>
      <c r="B2576" s="6">
        <f>+'[1]VENTAS(RESUMEN GLOBAL)'!M2576</f>
        <v>0</v>
      </c>
      <c r="C2576">
        <f>+'[1]VENTAS(RESUMEN GLOBAL)'!B2576</f>
        <v>0</v>
      </c>
      <c r="D2576" t="e">
        <f>INDEX('[1]CÓDIGOS DE PRODUCTO'!$D$3:$D$1000,MATCH(C2576,'[1]CÓDIGOS DE PRODUCTO'!$A$3:$A$1000,0))</f>
        <v>#N/A</v>
      </c>
      <c r="E2576">
        <f>VLOOKUP(C2576,'[1]CÓDIGOS DE PRODUCTO'!$A$4:$B$156,2,FALSE)</f>
        <v>0</v>
      </c>
      <c r="F2576">
        <f>INDEX('[1]CÓDIGOS DE PRODUCTO'!$C$3:$C$1000,MATCH(C2576,'[1]CÓDIGOS DE PRODUCTO'!$A$3:$A$1000,0))</f>
        <v>0</v>
      </c>
      <c r="G2576">
        <f>+'[1]VENTAS(RESUMEN GLOBAL)'!D2576-'[1]VENTAS(RESUMEN GLOBAL)'!E2576</f>
        <v>0</v>
      </c>
      <c r="H2576" s="9">
        <f>+'[1]VENTAS(RESUMEN GLOBAL)'!K2576</f>
        <v>0</v>
      </c>
      <c r="I2576" s="8">
        <f>+G2576*'[1]VENTAS(RESUMEN GLOBAL)'!F2576</f>
        <v>0</v>
      </c>
      <c r="J2576" s="8">
        <f>'[1]VENTAS(RESUMEN GLOBAL)'!G2576*(1-'[1]VENTAS(RESUMEN GLOBAL)'!H2576)</f>
        <v>0</v>
      </c>
      <c r="K2576" s="8">
        <f t="shared" si="40"/>
        <v>0</v>
      </c>
      <c r="L2576" s="8">
        <f>+'[1]VENTAS(RESUMEN GLOBAL)'!J2576</f>
        <v>0</v>
      </c>
      <c r="M2576" s="8">
        <f>+Tabla1[[#This Row],[utilidad x dia]]*7</f>
        <v>0</v>
      </c>
    </row>
    <row r="2577" spans="1:13" x14ac:dyDescent="0.3">
      <c r="A2577" s="6">
        <f>+'[1]VENTAS(RESUMEN GLOBAL)'!L2577</f>
        <v>0</v>
      </c>
      <c r="B2577" s="6">
        <f>+'[1]VENTAS(RESUMEN GLOBAL)'!M2577</f>
        <v>0</v>
      </c>
      <c r="C2577">
        <f>+'[1]VENTAS(RESUMEN GLOBAL)'!B2577</f>
        <v>0</v>
      </c>
      <c r="D2577" t="e">
        <f>INDEX('[1]CÓDIGOS DE PRODUCTO'!$D$3:$D$1000,MATCH(C2577,'[1]CÓDIGOS DE PRODUCTO'!$A$3:$A$1000,0))</f>
        <v>#N/A</v>
      </c>
      <c r="E2577">
        <f>VLOOKUP(C2577,'[1]CÓDIGOS DE PRODUCTO'!$A$4:$B$156,2,FALSE)</f>
        <v>0</v>
      </c>
      <c r="F2577">
        <f>INDEX('[1]CÓDIGOS DE PRODUCTO'!$C$3:$C$1000,MATCH(C2577,'[1]CÓDIGOS DE PRODUCTO'!$A$3:$A$1000,0))</f>
        <v>0</v>
      </c>
      <c r="G2577">
        <f>+'[1]VENTAS(RESUMEN GLOBAL)'!D2577-'[1]VENTAS(RESUMEN GLOBAL)'!E2577</f>
        <v>0</v>
      </c>
      <c r="H2577" s="9">
        <f>+'[1]VENTAS(RESUMEN GLOBAL)'!K2577</f>
        <v>0</v>
      </c>
      <c r="I2577" s="8">
        <f>+G2577*'[1]VENTAS(RESUMEN GLOBAL)'!F2577</f>
        <v>0</v>
      </c>
      <c r="J2577" s="8">
        <f>'[1]VENTAS(RESUMEN GLOBAL)'!G2577*(1-'[1]VENTAS(RESUMEN GLOBAL)'!H2577)</f>
        <v>0</v>
      </c>
      <c r="K2577" s="8">
        <f t="shared" si="40"/>
        <v>0</v>
      </c>
      <c r="L2577" s="8">
        <f>+'[1]VENTAS(RESUMEN GLOBAL)'!J2577</f>
        <v>0</v>
      </c>
      <c r="M2577" s="8">
        <f>+Tabla1[[#This Row],[utilidad x dia]]*7</f>
        <v>0</v>
      </c>
    </row>
    <row r="2578" spans="1:13" x14ac:dyDescent="0.3">
      <c r="A2578" s="6">
        <f>+'[1]VENTAS(RESUMEN GLOBAL)'!L2578</f>
        <v>0</v>
      </c>
      <c r="B2578" s="6">
        <f>+'[1]VENTAS(RESUMEN GLOBAL)'!M2578</f>
        <v>0</v>
      </c>
      <c r="C2578">
        <f>+'[1]VENTAS(RESUMEN GLOBAL)'!B2578</f>
        <v>0</v>
      </c>
      <c r="D2578" t="e">
        <f>INDEX('[1]CÓDIGOS DE PRODUCTO'!$D$3:$D$1000,MATCH(C2578,'[1]CÓDIGOS DE PRODUCTO'!$A$3:$A$1000,0))</f>
        <v>#N/A</v>
      </c>
      <c r="E2578">
        <f>VLOOKUP(C2578,'[1]CÓDIGOS DE PRODUCTO'!$A$4:$B$156,2,FALSE)</f>
        <v>0</v>
      </c>
      <c r="F2578">
        <f>INDEX('[1]CÓDIGOS DE PRODUCTO'!$C$3:$C$1000,MATCH(C2578,'[1]CÓDIGOS DE PRODUCTO'!$A$3:$A$1000,0))</f>
        <v>0</v>
      </c>
      <c r="G2578">
        <f>+'[1]VENTAS(RESUMEN GLOBAL)'!D2578-'[1]VENTAS(RESUMEN GLOBAL)'!E2578</f>
        <v>0</v>
      </c>
      <c r="H2578" s="9">
        <f>+'[1]VENTAS(RESUMEN GLOBAL)'!K2578</f>
        <v>0</v>
      </c>
      <c r="I2578" s="8">
        <f>+G2578*'[1]VENTAS(RESUMEN GLOBAL)'!F2578</f>
        <v>0</v>
      </c>
      <c r="J2578" s="8">
        <f>'[1]VENTAS(RESUMEN GLOBAL)'!G2578*(1-'[1]VENTAS(RESUMEN GLOBAL)'!H2578)</f>
        <v>0</v>
      </c>
      <c r="K2578" s="8">
        <f t="shared" si="40"/>
        <v>0</v>
      </c>
      <c r="L2578" s="8">
        <f>+'[1]VENTAS(RESUMEN GLOBAL)'!J2578</f>
        <v>0</v>
      </c>
      <c r="M2578" s="8">
        <f>+Tabla1[[#This Row],[utilidad x dia]]*7</f>
        <v>0</v>
      </c>
    </row>
    <row r="2579" spans="1:13" x14ac:dyDescent="0.3">
      <c r="A2579" s="6">
        <f>+'[1]VENTAS(RESUMEN GLOBAL)'!L2579</f>
        <v>0</v>
      </c>
      <c r="B2579" s="6">
        <f>+'[1]VENTAS(RESUMEN GLOBAL)'!M2579</f>
        <v>0</v>
      </c>
      <c r="C2579">
        <f>+'[1]VENTAS(RESUMEN GLOBAL)'!B2579</f>
        <v>0</v>
      </c>
      <c r="D2579" t="e">
        <f>INDEX('[1]CÓDIGOS DE PRODUCTO'!$D$3:$D$1000,MATCH(C2579,'[1]CÓDIGOS DE PRODUCTO'!$A$3:$A$1000,0))</f>
        <v>#N/A</v>
      </c>
      <c r="E2579">
        <f>VLOOKUP(C2579,'[1]CÓDIGOS DE PRODUCTO'!$A$4:$B$156,2,FALSE)</f>
        <v>0</v>
      </c>
      <c r="F2579">
        <f>INDEX('[1]CÓDIGOS DE PRODUCTO'!$C$3:$C$1000,MATCH(C2579,'[1]CÓDIGOS DE PRODUCTO'!$A$3:$A$1000,0))</f>
        <v>0</v>
      </c>
      <c r="G2579">
        <f>+'[1]VENTAS(RESUMEN GLOBAL)'!D2579-'[1]VENTAS(RESUMEN GLOBAL)'!E2579</f>
        <v>0</v>
      </c>
      <c r="H2579" s="9">
        <f>+'[1]VENTAS(RESUMEN GLOBAL)'!K2579</f>
        <v>0</v>
      </c>
      <c r="I2579" s="8">
        <f>+G2579*'[1]VENTAS(RESUMEN GLOBAL)'!F2579</f>
        <v>0</v>
      </c>
      <c r="J2579" s="8">
        <f>'[1]VENTAS(RESUMEN GLOBAL)'!G2579*(1-'[1]VENTAS(RESUMEN GLOBAL)'!H2579)</f>
        <v>0</v>
      </c>
      <c r="K2579" s="8">
        <f t="shared" si="40"/>
        <v>0</v>
      </c>
      <c r="L2579" s="8">
        <f>+'[1]VENTAS(RESUMEN GLOBAL)'!J2579</f>
        <v>0</v>
      </c>
      <c r="M2579" s="8">
        <f>+Tabla1[[#This Row],[utilidad x dia]]*7</f>
        <v>0</v>
      </c>
    </row>
    <row r="2580" spans="1:13" x14ac:dyDescent="0.3">
      <c r="A2580" s="6">
        <f>+'[1]VENTAS(RESUMEN GLOBAL)'!L2580</f>
        <v>0</v>
      </c>
      <c r="B2580" s="6">
        <f>+'[1]VENTAS(RESUMEN GLOBAL)'!M2580</f>
        <v>0</v>
      </c>
      <c r="C2580">
        <f>+'[1]VENTAS(RESUMEN GLOBAL)'!B2580</f>
        <v>0</v>
      </c>
      <c r="D2580" t="e">
        <f>INDEX('[1]CÓDIGOS DE PRODUCTO'!$D$3:$D$1000,MATCH(C2580,'[1]CÓDIGOS DE PRODUCTO'!$A$3:$A$1000,0))</f>
        <v>#N/A</v>
      </c>
      <c r="E2580">
        <f>VLOOKUP(C2580,'[1]CÓDIGOS DE PRODUCTO'!$A$4:$B$156,2,FALSE)</f>
        <v>0</v>
      </c>
      <c r="F2580">
        <f>INDEX('[1]CÓDIGOS DE PRODUCTO'!$C$3:$C$1000,MATCH(C2580,'[1]CÓDIGOS DE PRODUCTO'!$A$3:$A$1000,0))</f>
        <v>0</v>
      </c>
      <c r="G2580">
        <f>+'[1]VENTAS(RESUMEN GLOBAL)'!D2580-'[1]VENTAS(RESUMEN GLOBAL)'!E2580</f>
        <v>0</v>
      </c>
      <c r="H2580" s="9">
        <f>+'[1]VENTAS(RESUMEN GLOBAL)'!K2580</f>
        <v>0</v>
      </c>
      <c r="I2580" s="8">
        <f>+G2580*'[1]VENTAS(RESUMEN GLOBAL)'!F2580</f>
        <v>0</v>
      </c>
      <c r="J2580" s="8">
        <f>'[1]VENTAS(RESUMEN GLOBAL)'!G2580*(1-'[1]VENTAS(RESUMEN GLOBAL)'!H2580)</f>
        <v>0</v>
      </c>
      <c r="K2580" s="8">
        <f t="shared" si="40"/>
        <v>0</v>
      </c>
      <c r="L2580" s="8">
        <f>+'[1]VENTAS(RESUMEN GLOBAL)'!J2580</f>
        <v>0</v>
      </c>
      <c r="M2580" s="8">
        <f>+Tabla1[[#This Row],[utilidad x dia]]*7</f>
        <v>0</v>
      </c>
    </row>
    <row r="2581" spans="1:13" x14ac:dyDescent="0.3">
      <c r="A2581" s="6">
        <f>+'[1]VENTAS(RESUMEN GLOBAL)'!L2581</f>
        <v>0</v>
      </c>
      <c r="B2581" s="6">
        <f>+'[1]VENTAS(RESUMEN GLOBAL)'!M2581</f>
        <v>0</v>
      </c>
      <c r="C2581">
        <f>+'[1]VENTAS(RESUMEN GLOBAL)'!B2581</f>
        <v>0</v>
      </c>
      <c r="D2581" t="e">
        <f>INDEX('[1]CÓDIGOS DE PRODUCTO'!$D$3:$D$1000,MATCH(C2581,'[1]CÓDIGOS DE PRODUCTO'!$A$3:$A$1000,0))</f>
        <v>#N/A</v>
      </c>
      <c r="E2581">
        <f>VLOOKUP(C2581,'[1]CÓDIGOS DE PRODUCTO'!$A$4:$B$156,2,FALSE)</f>
        <v>0</v>
      </c>
      <c r="F2581">
        <f>INDEX('[1]CÓDIGOS DE PRODUCTO'!$C$3:$C$1000,MATCH(C2581,'[1]CÓDIGOS DE PRODUCTO'!$A$3:$A$1000,0))</f>
        <v>0</v>
      </c>
      <c r="G2581">
        <f>+'[1]VENTAS(RESUMEN GLOBAL)'!D2581-'[1]VENTAS(RESUMEN GLOBAL)'!E2581</f>
        <v>0</v>
      </c>
      <c r="H2581" s="9">
        <f>+'[1]VENTAS(RESUMEN GLOBAL)'!K2581</f>
        <v>0</v>
      </c>
      <c r="I2581" s="8">
        <f>+G2581*'[1]VENTAS(RESUMEN GLOBAL)'!F2581</f>
        <v>0</v>
      </c>
      <c r="J2581" s="8">
        <f>'[1]VENTAS(RESUMEN GLOBAL)'!G2581*(1-'[1]VENTAS(RESUMEN GLOBAL)'!H2581)</f>
        <v>0</v>
      </c>
      <c r="K2581" s="8">
        <f t="shared" si="40"/>
        <v>0</v>
      </c>
      <c r="L2581" s="8">
        <f>+'[1]VENTAS(RESUMEN GLOBAL)'!J2581</f>
        <v>0</v>
      </c>
      <c r="M2581" s="8">
        <f>+Tabla1[[#This Row],[utilidad x dia]]*7</f>
        <v>0</v>
      </c>
    </row>
    <row r="2582" spans="1:13" x14ac:dyDescent="0.3">
      <c r="A2582" s="6">
        <f>+'[1]VENTAS(RESUMEN GLOBAL)'!L2582</f>
        <v>0</v>
      </c>
      <c r="B2582" s="6">
        <f>+'[1]VENTAS(RESUMEN GLOBAL)'!M2582</f>
        <v>0</v>
      </c>
      <c r="C2582">
        <f>+'[1]VENTAS(RESUMEN GLOBAL)'!B2582</f>
        <v>0</v>
      </c>
      <c r="D2582" t="e">
        <f>INDEX('[1]CÓDIGOS DE PRODUCTO'!$D$3:$D$1000,MATCH(C2582,'[1]CÓDIGOS DE PRODUCTO'!$A$3:$A$1000,0))</f>
        <v>#N/A</v>
      </c>
      <c r="E2582">
        <f>VLOOKUP(C2582,'[1]CÓDIGOS DE PRODUCTO'!$A$4:$B$156,2,FALSE)</f>
        <v>0</v>
      </c>
      <c r="F2582">
        <f>INDEX('[1]CÓDIGOS DE PRODUCTO'!$C$3:$C$1000,MATCH(C2582,'[1]CÓDIGOS DE PRODUCTO'!$A$3:$A$1000,0))</f>
        <v>0</v>
      </c>
      <c r="G2582">
        <f>+'[1]VENTAS(RESUMEN GLOBAL)'!D2582-'[1]VENTAS(RESUMEN GLOBAL)'!E2582</f>
        <v>0</v>
      </c>
      <c r="H2582" s="9">
        <f>+'[1]VENTAS(RESUMEN GLOBAL)'!K2582</f>
        <v>0</v>
      </c>
      <c r="I2582" s="8">
        <f>+G2582*'[1]VENTAS(RESUMEN GLOBAL)'!F2582</f>
        <v>0</v>
      </c>
      <c r="J2582" s="8">
        <f>'[1]VENTAS(RESUMEN GLOBAL)'!G2582*(1-'[1]VENTAS(RESUMEN GLOBAL)'!H2582)</f>
        <v>0</v>
      </c>
      <c r="K2582" s="8">
        <f t="shared" si="40"/>
        <v>0</v>
      </c>
      <c r="L2582" s="8">
        <f>+'[1]VENTAS(RESUMEN GLOBAL)'!J2582</f>
        <v>0</v>
      </c>
      <c r="M2582" s="8">
        <f>+Tabla1[[#This Row],[utilidad x dia]]*7</f>
        <v>0</v>
      </c>
    </row>
    <row r="2583" spans="1:13" x14ac:dyDescent="0.3">
      <c r="A2583" s="6">
        <f>+'[1]VENTAS(RESUMEN GLOBAL)'!L2583</f>
        <v>0</v>
      </c>
      <c r="B2583" s="6">
        <f>+'[1]VENTAS(RESUMEN GLOBAL)'!M2583</f>
        <v>0</v>
      </c>
      <c r="C2583">
        <f>+'[1]VENTAS(RESUMEN GLOBAL)'!B2583</f>
        <v>0</v>
      </c>
      <c r="D2583" t="e">
        <f>INDEX('[1]CÓDIGOS DE PRODUCTO'!$D$3:$D$1000,MATCH(C2583,'[1]CÓDIGOS DE PRODUCTO'!$A$3:$A$1000,0))</f>
        <v>#N/A</v>
      </c>
      <c r="E2583">
        <f>VLOOKUP(C2583,'[1]CÓDIGOS DE PRODUCTO'!$A$4:$B$156,2,FALSE)</f>
        <v>0</v>
      </c>
      <c r="F2583">
        <f>INDEX('[1]CÓDIGOS DE PRODUCTO'!$C$3:$C$1000,MATCH(C2583,'[1]CÓDIGOS DE PRODUCTO'!$A$3:$A$1000,0))</f>
        <v>0</v>
      </c>
      <c r="G2583">
        <f>+'[1]VENTAS(RESUMEN GLOBAL)'!D2583-'[1]VENTAS(RESUMEN GLOBAL)'!E2583</f>
        <v>0</v>
      </c>
      <c r="H2583" s="9">
        <f>+'[1]VENTAS(RESUMEN GLOBAL)'!K2583</f>
        <v>0</v>
      </c>
      <c r="I2583" s="8">
        <f>+G2583*'[1]VENTAS(RESUMEN GLOBAL)'!F2583</f>
        <v>0</v>
      </c>
      <c r="J2583" s="8">
        <f>'[1]VENTAS(RESUMEN GLOBAL)'!G2583*(1-'[1]VENTAS(RESUMEN GLOBAL)'!H2583)</f>
        <v>0</v>
      </c>
      <c r="K2583" s="8">
        <f t="shared" si="40"/>
        <v>0</v>
      </c>
      <c r="L2583" s="8">
        <f>+'[1]VENTAS(RESUMEN GLOBAL)'!J2583</f>
        <v>0</v>
      </c>
      <c r="M2583" s="8">
        <f>+Tabla1[[#This Row],[utilidad x dia]]*7</f>
        <v>0</v>
      </c>
    </row>
    <row r="2584" spans="1:13" x14ac:dyDescent="0.3">
      <c r="A2584" s="6">
        <f>+'[1]VENTAS(RESUMEN GLOBAL)'!L2584</f>
        <v>0</v>
      </c>
      <c r="B2584" s="6">
        <f>+'[1]VENTAS(RESUMEN GLOBAL)'!M2584</f>
        <v>0</v>
      </c>
      <c r="C2584">
        <f>+'[1]VENTAS(RESUMEN GLOBAL)'!B2584</f>
        <v>0</v>
      </c>
      <c r="D2584" t="e">
        <f>INDEX('[1]CÓDIGOS DE PRODUCTO'!$D$3:$D$1000,MATCH(C2584,'[1]CÓDIGOS DE PRODUCTO'!$A$3:$A$1000,0))</f>
        <v>#N/A</v>
      </c>
      <c r="E2584">
        <f>VLOOKUP(C2584,'[1]CÓDIGOS DE PRODUCTO'!$A$4:$B$156,2,FALSE)</f>
        <v>0</v>
      </c>
      <c r="F2584">
        <f>INDEX('[1]CÓDIGOS DE PRODUCTO'!$C$3:$C$1000,MATCH(C2584,'[1]CÓDIGOS DE PRODUCTO'!$A$3:$A$1000,0))</f>
        <v>0</v>
      </c>
      <c r="G2584">
        <f>+'[1]VENTAS(RESUMEN GLOBAL)'!D2584-'[1]VENTAS(RESUMEN GLOBAL)'!E2584</f>
        <v>0</v>
      </c>
      <c r="H2584" s="9">
        <f>+'[1]VENTAS(RESUMEN GLOBAL)'!K2584</f>
        <v>0</v>
      </c>
      <c r="I2584" s="8">
        <f>+G2584*'[1]VENTAS(RESUMEN GLOBAL)'!F2584</f>
        <v>0</v>
      </c>
      <c r="J2584" s="8">
        <f>'[1]VENTAS(RESUMEN GLOBAL)'!G2584*(1-'[1]VENTAS(RESUMEN GLOBAL)'!H2584)</f>
        <v>0</v>
      </c>
      <c r="K2584" s="8">
        <f t="shared" si="40"/>
        <v>0</v>
      </c>
      <c r="L2584" s="8">
        <f>+'[1]VENTAS(RESUMEN GLOBAL)'!J2584</f>
        <v>0</v>
      </c>
      <c r="M2584" s="8">
        <f>+Tabla1[[#This Row],[utilidad x dia]]*7</f>
        <v>0</v>
      </c>
    </row>
    <row r="2585" spans="1:13" x14ac:dyDescent="0.3">
      <c r="A2585" s="6">
        <f>+'[1]VENTAS(RESUMEN GLOBAL)'!L2585</f>
        <v>0</v>
      </c>
      <c r="B2585" s="6">
        <f>+'[1]VENTAS(RESUMEN GLOBAL)'!M2585</f>
        <v>0</v>
      </c>
      <c r="C2585">
        <f>+'[1]VENTAS(RESUMEN GLOBAL)'!B2585</f>
        <v>0</v>
      </c>
      <c r="D2585" t="e">
        <f>INDEX('[1]CÓDIGOS DE PRODUCTO'!$D$3:$D$1000,MATCH(C2585,'[1]CÓDIGOS DE PRODUCTO'!$A$3:$A$1000,0))</f>
        <v>#N/A</v>
      </c>
      <c r="E2585">
        <f>VLOOKUP(C2585,'[1]CÓDIGOS DE PRODUCTO'!$A$4:$B$156,2,FALSE)</f>
        <v>0</v>
      </c>
      <c r="F2585">
        <f>INDEX('[1]CÓDIGOS DE PRODUCTO'!$C$3:$C$1000,MATCH(C2585,'[1]CÓDIGOS DE PRODUCTO'!$A$3:$A$1000,0))</f>
        <v>0</v>
      </c>
      <c r="G2585">
        <f>+'[1]VENTAS(RESUMEN GLOBAL)'!D2585-'[1]VENTAS(RESUMEN GLOBAL)'!E2585</f>
        <v>0</v>
      </c>
      <c r="H2585" s="9">
        <f>+'[1]VENTAS(RESUMEN GLOBAL)'!K2585</f>
        <v>0</v>
      </c>
      <c r="I2585" s="8">
        <f>+G2585*'[1]VENTAS(RESUMEN GLOBAL)'!F2585</f>
        <v>0</v>
      </c>
      <c r="J2585" s="8">
        <f>'[1]VENTAS(RESUMEN GLOBAL)'!G2585*(1-'[1]VENTAS(RESUMEN GLOBAL)'!H2585)</f>
        <v>0</v>
      </c>
      <c r="K2585" s="8">
        <f t="shared" si="40"/>
        <v>0</v>
      </c>
      <c r="L2585" s="8">
        <f>+'[1]VENTAS(RESUMEN GLOBAL)'!J2585</f>
        <v>0</v>
      </c>
      <c r="M2585" s="8">
        <f>+Tabla1[[#This Row],[utilidad x dia]]*7</f>
        <v>0</v>
      </c>
    </row>
    <row r="2586" spans="1:13" x14ac:dyDescent="0.3">
      <c r="A2586" s="6">
        <f>+'[1]VENTAS(RESUMEN GLOBAL)'!L2586</f>
        <v>0</v>
      </c>
      <c r="B2586" s="6">
        <f>+'[1]VENTAS(RESUMEN GLOBAL)'!M2586</f>
        <v>0</v>
      </c>
      <c r="C2586">
        <f>+'[1]VENTAS(RESUMEN GLOBAL)'!B2586</f>
        <v>0</v>
      </c>
      <c r="D2586" t="e">
        <f>INDEX('[1]CÓDIGOS DE PRODUCTO'!$D$3:$D$1000,MATCH(C2586,'[1]CÓDIGOS DE PRODUCTO'!$A$3:$A$1000,0))</f>
        <v>#N/A</v>
      </c>
      <c r="E2586">
        <f>VLOOKUP(C2586,'[1]CÓDIGOS DE PRODUCTO'!$A$4:$B$156,2,FALSE)</f>
        <v>0</v>
      </c>
      <c r="F2586">
        <f>INDEX('[1]CÓDIGOS DE PRODUCTO'!$C$3:$C$1000,MATCH(C2586,'[1]CÓDIGOS DE PRODUCTO'!$A$3:$A$1000,0))</f>
        <v>0</v>
      </c>
      <c r="G2586">
        <f>+'[1]VENTAS(RESUMEN GLOBAL)'!D2586-'[1]VENTAS(RESUMEN GLOBAL)'!E2586</f>
        <v>0</v>
      </c>
      <c r="H2586" s="9">
        <f>+'[1]VENTAS(RESUMEN GLOBAL)'!K2586</f>
        <v>0</v>
      </c>
      <c r="I2586" s="8">
        <f>+G2586*'[1]VENTAS(RESUMEN GLOBAL)'!F2586</f>
        <v>0</v>
      </c>
      <c r="J2586" s="8">
        <f>'[1]VENTAS(RESUMEN GLOBAL)'!G2586*(1-'[1]VENTAS(RESUMEN GLOBAL)'!H2586)</f>
        <v>0</v>
      </c>
      <c r="K2586" s="8">
        <f t="shared" si="40"/>
        <v>0</v>
      </c>
      <c r="L2586" s="8">
        <f>+'[1]VENTAS(RESUMEN GLOBAL)'!J2586</f>
        <v>0</v>
      </c>
      <c r="M2586" s="8">
        <f>+Tabla1[[#This Row],[utilidad x dia]]*7</f>
        <v>0</v>
      </c>
    </row>
    <row r="2587" spans="1:13" x14ac:dyDescent="0.3">
      <c r="A2587" s="6">
        <f>+'[1]VENTAS(RESUMEN GLOBAL)'!L2587</f>
        <v>0</v>
      </c>
      <c r="B2587" s="6">
        <f>+'[1]VENTAS(RESUMEN GLOBAL)'!M2587</f>
        <v>0</v>
      </c>
      <c r="C2587">
        <f>+'[1]VENTAS(RESUMEN GLOBAL)'!B2587</f>
        <v>0</v>
      </c>
      <c r="D2587" t="e">
        <f>INDEX('[1]CÓDIGOS DE PRODUCTO'!$D$3:$D$1000,MATCH(C2587,'[1]CÓDIGOS DE PRODUCTO'!$A$3:$A$1000,0))</f>
        <v>#N/A</v>
      </c>
      <c r="E2587">
        <f>VLOOKUP(C2587,'[1]CÓDIGOS DE PRODUCTO'!$A$4:$B$156,2,FALSE)</f>
        <v>0</v>
      </c>
      <c r="F2587">
        <f>INDEX('[1]CÓDIGOS DE PRODUCTO'!$C$3:$C$1000,MATCH(C2587,'[1]CÓDIGOS DE PRODUCTO'!$A$3:$A$1000,0))</f>
        <v>0</v>
      </c>
      <c r="G2587">
        <f>+'[1]VENTAS(RESUMEN GLOBAL)'!D2587-'[1]VENTAS(RESUMEN GLOBAL)'!E2587</f>
        <v>0</v>
      </c>
      <c r="H2587" s="9">
        <f>+'[1]VENTAS(RESUMEN GLOBAL)'!K2587</f>
        <v>0</v>
      </c>
      <c r="I2587" s="8">
        <f>+G2587*'[1]VENTAS(RESUMEN GLOBAL)'!F2587</f>
        <v>0</v>
      </c>
      <c r="J2587" s="8">
        <f>'[1]VENTAS(RESUMEN GLOBAL)'!G2587*(1-'[1]VENTAS(RESUMEN GLOBAL)'!H2587)</f>
        <v>0</v>
      </c>
      <c r="K2587" s="8">
        <f t="shared" si="40"/>
        <v>0</v>
      </c>
      <c r="L2587" s="8">
        <f>+'[1]VENTAS(RESUMEN GLOBAL)'!J2587</f>
        <v>0</v>
      </c>
      <c r="M2587" s="8">
        <f>+Tabla1[[#This Row],[utilidad x dia]]*7</f>
        <v>0</v>
      </c>
    </row>
    <row r="2588" spans="1:13" x14ac:dyDescent="0.3">
      <c r="A2588" s="6">
        <f>+'[1]VENTAS(RESUMEN GLOBAL)'!L2588</f>
        <v>0</v>
      </c>
      <c r="B2588" s="6">
        <f>+'[1]VENTAS(RESUMEN GLOBAL)'!M2588</f>
        <v>0</v>
      </c>
      <c r="C2588">
        <f>+'[1]VENTAS(RESUMEN GLOBAL)'!B2588</f>
        <v>0</v>
      </c>
      <c r="D2588" t="e">
        <f>INDEX('[1]CÓDIGOS DE PRODUCTO'!$D$3:$D$1000,MATCH(C2588,'[1]CÓDIGOS DE PRODUCTO'!$A$3:$A$1000,0))</f>
        <v>#N/A</v>
      </c>
      <c r="E2588">
        <f>VLOOKUP(C2588,'[1]CÓDIGOS DE PRODUCTO'!$A$4:$B$156,2,FALSE)</f>
        <v>0</v>
      </c>
      <c r="F2588">
        <f>INDEX('[1]CÓDIGOS DE PRODUCTO'!$C$3:$C$1000,MATCH(C2588,'[1]CÓDIGOS DE PRODUCTO'!$A$3:$A$1000,0))</f>
        <v>0</v>
      </c>
      <c r="G2588">
        <f>+'[1]VENTAS(RESUMEN GLOBAL)'!D2588-'[1]VENTAS(RESUMEN GLOBAL)'!E2588</f>
        <v>0</v>
      </c>
      <c r="H2588" s="9">
        <f>+'[1]VENTAS(RESUMEN GLOBAL)'!K2588</f>
        <v>0</v>
      </c>
      <c r="I2588" s="8">
        <f>+G2588*'[1]VENTAS(RESUMEN GLOBAL)'!F2588</f>
        <v>0</v>
      </c>
      <c r="J2588" s="8">
        <f>'[1]VENTAS(RESUMEN GLOBAL)'!G2588*(1-'[1]VENTAS(RESUMEN GLOBAL)'!H2588)</f>
        <v>0</v>
      </c>
      <c r="K2588" s="8">
        <f t="shared" si="40"/>
        <v>0</v>
      </c>
      <c r="L2588" s="8">
        <f>+'[1]VENTAS(RESUMEN GLOBAL)'!J2588</f>
        <v>0</v>
      </c>
      <c r="M2588" s="8">
        <f>+Tabla1[[#This Row],[utilidad x dia]]*7</f>
        <v>0</v>
      </c>
    </row>
    <row r="2589" spans="1:13" x14ac:dyDescent="0.3">
      <c r="A2589" s="6">
        <f>+'[1]VENTAS(RESUMEN GLOBAL)'!L2589</f>
        <v>0</v>
      </c>
      <c r="B2589" s="6">
        <f>+'[1]VENTAS(RESUMEN GLOBAL)'!M2589</f>
        <v>0</v>
      </c>
      <c r="C2589">
        <f>+'[1]VENTAS(RESUMEN GLOBAL)'!B2589</f>
        <v>0</v>
      </c>
      <c r="D2589" t="e">
        <f>INDEX('[1]CÓDIGOS DE PRODUCTO'!$D$3:$D$1000,MATCH(C2589,'[1]CÓDIGOS DE PRODUCTO'!$A$3:$A$1000,0))</f>
        <v>#N/A</v>
      </c>
      <c r="E2589">
        <f>VLOOKUP(C2589,'[1]CÓDIGOS DE PRODUCTO'!$A$4:$B$156,2,FALSE)</f>
        <v>0</v>
      </c>
      <c r="F2589">
        <f>INDEX('[1]CÓDIGOS DE PRODUCTO'!$C$3:$C$1000,MATCH(C2589,'[1]CÓDIGOS DE PRODUCTO'!$A$3:$A$1000,0))</f>
        <v>0</v>
      </c>
      <c r="G2589">
        <f>+'[1]VENTAS(RESUMEN GLOBAL)'!D2589-'[1]VENTAS(RESUMEN GLOBAL)'!E2589</f>
        <v>0</v>
      </c>
      <c r="H2589" s="9">
        <f>+'[1]VENTAS(RESUMEN GLOBAL)'!K2589</f>
        <v>0</v>
      </c>
      <c r="I2589" s="8">
        <f>+G2589*'[1]VENTAS(RESUMEN GLOBAL)'!F2589</f>
        <v>0</v>
      </c>
      <c r="J2589" s="8">
        <f>'[1]VENTAS(RESUMEN GLOBAL)'!G2589*(1-'[1]VENTAS(RESUMEN GLOBAL)'!H2589)</f>
        <v>0</v>
      </c>
      <c r="K2589" s="8">
        <f t="shared" si="40"/>
        <v>0</v>
      </c>
      <c r="L2589" s="8">
        <f>+'[1]VENTAS(RESUMEN GLOBAL)'!J2589</f>
        <v>0</v>
      </c>
      <c r="M2589" s="8">
        <f>+Tabla1[[#This Row],[utilidad x dia]]*7</f>
        <v>0</v>
      </c>
    </row>
    <row r="2590" spans="1:13" x14ac:dyDescent="0.3">
      <c r="A2590" s="6">
        <f>+'[1]VENTAS(RESUMEN GLOBAL)'!L2590</f>
        <v>0</v>
      </c>
      <c r="B2590" s="6">
        <f>+'[1]VENTAS(RESUMEN GLOBAL)'!M2590</f>
        <v>0</v>
      </c>
      <c r="C2590">
        <f>+'[1]VENTAS(RESUMEN GLOBAL)'!B2590</f>
        <v>0</v>
      </c>
      <c r="D2590" t="e">
        <f>INDEX('[1]CÓDIGOS DE PRODUCTO'!$D$3:$D$1000,MATCH(C2590,'[1]CÓDIGOS DE PRODUCTO'!$A$3:$A$1000,0))</f>
        <v>#N/A</v>
      </c>
      <c r="E2590">
        <f>VLOOKUP(C2590,'[1]CÓDIGOS DE PRODUCTO'!$A$4:$B$156,2,FALSE)</f>
        <v>0</v>
      </c>
      <c r="F2590">
        <f>INDEX('[1]CÓDIGOS DE PRODUCTO'!$C$3:$C$1000,MATCH(C2590,'[1]CÓDIGOS DE PRODUCTO'!$A$3:$A$1000,0))</f>
        <v>0</v>
      </c>
      <c r="G2590">
        <f>+'[1]VENTAS(RESUMEN GLOBAL)'!D2590-'[1]VENTAS(RESUMEN GLOBAL)'!E2590</f>
        <v>0</v>
      </c>
      <c r="H2590" s="9">
        <f>+'[1]VENTAS(RESUMEN GLOBAL)'!K2590</f>
        <v>0</v>
      </c>
      <c r="I2590" s="8">
        <f>+G2590*'[1]VENTAS(RESUMEN GLOBAL)'!F2590</f>
        <v>0</v>
      </c>
      <c r="J2590" s="8">
        <f>'[1]VENTAS(RESUMEN GLOBAL)'!G2590*(1-'[1]VENTAS(RESUMEN GLOBAL)'!H2590)</f>
        <v>0</v>
      </c>
      <c r="K2590" s="8">
        <f t="shared" si="40"/>
        <v>0</v>
      </c>
      <c r="L2590" s="8">
        <f>+'[1]VENTAS(RESUMEN GLOBAL)'!J2590</f>
        <v>0</v>
      </c>
      <c r="M2590" s="8">
        <f>+Tabla1[[#This Row],[utilidad x dia]]*7</f>
        <v>0</v>
      </c>
    </row>
    <row r="2591" spans="1:13" x14ac:dyDescent="0.3">
      <c r="A2591" s="6">
        <f>+'[1]VENTAS(RESUMEN GLOBAL)'!L2591</f>
        <v>0</v>
      </c>
      <c r="B2591" s="6">
        <f>+'[1]VENTAS(RESUMEN GLOBAL)'!M2591</f>
        <v>0</v>
      </c>
      <c r="C2591">
        <f>+'[1]VENTAS(RESUMEN GLOBAL)'!B2591</f>
        <v>0</v>
      </c>
      <c r="D2591" t="e">
        <f>INDEX('[1]CÓDIGOS DE PRODUCTO'!$D$3:$D$1000,MATCH(C2591,'[1]CÓDIGOS DE PRODUCTO'!$A$3:$A$1000,0))</f>
        <v>#N/A</v>
      </c>
      <c r="E2591">
        <f>VLOOKUP(C2591,'[1]CÓDIGOS DE PRODUCTO'!$A$4:$B$156,2,FALSE)</f>
        <v>0</v>
      </c>
      <c r="F2591">
        <f>INDEX('[1]CÓDIGOS DE PRODUCTO'!$C$3:$C$1000,MATCH(C2591,'[1]CÓDIGOS DE PRODUCTO'!$A$3:$A$1000,0))</f>
        <v>0</v>
      </c>
      <c r="G2591">
        <f>+'[1]VENTAS(RESUMEN GLOBAL)'!D2591-'[1]VENTAS(RESUMEN GLOBAL)'!E2591</f>
        <v>0</v>
      </c>
      <c r="H2591" s="9">
        <f>+'[1]VENTAS(RESUMEN GLOBAL)'!K2591</f>
        <v>0</v>
      </c>
      <c r="I2591" s="8">
        <f>+G2591*'[1]VENTAS(RESUMEN GLOBAL)'!F2591</f>
        <v>0</v>
      </c>
      <c r="J2591" s="8">
        <f>'[1]VENTAS(RESUMEN GLOBAL)'!G2591*(1-'[1]VENTAS(RESUMEN GLOBAL)'!H2591)</f>
        <v>0</v>
      </c>
      <c r="K2591" s="8">
        <f t="shared" si="40"/>
        <v>0</v>
      </c>
      <c r="L2591" s="8">
        <f>+'[1]VENTAS(RESUMEN GLOBAL)'!J2591</f>
        <v>0</v>
      </c>
      <c r="M2591" s="8">
        <f>+Tabla1[[#This Row],[utilidad x dia]]*7</f>
        <v>0</v>
      </c>
    </row>
    <row r="2592" spans="1:13" x14ac:dyDescent="0.3">
      <c r="A2592" s="6">
        <f>+'[1]VENTAS(RESUMEN GLOBAL)'!L2592</f>
        <v>0</v>
      </c>
      <c r="B2592" s="6">
        <f>+'[1]VENTAS(RESUMEN GLOBAL)'!M2592</f>
        <v>0</v>
      </c>
      <c r="C2592">
        <f>+'[1]VENTAS(RESUMEN GLOBAL)'!B2592</f>
        <v>0</v>
      </c>
      <c r="D2592" t="e">
        <f>INDEX('[1]CÓDIGOS DE PRODUCTO'!$D$3:$D$1000,MATCH(C2592,'[1]CÓDIGOS DE PRODUCTO'!$A$3:$A$1000,0))</f>
        <v>#N/A</v>
      </c>
      <c r="E2592">
        <f>VLOOKUP(C2592,'[1]CÓDIGOS DE PRODUCTO'!$A$4:$B$156,2,FALSE)</f>
        <v>0</v>
      </c>
      <c r="F2592">
        <f>INDEX('[1]CÓDIGOS DE PRODUCTO'!$C$3:$C$1000,MATCH(C2592,'[1]CÓDIGOS DE PRODUCTO'!$A$3:$A$1000,0))</f>
        <v>0</v>
      </c>
      <c r="G2592">
        <f>+'[1]VENTAS(RESUMEN GLOBAL)'!D2592-'[1]VENTAS(RESUMEN GLOBAL)'!E2592</f>
        <v>0</v>
      </c>
      <c r="H2592" s="9">
        <f>+'[1]VENTAS(RESUMEN GLOBAL)'!K2592</f>
        <v>0</v>
      </c>
      <c r="I2592" s="8">
        <f>+G2592*'[1]VENTAS(RESUMEN GLOBAL)'!F2592</f>
        <v>0</v>
      </c>
      <c r="J2592" s="8">
        <f>'[1]VENTAS(RESUMEN GLOBAL)'!G2592*(1-'[1]VENTAS(RESUMEN GLOBAL)'!H2592)</f>
        <v>0</v>
      </c>
      <c r="K2592" s="8">
        <f t="shared" si="40"/>
        <v>0</v>
      </c>
      <c r="L2592" s="8">
        <f>+'[1]VENTAS(RESUMEN GLOBAL)'!J2592</f>
        <v>0</v>
      </c>
      <c r="M2592" s="8">
        <f>+Tabla1[[#This Row],[utilidad x dia]]*7</f>
        <v>0</v>
      </c>
    </row>
    <row r="2593" spans="1:13" x14ac:dyDescent="0.3">
      <c r="A2593" s="6">
        <f>+'[1]VENTAS(RESUMEN GLOBAL)'!L2593</f>
        <v>0</v>
      </c>
      <c r="B2593" s="6">
        <f>+'[1]VENTAS(RESUMEN GLOBAL)'!M2593</f>
        <v>0</v>
      </c>
      <c r="C2593">
        <f>+'[1]VENTAS(RESUMEN GLOBAL)'!B2593</f>
        <v>0</v>
      </c>
      <c r="D2593" t="e">
        <f>INDEX('[1]CÓDIGOS DE PRODUCTO'!$D$3:$D$1000,MATCH(C2593,'[1]CÓDIGOS DE PRODUCTO'!$A$3:$A$1000,0))</f>
        <v>#N/A</v>
      </c>
      <c r="E2593">
        <f>VLOOKUP(C2593,'[1]CÓDIGOS DE PRODUCTO'!$A$4:$B$156,2,FALSE)</f>
        <v>0</v>
      </c>
      <c r="F2593">
        <f>INDEX('[1]CÓDIGOS DE PRODUCTO'!$C$3:$C$1000,MATCH(C2593,'[1]CÓDIGOS DE PRODUCTO'!$A$3:$A$1000,0))</f>
        <v>0</v>
      </c>
      <c r="G2593">
        <f>+'[1]VENTAS(RESUMEN GLOBAL)'!D2593-'[1]VENTAS(RESUMEN GLOBAL)'!E2593</f>
        <v>0</v>
      </c>
      <c r="H2593" s="9">
        <f>+'[1]VENTAS(RESUMEN GLOBAL)'!K2593</f>
        <v>0</v>
      </c>
      <c r="I2593" s="8">
        <f>+G2593*'[1]VENTAS(RESUMEN GLOBAL)'!F2593</f>
        <v>0</v>
      </c>
      <c r="J2593" s="8">
        <f>'[1]VENTAS(RESUMEN GLOBAL)'!G2593*(1-'[1]VENTAS(RESUMEN GLOBAL)'!H2593)</f>
        <v>0</v>
      </c>
      <c r="K2593" s="8">
        <f t="shared" si="40"/>
        <v>0</v>
      </c>
      <c r="L2593" s="8">
        <f>+'[1]VENTAS(RESUMEN GLOBAL)'!J2593</f>
        <v>0</v>
      </c>
      <c r="M2593" s="8">
        <f>+Tabla1[[#This Row],[utilidad x dia]]*7</f>
        <v>0</v>
      </c>
    </row>
    <row r="2594" spans="1:13" x14ac:dyDescent="0.3">
      <c r="A2594" s="6">
        <f>+'[1]VENTAS(RESUMEN GLOBAL)'!L2594</f>
        <v>0</v>
      </c>
      <c r="B2594" s="6">
        <f>+'[1]VENTAS(RESUMEN GLOBAL)'!M2594</f>
        <v>0</v>
      </c>
      <c r="C2594">
        <f>+'[1]VENTAS(RESUMEN GLOBAL)'!B2594</f>
        <v>0</v>
      </c>
      <c r="D2594" t="e">
        <f>INDEX('[1]CÓDIGOS DE PRODUCTO'!$D$3:$D$1000,MATCH(C2594,'[1]CÓDIGOS DE PRODUCTO'!$A$3:$A$1000,0))</f>
        <v>#N/A</v>
      </c>
      <c r="E2594">
        <f>VLOOKUP(C2594,'[1]CÓDIGOS DE PRODUCTO'!$A$4:$B$156,2,FALSE)</f>
        <v>0</v>
      </c>
      <c r="F2594">
        <f>INDEX('[1]CÓDIGOS DE PRODUCTO'!$C$3:$C$1000,MATCH(C2594,'[1]CÓDIGOS DE PRODUCTO'!$A$3:$A$1000,0))</f>
        <v>0</v>
      </c>
      <c r="G2594">
        <f>+'[1]VENTAS(RESUMEN GLOBAL)'!D2594-'[1]VENTAS(RESUMEN GLOBAL)'!E2594</f>
        <v>0</v>
      </c>
      <c r="H2594" s="9">
        <f>+'[1]VENTAS(RESUMEN GLOBAL)'!K2594</f>
        <v>0</v>
      </c>
      <c r="I2594" s="8">
        <f>+G2594*'[1]VENTAS(RESUMEN GLOBAL)'!F2594</f>
        <v>0</v>
      </c>
      <c r="J2594" s="8">
        <f>'[1]VENTAS(RESUMEN GLOBAL)'!G2594*(1-'[1]VENTAS(RESUMEN GLOBAL)'!H2594)</f>
        <v>0</v>
      </c>
      <c r="K2594" s="8">
        <f t="shared" si="40"/>
        <v>0</v>
      </c>
      <c r="L2594" s="8">
        <f>+'[1]VENTAS(RESUMEN GLOBAL)'!J2594</f>
        <v>0</v>
      </c>
      <c r="M2594" s="8">
        <f>+Tabla1[[#This Row],[utilidad x dia]]*7</f>
        <v>0</v>
      </c>
    </row>
    <row r="2595" spans="1:13" x14ac:dyDescent="0.3">
      <c r="A2595" s="6">
        <f>+'[1]VENTAS(RESUMEN GLOBAL)'!L2595</f>
        <v>0</v>
      </c>
      <c r="B2595" s="6">
        <f>+'[1]VENTAS(RESUMEN GLOBAL)'!M2595</f>
        <v>0</v>
      </c>
      <c r="C2595">
        <f>+'[1]VENTAS(RESUMEN GLOBAL)'!B2595</f>
        <v>0</v>
      </c>
      <c r="D2595" t="e">
        <f>INDEX('[1]CÓDIGOS DE PRODUCTO'!$D$3:$D$1000,MATCH(C2595,'[1]CÓDIGOS DE PRODUCTO'!$A$3:$A$1000,0))</f>
        <v>#N/A</v>
      </c>
      <c r="E2595">
        <f>VLOOKUP(C2595,'[1]CÓDIGOS DE PRODUCTO'!$A$4:$B$156,2,FALSE)</f>
        <v>0</v>
      </c>
      <c r="F2595">
        <f>INDEX('[1]CÓDIGOS DE PRODUCTO'!$C$3:$C$1000,MATCH(C2595,'[1]CÓDIGOS DE PRODUCTO'!$A$3:$A$1000,0))</f>
        <v>0</v>
      </c>
      <c r="G2595">
        <f>+'[1]VENTAS(RESUMEN GLOBAL)'!D2595-'[1]VENTAS(RESUMEN GLOBAL)'!E2595</f>
        <v>0</v>
      </c>
      <c r="H2595" s="9">
        <f>+'[1]VENTAS(RESUMEN GLOBAL)'!K2595</f>
        <v>0</v>
      </c>
      <c r="I2595" s="8">
        <f>+G2595*'[1]VENTAS(RESUMEN GLOBAL)'!F2595</f>
        <v>0</v>
      </c>
      <c r="J2595" s="8">
        <f>'[1]VENTAS(RESUMEN GLOBAL)'!G2595*(1-'[1]VENTAS(RESUMEN GLOBAL)'!H2595)</f>
        <v>0</v>
      </c>
      <c r="K2595" s="8">
        <f t="shared" si="40"/>
        <v>0</v>
      </c>
      <c r="L2595" s="8">
        <f>+'[1]VENTAS(RESUMEN GLOBAL)'!J2595</f>
        <v>0</v>
      </c>
      <c r="M2595" s="8">
        <f>+Tabla1[[#This Row],[utilidad x dia]]*7</f>
        <v>0</v>
      </c>
    </row>
    <row r="2596" spans="1:13" x14ac:dyDescent="0.3">
      <c r="A2596" s="6">
        <f>+'[1]VENTAS(RESUMEN GLOBAL)'!L2596</f>
        <v>0</v>
      </c>
      <c r="B2596" s="6">
        <f>+'[1]VENTAS(RESUMEN GLOBAL)'!M2596</f>
        <v>0</v>
      </c>
      <c r="C2596">
        <f>+'[1]VENTAS(RESUMEN GLOBAL)'!B2596</f>
        <v>0</v>
      </c>
      <c r="D2596" t="e">
        <f>INDEX('[1]CÓDIGOS DE PRODUCTO'!$D$3:$D$1000,MATCH(C2596,'[1]CÓDIGOS DE PRODUCTO'!$A$3:$A$1000,0))</f>
        <v>#N/A</v>
      </c>
      <c r="E2596">
        <f>VLOOKUP(C2596,'[1]CÓDIGOS DE PRODUCTO'!$A$4:$B$156,2,FALSE)</f>
        <v>0</v>
      </c>
      <c r="F2596">
        <f>INDEX('[1]CÓDIGOS DE PRODUCTO'!$C$3:$C$1000,MATCH(C2596,'[1]CÓDIGOS DE PRODUCTO'!$A$3:$A$1000,0))</f>
        <v>0</v>
      </c>
      <c r="G2596">
        <f>+'[1]VENTAS(RESUMEN GLOBAL)'!D2596-'[1]VENTAS(RESUMEN GLOBAL)'!E2596</f>
        <v>0</v>
      </c>
      <c r="H2596" s="9">
        <f>+'[1]VENTAS(RESUMEN GLOBAL)'!K2596</f>
        <v>0</v>
      </c>
      <c r="I2596" s="8">
        <f>+G2596*'[1]VENTAS(RESUMEN GLOBAL)'!F2596</f>
        <v>0</v>
      </c>
      <c r="J2596" s="8">
        <f>'[1]VENTAS(RESUMEN GLOBAL)'!G2596*(1-'[1]VENTAS(RESUMEN GLOBAL)'!H2596)</f>
        <v>0</v>
      </c>
      <c r="K2596" s="8">
        <f t="shared" si="40"/>
        <v>0</v>
      </c>
      <c r="L2596" s="8">
        <f>+'[1]VENTAS(RESUMEN GLOBAL)'!J2596</f>
        <v>0</v>
      </c>
      <c r="M2596" s="8">
        <f>+Tabla1[[#This Row],[utilidad x dia]]*7</f>
        <v>0</v>
      </c>
    </row>
    <row r="2597" spans="1:13" x14ac:dyDescent="0.3">
      <c r="A2597" s="6">
        <f>+'[1]VENTAS(RESUMEN GLOBAL)'!L2597</f>
        <v>0</v>
      </c>
      <c r="B2597" s="6">
        <f>+'[1]VENTAS(RESUMEN GLOBAL)'!M2597</f>
        <v>0</v>
      </c>
      <c r="C2597">
        <f>+'[1]VENTAS(RESUMEN GLOBAL)'!B2597</f>
        <v>0</v>
      </c>
      <c r="D2597" t="e">
        <f>INDEX('[1]CÓDIGOS DE PRODUCTO'!$D$3:$D$1000,MATCH(C2597,'[1]CÓDIGOS DE PRODUCTO'!$A$3:$A$1000,0))</f>
        <v>#N/A</v>
      </c>
      <c r="E2597">
        <f>VLOOKUP(C2597,'[1]CÓDIGOS DE PRODUCTO'!$A$4:$B$156,2,FALSE)</f>
        <v>0</v>
      </c>
      <c r="F2597">
        <f>INDEX('[1]CÓDIGOS DE PRODUCTO'!$C$3:$C$1000,MATCH(C2597,'[1]CÓDIGOS DE PRODUCTO'!$A$3:$A$1000,0))</f>
        <v>0</v>
      </c>
      <c r="G2597">
        <f>+'[1]VENTAS(RESUMEN GLOBAL)'!D2597-'[1]VENTAS(RESUMEN GLOBAL)'!E2597</f>
        <v>0</v>
      </c>
      <c r="H2597" s="9">
        <f>+'[1]VENTAS(RESUMEN GLOBAL)'!K2597</f>
        <v>0</v>
      </c>
      <c r="I2597" s="8">
        <f>+G2597*'[1]VENTAS(RESUMEN GLOBAL)'!F2597</f>
        <v>0</v>
      </c>
      <c r="J2597" s="8">
        <f>'[1]VENTAS(RESUMEN GLOBAL)'!G2597*(1-'[1]VENTAS(RESUMEN GLOBAL)'!H2597)</f>
        <v>0</v>
      </c>
      <c r="K2597" s="8">
        <f t="shared" si="40"/>
        <v>0</v>
      </c>
      <c r="L2597" s="8">
        <f>+'[1]VENTAS(RESUMEN GLOBAL)'!J2597</f>
        <v>0</v>
      </c>
      <c r="M2597" s="8">
        <f>+Tabla1[[#This Row],[utilidad x dia]]*7</f>
        <v>0</v>
      </c>
    </row>
    <row r="2598" spans="1:13" x14ac:dyDescent="0.3">
      <c r="A2598" s="6">
        <f>+'[1]VENTAS(RESUMEN GLOBAL)'!L2598</f>
        <v>0</v>
      </c>
      <c r="B2598" s="6">
        <f>+'[1]VENTAS(RESUMEN GLOBAL)'!M2598</f>
        <v>0</v>
      </c>
      <c r="C2598">
        <f>+'[1]VENTAS(RESUMEN GLOBAL)'!B2598</f>
        <v>0</v>
      </c>
      <c r="D2598" t="e">
        <f>INDEX('[1]CÓDIGOS DE PRODUCTO'!$D$3:$D$1000,MATCH(C2598,'[1]CÓDIGOS DE PRODUCTO'!$A$3:$A$1000,0))</f>
        <v>#N/A</v>
      </c>
      <c r="E2598">
        <f>VLOOKUP(C2598,'[1]CÓDIGOS DE PRODUCTO'!$A$4:$B$156,2,FALSE)</f>
        <v>0</v>
      </c>
      <c r="F2598">
        <f>INDEX('[1]CÓDIGOS DE PRODUCTO'!$C$3:$C$1000,MATCH(C2598,'[1]CÓDIGOS DE PRODUCTO'!$A$3:$A$1000,0))</f>
        <v>0</v>
      </c>
      <c r="G2598">
        <f>+'[1]VENTAS(RESUMEN GLOBAL)'!D2598-'[1]VENTAS(RESUMEN GLOBAL)'!E2598</f>
        <v>0</v>
      </c>
      <c r="H2598" s="9">
        <f>+'[1]VENTAS(RESUMEN GLOBAL)'!K2598</f>
        <v>0</v>
      </c>
      <c r="I2598" s="8">
        <f>+G2598*'[1]VENTAS(RESUMEN GLOBAL)'!F2598</f>
        <v>0</v>
      </c>
      <c r="J2598" s="8">
        <f>'[1]VENTAS(RESUMEN GLOBAL)'!G2598*(1-'[1]VENTAS(RESUMEN GLOBAL)'!H2598)</f>
        <v>0</v>
      </c>
      <c r="K2598" s="8">
        <f t="shared" si="40"/>
        <v>0</v>
      </c>
      <c r="L2598" s="8">
        <f>+'[1]VENTAS(RESUMEN GLOBAL)'!J2598</f>
        <v>0</v>
      </c>
      <c r="M2598" s="8">
        <f>+Tabla1[[#This Row],[utilidad x dia]]*7</f>
        <v>0</v>
      </c>
    </row>
    <row r="2599" spans="1:13" x14ac:dyDescent="0.3">
      <c r="A2599" s="6">
        <f>+'[1]VENTAS(RESUMEN GLOBAL)'!L2599</f>
        <v>0</v>
      </c>
      <c r="B2599" s="6">
        <f>+'[1]VENTAS(RESUMEN GLOBAL)'!M2599</f>
        <v>0</v>
      </c>
      <c r="C2599">
        <f>+'[1]VENTAS(RESUMEN GLOBAL)'!B2599</f>
        <v>0</v>
      </c>
      <c r="D2599" t="e">
        <f>INDEX('[1]CÓDIGOS DE PRODUCTO'!$D$3:$D$1000,MATCH(C2599,'[1]CÓDIGOS DE PRODUCTO'!$A$3:$A$1000,0))</f>
        <v>#N/A</v>
      </c>
      <c r="E2599">
        <f>VLOOKUP(C2599,'[1]CÓDIGOS DE PRODUCTO'!$A$4:$B$156,2,FALSE)</f>
        <v>0</v>
      </c>
      <c r="F2599">
        <f>INDEX('[1]CÓDIGOS DE PRODUCTO'!$C$3:$C$1000,MATCH(C2599,'[1]CÓDIGOS DE PRODUCTO'!$A$3:$A$1000,0))</f>
        <v>0</v>
      </c>
      <c r="G2599">
        <f>+'[1]VENTAS(RESUMEN GLOBAL)'!D2599-'[1]VENTAS(RESUMEN GLOBAL)'!E2599</f>
        <v>0</v>
      </c>
      <c r="H2599" s="9">
        <f>+'[1]VENTAS(RESUMEN GLOBAL)'!K2599</f>
        <v>0</v>
      </c>
      <c r="I2599" s="8">
        <f>+G2599*'[1]VENTAS(RESUMEN GLOBAL)'!F2599</f>
        <v>0</v>
      </c>
      <c r="J2599" s="8">
        <f>'[1]VENTAS(RESUMEN GLOBAL)'!G2599*(1-'[1]VENTAS(RESUMEN GLOBAL)'!H2599)</f>
        <v>0</v>
      </c>
      <c r="K2599" s="8">
        <f t="shared" si="40"/>
        <v>0</v>
      </c>
      <c r="L2599" s="8">
        <f>+'[1]VENTAS(RESUMEN GLOBAL)'!J2599</f>
        <v>0</v>
      </c>
      <c r="M2599" s="8">
        <f>+Tabla1[[#This Row],[utilidad x dia]]*7</f>
        <v>0</v>
      </c>
    </row>
    <row r="2600" spans="1:13" x14ac:dyDescent="0.3">
      <c r="A2600" s="6">
        <f>+'[1]VENTAS(RESUMEN GLOBAL)'!L2600</f>
        <v>0</v>
      </c>
      <c r="B2600" s="6">
        <f>+'[1]VENTAS(RESUMEN GLOBAL)'!M2600</f>
        <v>0</v>
      </c>
      <c r="C2600">
        <f>+'[1]VENTAS(RESUMEN GLOBAL)'!B2600</f>
        <v>0</v>
      </c>
      <c r="D2600" t="e">
        <f>INDEX('[1]CÓDIGOS DE PRODUCTO'!$D$3:$D$1000,MATCH(C2600,'[1]CÓDIGOS DE PRODUCTO'!$A$3:$A$1000,0))</f>
        <v>#N/A</v>
      </c>
      <c r="E2600">
        <f>VLOOKUP(C2600,'[1]CÓDIGOS DE PRODUCTO'!$A$4:$B$156,2,FALSE)</f>
        <v>0</v>
      </c>
      <c r="F2600">
        <f>INDEX('[1]CÓDIGOS DE PRODUCTO'!$C$3:$C$1000,MATCH(C2600,'[1]CÓDIGOS DE PRODUCTO'!$A$3:$A$1000,0))</f>
        <v>0</v>
      </c>
      <c r="G2600">
        <f>+'[1]VENTAS(RESUMEN GLOBAL)'!D2600-'[1]VENTAS(RESUMEN GLOBAL)'!E2600</f>
        <v>0</v>
      </c>
      <c r="H2600" s="9">
        <f>+'[1]VENTAS(RESUMEN GLOBAL)'!K2600</f>
        <v>0</v>
      </c>
      <c r="I2600" s="8">
        <f>+G2600*'[1]VENTAS(RESUMEN GLOBAL)'!F2600</f>
        <v>0</v>
      </c>
      <c r="J2600" s="8">
        <f>'[1]VENTAS(RESUMEN GLOBAL)'!G2600*(1-'[1]VENTAS(RESUMEN GLOBAL)'!H2600)</f>
        <v>0</v>
      </c>
      <c r="K2600" s="8">
        <f t="shared" si="40"/>
        <v>0</v>
      </c>
      <c r="L2600" s="8">
        <f>+'[1]VENTAS(RESUMEN GLOBAL)'!J2600</f>
        <v>0</v>
      </c>
      <c r="M2600" s="8">
        <f>+Tabla1[[#This Row],[utilidad x dia]]*7</f>
        <v>0</v>
      </c>
    </row>
    <row r="2601" spans="1:13" x14ac:dyDescent="0.3">
      <c r="A2601" s="6">
        <f>+'[1]VENTAS(RESUMEN GLOBAL)'!L2601</f>
        <v>0</v>
      </c>
      <c r="B2601" s="6">
        <f>+'[1]VENTAS(RESUMEN GLOBAL)'!M2601</f>
        <v>0</v>
      </c>
      <c r="C2601">
        <f>+'[1]VENTAS(RESUMEN GLOBAL)'!B2601</f>
        <v>0</v>
      </c>
      <c r="D2601" t="e">
        <f>INDEX('[1]CÓDIGOS DE PRODUCTO'!$D$3:$D$1000,MATCH(C2601,'[1]CÓDIGOS DE PRODUCTO'!$A$3:$A$1000,0))</f>
        <v>#N/A</v>
      </c>
      <c r="E2601">
        <f>VLOOKUP(C2601,'[1]CÓDIGOS DE PRODUCTO'!$A$4:$B$156,2,FALSE)</f>
        <v>0</v>
      </c>
      <c r="F2601">
        <f>INDEX('[1]CÓDIGOS DE PRODUCTO'!$C$3:$C$1000,MATCH(C2601,'[1]CÓDIGOS DE PRODUCTO'!$A$3:$A$1000,0))</f>
        <v>0</v>
      </c>
      <c r="G2601">
        <f>+'[1]VENTAS(RESUMEN GLOBAL)'!D2601-'[1]VENTAS(RESUMEN GLOBAL)'!E2601</f>
        <v>0</v>
      </c>
      <c r="H2601" s="9">
        <f>+'[1]VENTAS(RESUMEN GLOBAL)'!K2601</f>
        <v>0</v>
      </c>
      <c r="I2601" s="8">
        <f>+G2601*'[1]VENTAS(RESUMEN GLOBAL)'!F2601</f>
        <v>0</v>
      </c>
      <c r="J2601" s="8">
        <f>'[1]VENTAS(RESUMEN GLOBAL)'!G2601*(1-'[1]VENTAS(RESUMEN GLOBAL)'!H2601)</f>
        <v>0</v>
      </c>
      <c r="K2601" s="8">
        <f t="shared" si="40"/>
        <v>0</v>
      </c>
      <c r="L2601" s="8">
        <f>+'[1]VENTAS(RESUMEN GLOBAL)'!J2601</f>
        <v>0</v>
      </c>
      <c r="M2601" s="8">
        <f>+Tabla1[[#This Row],[utilidad x dia]]*7</f>
        <v>0</v>
      </c>
    </row>
    <row r="2602" spans="1:13" x14ac:dyDescent="0.3">
      <c r="A2602" s="6">
        <f>+'[1]VENTAS(RESUMEN GLOBAL)'!L2602</f>
        <v>0</v>
      </c>
      <c r="B2602" s="6">
        <f>+'[1]VENTAS(RESUMEN GLOBAL)'!M2602</f>
        <v>0</v>
      </c>
      <c r="C2602">
        <f>+'[1]VENTAS(RESUMEN GLOBAL)'!B2602</f>
        <v>0</v>
      </c>
      <c r="D2602" t="e">
        <f>INDEX('[1]CÓDIGOS DE PRODUCTO'!$D$3:$D$1000,MATCH(C2602,'[1]CÓDIGOS DE PRODUCTO'!$A$3:$A$1000,0))</f>
        <v>#N/A</v>
      </c>
      <c r="E2602">
        <f>VLOOKUP(C2602,'[1]CÓDIGOS DE PRODUCTO'!$A$4:$B$156,2,FALSE)</f>
        <v>0</v>
      </c>
      <c r="F2602">
        <f>INDEX('[1]CÓDIGOS DE PRODUCTO'!$C$3:$C$1000,MATCH(C2602,'[1]CÓDIGOS DE PRODUCTO'!$A$3:$A$1000,0))</f>
        <v>0</v>
      </c>
      <c r="G2602">
        <f>+'[1]VENTAS(RESUMEN GLOBAL)'!D2602-'[1]VENTAS(RESUMEN GLOBAL)'!E2602</f>
        <v>0</v>
      </c>
      <c r="H2602" s="9">
        <f>+'[1]VENTAS(RESUMEN GLOBAL)'!K2602</f>
        <v>0</v>
      </c>
      <c r="I2602" s="8">
        <f>+G2602*'[1]VENTAS(RESUMEN GLOBAL)'!F2602</f>
        <v>0</v>
      </c>
      <c r="J2602" s="8">
        <f>'[1]VENTAS(RESUMEN GLOBAL)'!G2602*(1-'[1]VENTAS(RESUMEN GLOBAL)'!H2602)</f>
        <v>0</v>
      </c>
      <c r="K2602" s="8">
        <f t="shared" si="40"/>
        <v>0</v>
      </c>
      <c r="L2602" s="8">
        <f>+'[1]VENTAS(RESUMEN GLOBAL)'!J2602</f>
        <v>0</v>
      </c>
      <c r="M2602" s="8">
        <f>+Tabla1[[#This Row],[utilidad x dia]]*7</f>
        <v>0</v>
      </c>
    </row>
    <row r="2603" spans="1:13" x14ac:dyDescent="0.3">
      <c r="A2603" s="6">
        <f>+'[1]VENTAS(RESUMEN GLOBAL)'!L2603</f>
        <v>0</v>
      </c>
      <c r="B2603" s="6">
        <f>+'[1]VENTAS(RESUMEN GLOBAL)'!M2603</f>
        <v>0</v>
      </c>
      <c r="C2603">
        <f>+'[1]VENTAS(RESUMEN GLOBAL)'!B2603</f>
        <v>0</v>
      </c>
      <c r="D2603" t="e">
        <f>INDEX('[1]CÓDIGOS DE PRODUCTO'!$D$3:$D$1000,MATCH(C2603,'[1]CÓDIGOS DE PRODUCTO'!$A$3:$A$1000,0))</f>
        <v>#N/A</v>
      </c>
      <c r="E2603">
        <f>VLOOKUP(C2603,'[1]CÓDIGOS DE PRODUCTO'!$A$4:$B$156,2,FALSE)</f>
        <v>0</v>
      </c>
      <c r="F2603">
        <f>INDEX('[1]CÓDIGOS DE PRODUCTO'!$C$3:$C$1000,MATCH(C2603,'[1]CÓDIGOS DE PRODUCTO'!$A$3:$A$1000,0))</f>
        <v>0</v>
      </c>
      <c r="G2603">
        <f>+'[1]VENTAS(RESUMEN GLOBAL)'!D2603-'[1]VENTAS(RESUMEN GLOBAL)'!E2603</f>
        <v>0</v>
      </c>
      <c r="H2603" s="9">
        <f>+'[1]VENTAS(RESUMEN GLOBAL)'!K2603</f>
        <v>0</v>
      </c>
      <c r="I2603" s="8">
        <f>+G2603*'[1]VENTAS(RESUMEN GLOBAL)'!F2603</f>
        <v>0</v>
      </c>
      <c r="J2603" s="8">
        <f>'[1]VENTAS(RESUMEN GLOBAL)'!G2603*(1-'[1]VENTAS(RESUMEN GLOBAL)'!H2603)</f>
        <v>0</v>
      </c>
      <c r="K2603" s="8">
        <f t="shared" si="40"/>
        <v>0</v>
      </c>
      <c r="L2603" s="8">
        <f>+'[1]VENTAS(RESUMEN GLOBAL)'!J2603</f>
        <v>0</v>
      </c>
      <c r="M2603" s="8">
        <f>+Tabla1[[#This Row],[utilidad x dia]]*7</f>
        <v>0</v>
      </c>
    </row>
    <row r="2604" spans="1:13" x14ac:dyDescent="0.3">
      <c r="A2604" s="6">
        <f>+'[1]VENTAS(RESUMEN GLOBAL)'!L2604</f>
        <v>0</v>
      </c>
      <c r="B2604" s="6">
        <f>+'[1]VENTAS(RESUMEN GLOBAL)'!M2604</f>
        <v>0</v>
      </c>
      <c r="C2604">
        <f>+'[1]VENTAS(RESUMEN GLOBAL)'!B2604</f>
        <v>0</v>
      </c>
      <c r="D2604" t="e">
        <f>INDEX('[1]CÓDIGOS DE PRODUCTO'!$D$3:$D$1000,MATCH(C2604,'[1]CÓDIGOS DE PRODUCTO'!$A$3:$A$1000,0))</f>
        <v>#N/A</v>
      </c>
      <c r="E2604">
        <f>VLOOKUP(C2604,'[1]CÓDIGOS DE PRODUCTO'!$A$4:$B$156,2,FALSE)</f>
        <v>0</v>
      </c>
      <c r="F2604">
        <f>INDEX('[1]CÓDIGOS DE PRODUCTO'!$C$3:$C$1000,MATCH(C2604,'[1]CÓDIGOS DE PRODUCTO'!$A$3:$A$1000,0))</f>
        <v>0</v>
      </c>
      <c r="G2604">
        <f>+'[1]VENTAS(RESUMEN GLOBAL)'!D2604-'[1]VENTAS(RESUMEN GLOBAL)'!E2604</f>
        <v>0</v>
      </c>
      <c r="H2604" s="9">
        <f>+'[1]VENTAS(RESUMEN GLOBAL)'!K2604</f>
        <v>0</v>
      </c>
      <c r="I2604" s="8">
        <f>+G2604*'[1]VENTAS(RESUMEN GLOBAL)'!F2604</f>
        <v>0</v>
      </c>
      <c r="J2604" s="8">
        <f>'[1]VENTAS(RESUMEN GLOBAL)'!G2604*(1-'[1]VENTAS(RESUMEN GLOBAL)'!H2604)</f>
        <v>0</v>
      </c>
      <c r="K2604" s="8">
        <f t="shared" si="40"/>
        <v>0</v>
      </c>
      <c r="L2604" s="8">
        <f>+'[1]VENTAS(RESUMEN GLOBAL)'!J2604</f>
        <v>0</v>
      </c>
      <c r="M2604" s="8">
        <f>+Tabla1[[#This Row],[utilidad x dia]]*7</f>
        <v>0</v>
      </c>
    </row>
    <row r="2605" spans="1:13" x14ac:dyDescent="0.3">
      <c r="A2605" s="6">
        <f>+'[1]VENTAS(RESUMEN GLOBAL)'!L2605</f>
        <v>0</v>
      </c>
      <c r="B2605" s="6">
        <f>+'[1]VENTAS(RESUMEN GLOBAL)'!M2605</f>
        <v>0</v>
      </c>
      <c r="C2605">
        <f>+'[1]VENTAS(RESUMEN GLOBAL)'!B2605</f>
        <v>0</v>
      </c>
      <c r="D2605" t="e">
        <f>INDEX('[1]CÓDIGOS DE PRODUCTO'!$D$3:$D$1000,MATCH(C2605,'[1]CÓDIGOS DE PRODUCTO'!$A$3:$A$1000,0))</f>
        <v>#N/A</v>
      </c>
      <c r="E2605">
        <f>VLOOKUP(C2605,'[1]CÓDIGOS DE PRODUCTO'!$A$4:$B$156,2,FALSE)</f>
        <v>0</v>
      </c>
      <c r="F2605">
        <f>INDEX('[1]CÓDIGOS DE PRODUCTO'!$C$3:$C$1000,MATCH(C2605,'[1]CÓDIGOS DE PRODUCTO'!$A$3:$A$1000,0))</f>
        <v>0</v>
      </c>
      <c r="G2605">
        <f>+'[1]VENTAS(RESUMEN GLOBAL)'!D2605-'[1]VENTAS(RESUMEN GLOBAL)'!E2605</f>
        <v>0</v>
      </c>
      <c r="H2605" s="9">
        <f>+'[1]VENTAS(RESUMEN GLOBAL)'!K2605</f>
        <v>0</v>
      </c>
      <c r="I2605" s="8">
        <f>+G2605*'[1]VENTAS(RESUMEN GLOBAL)'!F2605</f>
        <v>0</v>
      </c>
      <c r="J2605" s="8">
        <f>'[1]VENTAS(RESUMEN GLOBAL)'!G2605*(1-'[1]VENTAS(RESUMEN GLOBAL)'!H2605)</f>
        <v>0</v>
      </c>
      <c r="K2605" s="8">
        <f t="shared" si="40"/>
        <v>0</v>
      </c>
      <c r="L2605" s="8">
        <f>+'[1]VENTAS(RESUMEN GLOBAL)'!J2605</f>
        <v>0</v>
      </c>
      <c r="M2605" s="8">
        <f>+Tabla1[[#This Row],[utilidad x dia]]*7</f>
        <v>0</v>
      </c>
    </row>
    <row r="2606" spans="1:13" x14ac:dyDescent="0.3">
      <c r="A2606" s="6">
        <f>+'[1]VENTAS(RESUMEN GLOBAL)'!L2606</f>
        <v>0</v>
      </c>
      <c r="B2606" s="6">
        <f>+'[1]VENTAS(RESUMEN GLOBAL)'!M2606</f>
        <v>0</v>
      </c>
      <c r="C2606">
        <f>+'[1]VENTAS(RESUMEN GLOBAL)'!B2606</f>
        <v>0</v>
      </c>
      <c r="D2606" t="e">
        <f>INDEX('[1]CÓDIGOS DE PRODUCTO'!$D$3:$D$1000,MATCH(C2606,'[1]CÓDIGOS DE PRODUCTO'!$A$3:$A$1000,0))</f>
        <v>#N/A</v>
      </c>
      <c r="E2606">
        <f>VLOOKUP(C2606,'[1]CÓDIGOS DE PRODUCTO'!$A$4:$B$156,2,FALSE)</f>
        <v>0</v>
      </c>
      <c r="F2606">
        <f>INDEX('[1]CÓDIGOS DE PRODUCTO'!$C$3:$C$1000,MATCH(C2606,'[1]CÓDIGOS DE PRODUCTO'!$A$3:$A$1000,0))</f>
        <v>0</v>
      </c>
      <c r="G2606">
        <f>+'[1]VENTAS(RESUMEN GLOBAL)'!D2606-'[1]VENTAS(RESUMEN GLOBAL)'!E2606</f>
        <v>0</v>
      </c>
      <c r="H2606" s="9">
        <f>+'[1]VENTAS(RESUMEN GLOBAL)'!K2606</f>
        <v>0</v>
      </c>
      <c r="I2606" s="8">
        <f>+G2606*'[1]VENTAS(RESUMEN GLOBAL)'!F2606</f>
        <v>0</v>
      </c>
      <c r="J2606" s="8">
        <f>'[1]VENTAS(RESUMEN GLOBAL)'!G2606*(1-'[1]VENTAS(RESUMEN GLOBAL)'!H2606)</f>
        <v>0</v>
      </c>
      <c r="K2606" s="8">
        <f t="shared" si="40"/>
        <v>0</v>
      </c>
      <c r="L2606" s="8">
        <f>+'[1]VENTAS(RESUMEN GLOBAL)'!J2606</f>
        <v>0</v>
      </c>
      <c r="M2606" s="8">
        <f>+Tabla1[[#This Row],[utilidad x dia]]*7</f>
        <v>0</v>
      </c>
    </row>
    <row r="2607" spans="1:13" x14ac:dyDescent="0.3">
      <c r="A2607" s="6">
        <f>+'[1]VENTAS(RESUMEN GLOBAL)'!L2607</f>
        <v>0</v>
      </c>
      <c r="B2607" s="6">
        <f>+'[1]VENTAS(RESUMEN GLOBAL)'!M2607</f>
        <v>0</v>
      </c>
      <c r="C2607">
        <f>+'[1]VENTAS(RESUMEN GLOBAL)'!B2607</f>
        <v>0</v>
      </c>
      <c r="D2607" t="e">
        <f>INDEX('[1]CÓDIGOS DE PRODUCTO'!$D$3:$D$1000,MATCH(C2607,'[1]CÓDIGOS DE PRODUCTO'!$A$3:$A$1000,0))</f>
        <v>#N/A</v>
      </c>
      <c r="E2607">
        <f>VLOOKUP(C2607,'[1]CÓDIGOS DE PRODUCTO'!$A$4:$B$156,2,FALSE)</f>
        <v>0</v>
      </c>
      <c r="F2607">
        <f>INDEX('[1]CÓDIGOS DE PRODUCTO'!$C$3:$C$1000,MATCH(C2607,'[1]CÓDIGOS DE PRODUCTO'!$A$3:$A$1000,0))</f>
        <v>0</v>
      </c>
      <c r="G2607">
        <f>+'[1]VENTAS(RESUMEN GLOBAL)'!D2607-'[1]VENTAS(RESUMEN GLOBAL)'!E2607</f>
        <v>0</v>
      </c>
      <c r="H2607" s="9">
        <f>+'[1]VENTAS(RESUMEN GLOBAL)'!K2607</f>
        <v>0</v>
      </c>
      <c r="I2607" s="8">
        <f>+G2607*'[1]VENTAS(RESUMEN GLOBAL)'!F2607</f>
        <v>0</v>
      </c>
      <c r="J2607" s="8">
        <f>'[1]VENTAS(RESUMEN GLOBAL)'!G2607*(1-'[1]VENTAS(RESUMEN GLOBAL)'!H2607)</f>
        <v>0</v>
      </c>
      <c r="K2607" s="8">
        <f t="shared" si="40"/>
        <v>0</v>
      </c>
      <c r="L2607" s="8">
        <f>+'[1]VENTAS(RESUMEN GLOBAL)'!J2607</f>
        <v>0</v>
      </c>
      <c r="M2607" s="8">
        <f>+Tabla1[[#This Row],[utilidad x dia]]*7</f>
        <v>0</v>
      </c>
    </row>
    <row r="2608" spans="1:13" x14ac:dyDescent="0.3">
      <c r="A2608" s="6">
        <f>+'[1]VENTAS(RESUMEN GLOBAL)'!L2608</f>
        <v>0</v>
      </c>
      <c r="B2608" s="6">
        <f>+'[1]VENTAS(RESUMEN GLOBAL)'!M2608</f>
        <v>0</v>
      </c>
      <c r="C2608">
        <f>+'[1]VENTAS(RESUMEN GLOBAL)'!B2608</f>
        <v>0</v>
      </c>
      <c r="D2608" t="e">
        <f>INDEX('[1]CÓDIGOS DE PRODUCTO'!$D$3:$D$1000,MATCH(C2608,'[1]CÓDIGOS DE PRODUCTO'!$A$3:$A$1000,0))</f>
        <v>#N/A</v>
      </c>
      <c r="E2608">
        <f>VLOOKUP(C2608,'[1]CÓDIGOS DE PRODUCTO'!$A$4:$B$156,2,FALSE)</f>
        <v>0</v>
      </c>
      <c r="F2608">
        <f>INDEX('[1]CÓDIGOS DE PRODUCTO'!$C$3:$C$1000,MATCH(C2608,'[1]CÓDIGOS DE PRODUCTO'!$A$3:$A$1000,0))</f>
        <v>0</v>
      </c>
      <c r="G2608">
        <f>+'[1]VENTAS(RESUMEN GLOBAL)'!D2608-'[1]VENTAS(RESUMEN GLOBAL)'!E2608</f>
        <v>0</v>
      </c>
      <c r="H2608" s="9">
        <f>+'[1]VENTAS(RESUMEN GLOBAL)'!K2608</f>
        <v>0</v>
      </c>
      <c r="I2608" s="8">
        <f>+G2608*'[1]VENTAS(RESUMEN GLOBAL)'!F2608</f>
        <v>0</v>
      </c>
      <c r="J2608" s="8">
        <f>'[1]VENTAS(RESUMEN GLOBAL)'!G2608*(1-'[1]VENTAS(RESUMEN GLOBAL)'!H2608)</f>
        <v>0</v>
      </c>
      <c r="K2608" s="8">
        <f t="shared" si="40"/>
        <v>0</v>
      </c>
      <c r="L2608" s="8">
        <f>+'[1]VENTAS(RESUMEN GLOBAL)'!J2608</f>
        <v>0</v>
      </c>
      <c r="M2608" s="8">
        <f>+Tabla1[[#This Row],[utilidad x dia]]*7</f>
        <v>0</v>
      </c>
    </row>
    <row r="2609" spans="1:13" x14ac:dyDescent="0.3">
      <c r="A2609" s="6">
        <f>+'[1]VENTAS(RESUMEN GLOBAL)'!L2609</f>
        <v>0</v>
      </c>
      <c r="B2609" s="6">
        <f>+'[1]VENTAS(RESUMEN GLOBAL)'!M2609</f>
        <v>0</v>
      </c>
      <c r="C2609">
        <f>+'[1]VENTAS(RESUMEN GLOBAL)'!B2609</f>
        <v>0</v>
      </c>
      <c r="D2609" t="e">
        <f>INDEX('[1]CÓDIGOS DE PRODUCTO'!$D$3:$D$1000,MATCH(C2609,'[1]CÓDIGOS DE PRODUCTO'!$A$3:$A$1000,0))</f>
        <v>#N/A</v>
      </c>
      <c r="E2609">
        <f>VLOOKUP(C2609,'[1]CÓDIGOS DE PRODUCTO'!$A$4:$B$156,2,FALSE)</f>
        <v>0</v>
      </c>
      <c r="F2609">
        <f>INDEX('[1]CÓDIGOS DE PRODUCTO'!$C$3:$C$1000,MATCH(C2609,'[1]CÓDIGOS DE PRODUCTO'!$A$3:$A$1000,0))</f>
        <v>0</v>
      </c>
      <c r="G2609">
        <f>+'[1]VENTAS(RESUMEN GLOBAL)'!D2609-'[1]VENTAS(RESUMEN GLOBAL)'!E2609</f>
        <v>0</v>
      </c>
      <c r="H2609" s="9">
        <f>+'[1]VENTAS(RESUMEN GLOBAL)'!K2609</f>
        <v>0</v>
      </c>
      <c r="I2609" s="8">
        <f>+G2609*'[1]VENTAS(RESUMEN GLOBAL)'!F2609</f>
        <v>0</v>
      </c>
      <c r="J2609" s="8">
        <f>'[1]VENTAS(RESUMEN GLOBAL)'!G2609*(1-'[1]VENTAS(RESUMEN GLOBAL)'!H2609)</f>
        <v>0</v>
      </c>
      <c r="K2609" s="8">
        <f t="shared" si="40"/>
        <v>0</v>
      </c>
      <c r="L2609" s="8">
        <f>+'[1]VENTAS(RESUMEN GLOBAL)'!J2609</f>
        <v>0</v>
      </c>
      <c r="M2609" s="8">
        <f>+Tabla1[[#This Row],[utilidad x dia]]*7</f>
        <v>0</v>
      </c>
    </row>
    <row r="2610" spans="1:13" x14ac:dyDescent="0.3">
      <c r="A2610" s="6">
        <f>+'[1]VENTAS(RESUMEN GLOBAL)'!L2610</f>
        <v>0</v>
      </c>
      <c r="B2610" s="6">
        <f>+'[1]VENTAS(RESUMEN GLOBAL)'!M2610</f>
        <v>0</v>
      </c>
      <c r="C2610">
        <f>+'[1]VENTAS(RESUMEN GLOBAL)'!B2610</f>
        <v>0</v>
      </c>
      <c r="D2610" t="e">
        <f>INDEX('[1]CÓDIGOS DE PRODUCTO'!$D$3:$D$1000,MATCH(C2610,'[1]CÓDIGOS DE PRODUCTO'!$A$3:$A$1000,0))</f>
        <v>#N/A</v>
      </c>
      <c r="E2610">
        <f>VLOOKUP(C2610,'[1]CÓDIGOS DE PRODUCTO'!$A$4:$B$156,2,FALSE)</f>
        <v>0</v>
      </c>
      <c r="F2610">
        <f>INDEX('[1]CÓDIGOS DE PRODUCTO'!$C$3:$C$1000,MATCH(C2610,'[1]CÓDIGOS DE PRODUCTO'!$A$3:$A$1000,0))</f>
        <v>0</v>
      </c>
      <c r="G2610">
        <f>+'[1]VENTAS(RESUMEN GLOBAL)'!D2610-'[1]VENTAS(RESUMEN GLOBAL)'!E2610</f>
        <v>0</v>
      </c>
      <c r="H2610" s="9">
        <f>+'[1]VENTAS(RESUMEN GLOBAL)'!K2610</f>
        <v>0</v>
      </c>
      <c r="I2610" s="8">
        <f>+G2610*'[1]VENTAS(RESUMEN GLOBAL)'!F2610</f>
        <v>0</v>
      </c>
      <c r="J2610" s="8">
        <f>'[1]VENTAS(RESUMEN GLOBAL)'!G2610*(1-'[1]VENTAS(RESUMEN GLOBAL)'!H2610)</f>
        <v>0</v>
      </c>
      <c r="K2610" s="8">
        <f t="shared" si="40"/>
        <v>0</v>
      </c>
      <c r="L2610" s="8">
        <f>+'[1]VENTAS(RESUMEN GLOBAL)'!J2610</f>
        <v>0</v>
      </c>
      <c r="M2610" s="8">
        <f>+Tabla1[[#This Row],[utilidad x dia]]*7</f>
        <v>0</v>
      </c>
    </row>
    <row r="2611" spans="1:13" x14ac:dyDescent="0.3">
      <c r="A2611" s="6">
        <f>+'[1]VENTAS(RESUMEN GLOBAL)'!L2611</f>
        <v>0</v>
      </c>
      <c r="B2611" s="6">
        <f>+'[1]VENTAS(RESUMEN GLOBAL)'!M2611</f>
        <v>0</v>
      </c>
      <c r="C2611">
        <f>+'[1]VENTAS(RESUMEN GLOBAL)'!B2611</f>
        <v>0</v>
      </c>
      <c r="D2611" t="e">
        <f>INDEX('[1]CÓDIGOS DE PRODUCTO'!$D$3:$D$1000,MATCH(C2611,'[1]CÓDIGOS DE PRODUCTO'!$A$3:$A$1000,0))</f>
        <v>#N/A</v>
      </c>
      <c r="E2611">
        <f>VLOOKUP(C2611,'[1]CÓDIGOS DE PRODUCTO'!$A$4:$B$156,2,FALSE)</f>
        <v>0</v>
      </c>
      <c r="F2611">
        <f>INDEX('[1]CÓDIGOS DE PRODUCTO'!$C$3:$C$1000,MATCH(C2611,'[1]CÓDIGOS DE PRODUCTO'!$A$3:$A$1000,0))</f>
        <v>0</v>
      </c>
      <c r="G2611">
        <f>+'[1]VENTAS(RESUMEN GLOBAL)'!D2611-'[1]VENTAS(RESUMEN GLOBAL)'!E2611</f>
        <v>0</v>
      </c>
      <c r="H2611" s="9">
        <f>+'[1]VENTAS(RESUMEN GLOBAL)'!K2611</f>
        <v>0</v>
      </c>
      <c r="I2611" s="8">
        <f>+G2611*'[1]VENTAS(RESUMEN GLOBAL)'!F2611</f>
        <v>0</v>
      </c>
      <c r="J2611" s="8">
        <f>'[1]VENTAS(RESUMEN GLOBAL)'!G2611*(1-'[1]VENTAS(RESUMEN GLOBAL)'!H2611)</f>
        <v>0</v>
      </c>
      <c r="K2611" s="8">
        <f t="shared" si="40"/>
        <v>0</v>
      </c>
      <c r="L2611" s="8">
        <f>+'[1]VENTAS(RESUMEN GLOBAL)'!J2611</f>
        <v>0</v>
      </c>
      <c r="M2611" s="8">
        <f>+Tabla1[[#This Row],[utilidad x dia]]*7</f>
        <v>0</v>
      </c>
    </row>
    <row r="2612" spans="1:13" x14ac:dyDescent="0.3">
      <c r="A2612" s="6">
        <f>+'[1]VENTAS(RESUMEN GLOBAL)'!L2612</f>
        <v>0</v>
      </c>
      <c r="B2612" s="6">
        <f>+'[1]VENTAS(RESUMEN GLOBAL)'!M2612</f>
        <v>0</v>
      </c>
      <c r="C2612">
        <f>+'[1]VENTAS(RESUMEN GLOBAL)'!B2612</f>
        <v>0</v>
      </c>
      <c r="D2612" t="e">
        <f>INDEX('[1]CÓDIGOS DE PRODUCTO'!$D$3:$D$1000,MATCH(C2612,'[1]CÓDIGOS DE PRODUCTO'!$A$3:$A$1000,0))</f>
        <v>#N/A</v>
      </c>
      <c r="E2612">
        <f>VLOOKUP(C2612,'[1]CÓDIGOS DE PRODUCTO'!$A$4:$B$156,2,FALSE)</f>
        <v>0</v>
      </c>
      <c r="F2612">
        <f>INDEX('[1]CÓDIGOS DE PRODUCTO'!$C$3:$C$1000,MATCH(C2612,'[1]CÓDIGOS DE PRODUCTO'!$A$3:$A$1000,0))</f>
        <v>0</v>
      </c>
      <c r="G2612">
        <f>+'[1]VENTAS(RESUMEN GLOBAL)'!D2612-'[1]VENTAS(RESUMEN GLOBAL)'!E2612</f>
        <v>0</v>
      </c>
      <c r="H2612" s="9">
        <f>+'[1]VENTAS(RESUMEN GLOBAL)'!K2612</f>
        <v>0</v>
      </c>
      <c r="I2612" s="8">
        <f>+G2612*'[1]VENTAS(RESUMEN GLOBAL)'!F2612</f>
        <v>0</v>
      </c>
      <c r="J2612" s="8">
        <f>'[1]VENTAS(RESUMEN GLOBAL)'!G2612*(1-'[1]VENTAS(RESUMEN GLOBAL)'!H2612)</f>
        <v>0</v>
      </c>
      <c r="K2612" s="8">
        <f t="shared" si="40"/>
        <v>0</v>
      </c>
      <c r="L2612" s="8">
        <f>+'[1]VENTAS(RESUMEN GLOBAL)'!J2612</f>
        <v>0</v>
      </c>
      <c r="M2612" s="8">
        <f>+Tabla1[[#This Row],[utilidad x dia]]*7</f>
        <v>0</v>
      </c>
    </row>
    <row r="2613" spans="1:13" x14ac:dyDescent="0.3">
      <c r="A2613" s="6">
        <f>+'[1]VENTAS(RESUMEN GLOBAL)'!L2613</f>
        <v>0</v>
      </c>
      <c r="B2613" s="6">
        <f>+'[1]VENTAS(RESUMEN GLOBAL)'!M2613</f>
        <v>0</v>
      </c>
      <c r="C2613">
        <f>+'[1]VENTAS(RESUMEN GLOBAL)'!B2613</f>
        <v>0</v>
      </c>
      <c r="D2613" t="e">
        <f>INDEX('[1]CÓDIGOS DE PRODUCTO'!$D$3:$D$1000,MATCH(C2613,'[1]CÓDIGOS DE PRODUCTO'!$A$3:$A$1000,0))</f>
        <v>#N/A</v>
      </c>
      <c r="E2613">
        <f>VLOOKUP(C2613,'[1]CÓDIGOS DE PRODUCTO'!$A$4:$B$156,2,FALSE)</f>
        <v>0</v>
      </c>
      <c r="F2613">
        <f>INDEX('[1]CÓDIGOS DE PRODUCTO'!$C$3:$C$1000,MATCH(C2613,'[1]CÓDIGOS DE PRODUCTO'!$A$3:$A$1000,0))</f>
        <v>0</v>
      </c>
      <c r="G2613">
        <f>+'[1]VENTAS(RESUMEN GLOBAL)'!D2613-'[1]VENTAS(RESUMEN GLOBAL)'!E2613</f>
        <v>0</v>
      </c>
      <c r="H2613" s="9">
        <f>+'[1]VENTAS(RESUMEN GLOBAL)'!K2613</f>
        <v>0</v>
      </c>
      <c r="I2613" s="8">
        <f>+G2613*'[1]VENTAS(RESUMEN GLOBAL)'!F2613</f>
        <v>0</v>
      </c>
      <c r="J2613" s="8">
        <f>'[1]VENTAS(RESUMEN GLOBAL)'!G2613*(1-'[1]VENTAS(RESUMEN GLOBAL)'!H2613)</f>
        <v>0</v>
      </c>
      <c r="K2613" s="8">
        <f t="shared" si="40"/>
        <v>0</v>
      </c>
      <c r="L2613" s="8">
        <f>+'[1]VENTAS(RESUMEN GLOBAL)'!J2613</f>
        <v>0</v>
      </c>
      <c r="M2613" s="8">
        <f>+Tabla1[[#This Row],[utilidad x dia]]*7</f>
        <v>0</v>
      </c>
    </row>
    <row r="2614" spans="1:13" x14ac:dyDescent="0.3">
      <c r="A2614" s="6">
        <f>+'[1]VENTAS(RESUMEN GLOBAL)'!L2614</f>
        <v>0</v>
      </c>
      <c r="B2614" s="6">
        <f>+'[1]VENTAS(RESUMEN GLOBAL)'!M2614</f>
        <v>0</v>
      </c>
      <c r="C2614">
        <f>+'[1]VENTAS(RESUMEN GLOBAL)'!B2614</f>
        <v>0</v>
      </c>
      <c r="D2614" t="e">
        <f>INDEX('[1]CÓDIGOS DE PRODUCTO'!$D$3:$D$1000,MATCH(C2614,'[1]CÓDIGOS DE PRODUCTO'!$A$3:$A$1000,0))</f>
        <v>#N/A</v>
      </c>
      <c r="E2614">
        <f>VLOOKUP(C2614,'[1]CÓDIGOS DE PRODUCTO'!$A$4:$B$156,2,FALSE)</f>
        <v>0</v>
      </c>
      <c r="F2614">
        <f>INDEX('[1]CÓDIGOS DE PRODUCTO'!$C$3:$C$1000,MATCH(C2614,'[1]CÓDIGOS DE PRODUCTO'!$A$3:$A$1000,0))</f>
        <v>0</v>
      </c>
      <c r="G2614">
        <f>+'[1]VENTAS(RESUMEN GLOBAL)'!D2614-'[1]VENTAS(RESUMEN GLOBAL)'!E2614</f>
        <v>0</v>
      </c>
      <c r="H2614" s="9">
        <f>+'[1]VENTAS(RESUMEN GLOBAL)'!K2614</f>
        <v>0</v>
      </c>
      <c r="I2614" s="8">
        <f>+G2614*'[1]VENTAS(RESUMEN GLOBAL)'!F2614</f>
        <v>0</v>
      </c>
      <c r="J2614" s="8">
        <f>'[1]VENTAS(RESUMEN GLOBAL)'!G2614*(1-'[1]VENTAS(RESUMEN GLOBAL)'!H2614)</f>
        <v>0</v>
      </c>
      <c r="K2614" s="8">
        <f t="shared" si="40"/>
        <v>0</v>
      </c>
      <c r="L2614" s="8">
        <f>+'[1]VENTAS(RESUMEN GLOBAL)'!J2614</f>
        <v>0</v>
      </c>
      <c r="M2614" s="8">
        <f>+Tabla1[[#This Row],[utilidad x dia]]*7</f>
        <v>0</v>
      </c>
    </row>
    <row r="2615" spans="1:13" x14ac:dyDescent="0.3">
      <c r="A2615" s="6">
        <f>+'[1]VENTAS(RESUMEN GLOBAL)'!L2615</f>
        <v>0</v>
      </c>
      <c r="B2615" s="6">
        <f>+'[1]VENTAS(RESUMEN GLOBAL)'!M2615</f>
        <v>0</v>
      </c>
      <c r="C2615">
        <f>+'[1]VENTAS(RESUMEN GLOBAL)'!B2615</f>
        <v>0</v>
      </c>
      <c r="D2615" t="e">
        <f>INDEX('[1]CÓDIGOS DE PRODUCTO'!$D$3:$D$1000,MATCH(C2615,'[1]CÓDIGOS DE PRODUCTO'!$A$3:$A$1000,0))</f>
        <v>#N/A</v>
      </c>
      <c r="E2615">
        <f>VLOOKUP(C2615,'[1]CÓDIGOS DE PRODUCTO'!$A$4:$B$156,2,FALSE)</f>
        <v>0</v>
      </c>
      <c r="F2615">
        <f>INDEX('[1]CÓDIGOS DE PRODUCTO'!$C$3:$C$1000,MATCH(C2615,'[1]CÓDIGOS DE PRODUCTO'!$A$3:$A$1000,0))</f>
        <v>0</v>
      </c>
      <c r="G2615">
        <f>+'[1]VENTAS(RESUMEN GLOBAL)'!D2615-'[1]VENTAS(RESUMEN GLOBAL)'!E2615</f>
        <v>0</v>
      </c>
      <c r="H2615" s="9">
        <f>+'[1]VENTAS(RESUMEN GLOBAL)'!K2615</f>
        <v>0</v>
      </c>
      <c r="I2615" s="8">
        <f>+G2615*'[1]VENTAS(RESUMEN GLOBAL)'!F2615</f>
        <v>0</v>
      </c>
      <c r="J2615" s="8">
        <f>'[1]VENTAS(RESUMEN GLOBAL)'!G2615*(1-'[1]VENTAS(RESUMEN GLOBAL)'!H2615)</f>
        <v>0</v>
      </c>
      <c r="K2615" s="8">
        <f t="shared" si="40"/>
        <v>0</v>
      </c>
      <c r="L2615" s="8">
        <f>+'[1]VENTAS(RESUMEN GLOBAL)'!J2615</f>
        <v>0</v>
      </c>
      <c r="M2615" s="8">
        <f>+Tabla1[[#This Row],[utilidad x dia]]*7</f>
        <v>0</v>
      </c>
    </row>
    <row r="2616" spans="1:13" x14ac:dyDescent="0.3">
      <c r="A2616" s="6">
        <f>+'[1]VENTAS(RESUMEN GLOBAL)'!L2616</f>
        <v>0</v>
      </c>
      <c r="B2616" s="6">
        <f>+'[1]VENTAS(RESUMEN GLOBAL)'!M2616</f>
        <v>0</v>
      </c>
      <c r="C2616">
        <f>+'[1]VENTAS(RESUMEN GLOBAL)'!B2616</f>
        <v>0</v>
      </c>
      <c r="D2616" t="e">
        <f>INDEX('[1]CÓDIGOS DE PRODUCTO'!$D$3:$D$1000,MATCH(C2616,'[1]CÓDIGOS DE PRODUCTO'!$A$3:$A$1000,0))</f>
        <v>#N/A</v>
      </c>
      <c r="E2616">
        <f>VLOOKUP(C2616,'[1]CÓDIGOS DE PRODUCTO'!$A$4:$B$156,2,FALSE)</f>
        <v>0</v>
      </c>
      <c r="F2616">
        <f>INDEX('[1]CÓDIGOS DE PRODUCTO'!$C$3:$C$1000,MATCH(C2616,'[1]CÓDIGOS DE PRODUCTO'!$A$3:$A$1000,0))</f>
        <v>0</v>
      </c>
      <c r="G2616">
        <f>+'[1]VENTAS(RESUMEN GLOBAL)'!D2616-'[1]VENTAS(RESUMEN GLOBAL)'!E2616</f>
        <v>0</v>
      </c>
      <c r="H2616" s="9">
        <f>+'[1]VENTAS(RESUMEN GLOBAL)'!K2616</f>
        <v>0</v>
      </c>
      <c r="I2616" s="8">
        <f>+G2616*'[1]VENTAS(RESUMEN GLOBAL)'!F2616</f>
        <v>0</v>
      </c>
      <c r="J2616" s="8">
        <f>'[1]VENTAS(RESUMEN GLOBAL)'!G2616*(1-'[1]VENTAS(RESUMEN GLOBAL)'!H2616)</f>
        <v>0</v>
      </c>
      <c r="K2616" s="8">
        <f t="shared" si="40"/>
        <v>0</v>
      </c>
      <c r="L2616" s="8">
        <f>+'[1]VENTAS(RESUMEN GLOBAL)'!J2616</f>
        <v>0</v>
      </c>
      <c r="M2616" s="8">
        <f>+Tabla1[[#This Row],[utilidad x dia]]*7</f>
        <v>0</v>
      </c>
    </row>
    <row r="2617" spans="1:13" x14ac:dyDescent="0.3">
      <c r="A2617" s="6">
        <f>+'[1]VENTAS(RESUMEN GLOBAL)'!L2617</f>
        <v>0</v>
      </c>
      <c r="B2617" s="6">
        <f>+'[1]VENTAS(RESUMEN GLOBAL)'!M2617</f>
        <v>0</v>
      </c>
      <c r="C2617">
        <f>+'[1]VENTAS(RESUMEN GLOBAL)'!B2617</f>
        <v>0</v>
      </c>
      <c r="D2617" t="e">
        <f>INDEX('[1]CÓDIGOS DE PRODUCTO'!$D$3:$D$1000,MATCH(C2617,'[1]CÓDIGOS DE PRODUCTO'!$A$3:$A$1000,0))</f>
        <v>#N/A</v>
      </c>
      <c r="E2617">
        <f>VLOOKUP(C2617,'[1]CÓDIGOS DE PRODUCTO'!$A$4:$B$156,2,FALSE)</f>
        <v>0</v>
      </c>
      <c r="F2617">
        <f>INDEX('[1]CÓDIGOS DE PRODUCTO'!$C$3:$C$1000,MATCH(C2617,'[1]CÓDIGOS DE PRODUCTO'!$A$3:$A$1000,0))</f>
        <v>0</v>
      </c>
      <c r="G2617">
        <f>+'[1]VENTAS(RESUMEN GLOBAL)'!D2617-'[1]VENTAS(RESUMEN GLOBAL)'!E2617</f>
        <v>0</v>
      </c>
      <c r="H2617" s="9">
        <f>+'[1]VENTAS(RESUMEN GLOBAL)'!K2617</f>
        <v>0</v>
      </c>
      <c r="I2617" s="8">
        <f>+G2617*'[1]VENTAS(RESUMEN GLOBAL)'!F2617</f>
        <v>0</v>
      </c>
      <c r="J2617" s="8">
        <f>'[1]VENTAS(RESUMEN GLOBAL)'!G2617*(1-'[1]VENTAS(RESUMEN GLOBAL)'!H2617)</f>
        <v>0</v>
      </c>
      <c r="K2617" s="8">
        <f t="shared" si="40"/>
        <v>0</v>
      </c>
      <c r="L2617" s="8">
        <f>+'[1]VENTAS(RESUMEN GLOBAL)'!J2617</f>
        <v>0</v>
      </c>
      <c r="M2617" s="8">
        <f>+Tabla1[[#This Row],[utilidad x dia]]*7</f>
        <v>0</v>
      </c>
    </row>
    <row r="2618" spans="1:13" x14ac:dyDescent="0.3">
      <c r="A2618" s="6">
        <f>+'[1]VENTAS(RESUMEN GLOBAL)'!L2618</f>
        <v>0</v>
      </c>
      <c r="B2618" s="6">
        <f>+'[1]VENTAS(RESUMEN GLOBAL)'!M2618</f>
        <v>0</v>
      </c>
      <c r="C2618">
        <f>+'[1]VENTAS(RESUMEN GLOBAL)'!B2618</f>
        <v>0</v>
      </c>
      <c r="D2618" t="e">
        <f>INDEX('[1]CÓDIGOS DE PRODUCTO'!$D$3:$D$1000,MATCH(C2618,'[1]CÓDIGOS DE PRODUCTO'!$A$3:$A$1000,0))</f>
        <v>#N/A</v>
      </c>
      <c r="E2618">
        <f>VLOOKUP(C2618,'[1]CÓDIGOS DE PRODUCTO'!$A$4:$B$156,2,FALSE)</f>
        <v>0</v>
      </c>
      <c r="F2618">
        <f>INDEX('[1]CÓDIGOS DE PRODUCTO'!$C$3:$C$1000,MATCH(C2618,'[1]CÓDIGOS DE PRODUCTO'!$A$3:$A$1000,0))</f>
        <v>0</v>
      </c>
      <c r="G2618">
        <f>+'[1]VENTAS(RESUMEN GLOBAL)'!D2618-'[1]VENTAS(RESUMEN GLOBAL)'!E2618</f>
        <v>0</v>
      </c>
      <c r="H2618" s="9">
        <f>+'[1]VENTAS(RESUMEN GLOBAL)'!K2618</f>
        <v>0</v>
      </c>
      <c r="I2618" s="8">
        <f>+G2618*'[1]VENTAS(RESUMEN GLOBAL)'!F2618</f>
        <v>0</v>
      </c>
      <c r="J2618" s="8">
        <f>'[1]VENTAS(RESUMEN GLOBAL)'!G2618*(1-'[1]VENTAS(RESUMEN GLOBAL)'!H2618)</f>
        <v>0</v>
      </c>
      <c r="K2618" s="8">
        <f t="shared" si="40"/>
        <v>0</v>
      </c>
      <c r="L2618" s="8">
        <f>+'[1]VENTAS(RESUMEN GLOBAL)'!J2618</f>
        <v>0</v>
      </c>
      <c r="M2618" s="8">
        <f>+Tabla1[[#This Row],[utilidad x dia]]*7</f>
        <v>0</v>
      </c>
    </row>
    <row r="2619" spans="1:13" x14ac:dyDescent="0.3">
      <c r="A2619" s="6">
        <f>+'[1]VENTAS(RESUMEN GLOBAL)'!L2619</f>
        <v>0</v>
      </c>
      <c r="B2619" s="6">
        <f>+'[1]VENTAS(RESUMEN GLOBAL)'!M2619</f>
        <v>0</v>
      </c>
      <c r="C2619">
        <f>+'[1]VENTAS(RESUMEN GLOBAL)'!B2619</f>
        <v>0</v>
      </c>
      <c r="D2619" t="e">
        <f>INDEX('[1]CÓDIGOS DE PRODUCTO'!$D$3:$D$1000,MATCH(C2619,'[1]CÓDIGOS DE PRODUCTO'!$A$3:$A$1000,0))</f>
        <v>#N/A</v>
      </c>
      <c r="E2619">
        <f>VLOOKUP(C2619,'[1]CÓDIGOS DE PRODUCTO'!$A$4:$B$156,2,FALSE)</f>
        <v>0</v>
      </c>
      <c r="F2619">
        <f>INDEX('[1]CÓDIGOS DE PRODUCTO'!$C$3:$C$1000,MATCH(C2619,'[1]CÓDIGOS DE PRODUCTO'!$A$3:$A$1000,0))</f>
        <v>0</v>
      </c>
      <c r="G2619">
        <f>+'[1]VENTAS(RESUMEN GLOBAL)'!D2619-'[1]VENTAS(RESUMEN GLOBAL)'!E2619</f>
        <v>0</v>
      </c>
      <c r="H2619" s="9">
        <f>+'[1]VENTAS(RESUMEN GLOBAL)'!K2619</f>
        <v>0</v>
      </c>
      <c r="I2619" s="8">
        <f>+G2619*'[1]VENTAS(RESUMEN GLOBAL)'!F2619</f>
        <v>0</v>
      </c>
      <c r="J2619" s="8">
        <f>'[1]VENTAS(RESUMEN GLOBAL)'!G2619*(1-'[1]VENTAS(RESUMEN GLOBAL)'!H2619)</f>
        <v>0</v>
      </c>
      <c r="K2619" s="8">
        <f t="shared" si="40"/>
        <v>0</v>
      </c>
      <c r="L2619" s="8">
        <f>+'[1]VENTAS(RESUMEN GLOBAL)'!J2619</f>
        <v>0</v>
      </c>
      <c r="M2619" s="8">
        <f>+Tabla1[[#This Row],[utilidad x dia]]*7</f>
        <v>0</v>
      </c>
    </row>
    <row r="2620" spans="1:13" x14ac:dyDescent="0.3">
      <c r="A2620" s="6">
        <f>+'[1]VENTAS(RESUMEN GLOBAL)'!L2620</f>
        <v>0</v>
      </c>
      <c r="B2620" s="6">
        <f>+'[1]VENTAS(RESUMEN GLOBAL)'!M2620</f>
        <v>0</v>
      </c>
      <c r="C2620">
        <f>+'[1]VENTAS(RESUMEN GLOBAL)'!B2620</f>
        <v>0</v>
      </c>
      <c r="D2620" t="e">
        <f>INDEX('[1]CÓDIGOS DE PRODUCTO'!$D$3:$D$1000,MATCH(C2620,'[1]CÓDIGOS DE PRODUCTO'!$A$3:$A$1000,0))</f>
        <v>#N/A</v>
      </c>
      <c r="E2620">
        <f>VLOOKUP(C2620,'[1]CÓDIGOS DE PRODUCTO'!$A$4:$B$156,2,FALSE)</f>
        <v>0</v>
      </c>
      <c r="F2620">
        <f>INDEX('[1]CÓDIGOS DE PRODUCTO'!$C$3:$C$1000,MATCH(C2620,'[1]CÓDIGOS DE PRODUCTO'!$A$3:$A$1000,0))</f>
        <v>0</v>
      </c>
      <c r="G2620">
        <f>+'[1]VENTAS(RESUMEN GLOBAL)'!D2620-'[1]VENTAS(RESUMEN GLOBAL)'!E2620</f>
        <v>0</v>
      </c>
      <c r="H2620" s="9">
        <f>+'[1]VENTAS(RESUMEN GLOBAL)'!K2620</f>
        <v>0</v>
      </c>
      <c r="I2620" s="8">
        <f>+G2620*'[1]VENTAS(RESUMEN GLOBAL)'!F2620</f>
        <v>0</v>
      </c>
      <c r="J2620" s="8">
        <f>'[1]VENTAS(RESUMEN GLOBAL)'!G2620*(1-'[1]VENTAS(RESUMEN GLOBAL)'!H2620)</f>
        <v>0</v>
      </c>
      <c r="K2620" s="8">
        <f t="shared" si="40"/>
        <v>0</v>
      </c>
      <c r="L2620" s="8">
        <f>+'[1]VENTAS(RESUMEN GLOBAL)'!J2620</f>
        <v>0</v>
      </c>
      <c r="M2620" s="8">
        <f>+Tabla1[[#This Row],[utilidad x dia]]*7</f>
        <v>0</v>
      </c>
    </row>
    <row r="2621" spans="1:13" x14ac:dyDescent="0.3">
      <c r="A2621" s="6">
        <f>+'[1]VENTAS(RESUMEN GLOBAL)'!L2621</f>
        <v>0</v>
      </c>
      <c r="B2621" s="6">
        <f>+'[1]VENTAS(RESUMEN GLOBAL)'!M2621</f>
        <v>0</v>
      </c>
      <c r="C2621">
        <f>+'[1]VENTAS(RESUMEN GLOBAL)'!B2621</f>
        <v>0</v>
      </c>
      <c r="D2621" t="e">
        <f>INDEX('[1]CÓDIGOS DE PRODUCTO'!$D$3:$D$1000,MATCH(C2621,'[1]CÓDIGOS DE PRODUCTO'!$A$3:$A$1000,0))</f>
        <v>#N/A</v>
      </c>
      <c r="E2621">
        <f>VLOOKUP(C2621,'[1]CÓDIGOS DE PRODUCTO'!$A$4:$B$156,2,FALSE)</f>
        <v>0</v>
      </c>
      <c r="F2621">
        <f>INDEX('[1]CÓDIGOS DE PRODUCTO'!$C$3:$C$1000,MATCH(C2621,'[1]CÓDIGOS DE PRODUCTO'!$A$3:$A$1000,0))</f>
        <v>0</v>
      </c>
      <c r="G2621">
        <f>+'[1]VENTAS(RESUMEN GLOBAL)'!D2621-'[1]VENTAS(RESUMEN GLOBAL)'!E2621</f>
        <v>0</v>
      </c>
      <c r="H2621" s="9">
        <f>+'[1]VENTAS(RESUMEN GLOBAL)'!K2621</f>
        <v>0</v>
      </c>
      <c r="I2621" s="8">
        <f>+G2621*'[1]VENTAS(RESUMEN GLOBAL)'!F2621</f>
        <v>0</v>
      </c>
      <c r="J2621" s="8">
        <f>'[1]VENTAS(RESUMEN GLOBAL)'!G2621*(1-'[1]VENTAS(RESUMEN GLOBAL)'!H2621)</f>
        <v>0</v>
      </c>
      <c r="K2621" s="8">
        <f t="shared" si="40"/>
        <v>0</v>
      </c>
      <c r="L2621" s="8">
        <f>+'[1]VENTAS(RESUMEN GLOBAL)'!J2621</f>
        <v>0</v>
      </c>
      <c r="M2621" s="8">
        <f>+Tabla1[[#This Row],[utilidad x dia]]*7</f>
        <v>0</v>
      </c>
    </row>
    <row r="2622" spans="1:13" x14ac:dyDescent="0.3">
      <c r="A2622" s="6">
        <f>+'[1]VENTAS(RESUMEN GLOBAL)'!L2622</f>
        <v>0</v>
      </c>
      <c r="B2622" s="6">
        <f>+'[1]VENTAS(RESUMEN GLOBAL)'!M2622</f>
        <v>0</v>
      </c>
      <c r="C2622">
        <f>+'[1]VENTAS(RESUMEN GLOBAL)'!B2622</f>
        <v>0</v>
      </c>
      <c r="D2622" t="e">
        <f>INDEX('[1]CÓDIGOS DE PRODUCTO'!$D$3:$D$1000,MATCH(C2622,'[1]CÓDIGOS DE PRODUCTO'!$A$3:$A$1000,0))</f>
        <v>#N/A</v>
      </c>
      <c r="E2622">
        <f>VLOOKUP(C2622,'[1]CÓDIGOS DE PRODUCTO'!$A$4:$B$156,2,FALSE)</f>
        <v>0</v>
      </c>
      <c r="F2622">
        <f>INDEX('[1]CÓDIGOS DE PRODUCTO'!$C$3:$C$1000,MATCH(C2622,'[1]CÓDIGOS DE PRODUCTO'!$A$3:$A$1000,0))</f>
        <v>0</v>
      </c>
      <c r="G2622">
        <f>+'[1]VENTAS(RESUMEN GLOBAL)'!D2622-'[1]VENTAS(RESUMEN GLOBAL)'!E2622</f>
        <v>0</v>
      </c>
      <c r="H2622" s="9">
        <f>+'[1]VENTAS(RESUMEN GLOBAL)'!K2622</f>
        <v>0</v>
      </c>
      <c r="I2622" s="8">
        <f>+G2622*'[1]VENTAS(RESUMEN GLOBAL)'!F2622</f>
        <v>0</v>
      </c>
      <c r="J2622" s="8">
        <f>'[1]VENTAS(RESUMEN GLOBAL)'!G2622*(1-'[1]VENTAS(RESUMEN GLOBAL)'!H2622)</f>
        <v>0</v>
      </c>
      <c r="K2622" s="8">
        <f t="shared" si="40"/>
        <v>0</v>
      </c>
      <c r="L2622" s="8">
        <f>+'[1]VENTAS(RESUMEN GLOBAL)'!J2622</f>
        <v>0</v>
      </c>
      <c r="M2622" s="8">
        <f>+Tabla1[[#This Row],[utilidad x dia]]*7</f>
        <v>0</v>
      </c>
    </row>
    <row r="2623" spans="1:13" x14ac:dyDescent="0.3">
      <c r="A2623" s="6">
        <f>+'[1]VENTAS(RESUMEN GLOBAL)'!L2623</f>
        <v>0</v>
      </c>
      <c r="B2623" s="6">
        <f>+'[1]VENTAS(RESUMEN GLOBAL)'!M2623</f>
        <v>0</v>
      </c>
      <c r="C2623">
        <f>+'[1]VENTAS(RESUMEN GLOBAL)'!B2623</f>
        <v>0</v>
      </c>
      <c r="D2623" t="e">
        <f>INDEX('[1]CÓDIGOS DE PRODUCTO'!$D$3:$D$1000,MATCH(C2623,'[1]CÓDIGOS DE PRODUCTO'!$A$3:$A$1000,0))</f>
        <v>#N/A</v>
      </c>
      <c r="E2623">
        <f>VLOOKUP(C2623,'[1]CÓDIGOS DE PRODUCTO'!$A$4:$B$156,2,FALSE)</f>
        <v>0</v>
      </c>
      <c r="F2623">
        <f>INDEX('[1]CÓDIGOS DE PRODUCTO'!$C$3:$C$1000,MATCH(C2623,'[1]CÓDIGOS DE PRODUCTO'!$A$3:$A$1000,0))</f>
        <v>0</v>
      </c>
      <c r="G2623">
        <f>+'[1]VENTAS(RESUMEN GLOBAL)'!D2623-'[1]VENTAS(RESUMEN GLOBAL)'!E2623</f>
        <v>0</v>
      </c>
      <c r="H2623" s="9">
        <f>+'[1]VENTAS(RESUMEN GLOBAL)'!K2623</f>
        <v>0</v>
      </c>
      <c r="I2623" s="8">
        <f>+G2623*'[1]VENTAS(RESUMEN GLOBAL)'!F2623</f>
        <v>0</v>
      </c>
      <c r="J2623" s="8">
        <f>'[1]VENTAS(RESUMEN GLOBAL)'!G2623*(1-'[1]VENTAS(RESUMEN GLOBAL)'!H2623)</f>
        <v>0</v>
      </c>
      <c r="K2623" s="8">
        <f t="shared" si="40"/>
        <v>0</v>
      </c>
      <c r="L2623" s="8">
        <f>+'[1]VENTAS(RESUMEN GLOBAL)'!J2623</f>
        <v>0</v>
      </c>
      <c r="M2623" s="8">
        <f>+Tabla1[[#This Row],[utilidad x dia]]*7</f>
        <v>0</v>
      </c>
    </row>
    <row r="2624" spans="1:13" x14ac:dyDescent="0.3">
      <c r="A2624" s="6">
        <f>+'[1]VENTAS(RESUMEN GLOBAL)'!L2624</f>
        <v>0</v>
      </c>
      <c r="B2624" s="6">
        <f>+'[1]VENTAS(RESUMEN GLOBAL)'!M2624</f>
        <v>0</v>
      </c>
      <c r="C2624">
        <f>+'[1]VENTAS(RESUMEN GLOBAL)'!B2624</f>
        <v>0</v>
      </c>
      <c r="D2624" t="e">
        <f>INDEX('[1]CÓDIGOS DE PRODUCTO'!$D$3:$D$1000,MATCH(C2624,'[1]CÓDIGOS DE PRODUCTO'!$A$3:$A$1000,0))</f>
        <v>#N/A</v>
      </c>
      <c r="E2624">
        <f>VLOOKUP(C2624,'[1]CÓDIGOS DE PRODUCTO'!$A$4:$B$156,2,FALSE)</f>
        <v>0</v>
      </c>
      <c r="F2624">
        <f>INDEX('[1]CÓDIGOS DE PRODUCTO'!$C$3:$C$1000,MATCH(C2624,'[1]CÓDIGOS DE PRODUCTO'!$A$3:$A$1000,0))</f>
        <v>0</v>
      </c>
      <c r="G2624">
        <f>+'[1]VENTAS(RESUMEN GLOBAL)'!D2624-'[1]VENTAS(RESUMEN GLOBAL)'!E2624</f>
        <v>0</v>
      </c>
      <c r="H2624" s="9">
        <f>+'[1]VENTAS(RESUMEN GLOBAL)'!K2624</f>
        <v>0</v>
      </c>
      <c r="I2624" s="8">
        <f>+G2624*'[1]VENTAS(RESUMEN GLOBAL)'!F2624</f>
        <v>0</v>
      </c>
      <c r="J2624" s="8">
        <f>'[1]VENTAS(RESUMEN GLOBAL)'!G2624*(1-'[1]VENTAS(RESUMEN GLOBAL)'!H2624)</f>
        <v>0</v>
      </c>
      <c r="K2624" s="8">
        <f t="shared" si="40"/>
        <v>0</v>
      </c>
      <c r="L2624" s="8">
        <f>+'[1]VENTAS(RESUMEN GLOBAL)'!J2624</f>
        <v>0</v>
      </c>
      <c r="M2624" s="8">
        <f>+Tabla1[[#This Row],[utilidad x dia]]*7</f>
        <v>0</v>
      </c>
    </row>
    <row r="2625" spans="1:13" x14ac:dyDescent="0.3">
      <c r="A2625" s="6">
        <f>+'[1]VENTAS(RESUMEN GLOBAL)'!L2625</f>
        <v>0</v>
      </c>
      <c r="B2625" s="6">
        <f>+'[1]VENTAS(RESUMEN GLOBAL)'!M2625</f>
        <v>0</v>
      </c>
      <c r="C2625">
        <f>+'[1]VENTAS(RESUMEN GLOBAL)'!B2625</f>
        <v>0</v>
      </c>
      <c r="D2625" t="e">
        <f>INDEX('[1]CÓDIGOS DE PRODUCTO'!$D$3:$D$1000,MATCH(C2625,'[1]CÓDIGOS DE PRODUCTO'!$A$3:$A$1000,0))</f>
        <v>#N/A</v>
      </c>
      <c r="E2625">
        <f>VLOOKUP(C2625,'[1]CÓDIGOS DE PRODUCTO'!$A$4:$B$156,2,FALSE)</f>
        <v>0</v>
      </c>
      <c r="F2625">
        <f>INDEX('[1]CÓDIGOS DE PRODUCTO'!$C$3:$C$1000,MATCH(C2625,'[1]CÓDIGOS DE PRODUCTO'!$A$3:$A$1000,0))</f>
        <v>0</v>
      </c>
      <c r="G2625">
        <f>+'[1]VENTAS(RESUMEN GLOBAL)'!D2625-'[1]VENTAS(RESUMEN GLOBAL)'!E2625</f>
        <v>0</v>
      </c>
      <c r="H2625" s="9">
        <f>+'[1]VENTAS(RESUMEN GLOBAL)'!K2625</f>
        <v>0</v>
      </c>
      <c r="I2625" s="8">
        <f>+G2625*'[1]VENTAS(RESUMEN GLOBAL)'!F2625</f>
        <v>0</v>
      </c>
      <c r="J2625" s="8">
        <f>'[1]VENTAS(RESUMEN GLOBAL)'!G2625*(1-'[1]VENTAS(RESUMEN GLOBAL)'!H2625)</f>
        <v>0</v>
      </c>
      <c r="K2625" s="8">
        <f t="shared" si="40"/>
        <v>0</v>
      </c>
      <c r="L2625" s="8">
        <f>+'[1]VENTAS(RESUMEN GLOBAL)'!J2625</f>
        <v>0</v>
      </c>
      <c r="M2625" s="8">
        <f>+Tabla1[[#This Row],[utilidad x dia]]*7</f>
        <v>0</v>
      </c>
    </row>
    <row r="2626" spans="1:13" x14ac:dyDescent="0.3">
      <c r="A2626" s="6">
        <f>+'[1]VENTAS(RESUMEN GLOBAL)'!L2626</f>
        <v>0</v>
      </c>
      <c r="B2626" s="6">
        <f>+'[1]VENTAS(RESUMEN GLOBAL)'!M2626</f>
        <v>0</v>
      </c>
      <c r="C2626">
        <f>+'[1]VENTAS(RESUMEN GLOBAL)'!B2626</f>
        <v>0</v>
      </c>
      <c r="D2626" t="e">
        <f>INDEX('[1]CÓDIGOS DE PRODUCTO'!$D$3:$D$1000,MATCH(C2626,'[1]CÓDIGOS DE PRODUCTO'!$A$3:$A$1000,0))</f>
        <v>#N/A</v>
      </c>
      <c r="E2626">
        <f>VLOOKUP(C2626,'[1]CÓDIGOS DE PRODUCTO'!$A$4:$B$156,2,FALSE)</f>
        <v>0</v>
      </c>
      <c r="F2626">
        <f>INDEX('[1]CÓDIGOS DE PRODUCTO'!$C$3:$C$1000,MATCH(C2626,'[1]CÓDIGOS DE PRODUCTO'!$A$3:$A$1000,0))</f>
        <v>0</v>
      </c>
      <c r="G2626">
        <f>+'[1]VENTAS(RESUMEN GLOBAL)'!D2626-'[1]VENTAS(RESUMEN GLOBAL)'!E2626</f>
        <v>0</v>
      </c>
      <c r="H2626" s="9">
        <f>+'[1]VENTAS(RESUMEN GLOBAL)'!K2626</f>
        <v>0</v>
      </c>
      <c r="I2626" s="8">
        <f>+G2626*'[1]VENTAS(RESUMEN GLOBAL)'!F2626</f>
        <v>0</v>
      </c>
      <c r="J2626" s="8">
        <f>'[1]VENTAS(RESUMEN GLOBAL)'!G2626*(1-'[1]VENTAS(RESUMEN GLOBAL)'!H2626)</f>
        <v>0</v>
      </c>
      <c r="K2626" s="8">
        <f t="shared" si="40"/>
        <v>0</v>
      </c>
      <c r="L2626" s="8">
        <f>+'[1]VENTAS(RESUMEN GLOBAL)'!J2626</f>
        <v>0</v>
      </c>
      <c r="M2626" s="8">
        <f>+Tabla1[[#This Row],[utilidad x dia]]*7</f>
        <v>0</v>
      </c>
    </row>
    <row r="2627" spans="1:13" x14ac:dyDescent="0.3">
      <c r="A2627" s="6">
        <f>+'[1]VENTAS(RESUMEN GLOBAL)'!L2627</f>
        <v>0</v>
      </c>
      <c r="B2627" s="6">
        <f>+'[1]VENTAS(RESUMEN GLOBAL)'!M2627</f>
        <v>0</v>
      </c>
      <c r="C2627">
        <f>+'[1]VENTAS(RESUMEN GLOBAL)'!B2627</f>
        <v>0</v>
      </c>
      <c r="D2627" t="e">
        <f>INDEX('[1]CÓDIGOS DE PRODUCTO'!$D$3:$D$1000,MATCH(C2627,'[1]CÓDIGOS DE PRODUCTO'!$A$3:$A$1000,0))</f>
        <v>#N/A</v>
      </c>
      <c r="E2627">
        <f>VLOOKUP(C2627,'[1]CÓDIGOS DE PRODUCTO'!$A$4:$B$156,2,FALSE)</f>
        <v>0</v>
      </c>
      <c r="F2627">
        <f>INDEX('[1]CÓDIGOS DE PRODUCTO'!$C$3:$C$1000,MATCH(C2627,'[1]CÓDIGOS DE PRODUCTO'!$A$3:$A$1000,0))</f>
        <v>0</v>
      </c>
      <c r="G2627">
        <f>+'[1]VENTAS(RESUMEN GLOBAL)'!D2627-'[1]VENTAS(RESUMEN GLOBAL)'!E2627</f>
        <v>0</v>
      </c>
      <c r="H2627" s="9">
        <f>+'[1]VENTAS(RESUMEN GLOBAL)'!K2627</f>
        <v>0</v>
      </c>
      <c r="I2627" s="8">
        <f>+G2627*'[1]VENTAS(RESUMEN GLOBAL)'!F2627</f>
        <v>0</v>
      </c>
      <c r="J2627" s="8">
        <f>'[1]VENTAS(RESUMEN GLOBAL)'!G2627*(1-'[1]VENTAS(RESUMEN GLOBAL)'!H2627)</f>
        <v>0</v>
      </c>
      <c r="K2627" s="8">
        <f t="shared" ref="K2627:K2690" si="41">+I2627-J2627</f>
        <v>0</v>
      </c>
      <c r="L2627" s="8">
        <f>+'[1]VENTAS(RESUMEN GLOBAL)'!J2627</f>
        <v>0</v>
      </c>
      <c r="M2627" s="8">
        <f>+Tabla1[[#This Row],[utilidad x dia]]*7</f>
        <v>0</v>
      </c>
    </row>
    <row r="2628" spans="1:13" x14ac:dyDescent="0.3">
      <c r="A2628" s="6">
        <f>+'[1]VENTAS(RESUMEN GLOBAL)'!L2628</f>
        <v>0</v>
      </c>
      <c r="B2628" s="6">
        <f>+'[1]VENTAS(RESUMEN GLOBAL)'!M2628</f>
        <v>0</v>
      </c>
      <c r="C2628">
        <f>+'[1]VENTAS(RESUMEN GLOBAL)'!B2628</f>
        <v>0</v>
      </c>
      <c r="D2628" t="e">
        <f>INDEX('[1]CÓDIGOS DE PRODUCTO'!$D$3:$D$1000,MATCH(C2628,'[1]CÓDIGOS DE PRODUCTO'!$A$3:$A$1000,0))</f>
        <v>#N/A</v>
      </c>
      <c r="E2628">
        <f>VLOOKUP(C2628,'[1]CÓDIGOS DE PRODUCTO'!$A$4:$B$156,2,FALSE)</f>
        <v>0</v>
      </c>
      <c r="F2628">
        <f>INDEX('[1]CÓDIGOS DE PRODUCTO'!$C$3:$C$1000,MATCH(C2628,'[1]CÓDIGOS DE PRODUCTO'!$A$3:$A$1000,0))</f>
        <v>0</v>
      </c>
      <c r="G2628">
        <f>+'[1]VENTAS(RESUMEN GLOBAL)'!D2628-'[1]VENTAS(RESUMEN GLOBAL)'!E2628</f>
        <v>0</v>
      </c>
      <c r="H2628" s="9">
        <f>+'[1]VENTAS(RESUMEN GLOBAL)'!K2628</f>
        <v>0</v>
      </c>
      <c r="I2628" s="8">
        <f>+G2628*'[1]VENTAS(RESUMEN GLOBAL)'!F2628</f>
        <v>0</v>
      </c>
      <c r="J2628" s="8">
        <f>'[1]VENTAS(RESUMEN GLOBAL)'!G2628*(1-'[1]VENTAS(RESUMEN GLOBAL)'!H2628)</f>
        <v>0</v>
      </c>
      <c r="K2628" s="8">
        <f t="shared" si="41"/>
        <v>0</v>
      </c>
      <c r="L2628" s="8">
        <f>+'[1]VENTAS(RESUMEN GLOBAL)'!J2628</f>
        <v>0</v>
      </c>
      <c r="M2628" s="8">
        <f>+Tabla1[[#This Row],[utilidad x dia]]*7</f>
        <v>0</v>
      </c>
    </row>
    <row r="2629" spans="1:13" x14ac:dyDescent="0.3">
      <c r="A2629" s="6">
        <f>+'[1]VENTAS(RESUMEN GLOBAL)'!L2629</f>
        <v>0</v>
      </c>
      <c r="B2629" s="6">
        <f>+'[1]VENTAS(RESUMEN GLOBAL)'!M2629</f>
        <v>0</v>
      </c>
      <c r="C2629">
        <f>+'[1]VENTAS(RESUMEN GLOBAL)'!B2629</f>
        <v>0</v>
      </c>
      <c r="D2629" t="e">
        <f>INDEX('[1]CÓDIGOS DE PRODUCTO'!$D$3:$D$1000,MATCH(C2629,'[1]CÓDIGOS DE PRODUCTO'!$A$3:$A$1000,0))</f>
        <v>#N/A</v>
      </c>
      <c r="E2629">
        <f>VLOOKUP(C2629,'[1]CÓDIGOS DE PRODUCTO'!$A$4:$B$156,2,FALSE)</f>
        <v>0</v>
      </c>
      <c r="F2629">
        <f>INDEX('[1]CÓDIGOS DE PRODUCTO'!$C$3:$C$1000,MATCH(C2629,'[1]CÓDIGOS DE PRODUCTO'!$A$3:$A$1000,0))</f>
        <v>0</v>
      </c>
      <c r="G2629">
        <f>+'[1]VENTAS(RESUMEN GLOBAL)'!D2629-'[1]VENTAS(RESUMEN GLOBAL)'!E2629</f>
        <v>0</v>
      </c>
      <c r="H2629" s="9">
        <f>+'[1]VENTAS(RESUMEN GLOBAL)'!K2629</f>
        <v>0</v>
      </c>
      <c r="I2629" s="8">
        <f>+G2629*'[1]VENTAS(RESUMEN GLOBAL)'!F2629</f>
        <v>0</v>
      </c>
      <c r="J2629" s="8">
        <f>'[1]VENTAS(RESUMEN GLOBAL)'!G2629*(1-'[1]VENTAS(RESUMEN GLOBAL)'!H2629)</f>
        <v>0</v>
      </c>
      <c r="K2629" s="8">
        <f t="shared" si="41"/>
        <v>0</v>
      </c>
      <c r="L2629" s="8">
        <f>+'[1]VENTAS(RESUMEN GLOBAL)'!J2629</f>
        <v>0</v>
      </c>
      <c r="M2629" s="8">
        <f>+Tabla1[[#This Row],[utilidad x dia]]*7</f>
        <v>0</v>
      </c>
    </row>
    <row r="2630" spans="1:13" x14ac:dyDescent="0.3">
      <c r="A2630" s="6">
        <f>+'[1]VENTAS(RESUMEN GLOBAL)'!L2630</f>
        <v>0</v>
      </c>
      <c r="B2630" s="6">
        <f>+'[1]VENTAS(RESUMEN GLOBAL)'!M2630</f>
        <v>0</v>
      </c>
      <c r="C2630">
        <f>+'[1]VENTAS(RESUMEN GLOBAL)'!B2630</f>
        <v>0</v>
      </c>
      <c r="D2630" t="e">
        <f>INDEX('[1]CÓDIGOS DE PRODUCTO'!$D$3:$D$1000,MATCH(C2630,'[1]CÓDIGOS DE PRODUCTO'!$A$3:$A$1000,0))</f>
        <v>#N/A</v>
      </c>
      <c r="E2630">
        <f>VLOOKUP(C2630,'[1]CÓDIGOS DE PRODUCTO'!$A$4:$B$156,2,FALSE)</f>
        <v>0</v>
      </c>
      <c r="F2630">
        <f>INDEX('[1]CÓDIGOS DE PRODUCTO'!$C$3:$C$1000,MATCH(C2630,'[1]CÓDIGOS DE PRODUCTO'!$A$3:$A$1000,0))</f>
        <v>0</v>
      </c>
      <c r="G2630">
        <f>+'[1]VENTAS(RESUMEN GLOBAL)'!D2630-'[1]VENTAS(RESUMEN GLOBAL)'!E2630</f>
        <v>0</v>
      </c>
      <c r="H2630" s="9">
        <f>+'[1]VENTAS(RESUMEN GLOBAL)'!K2630</f>
        <v>0</v>
      </c>
      <c r="I2630" s="8">
        <f>+G2630*'[1]VENTAS(RESUMEN GLOBAL)'!F2630</f>
        <v>0</v>
      </c>
      <c r="J2630" s="8">
        <f>'[1]VENTAS(RESUMEN GLOBAL)'!G2630*(1-'[1]VENTAS(RESUMEN GLOBAL)'!H2630)</f>
        <v>0</v>
      </c>
      <c r="K2630" s="8">
        <f t="shared" si="41"/>
        <v>0</v>
      </c>
      <c r="L2630" s="8">
        <f>+'[1]VENTAS(RESUMEN GLOBAL)'!J2630</f>
        <v>0</v>
      </c>
      <c r="M2630" s="8">
        <f>+Tabla1[[#This Row],[utilidad x dia]]*7</f>
        <v>0</v>
      </c>
    </row>
    <row r="2631" spans="1:13" x14ac:dyDescent="0.3">
      <c r="A2631" s="6">
        <f>+'[1]VENTAS(RESUMEN GLOBAL)'!L2631</f>
        <v>0</v>
      </c>
      <c r="B2631" s="6">
        <f>+'[1]VENTAS(RESUMEN GLOBAL)'!M2631</f>
        <v>0</v>
      </c>
      <c r="C2631">
        <f>+'[1]VENTAS(RESUMEN GLOBAL)'!B2631</f>
        <v>0</v>
      </c>
      <c r="D2631" t="e">
        <f>INDEX('[1]CÓDIGOS DE PRODUCTO'!$D$3:$D$1000,MATCH(C2631,'[1]CÓDIGOS DE PRODUCTO'!$A$3:$A$1000,0))</f>
        <v>#N/A</v>
      </c>
      <c r="E2631">
        <f>VLOOKUP(C2631,'[1]CÓDIGOS DE PRODUCTO'!$A$4:$B$156,2,FALSE)</f>
        <v>0</v>
      </c>
      <c r="F2631">
        <f>INDEX('[1]CÓDIGOS DE PRODUCTO'!$C$3:$C$1000,MATCH(C2631,'[1]CÓDIGOS DE PRODUCTO'!$A$3:$A$1000,0))</f>
        <v>0</v>
      </c>
      <c r="G2631">
        <f>+'[1]VENTAS(RESUMEN GLOBAL)'!D2631-'[1]VENTAS(RESUMEN GLOBAL)'!E2631</f>
        <v>0</v>
      </c>
      <c r="H2631" s="9">
        <f>+'[1]VENTAS(RESUMEN GLOBAL)'!K2631</f>
        <v>0</v>
      </c>
      <c r="I2631" s="8">
        <f>+G2631*'[1]VENTAS(RESUMEN GLOBAL)'!F2631</f>
        <v>0</v>
      </c>
      <c r="J2631" s="8">
        <f>'[1]VENTAS(RESUMEN GLOBAL)'!G2631*(1-'[1]VENTAS(RESUMEN GLOBAL)'!H2631)</f>
        <v>0</v>
      </c>
      <c r="K2631" s="8">
        <f t="shared" si="41"/>
        <v>0</v>
      </c>
      <c r="L2631" s="8">
        <f>+'[1]VENTAS(RESUMEN GLOBAL)'!J2631</f>
        <v>0</v>
      </c>
      <c r="M2631" s="8">
        <f>+Tabla1[[#This Row],[utilidad x dia]]*7</f>
        <v>0</v>
      </c>
    </row>
    <row r="2632" spans="1:13" x14ac:dyDescent="0.3">
      <c r="A2632" s="6">
        <f>+'[1]VENTAS(RESUMEN GLOBAL)'!L2632</f>
        <v>0</v>
      </c>
      <c r="B2632" s="6">
        <f>+'[1]VENTAS(RESUMEN GLOBAL)'!M2632</f>
        <v>0</v>
      </c>
      <c r="C2632">
        <f>+'[1]VENTAS(RESUMEN GLOBAL)'!B2632</f>
        <v>0</v>
      </c>
      <c r="D2632" t="e">
        <f>INDEX('[1]CÓDIGOS DE PRODUCTO'!$D$3:$D$1000,MATCH(C2632,'[1]CÓDIGOS DE PRODUCTO'!$A$3:$A$1000,0))</f>
        <v>#N/A</v>
      </c>
      <c r="E2632">
        <f>VLOOKUP(C2632,'[1]CÓDIGOS DE PRODUCTO'!$A$4:$B$156,2,FALSE)</f>
        <v>0</v>
      </c>
      <c r="F2632">
        <f>INDEX('[1]CÓDIGOS DE PRODUCTO'!$C$3:$C$1000,MATCH(C2632,'[1]CÓDIGOS DE PRODUCTO'!$A$3:$A$1000,0))</f>
        <v>0</v>
      </c>
      <c r="G2632">
        <f>+'[1]VENTAS(RESUMEN GLOBAL)'!D2632-'[1]VENTAS(RESUMEN GLOBAL)'!E2632</f>
        <v>0</v>
      </c>
      <c r="H2632" s="9">
        <f>+'[1]VENTAS(RESUMEN GLOBAL)'!K2632</f>
        <v>0</v>
      </c>
      <c r="I2632" s="8">
        <f>+G2632*'[1]VENTAS(RESUMEN GLOBAL)'!F2632</f>
        <v>0</v>
      </c>
      <c r="J2632" s="8">
        <f>'[1]VENTAS(RESUMEN GLOBAL)'!G2632*(1-'[1]VENTAS(RESUMEN GLOBAL)'!H2632)</f>
        <v>0</v>
      </c>
      <c r="K2632" s="8">
        <f t="shared" si="41"/>
        <v>0</v>
      </c>
      <c r="L2632" s="8">
        <f>+'[1]VENTAS(RESUMEN GLOBAL)'!J2632</f>
        <v>0</v>
      </c>
      <c r="M2632" s="8">
        <f>+Tabla1[[#This Row],[utilidad x dia]]*7</f>
        <v>0</v>
      </c>
    </row>
    <row r="2633" spans="1:13" x14ac:dyDescent="0.3">
      <c r="A2633" s="6">
        <f>+'[1]VENTAS(RESUMEN GLOBAL)'!L2633</f>
        <v>0</v>
      </c>
      <c r="B2633" s="6">
        <f>+'[1]VENTAS(RESUMEN GLOBAL)'!M2633</f>
        <v>0</v>
      </c>
      <c r="C2633">
        <f>+'[1]VENTAS(RESUMEN GLOBAL)'!B2633</f>
        <v>0</v>
      </c>
      <c r="D2633" t="e">
        <f>INDEX('[1]CÓDIGOS DE PRODUCTO'!$D$3:$D$1000,MATCH(C2633,'[1]CÓDIGOS DE PRODUCTO'!$A$3:$A$1000,0))</f>
        <v>#N/A</v>
      </c>
      <c r="E2633">
        <f>VLOOKUP(C2633,'[1]CÓDIGOS DE PRODUCTO'!$A$4:$B$156,2,FALSE)</f>
        <v>0</v>
      </c>
      <c r="F2633">
        <f>INDEX('[1]CÓDIGOS DE PRODUCTO'!$C$3:$C$1000,MATCH(C2633,'[1]CÓDIGOS DE PRODUCTO'!$A$3:$A$1000,0))</f>
        <v>0</v>
      </c>
      <c r="G2633">
        <f>+'[1]VENTAS(RESUMEN GLOBAL)'!D2633-'[1]VENTAS(RESUMEN GLOBAL)'!E2633</f>
        <v>0</v>
      </c>
      <c r="H2633" s="9">
        <f>+'[1]VENTAS(RESUMEN GLOBAL)'!K2633</f>
        <v>0</v>
      </c>
      <c r="I2633" s="8">
        <f>+G2633*'[1]VENTAS(RESUMEN GLOBAL)'!F2633</f>
        <v>0</v>
      </c>
      <c r="J2633" s="8">
        <f>'[1]VENTAS(RESUMEN GLOBAL)'!G2633*(1-'[1]VENTAS(RESUMEN GLOBAL)'!H2633)</f>
        <v>0</v>
      </c>
      <c r="K2633" s="8">
        <f t="shared" si="41"/>
        <v>0</v>
      </c>
      <c r="L2633" s="8">
        <f>+'[1]VENTAS(RESUMEN GLOBAL)'!J2633</f>
        <v>0</v>
      </c>
      <c r="M2633" s="8">
        <f>+Tabla1[[#This Row],[utilidad x dia]]*7</f>
        <v>0</v>
      </c>
    </row>
    <row r="2634" spans="1:13" x14ac:dyDescent="0.3">
      <c r="A2634" s="6">
        <f>+'[1]VENTAS(RESUMEN GLOBAL)'!L2634</f>
        <v>0</v>
      </c>
      <c r="B2634" s="6">
        <f>+'[1]VENTAS(RESUMEN GLOBAL)'!M2634</f>
        <v>0</v>
      </c>
      <c r="C2634">
        <f>+'[1]VENTAS(RESUMEN GLOBAL)'!B2634</f>
        <v>0</v>
      </c>
      <c r="D2634" t="e">
        <f>INDEX('[1]CÓDIGOS DE PRODUCTO'!$D$3:$D$1000,MATCH(C2634,'[1]CÓDIGOS DE PRODUCTO'!$A$3:$A$1000,0))</f>
        <v>#N/A</v>
      </c>
      <c r="E2634">
        <f>VLOOKUP(C2634,'[1]CÓDIGOS DE PRODUCTO'!$A$4:$B$156,2,FALSE)</f>
        <v>0</v>
      </c>
      <c r="F2634">
        <f>INDEX('[1]CÓDIGOS DE PRODUCTO'!$C$3:$C$1000,MATCH(C2634,'[1]CÓDIGOS DE PRODUCTO'!$A$3:$A$1000,0))</f>
        <v>0</v>
      </c>
      <c r="G2634">
        <f>+'[1]VENTAS(RESUMEN GLOBAL)'!D2634-'[1]VENTAS(RESUMEN GLOBAL)'!E2634</f>
        <v>0</v>
      </c>
      <c r="H2634" s="9">
        <f>+'[1]VENTAS(RESUMEN GLOBAL)'!K2634</f>
        <v>0</v>
      </c>
      <c r="I2634" s="8">
        <f>+G2634*'[1]VENTAS(RESUMEN GLOBAL)'!F2634</f>
        <v>0</v>
      </c>
      <c r="J2634" s="8">
        <f>'[1]VENTAS(RESUMEN GLOBAL)'!G2634*(1-'[1]VENTAS(RESUMEN GLOBAL)'!H2634)</f>
        <v>0</v>
      </c>
      <c r="K2634" s="8">
        <f t="shared" si="41"/>
        <v>0</v>
      </c>
      <c r="L2634" s="8">
        <f>+'[1]VENTAS(RESUMEN GLOBAL)'!J2634</f>
        <v>0</v>
      </c>
      <c r="M2634" s="8">
        <f>+Tabla1[[#This Row],[utilidad x dia]]*7</f>
        <v>0</v>
      </c>
    </row>
    <row r="2635" spans="1:13" x14ac:dyDescent="0.3">
      <c r="A2635" s="6">
        <f>+'[1]VENTAS(RESUMEN GLOBAL)'!L2635</f>
        <v>0</v>
      </c>
      <c r="B2635" s="6">
        <f>+'[1]VENTAS(RESUMEN GLOBAL)'!M2635</f>
        <v>0</v>
      </c>
      <c r="C2635">
        <f>+'[1]VENTAS(RESUMEN GLOBAL)'!B2635</f>
        <v>0</v>
      </c>
      <c r="D2635" t="e">
        <f>INDEX('[1]CÓDIGOS DE PRODUCTO'!$D$3:$D$1000,MATCH(C2635,'[1]CÓDIGOS DE PRODUCTO'!$A$3:$A$1000,0))</f>
        <v>#N/A</v>
      </c>
      <c r="E2635">
        <f>VLOOKUP(C2635,'[1]CÓDIGOS DE PRODUCTO'!$A$4:$B$156,2,FALSE)</f>
        <v>0</v>
      </c>
      <c r="F2635">
        <f>INDEX('[1]CÓDIGOS DE PRODUCTO'!$C$3:$C$1000,MATCH(C2635,'[1]CÓDIGOS DE PRODUCTO'!$A$3:$A$1000,0))</f>
        <v>0</v>
      </c>
      <c r="G2635">
        <f>+'[1]VENTAS(RESUMEN GLOBAL)'!D2635-'[1]VENTAS(RESUMEN GLOBAL)'!E2635</f>
        <v>0</v>
      </c>
      <c r="H2635" s="9">
        <f>+'[1]VENTAS(RESUMEN GLOBAL)'!K2635</f>
        <v>0</v>
      </c>
      <c r="I2635" s="8">
        <f>+G2635*'[1]VENTAS(RESUMEN GLOBAL)'!F2635</f>
        <v>0</v>
      </c>
      <c r="J2635" s="8">
        <f>'[1]VENTAS(RESUMEN GLOBAL)'!G2635*(1-'[1]VENTAS(RESUMEN GLOBAL)'!H2635)</f>
        <v>0</v>
      </c>
      <c r="K2635" s="8">
        <f t="shared" si="41"/>
        <v>0</v>
      </c>
      <c r="L2635" s="8">
        <f>+'[1]VENTAS(RESUMEN GLOBAL)'!J2635</f>
        <v>0</v>
      </c>
      <c r="M2635" s="8">
        <f>+Tabla1[[#This Row],[utilidad x dia]]*7</f>
        <v>0</v>
      </c>
    </row>
    <row r="2636" spans="1:13" x14ac:dyDescent="0.3">
      <c r="A2636" s="6">
        <f>+'[1]VENTAS(RESUMEN GLOBAL)'!L2636</f>
        <v>0</v>
      </c>
      <c r="B2636" s="6">
        <f>+'[1]VENTAS(RESUMEN GLOBAL)'!M2636</f>
        <v>0</v>
      </c>
      <c r="C2636">
        <f>+'[1]VENTAS(RESUMEN GLOBAL)'!B2636</f>
        <v>0</v>
      </c>
      <c r="D2636" t="e">
        <f>INDEX('[1]CÓDIGOS DE PRODUCTO'!$D$3:$D$1000,MATCH(C2636,'[1]CÓDIGOS DE PRODUCTO'!$A$3:$A$1000,0))</f>
        <v>#N/A</v>
      </c>
      <c r="E2636">
        <f>VLOOKUP(C2636,'[1]CÓDIGOS DE PRODUCTO'!$A$4:$B$156,2,FALSE)</f>
        <v>0</v>
      </c>
      <c r="F2636">
        <f>INDEX('[1]CÓDIGOS DE PRODUCTO'!$C$3:$C$1000,MATCH(C2636,'[1]CÓDIGOS DE PRODUCTO'!$A$3:$A$1000,0))</f>
        <v>0</v>
      </c>
      <c r="G2636">
        <f>+'[1]VENTAS(RESUMEN GLOBAL)'!D2636-'[1]VENTAS(RESUMEN GLOBAL)'!E2636</f>
        <v>0</v>
      </c>
      <c r="H2636" s="9">
        <f>+'[1]VENTAS(RESUMEN GLOBAL)'!K2636</f>
        <v>0</v>
      </c>
      <c r="I2636" s="8">
        <f>+G2636*'[1]VENTAS(RESUMEN GLOBAL)'!F2636</f>
        <v>0</v>
      </c>
      <c r="J2636" s="8">
        <f>'[1]VENTAS(RESUMEN GLOBAL)'!G2636*(1-'[1]VENTAS(RESUMEN GLOBAL)'!H2636)</f>
        <v>0</v>
      </c>
      <c r="K2636" s="8">
        <f t="shared" si="41"/>
        <v>0</v>
      </c>
      <c r="L2636" s="8">
        <f>+'[1]VENTAS(RESUMEN GLOBAL)'!J2636</f>
        <v>0</v>
      </c>
      <c r="M2636" s="8">
        <f>+Tabla1[[#This Row],[utilidad x dia]]*7</f>
        <v>0</v>
      </c>
    </row>
    <row r="2637" spans="1:13" x14ac:dyDescent="0.3">
      <c r="A2637" s="6">
        <f>+'[1]VENTAS(RESUMEN GLOBAL)'!L2637</f>
        <v>0</v>
      </c>
      <c r="B2637" s="6">
        <f>+'[1]VENTAS(RESUMEN GLOBAL)'!M2637</f>
        <v>0</v>
      </c>
      <c r="C2637">
        <f>+'[1]VENTAS(RESUMEN GLOBAL)'!B2637</f>
        <v>0</v>
      </c>
      <c r="D2637" t="e">
        <f>INDEX('[1]CÓDIGOS DE PRODUCTO'!$D$3:$D$1000,MATCH(C2637,'[1]CÓDIGOS DE PRODUCTO'!$A$3:$A$1000,0))</f>
        <v>#N/A</v>
      </c>
      <c r="E2637">
        <f>VLOOKUP(C2637,'[1]CÓDIGOS DE PRODUCTO'!$A$4:$B$156,2,FALSE)</f>
        <v>0</v>
      </c>
      <c r="F2637">
        <f>INDEX('[1]CÓDIGOS DE PRODUCTO'!$C$3:$C$1000,MATCH(C2637,'[1]CÓDIGOS DE PRODUCTO'!$A$3:$A$1000,0))</f>
        <v>0</v>
      </c>
      <c r="G2637">
        <f>+'[1]VENTAS(RESUMEN GLOBAL)'!D2637-'[1]VENTAS(RESUMEN GLOBAL)'!E2637</f>
        <v>0</v>
      </c>
      <c r="H2637" s="9">
        <f>+'[1]VENTAS(RESUMEN GLOBAL)'!K2637</f>
        <v>0</v>
      </c>
      <c r="I2637" s="8">
        <f>+G2637*'[1]VENTAS(RESUMEN GLOBAL)'!F2637</f>
        <v>0</v>
      </c>
      <c r="J2637" s="8">
        <f>'[1]VENTAS(RESUMEN GLOBAL)'!G2637*(1-'[1]VENTAS(RESUMEN GLOBAL)'!H2637)</f>
        <v>0</v>
      </c>
      <c r="K2637" s="8">
        <f t="shared" si="41"/>
        <v>0</v>
      </c>
      <c r="L2637" s="8">
        <f>+'[1]VENTAS(RESUMEN GLOBAL)'!J2637</f>
        <v>0</v>
      </c>
      <c r="M2637" s="8">
        <f>+Tabla1[[#This Row],[utilidad x dia]]*7</f>
        <v>0</v>
      </c>
    </row>
    <row r="2638" spans="1:13" x14ac:dyDescent="0.3">
      <c r="A2638" s="6">
        <f>+'[1]VENTAS(RESUMEN GLOBAL)'!L2638</f>
        <v>0</v>
      </c>
      <c r="B2638" s="6">
        <f>+'[1]VENTAS(RESUMEN GLOBAL)'!M2638</f>
        <v>0</v>
      </c>
      <c r="C2638">
        <f>+'[1]VENTAS(RESUMEN GLOBAL)'!B2638</f>
        <v>0</v>
      </c>
      <c r="D2638" t="e">
        <f>INDEX('[1]CÓDIGOS DE PRODUCTO'!$D$3:$D$1000,MATCH(C2638,'[1]CÓDIGOS DE PRODUCTO'!$A$3:$A$1000,0))</f>
        <v>#N/A</v>
      </c>
      <c r="E2638">
        <f>VLOOKUP(C2638,'[1]CÓDIGOS DE PRODUCTO'!$A$4:$B$156,2,FALSE)</f>
        <v>0</v>
      </c>
      <c r="F2638">
        <f>INDEX('[1]CÓDIGOS DE PRODUCTO'!$C$3:$C$1000,MATCH(C2638,'[1]CÓDIGOS DE PRODUCTO'!$A$3:$A$1000,0))</f>
        <v>0</v>
      </c>
      <c r="G2638">
        <f>+'[1]VENTAS(RESUMEN GLOBAL)'!D2638-'[1]VENTAS(RESUMEN GLOBAL)'!E2638</f>
        <v>0</v>
      </c>
      <c r="H2638" s="9">
        <f>+'[1]VENTAS(RESUMEN GLOBAL)'!K2638</f>
        <v>0</v>
      </c>
      <c r="I2638" s="8">
        <f>+G2638*'[1]VENTAS(RESUMEN GLOBAL)'!F2638</f>
        <v>0</v>
      </c>
      <c r="J2638" s="8">
        <f>'[1]VENTAS(RESUMEN GLOBAL)'!G2638*(1-'[1]VENTAS(RESUMEN GLOBAL)'!H2638)</f>
        <v>0</v>
      </c>
      <c r="K2638" s="8">
        <f t="shared" si="41"/>
        <v>0</v>
      </c>
      <c r="L2638" s="8">
        <f>+'[1]VENTAS(RESUMEN GLOBAL)'!J2638</f>
        <v>0</v>
      </c>
      <c r="M2638" s="8">
        <f>+Tabla1[[#This Row],[utilidad x dia]]*7</f>
        <v>0</v>
      </c>
    </row>
    <row r="2639" spans="1:13" x14ac:dyDescent="0.3">
      <c r="A2639" s="6">
        <f>+'[1]VENTAS(RESUMEN GLOBAL)'!L2639</f>
        <v>0</v>
      </c>
      <c r="B2639" s="6">
        <f>+'[1]VENTAS(RESUMEN GLOBAL)'!M2639</f>
        <v>0</v>
      </c>
      <c r="C2639">
        <f>+'[1]VENTAS(RESUMEN GLOBAL)'!B2639</f>
        <v>0</v>
      </c>
      <c r="D2639" t="e">
        <f>INDEX('[1]CÓDIGOS DE PRODUCTO'!$D$3:$D$1000,MATCH(C2639,'[1]CÓDIGOS DE PRODUCTO'!$A$3:$A$1000,0))</f>
        <v>#N/A</v>
      </c>
      <c r="E2639">
        <f>VLOOKUP(C2639,'[1]CÓDIGOS DE PRODUCTO'!$A$4:$B$156,2,FALSE)</f>
        <v>0</v>
      </c>
      <c r="F2639">
        <f>INDEX('[1]CÓDIGOS DE PRODUCTO'!$C$3:$C$1000,MATCH(C2639,'[1]CÓDIGOS DE PRODUCTO'!$A$3:$A$1000,0))</f>
        <v>0</v>
      </c>
      <c r="G2639">
        <f>+'[1]VENTAS(RESUMEN GLOBAL)'!D2639-'[1]VENTAS(RESUMEN GLOBAL)'!E2639</f>
        <v>0</v>
      </c>
      <c r="H2639" s="9">
        <f>+'[1]VENTAS(RESUMEN GLOBAL)'!K2639</f>
        <v>0</v>
      </c>
      <c r="I2639" s="8">
        <f>+G2639*'[1]VENTAS(RESUMEN GLOBAL)'!F2639</f>
        <v>0</v>
      </c>
      <c r="J2639" s="8">
        <f>'[1]VENTAS(RESUMEN GLOBAL)'!G2639*(1-'[1]VENTAS(RESUMEN GLOBAL)'!H2639)</f>
        <v>0</v>
      </c>
      <c r="K2639" s="8">
        <f t="shared" si="41"/>
        <v>0</v>
      </c>
      <c r="L2639" s="8">
        <f>+'[1]VENTAS(RESUMEN GLOBAL)'!J2639</f>
        <v>0</v>
      </c>
      <c r="M2639" s="8">
        <f>+Tabla1[[#This Row],[utilidad x dia]]*7</f>
        <v>0</v>
      </c>
    </row>
    <row r="2640" spans="1:13" x14ac:dyDescent="0.3">
      <c r="A2640" s="6">
        <f>+'[1]VENTAS(RESUMEN GLOBAL)'!L2640</f>
        <v>0</v>
      </c>
      <c r="B2640" s="6">
        <f>+'[1]VENTAS(RESUMEN GLOBAL)'!M2640</f>
        <v>0</v>
      </c>
      <c r="C2640">
        <f>+'[1]VENTAS(RESUMEN GLOBAL)'!B2640</f>
        <v>0</v>
      </c>
      <c r="D2640" t="e">
        <f>INDEX('[1]CÓDIGOS DE PRODUCTO'!$D$3:$D$1000,MATCH(C2640,'[1]CÓDIGOS DE PRODUCTO'!$A$3:$A$1000,0))</f>
        <v>#N/A</v>
      </c>
      <c r="E2640">
        <f>VLOOKUP(C2640,'[1]CÓDIGOS DE PRODUCTO'!$A$4:$B$156,2,FALSE)</f>
        <v>0</v>
      </c>
      <c r="F2640">
        <f>INDEX('[1]CÓDIGOS DE PRODUCTO'!$C$3:$C$1000,MATCH(C2640,'[1]CÓDIGOS DE PRODUCTO'!$A$3:$A$1000,0))</f>
        <v>0</v>
      </c>
      <c r="G2640">
        <f>+'[1]VENTAS(RESUMEN GLOBAL)'!D2640-'[1]VENTAS(RESUMEN GLOBAL)'!E2640</f>
        <v>0</v>
      </c>
      <c r="H2640" s="9">
        <f>+'[1]VENTAS(RESUMEN GLOBAL)'!K2640</f>
        <v>0</v>
      </c>
      <c r="I2640" s="8">
        <f>+G2640*'[1]VENTAS(RESUMEN GLOBAL)'!F2640</f>
        <v>0</v>
      </c>
      <c r="J2640" s="8">
        <f>'[1]VENTAS(RESUMEN GLOBAL)'!G2640*(1-'[1]VENTAS(RESUMEN GLOBAL)'!H2640)</f>
        <v>0</v>
      </c>
      <c r="K2640" s="8">
        <f t="shared" si="41"/>
        <v>0</v>
      </c>
      <c r="L2640" s="8">
        <f>+'[1]VENTAS(RESUMEN GLOBAL)'!J2640</f>
        <v>0</v>
      </c>
      <c r="M2640" s="8">
        <f>+Tabla1[[#This Row],[utilidad x dia]]*7</f>
        <v>0</v>
      </c>
    </row>
    <row r="2641" spans="1:13" x14ac:dyDescent="0.3">
      <c r="A2641" s="6">
        <f>+'[1]VENTAS(RESUMEN GLOBAL)'!L2641</f>
        <v>0</v>
      </c>
      <c r="B2641" s="6">
        <f>+'[1]VENTAS(RESUMEN GLOBAL)'!M2641</f>
        <v>0</v>
      </c>
      <c r="C2641">
        <f>+'[1]VENTAS(RESUMEN GLOBAL)'!B2641</f>
        <v>0</v>
      </c>
      <c r="D2641" t="e">
        <f>INDEX('[1]CÓDIGOS DE PRODUCTO'!$D$3:$D$1000,MATCH(C2641,'[1]CÓDIGOS DE PRODUCTO'!$A$3:$A$1000,0))</f>
        <v>#N/A</v>
      </c>
      <c r="E2641">
        <f>VLOOKUP(C2641,'[1]CÓDIGOS DE PRODUCTO'!$A$4:$B$156,2,FALSE)</f>
        <v>0</v>
      </c>
      <c r="F2641">
        <f>INDEX('[1]CÓDIGOS DE PRODUCTO'!$C$3:$C$1000,MATCH(C2641,'[1]CÓDIGOS DE PRODUCTO'!$A$3:$A$1000,0))</f>
        <v>0</v>
      </c>
      <c r="G2641">
        <f>+'[1]VENTAS(RESUMEN GLOBAL)'!D2641-'[1]VENTAS(RESUMEN GLOBAL)'!E2641</f>
        <v>0</v>
      </c>
      <c r="H2641" s="9">
        <f>+'[1]VENTAS(RESUMEN GLOBAL)'!K2641</f>
        <v>0</v>
      </c>
      <c r="I2641" s="8">
        <f>+G2641*'[1]VENTAS(RESUMEN GLOBAL)'!F2641</f>
        <v>0</v>
      </c>
      <c r="J2641" s="8">
        <f>'[1]VENTAS(RESUMEN GLOBAL)'!G2641*(1-'[1]VENTAS(RESUMEN GLOBAL)'!H2641)</f>
        <v>0</v>
      </c>
      <c r="K2641" s="8">
        <f t="shared" si="41"/>
        <v>0</v>
      </c>
      <c r="L2641" s="8">
        <f>+'[1]VENTAS(RESUMEN GLOBAL)'!J2641</f>
        <v>0</v>
      </c>
      <c r="M2641" s="8">
        <f>+Tabla1[[#This Row],[utilidad x dia]]*7</f>
        <v>0</v>
      </c>
    </row>
    <row r="2642" spans="1:13" x14ac:dyDescent="0.3">
      <c r="A2642" s="6">
        <f>+'[1]VENTAS(RESUMEN GLOBAL)'!L2642</f>
        <v>0</v>
      </c>
      <c r="B2642" s="6">
        <f>+'[1]VENTAS(RESUMEN GLOBAL)'!M2642</f>
        <v>0</v>
      </c>
      <c r="C2642">
        <f>+'[1]VENTAS(RESUMEN GLOBAL)'!B2642</f>
        <v>0</v>
      </c>
      <c r="D2642" t="e">
        <f>INDEX('[1]CÓDIGOS DE PRODUCTO'!$D$3:$D$1000,MATCH(C2642,'[1]CÓDIGOS DE PRODUCTO'!$A$3:$A$1000,0))</f>
        <v>#N/A</v>
      </c>
      <c r="E2642">
        <f>VLOOKUP(C2642,'[1]CÓDIGOS DE PRODUCTO'!$A$4:$B$156,2,FALSE)</f>
        <v>0</v>
      </c>
      <c r="F2642">
        <f>INDEX('[1]CÓDIGOS DE PRODUCTO'!$C$3:$C$1000,MATCH(C2642,'[1]CÓDIGOS DE PRODUCTO'!$A$3:$A$1000,0))</f>
        <v>0</v>
      </c>
      <c r="G2642">
        <f>+'[1]VENTAS(RESUMEN GLOBAL)'!D2642-'[1]VENTAS(RESUMEN GLOBAL)'!E2642</f>
        <v>0</v>
      </c>
      <c r="H2642" s="9">
        <f>+'[1]VENTAS(RESUMEN GLOBAL)'!K2642</f>
        <v>0</v>
      </c>
      <c r="I2642" s="8">
        <f>+G2642*'[1]VENTAS(RESUMEN GLOBAL)'!F2642</f>
        <v>0</v>
      </c>
      <c r="J2642" s="8">
        <f>'[1]VENTAS(RESUMEN GLOBAL)'!G2642*(1-'[1]VENTAS(RESUMEN GLOBAL)'!H2642)</f>
        <v>0</v>
      </c>
      <c r="K2642" s="8">
        <f t="shared" si="41"/>
        <v>0</v>
      </c>
      <c r="L2642" s="8">
        <f>+'[1]VENTAS(RESUMEN GLOBAL)'!J2642</f>
        <v>0</v>
      </c>
      <c r="M2642" s="8">
        <f>+Tabla1[[#This Row],[utilidad x dia]]*7</f>
        <v>0</v>
      </c>
    </row>
    <row r="2643" spans="1:13" x14ac:dyDescent="0.3">
      <c r="A2643" s="6">
        <f>+'[1]VENTAS(RESUMEN GLOBAL)'!L2643</f>
        <v>0</v>
      </c>
      <c r="B2643" s="6">
        <f>+'[1]VENTAS(RESUMEN GLOBAL)'!M2643</f>
        <v>0</v>
      </c>
      <c r="C2643">
        <f>+'[1]VENTAS(RESUMEN GLOBAL)'!B2643</f>
        <v>0</v>
      </c>
      <c r="D2643" t="e">
        <f>INDEX('[1]CÓDIGOS DE PRODUCTO'!$D$3:$D$1000,MATCH(C2643,'[1]CÓDIGOS DE PRODUCTO'!$A$3:$A$1000,0))</f>
        <v>#N/A</v>
      </c>
      <c r="E2643">
        <f>VLOOKUP(C2643,'[1]CÓDIGOS DE PRODUCTO'!$A$4:$B$156,2,FALSE)</f>
        <v>0</v>
      </c>
      <c r="F2643">
        <f>INDEX('[1]CÓDIGOS DE PRODUCTO'!$C$3:$C$1000,MATCH(C2643,'[1]CÓDIGOS DE PRODUCTO'!$A$3:$A$1000,0))</f>
        <v>0</v>
      </c>
      <c r="G2643">
        <f>+'[1]VENTAS(RESUMEN GLOBAL)'!D2643-'[1]VENTAS(RESUMEN GLOBAL)'!E2643</f>
        <v>0</v>
      </c>
      <c r="H2643" s="9">
        <f>+'[1]VENTAS(RESUMEN GLOBAL)'!K2643</f>
        <v>0</v>
      </c>
      <c r="I2643" s="8">
        <f>+G2643*'[1]VENTAS(RESUMEN GLOBAL)'!F2643</f>
        <v>0</v>
      </c>
      <c r="J2643" s="8">
        <f>'[1]VENTAS(RESUMEN GLOBAL)'!G2643*(1-'[1]VENTAS(RESUMEN GLOBAL)'!H2643)</f>
        <v>0</v>
      </c>
      <c r="K2643" s="8">
        <f t="shared" si="41"/>
        <v>0</v>
      </c>
      <c r="L2643" s="8">
        <f>+'[1]VENTAS(RESUMEN GLOBAL)'!J2643</f>
        <v>0</v>
      </c>
      <c r="M2643" s="8">
        <f>+Tabla1[[#This Row],[utilidad x dia]]*7</f>
        <v>0</v>
      </c>
    </row>
    <row r="2644" spans="1:13" x14ac:dyDescent="0.3">
      <c r="A2644" s="6">
        <f>+'[1]VENTAS(RESUMEN GLOBAL)'!L2644</f>
        <v>0</v>
      </c>
      <c r="B2644" s="6">
        <f>+'[1]VENTAS(RESUMEN GLOBAL)'!M2644</f>
        <v>0</v>
      </c>
      <c r="C2644">
        <f>+'[1]VENTAS(RESUMEN GLOBAL)'!B2644</f>
        <v>0</v>
      </c>
      <c r="D2644" t="e">
        <f>INDEX('[1]CÓDIGOS DE PRODUCTO'!$D$3:$D$1000,MATCH(C2644,'[1]CÓDIGOS DE PRODUCTO'!$A$3:$A$1000,0))</f>
        <v>#N/A</v>
      </c>
      <c r="E2644">
        <f>VLOOKUP(C2644,'[1]CÓDIGOS DE PRODUCTO'!$A$4:$B$156,2,FALSE)</f>
        <v>0</v>
      </c>
      <c r="F2644">
        <f>INDEX('[1]CÓDIGOS DE PRODUCTO'!$C$3:$C$1000,MATCH(C2644,'[1]CÓDIGOS DE PRODUCTO'!$A$3:$A$1000,0))</f>
        <v>0</v>
      </c>
      <c r="G2644">
        <f>+'[1]VENTAS(RESUMEN GLOBAL)'!D2644-'[1]VENTAS(RESUMEN GLOBAL)'!E2644</f>
        <v>0</v>
      </c>
      <c r="H2644" s="9">
        <f>+'[1]VENTAS(RESUMEN GLOBAL)'!K2644</f>
        <v>0</v>
      </c>
      <c r="I2644" s="8">
        <f>+G2644*'[1]VENTAS(RESUMEN GLOBAL)'!F2644</f>
        <v>0</v>
      </c>
      <c r="J2644" s="8">
        <f>'[1]VENTAS(RESUMEN GLOBAL)'!G2644*(1-'[1]VENTAS(RESUMEN GLOBAL)'!H2644)</f>
        <v>0</v>
      </c>
      <c r="K2644" s="8">
        <f t="shared" si="41"/>
        <v>0</v>
      </c>
      <c r="L2644" s="8">
        <f>+'[1]VENTAS(RESUMEN GLOBAL)'!J2644</f>
        <v>0</v>
      </c>
      <c r="M2644" s="8">
        <f>+Tabla1[[#This Row],[utilidad x dia]]*7</f>
        <v>0</v>
      </c>
    </row>
    <row r="2645" spans="1:13" x14ac:dyDescent="0.3">
      <c r="A2645" s="6">
        <f>+'[1]VENTAS(RESUMEN GLOBAL)'!L2645</f>
        <v>0</v>
      </c>
      <c r="B2645" s="6">
        <f>+'[1]VENTAS(RESUMEN GLOBAL)'!M2645</f>
        <v>0</v>
      </c>
      <c r="C2645">
        <f>+'[1]VENTAS(RESUMEN GLOBAL)'!B2645</f>
        <v>0</v>
      </c>
      <c r="D2645" t="e">
        <f>INDEX('[1]CÓDIGOS DE PRODUCTO'!$D$3:$D$1000,MATCH(C2645,'[1]CÓDIGOS DE PRODUCTO'!$A$3:$A$1000,0))</f>
        <v>#N/A</v>
      </c>
      <c r="E2645">
        <f>VLOOKUP(C2645,'[1]CÓDIGOS DE PRODUCTO'!$A$4:$B$156,2,FALSE)</f>
        <v>0</v>
      </c>
      <c r="F2645">
        <f>INDEX('[1]CÓDIGOS DE PRODUCTO'!$C$3:$C$1000,MATCH(C2645,'[1]CÓDIGOS DE PRODUCTO'!$A$3:$A$1000,0))</f>
        <v>0</v>
      </c>
      <c r="G2645">
        <f>+'[1]VENTAS(RESUMEN GLOBAL)'!D2645-'[1]VENTAS(RESUMEN GLOBAL)'!E2645</f>
        <v>0</v>
      </c>
      <c r="H2645" s="9">
        <f>+'[1]VENTAS(RESUMEN GLOBAL)'!K2645</f>
        <v>0</v>
      </c>
      <c r="I2645" s="8">
        <f>+G2645*'[1]VENTAS(RESUMEN GLOBAL)'!F2645</f>
        <v>0</v>
      </c>
      <c r="J2645" s="8">
        <f>'[1]VENTAS(RESUMEN GLOBAL)'!G2645*(1-'[1]VENTAS(RESUMEN GLOBAL)'!H2645)</f>
        <v>0</v>
      </c>
      <c r="K2645" s="8">
        <f t="shared" si="41"/>
        <v>0</v>
      </c>
      <c r="L2645" s="8">
        <f>+'[1]VENTAS(RESUMEN GLOBAL)'!J2645</f>
        <v>0</v>
      </c>
      <c r="M2645" s="8">
        <f>+Tabla1[[#This Row],[utilidad x dia]]*7</f>
        <v>0</v>
      </c>
    </row>
    <row r="2646" spans="1:13" x14ac:dyDescent="0.3">
      <c r="A2646" s="6">
        <f>+'[1]VENTAS(RESUMEN GLOBAL)'!L2646</f>
        <v>0</v>
      </c>
      <c r="B2646" s="6">
        <f>+'[1]VENTAS(RESUMEN GLOBAL)'!M2646</f>
        <v>0</v>
      </c>
      <c r="C2646">
        <f>+'[1]VENTAS(RESUMEN GLOBAL)'!B2646</f>
        <v>0</v>
      </c>
      <c r="D2646" t="e">
        <f>INDEX('[1]CÓDIGOS DE PRODUCTO'!$D$3:$D$1000,MATCH(C2646,'[1]CÓDIGOS DE PRODUCTO'!$A$3:$A$1000,0))</f>
        <v>#N/A</v>
      </c>
      <c r="E2646">
        <f>VLOOKUP(C2646,'[1]CÓDIGOS DE PRODUCTO'!$A$4:$B$156,2,FALSE)</f>
        <v>0</v>
      </c>
      <c r="F2646">
        <f>INDEX('[1]CÓDIGOS DE PRODUCTO'!$C$3:$C$1000,MATCH(C2646,'[1]CÓDIGOS DE PRODUCTO'!$A$3:$A$1000,0))</f>
        <v>0</v>
      </c>
      <c r="G2646">
        <f>+'[1]VENTAS(RESUMEN GLOBAL)'!D2646-'[1]VENTAS(RESUMEN GLOBAL)'!E2646</f>
        <v>0</v>
      </c>
      <c r="H2646" s="9">
        <f>+'[1]VENTAS(RESUMEN GLOBAL)'!K2646</f>
        <v>0</v>
      </c>
      <c r="I2646" s="8">
        <f>+G2646*'[1]VENTAS(RESUMEN GLOBAL)'!F2646</f>
        <v>0</v>
      </c>
      <c r="J2646" s="8">
        <f>'[1]VENTAS(RESUMEN GLOBAL)'!G2646*(1-'[1]VENTAS(RESUMEN GLOBAL)'!H2646)</f>
        <v>0</v>
      </c>
      <c r="K2646" s="8">
        <f t="shared" si="41"/>
        <v>0</v>
      </c>
      <c r="L2646" s="8">
        <f>+'[1]VENTAS(RESUMEN GLOBAL)'!J2646</f>
        <v>0</v>
      </c>
      <c r="M2646" s="8">
        <f>+Tabla1[[#This Row],[utilidad x dia]]*7</f>
        <v>0</v>
      </c>
    </row>
    <row r="2647" spans="1:13" x14ac:dyDescent="0.3">
      <c r="A2647" s="6">
        <f>+'[1]VENTAS(RESUMEN GLOBAL)'!L2647</f>
        <v>0</v>
      </c>
      <c r="B2647" s="6">
        <f>+'[1]VENTAS(RESUMEN GLOBAL)'!M2647</f>
        <v>0</v>
      </c>
      <c r="C2647">
        <f>+'[1]VENTAS(RESUMEN GLOBAL)'!B2647</f>
        <v>0</v>
      </c>
      <c r="D2647" t="e">
        <f>INDEX('[1]CÓDIGOS DE PRODUCTO'!$D$3:$D$1000,MATCH(C2647,'[1]CÓDIGOS DE PRODUCTO'!$A$3:$A$1000,0))</f>
        <v>#N/A</v>
      </c>
      <c r="E2647">
        <f>VLOOKUP(C2647,'[1]CÓDIGOS DE PRODUCTO'!$A$4:$B$156,2,FALSE)</f>
        <v>0</v>
      </c>
      <c r="F2647">
        <f>INDEX('[1]CÓDIGOS DE PRODUCTO'!$C$3:$C$1000,MATCH(C2647,'[1]CÓDIGOS DE PRODUCTO'!$A$3:$A$1000,0))</f>
        <v>0</v>
      </c>
      <c r="G2647">
        <f>+'[1]VENTAS(RESUMEN GLOBAL)'!D2647-'[1]VENTAS(RESUMEN GLOBAL)'!E2647</f>
        <v>0</v>
      </c>
      <c r="H2647" s="9">
        <f>+'[1]VENTAS(RESUMEN GLOBAL)'!K2647</f>
        <v>0</v>
      </c>
      <c r="I2647" s="8">
        <f>+G2647*'[1]VENTAS(RESUMEN GLOBAL)'!F2647</f>
        <v>0</v>
      </c>
      <c r="J2647" s="8">
        <f>'[1]VENTAS(RESUMEN GLOBAL)'!G2647*(1-'[1]VENTAS(RESUMEN GLOBAL)'!H2647)</f>
        <v>0</v>
      </c>
      <c r="K2647" s="8">
        <f t="shared" si="41"/>
        <v>0</v>
      </c>
      <c r="L2647" s="8">
        <f>+'[1]VENTAS(RESUMEN GLOBAL)'!J2647</f>
        <v>0</v>
      </c>
      <c r="M2647" s="8">
        <f>+Tabla1[[#This Row],[utilidad x dia]]*7</f>
        <v>0</v>
      </c>
    </row>
    <row r="2648" spans="1:13" x14ac:dyDescent="0.3">
      <c r="A2648" s="6">
        <f>+'[1]VENTAS(RESUMEN GLOBAL)'!L2648</f>
        <v>0</v>
      </c>
      <c r="B2648" s="6">
        <f>+'[1]VENTAS(RESUMEN GLOBAL)'!M2648</f>
        <v>0</v>
      </c>
      <c r="C2648">
        <f>+'[1]VENTAS(RESUMEN GLOBAL)'!B2648</f>
        <v>0</v>
      </c>
      <c r="D2648" t="e">
        <f>INDEX('[1]CÓDIGOS DE PRODUCTO'!$D$3:$D$1000,MATCH(C2648,'[1]CÓDIGOS DE PRODUCTO'!$A$3:$A$1000,0))</f>
        <v>#N/A</v>
      </c>
      <c r="E2648">
        <f>VLOOKUP(C2648,'[1]CÓDIGOS DE PRODUCTO'!$A$4:$B$156,2,FALSE)</f>
        <v>0</v>
      </c>
      <c r="F2648">
        <f>INDEX('[1]CÓDIGOS DE PRODUCTO'!$C$3:$C$1000,MATCH(C2648,'[1]CÓDIGOS DE PRODUCTO'!$A$3:$A$1000,0))</f>
        <v>0</v>
      </c>
      <c r="G2648">
        <f>+'[1]VENTAS(RESUMEN GLOBAL)'!D2648-'[1]VENTAS(RESUMEN GLOBAL)'!E2648</f>
        <v>0</v>
      </c>
      <c r="H2648" s="9">
        <f>+'[1]VENTAS(RESUMEN GLOBAL)'!K2648</f>
        <v>0</v>
      </c>
      <c r="I2648" s="8">
        <f>+G2648*'[1]VENTAS(RESUMEN GLOBAL)'!F2648</f>
        <v>0</v>
      </c>
      <c r="J2648" s="8">
        <f>'[1]VENTAS(RESUMEN GLOBAL)'!G2648*(1-'[1]VENTAS(RESUMEN GLOBAL)'!H2648)</f>
        <v>0</v>
      </c>
      <c r="K2648" s="8">
        <f t="shared" si="41"/>
        <v>0</v>
      </c>
      <c r="L2648" s="8">
        <f>+'[1]VENTAS(RESUMEN GLOBAL)'!J2648</f>
        <v>0</v>
      </c>
      <c r="M2648" s="8">
        <f>+Tabla1[[#This Row],[utilidad x dia]]*7</f>
        <v>0</v>
      </c>
    </row>
    <row r="2649" spans="1:13" x14ac:dyDescent="0.3">
      <c r="A2649" s="6">
        <f>+'[1]VENTAS(RESUMEN GLOBAL)'!L2649</f>
        <v>0</v>
      </c>
      <c r="B2649" s="6">
        <f>+'[1]VENTAS(RESUMEN GLOBAL)'!M2649</f>
        <v>0</v>
      </c>
      <c r="C2649">
        <f>+'[1]VENTAS(RESUMEN GLOBAL)'!B2649</f>
        <v>0</v>
      </c>
      <c r="D2649" t="e">
        <f>INDEX('[1]CÓDIGOS DE PRODUCTO'!$D$3:$D$1000,MATCH(C2649,'[1]CÓDIGOS DE PRODUCTO'!$A$3:$A$1000,0))</f>
        <v>#N/A</v>
      </c>
      <c r="E2649">
        <f>VLOOKUP(C2649,'[1]CÓDIGOS DE PRODUCTO'!$A$4:$B$156,2,FALSE)</f>
        <v>0</v>
      </c>
      <c r="F2649">
        <f>INDEX('[1]CÓDIGOS DE PRODUCTO'!$C$3:$C$1000,MATCH(C2649,'[1]CÓDIGOS DE PRODUCTO'!$A$3:$A$1000,0))</f>
        <v>0</v>
      </c>
      <c r="G2649">
        <f>+'[1]VENTAS(RESUMEN GLOBAL)'!D2649-'[1]VENTAS(RESUMEN GLOBAL)'!E2649</f>
        <v>0</v>
      </c>
      <c r="H2649" s="9">
        <f>+'[1]VENTAS(RESUMEN GLOBAL)'!K2649</f>
        <v>0</v>
      </c>
      <c r="I2649" s="8">
        <f>+G2649*'[1]VENTAS(RESUMEN GLOBAL)'!F2649</f>
        <v>0</v>
      </c>
      <c r="J2649" s="8">
        <f>'[1]VENTAS(RESUMEN GLOBAL)'!G2649*(1-'[1]VENTAS(RESUMEN GLOBAL)'!H2649)</f>
        <v>0</v>
      </c>
      <c r="K2649" s="8">
        <f t="shared" si="41"/>
        <v>0</v>
      </c>
      <c r="L2649" s="8">
        <f>+'[1]VENTAS(RESUMEN GLOBAL)'!J2649</f>
        <v>0</v>
      </c>
      <c r="M2649" s="8">
        <f>+Tabla1[[#This Row],[utilidad x dia]]*7</f>
        <v>0</v>
      </c>
    </row>
    <row r="2650" spans="1:13" x14ac:dyDescent="0.3">
      <c r="A2650" s="6">
        <f>+'[1]VENTAS(RESUMEN GLOBAL)'!L2650</f>
        <v>0</v>
      </c>
      <c r="B2650" s="6">
        <f>+'[1]VENTAS(RESUMEN GLOBAL)'!M2650</f>
        <v>0</v>
      </c>
      <c r="C2650">
        <f>+'[1]VENTAS(RESUMEN GLOBAL)'!B2650</f>
        <v>0</v>
      </c>
      <c r="D2650" t="e">
        <f>INDEX('[1]CÓDIGOS DE PRODUCTO'!$D$3:$D$1000,MATCH(C2650,'[1]CÓDIGOS DE PRODUCTO'!$A$3:$A$1000,0))</f>
        <v>#N/A</v>
      </c>
      <c r="E2650">
        <f>VLOOKUP(C2650,'[1]CÓDIGOS DE PRODUCTO'!$A$4:$B$156,2,FALSE)</f>
        <v>0</v>
      </c>
      <c r="F2650">
        <f>INDEX('[1]CÓDIGOS DE PRODUCTO'!$C$3:$C$1000,MATCH(C2650,'[1]CÓDIGOS DE PRODUCTO'!$A$3:$A$1000,0))</f>
        <v>0</v>
      </c>
      <c r="G2650">
        <f>+'[1]VENTAS(RESUMEN GLOBAL)'!D2650-'[1]VENTAS(RESUMEN GLOBAL)'!E2650</f>
        <v>0</v>
      </c>
      <c r="H2650" s="9">
        <f>+'[1]VENTAS(RESUMEN GLOBAL)'!K2650</f>
        <v>0</v>
      </c>
      <c r="I2650" s="8">
        <f>+G2650*'[1]VENTAS(RESUMEN GLOBAL)'!F2650</f>
        <v>0</v>
      </c>
      <c r="J2650" s="8">
        <f>'[1]VENTAS(RESUMEN GLOBAL)'!G2650*(1-'[1]VENTAS(RESUMEN GLOBAL)'!H2650)</f>
        <v>0</v>
      </c>
      <c r="K2650" s="8">
        <f t="shared" si="41"/>
        <v>0</v>
      </c>
      <c r="L2650" s="8">
        <f>+'[1]VENTAS(RESUMEN GLOBAL)'!J2650</f>
        <v>0</v>
      </c>
      <c r="M2650" s="8">
        <f>+Tabla1[[#This Row],[utilidad x dia]]*7</f>
        <v>0</v>
      </c>
    </row>
    <row r="2651" spans="1:13" x14ac:dyDescent="0.3">
      <c r="A2651" s="6">
        <f>+'[1]VENTAS(RESUMEN GLOBAL)'!L2651</f>
        <v>0</v>
      </c>
      <c r="B2651" s="6">
        <f>+'[1]VENTAS(RESUMEN GLOBAL)'!M2651</f>
        <v>0</v>
      </c>
      <c r="C2651">
        <f>+'[1]VENTAS(RESUMEN GLOBAL)'!B2651</f>
        <v>0</v>
      </c>
      <c r="D2651" t="e">
        <f>INDEX('[1]CÓDIGOS DE PRODUCTO'!$D$3:$D$1000,MATCH(C2651,'[1]CÓDIGOS DE PRODUCTO'!$A$3:$A$1000,0))</f>
        <v>#N/A</v>
      </c>
      <c r="E2651">
        <f>VLOOKUP(C2651,'[1]CÓDIGOS DE PRODUCTO'!$A$4:$B$156,2,FALSE)</f>
        <v>0</v>
      </c>
      <c r="F2651">
        <f>INDEX('[1]CÓDIGOS DE PRODUCTO'!$C$3:$C$1000,MATCH(C2651,'[1]CÓDIGOS DE PRODUCTO'!$A$3:$A$1000,0))</f>
        <v>0</v>
      </c>
      <c r="G2651">
        <f>+'[1]VENTAS(RESUMEN GLOBAL)'!D2651-'[1]VENTAS(RESUMEN GLOBAL)'!E2651</f>
        <v>0</v>
      </c>
      <c r="H2651" s="9">
        <f>+'[1]VENTAS(RESUMEN GLOBAL)'!K2651</f>
        <v>0</v>
      </c>
      <c r="I2651" s="8">
        <f>+G2651*'[1]VENTAS(RESUMEN GLOBAL)'!F2651</f>
        <v>0</v>
      </c>
      <c r="J2651" s="8">
        <f>'[1]VENTAS(RESUMEN GLOBAL)'!G2651*(1-'[1]VENTAS(RESUMEN GLOBAL)'!H2651)</f>
        <v>0</v>
      </c>
      <c r="K2651" s="8">
        <f t="shared" si="41"/>
        <v>0</v>
      </c>
      <c r="L2651" s="8">
        <f>+'[1]VENTAS(RESUMEN GLOBAL)'!J2651</f>
        <v>0</v>
      </c>
      <c r="M2651" s="8">
        <f>+Tabla1[[#This Row],[utilidad x dia]]*7</f>
        <v>0</v>
      </c>
    </row>
    <row r="2652" spans="1:13" x14ac:dyDescent="0.3">
      <c r="A2652" s="6">
        <f>+'[1]VENTAS(RESUMEN GLOBAL)'!L2652</f>
        <v>0</v>
      </c>
      <c r="B2652" s="6">
        <f>+'[1]VENTAS(RESUMEN GLOBAL)'!M2652</f>
        <v>0</v>
      </c>
      <c r="C2652">
        <f>+'[1]VENTAS(RESUMEN GLOBAL)'!B2652</f>
        <v>0</v>
      </c>
      <c r="D2652" t="e">
        <f>INDEX('[1]CÓDIGOS DE PRODUCTO'!$D$3:$D$1000,MATCH(C2652,'[1]CÓDIGOS DE PRODUCTO'!$A$3:$A$1000,0))</f>
        <v>#N/A</v>
      </c>
      <c r="E2652">
        <f>VLOOKUP(C2652,'[1]CÓDIGOS DE PRODUCTO'!$A$4:$B$156,2,FALSE)</f>
        <v>0</v>
      </c>
      <c r="F2652">
        <f>INDEX('[1]CÓDIGOS DE PRODUCTO'!$C$3:$C$1000,MATCH(C2652,'[1]CÓDIGOS DE PRODUCTO'!$A$3:$A$1000,0))</f>
        <v>0</v>
      </c>
      <c r="G2652">
        <f>+'[1]VENTAS(RESUMEN GLOBAL)'!D2652-'[1]VENTAS(RESUMEN GLOBAL)'!E2652</f>
        <v>0</v>
      </c>
      <c r="H2652" s="9">
        <f>+'[1]VENTAS(RESUMEN GLOBAL)'!K2652</f>
        <v>0</v>
      </c>
      <c r="I2652" s="8">
        <f>+G2652*'[1]VENTAS(RESUMEN GLOBAL)'!F2652</f>
        <v>0</v>
      </c>
      <c r="J2652" s="8">
        <f>'[1]VENTAS(RESUMEN GLOBAL)'!G2652*(1-'[1]VENTAS(RESUMEN GLOBAL)'!H2652)</f>
        <v>0</v>
      </c>
      <c r="K2652" s="8">
        <f t="shared" si="41"/>
        <v>0</v>
      </c>
      <c r="L2652" s="8">
        <f>+'[1]VENTAS(RESUMEN GLOBAL)'!J2652</f>
        <v>0</v>
      </c>
      <c r="M2652" s="8">
        <f>+Tabla1[[#This Row],[utilidad x dia]]*7</f>
        <v>0</v>
      </c>
    </row>
    <row r="2653" spans="1:13" x14ac:dyDescent="0.3">
      <c r="A2653" s="6">
        <f>+'[1]VENTAS(RESUMEN GLOBAL)'!L2653</f>
        <v>0</v>
      </c>
      <c r="B2653" s="6">
        <f>+'[1]VENTAS(RESUMEN GLOBAL)'!M2653</f>
        <v>0</v>
      </c>
      <c r="C2653">
        <f>+'[1]VENTAS(RESUMEN GLOBAL)'!B2653</f>
        <v>0</v>
      </c>
      <c r="D2653" t="e">
        <f>INDEX('[1]CÓDIGOS DE PRODUCTO'!$D$3:$D$1000,MATCH(C2653,'[1]CÓDIGOS DE PRODUCTO'!$A$3:$A$1000,0))</f>
        <v>#N/A</v>
      </c>
      <c r="E2653">
        <f>VLOOKUP(C2653,'[1]CÓDIGOS DE PRODUCTO'!$A$4:$B$156,2,FALSE)</f>
        <v>0</v>
      </c>
      <c r="F2653">
        <f>INDEX('[1]CÓDIGOS DE PRODUCTO'!$C$3:$C$1000,MATCH(C2653,'[1]CÓDIGOS DE PRODUCTO'!$A$3:$A$1000,0))</f>
        <v>0</v>
      </c>
      <c r="G2653">
        <f>+'[1]VENTAS(RESUMEN GLOBAL)'!D2653-'[1]VENTAS(RESUMEN GLOBAL)'!E2653</f>
        <v>0</v>
      </c>
      <c r="H2653" s="9">
        <f>+'[1]VENTAS(RESUMEN GLOBAL)'!K2653</f>
        <v>0</v>
      </c>
      <c r="I2653" s="8">
        <f>+G2653*'[1]VENTAS(RESUMEN GLOBAL)'!F2653</f>
        <v>0</v>
      </c>
      <c r="J2653" s="8">
        <f>'[1]VENTAS(RESUMEN GLOBAL)'!G2653*(1-'[1]VENTAS(RESUMEN GLOBAL)'!H2653)</f>
        <v>0</v>
      </c>
      <c r="K2653" s="8">
        <f t="shared" si="41"/>
        <v>0</v>
      </c>
      <c r="L2653" s="8">
        <f>+'[1]VENTAS(RESUMEN GLOBAL)'!J2653</f>
        <v>0</v>
      </c>
      <c r="M2653" s="8">
        <f>+Tabla1[[#This Row],[utilidad x dia]]*7</f>
        <v>0</v>
      </c>
    </row>
    <row r="2654" spans="1:13" x14ac:dyDescent="0.3">
      <c r="A2654" s="6">
        <f>+'[1]VENTAS(RESUMEN GLOBAL)'!L2654</f>
        <v>0</v>
      </c>
      <c r="B2654" s="6">
        <f>+'[1]VENTAS(RESUMEN GLOBAL)'!M2654</f>
        <v>0</v>
      </c>
      <c r="C2654">
        <f>+'[1]VENTAS(RESUMEN GLOBAL)'!B2654</f>
        <v>0</v>
      </c>
      <c r="D2654" t="e">
        <f>INDEX('[1]CÓDIGOS DE PRODUCTO'!$D$3:$D$1000,MATCH(C2654,'[1]CÓDIGOS DE PRODUCTO'!$A$3:$A$1000,0))</f>
        <v>#N/A</v>
      </c>
      <c r="E2654">
        <f>VLOOKUP(C2654,'[1]CÓDIGOS DE PRODUCTO'!$A$4:$B$156,2,FALSE)</f>
        <v>0</v>
      </c>
      <c r="F2654">
        <f>INDEX('[1]CÓDIGOS DE PRODUCTO'!$C$3:$C$1000,MATCH(C2654,'[1]CÓDIGOS DE PRODUCTO'!$A$3:$A$1000,0))</f>
        <v>0</v>
      </c>
      <c r="G2654">
        <f>+'[1]VENTAS(RESUMEN GLOBAL)'!D2654-'[1]VENTAS(RESUMEN GLOBAL)'!E2654</f>
        <v>0</v>
      </c>
      <c r="H2654" s="9">
        <f>+'[1]VENTAS(RESUMEN GLOBAL)'!K2654</f>
        <v>0</v>
      </c>
      <c r="I2654" s="8">
        <f>+G2654*'[1]VENTAS(RESUMEN GLOBAL)'!F2654</f>
        <v>0</v>
      </c>
      <c r="J2654" s="8">
        <f>'[1]VENTAS(RESUMEN GLOBAL)'!G2654*(1-'[1]VENTAS(RESUMEN GLOBAL)'!H2654)</f>
        <v>0</v>
      </c>
      <c r="K2654" s="8">
        <f t="shared" si="41"/>
        <v>0</v>
      </c>
      <c r="L2654" s="8">
        <f>+'[1]VENTAS(RESUMEN GLOBAL)'!J2654</f>
        <v>0</v>
      </c>
      <c r="M2654" s="8">
        <f>+Tabla1[[#This Row],[utilidad x dia]]*7</f>
        <v>0</v>
      </c>
    </row>
    <row r="2655" spans="1:13" x14ac:dyDescent="0.3">
      <c r="A2655" s="6">
        <f>+'[1]VENTAS(RESUMEN GLOBAL)'!L2655</f>
        <v>0</v>
      </c>
      <c r="B2655" s="6">
        <f>+'[1]VENTAS(RESUMEN GLOBAL)'!M2655</f>
        <v>0</v>
      </c>
      <c r="C2655">
        <f>+'[1]VENTAS(RESUMEN GLOBAL)'!B2655</f>
        <v>0</v>
      </c>
      <c r="D2655" t="e">
        <f>INDEX('[1]CÓDIGOS DE PRODUCTO'!$D$3:$D$1000,MATCH(C2655,'[1]CÓDIGOS DE PRODUCTO'!$A$3:$A$1000,0))</f>
        <v>#N/A</v>
      </c>
      <c r="E2655">
        <f>VLOOKUP(C2655,'[1]CÓDIGOS DE PRODUCTO'!$A$4:$B$156,2,FALSE)</f>
        <v>0</v>
      </c>
      <c r="F2655">
        <f>INDEX('[1]CÓDIGOS DE PRODUCTO'!$C$3:$C$1000,MATCH(C2655,'[1]CÓDIGOS DE PRODUCTO'!$A$3:$A$1000,0))</f>
        <v>0</v>
      </c>
      <c r="G2655">
        <f>+'[1]VENTAS(RESUMEN GLOBAL)'!D2655-'[1]VENTAS(RESUMEN GLOBAL)'!E2655</f>
        <v>0</v>
      </c>
      <c r="H2655" s="9">
        <f>+'[1]VENTAS(RESUMEN GLOBAL)'!K2655</f>
        <v>0</v>
      </c>
      <c r="I2655" s="8">
        <f>+G2655*'[1]VENTAS(RESUMEN GLOBAL)'!F2655</f>
        <v>0</v>
      </c>
      <c r="J2655" s="8">
        <f>'[1]VENTAS(RESUMEN GLOBAL)'!G2655*(1-'[1]VENTAS(RESUMEN GLOBAL)'!H2655)</f>
        <v>0</v>
      </c>
      <c r="K2655" s="8">
        <f t="shared" si="41"/>
        <v>0</v>
      </c>
      <c r="L2655" s="8">
        <f>+'[1]VENTAS(RESUMEN GLOBAL)'!J2655</f>
        <v>0</v>
      </c>
      <c r="M2655" s="8">
        <f>+Tabla1[[#This Row],[utilidad x dia]]*7</f>
        <v>0</v>
      </c>
    </row>
    <row r="2656" spans="1:13" x14ac:dyDescent="0.3">
      <c r="A2656" s="6">
        <f>+'[1]VENTAS(RESUMEN GLOBAL)'!L2656</f>
        <v>0</v>
      </c>
      <c r="B2656" s="6">
        <f>+'[1]VENTAS(RESUMEN GLOBAL)'!M2656</f>
        <v>0</v>
      </c>
      <c r="C2656">
        <f>+'[1]VENTAS(RESUMEN GLOBAL)'!B2656</f>
        <v>0</v>
      </c>
      <c r="D2656" t="e">
        <f>INDEX('[1]CÓDIGOS DE PRODUCTO'!$D$3:$D$1000,MATCH(C2656,'[1]CÓDIGOS DE PRODUCTO'!$A$3:$A$1000,0))</f>
        <v>#N/A</v>
      </c>
      <c r="E2656">
        <f>VLOOKUP(C2656,'[1]CÓDIGOS DE PRODUCTO'!$A$4:$B$156,2,FALSE)</f>
        <v>0</v>
      </c>
      <c r="F2656">
        <f>INDEX('[1]CÓDIGOS DE PRODUCTO'!$C$3:$C$1000,MATCH(C2656,'[1]CÓDIGOS DE PRODUCTO'!$A$3:$A$1000,0))</f>
        <v>0</v>
      </c>
      <c r="G2656">
        <f>+'[1]VENTAS(RESUMEN GLOBAL)'!D2656-'[1]VENTAS(RESUMEN GLOBAL)'!E2656</f>
        <v>0</v>
      </c>
      <c r="H2656" s="9">
        <f>+'[1]VENTAS(RESUMEN GLOBAL)'!K2656</f>
        <v>0</v>
      </c>
      <c r="I2656" s="8">
        <f>+G2656*'[1]VENTAS(RESUMEN GLOBAL)'!F2656</f>
        <v>0</v>
      </c>
      <c r="J2656" s="8">
        <f>'[1]VENTAS(RESUMEN GLOBAL)'!G2656*(1-'[1]VENTAS(RESUMEN GLOBAL)'!H2656)</f>
        <v>0</v>
      </c>
      <c r="K2656" s="8">
        <f t="shared" si="41"/>
        <v>0</v>
      </c>
      <c r="L2656" s="8">
        <f>+'[1]VENTAS(RESUMEN GLOBAL)'!J2656</f>
        <v>0</v>
      </c>
      <c r="M2656" s="8">
        <f>+Tabla1[[#This Row],[utilidad x dia]]*7</f>
        <v>0</v>
      </c>
    </row>
    <row r="2657" spans="1:13" x14ac:dyDescent="0.3">
      <c r="A2657" s="6">
        <f>+'[1]VENTAS(RESUMEN GLOBAL)'!L2657</f>
        <v>0</v>
      </c>
      <c r="B2657" s="6">
        <f>+'[1]VENTAS(RESUMEN GLOBAL)'!M2657</f>
        <v>0</v>
      </c>
      <c r="C2657">
        <f>+'[1]VENTAS(RESUMEN GLOBAL)'!B2657</f>
        <v>0</v>
      </c>
      <c r="D2657" t="e">
        <f>INDEX('[1]CÓDIGOS DE PRODUCTO'!$D$3:$D$1000,MATCH(C2657,'[1]CÓDIGOS DE PRODUCTO'!$A$3:$A$1000,0))</f>
        <v>#N/A</v>
      </c>
      <c r="E2657">
        <f>VLOOKUP(C2657,'[1]CÓDIGOS DE PRODUCTO'!$A$4:$B$156,2,FALSE)</f>
        <v>0</v>
      </c>
      <c r="F2657">
        <f>INDEX('[1]CÓDIGOS DE PRODUCTO'!$C$3:$C$1000,MATCH(C2657,'[1]CÓDIGOS DE PRODUCTO'!$A$3:$A$1000,0))</f>
        <v>0</v>
      </c>
      <c r="G2657">
        <f>+'[1]VENTAS(RESUMEN GLOBAL)'!D2657-'[1]VENTAS(RESUMEN GLOBAL)'!E2657</f>
        <v>0</v>
      </c>
      <c r="H2657" s="9">
        <f>+'[1]VENTAS(RESUMEN GLOBAL)'!K2657</f>
        <v>0</v>
      </c>
      <c r="I2657" s="8">
        <f>+G2657*'[1]VENTAS(RESUMEN GLOBAL)'!F2657</f>
        <v>0</v>
      </c>
      <c r="J2657" s="8">
        <f>'[1]VENTAS(RESUMEN GLOBAL)'!G2657*(1-'[1]VENTAS(RESUMEN GLOBAL)'!H2657)</f>
        <v>0</v>
      </c>
      <c r="K2657" s="8">
        <f t="shared" si="41"/>
        <v>0</v>
      </c>
      <c r="L2657" s="8">
        <f>+'[1]VENTAS(RESUMEN GLOBAL)'!J2657</f>
        <v>0</v>
      </c>
      <c r="M2657" s="8">
        <f>+Tabla1[[#This Row],[utilidad x dia]]*7</f>
        <v>0</v>
      </c>
    </row>
    <row r="2658" spans="1:13" x14ac:dyDescent="0.3">
      <c r="A2658" s="6">
        <f>+'[1]VENTAS(RESUMEN GLOBAL)'!L2658</f>
        <v>0</v>
      </c>
      <c r="B2658" s="6">
        <f>+'[1]VENTAS(RESUMEN GLOBAL)'!M2658</f>
        <v>0</v>
      </c>
      <c r="C2658">
        <f>+'[1]VENTAS(RESUMEN GLOBAL)'!B2658</f>
        <v>0</v>
      </c>
      <c r="D2658" t="e">
        <f>INDEX('[1]CÓDIGOS DE PRODUCTO'!$D$3:$D$1000,MATCH(C2658,'[1]CÓDIGOS DE PRODUCTO'!$A$3:$A$1000,0))</f>
        <v>#N/A</v>
      </c>
      <c r="E2658">
        <f>VLOOKUP(C2658,'[1]CÓDIGOS DE PRODUCTO'!$A$4:$B$156,2,FALSE)</f>
        <v>0</v>
      </c>
      <c r="F2658">
        <f>INDEX('[1]CÓDIGOS DE PRODUCTO'!$C$3:$C$1000,MATCH(C2658,'[1]CÓDIGOS DE PRODUCTO'!$A$3:$A$1000,0))</f>
        <v>0</v>
      </c>
      <c r="G2658">
        <f>+'[1]VENTAS(RESUMEN GLOBAL)'!D2658-'[1]VENTAS(RESUMEN GLOBAL)'!E2658</f>
        <v>0</v>
      </c>
      <c r="H2658" s="9">
        <f>+'[1]VENTAS(RESUMEN GLOBAL)'!K2658</f>
        <v>0</v>
      </c>
      <c r="I2658" s="8">
        <f>+G2658*'[1]VENTAS(RESUMEN GLOBAL)'!F2658</f>
        <v>0</v>
      </c>
      <c r="J2658" s="8">
        <f>'[1]VENTAS(RESUMEN GLOBAL)'!G2658*(1-'[1]VENTAS(RESUMEN GLOBAL)'!H2658)</f>
        <v>0</v>
      </c>
      <c r="K2658" s="8">
        <f t="shared" si="41"/>
        <v>0</v>
      </c>
      <c r="L2658" s="8">
        <f>+'[1]VENTAS(RESUMEN GLOBAL)'!J2658</f>
        <v>0</v>
      </c>
      <c r="M2658" s="8">
        <f>+Tabla1[[#This Row],[utilidad x dia]]*7</f>
        <v>0</v>
      </c>
    </row>
    <row r="2659" spans="1:13" x14ac:dyDescent="0.3">
      <c r="A2659" s="6">
        <f>+'[1]VENTAS(RESUMEN GLOBAL)'!L2659</f>
        <v>0</v>
      </c>
      <c r="B2659" s="6">
        <f>+'[1]VENTAS(RESUMEN GLOBAL)'!M2659</f>
        <v>0</v>
      </c>
      <c r="C2659">
        <f>+'[1]VENTAS(RESUMEN GLOBAL)'!B2659</f>
        <v>0</v>
      </c>
      <c r="D2659" t="e">
        <f>INDEX('[1]CÓDIGOS DE PRODUCTO'!$D$3:$D$1000,MATCH(C2659,'[1]CÓDIGOS DE PRODUCTO'!$A$3:$A$1000,0))</f>
        <v>#N/A</v>
      </c>
      <c r="E2659">
        <f>VLOOKUP(C2659,'[1]CÓDIGOS DE PRODUCTO'!$A$4:$B$156,2,FALSE)</f>
        <v>0</v>
      </c>
      <c r="F2659">
        <f>INDEX('[1]CÓDIGOS DE PRODUCTO'!$C$3:$C$1000,MATCH(C2659,'[1]CÓDIGOS DE PRODUCTO'!$A$3:$A$1000,0))</f>
        <v>0</v>
      </c>
      <c r="G2659">
        <f>+'[1]VENTAS(RESUMEN GLOBAL)'!D2659-'[1]VENTAS(RESUMEN GLOBAL)'!E2659</f>
        <v>0</v>
      </c>
      <c r="H2659" s="9">
        <f>+'[1]VENTAS(RESUMEN GLOBAL)'!K2659</f>
        <v>0</v>
      </c>
      <c r="I2659" s="8">
        <f>+G2659*'[1]VENTAS(RESUMEN GLOBAL)'!F2659</f>
        <v>0</v>
      </c>
      <c r="J2659" s="8">
        <f>'[1]VENTAS(RESUMEN GLOBAL)'!G2659*(1-'[1]VENTAS(RESUMEN GLOBAL)'!H2659)</f>
        <v>0</v>
      </c>
      <c r="K2659" s="8">
        <f t="shared" si="41"/>
        <v>0</v>
      </c>
      <c r="L2659" s="8">
        <f>+'[1]VENTAS(RESUMEN GLOBAL)'!J2659</f>
        <v>0</v>
      </c>
      <c r="M2659" s="8">
        <f>+Tabla1[[#This Row],[utilidad x dia]]*7</f>
        <v>0</v>
      </c>
    </row>
    <row r="2660" spans="1:13" x14ac:dyDescent="0.3">
      <c r="A2660" s="6">
        <f>+'[1]VENTAS(RESUMEN GLOBAL)'!L2660</f>
        <v>0</v>
      </c>
      <c r="B2660" s="6">
        <f>+'[1]VENTAS(RESUMEN GLOBAL)'!M2660</f>
        <v>0</v>
      </c>
      <c r="C2660">
        <f>+'[1]VENTAS(RESUMEN GLOBAL)'!B2660</f>
        <v>0</v>
      </c>
      <c r="D2660" t="e">
        <f>INDEX('[1]CÓDIGOS DE PRODUCTO'!$D$3:$D$1000,MATCH(C2660,'[1]CÓDIGOS DE PRODUCTO'!$A$3:$A$1000,0))</f>
        <v>#N/A</v>
      </c>
      <c r="E2660">
        <f>VLOOKUP(C2660,'[1]CÓDIGOS DE PRODUCTO'!$A$4:$B$156,2,FALSE)</f>
        <v>0</v>
      </c>
      <c r="F2660">
        <f>INDEX('[1]CÓDIGOS DE PRODUCTO'!$C$3:$C$1000,MATCH(C2660,'[1]CÓDIGOS DE PRODUCTO'!$A$3:$A$1000,0))</f>
        <v>0</v>
      </c>
      <c r="G2660">
        <f>+'[1]VENTAS(RESUMEN GLOBAL)'!D2660-'[1]VENTAS(RESUMEN GLOBAL)'!E2660</f>
        <v>0</v>
      </c>
      <c r="H2660" s="9">
        <f>+'[1]VENTAS(RESUMEN GLOBAL)'!K2660</f>
        <v>0</v>
      </c>
      <c r="I2660" s="8">
        <f>+G2660*'[1]VENTAS(RESUMEN GLOBAL)'!F2660</f>
        <v>0</v>
      </c>
      <c r="J2660" s="8">
        <f>'[1]VENTAS(RESUMEN GLOBAL)'!G2660*(1-'[1]VENTAS(RESUMEN GLOBAL)'!H2660)</f>
        <v>0</v>
      </c>
      <c r="K2660" s="8">
        <f t="shared" si="41"/>
        <v>0</v>
      </c>
      <c r="L2660" s="8">
        <f>+'[1]VENTAS(RESUMEN GLOBAL)'!J2660</f>
        <v>0</v>
      </c>
      <c r="M2660" s="8">
        <f>+Tabla1[[#This Row],[utilidad x dia]]*7</f>
        <v>0</v>
      </c>
    </row>
    <row r="2661" spans="1:13" x14ac:dyDescent="0.3">
      <c r="A2661" s="6">
        <f>+'[1]VENTAS(RESUMEN GLOBAL)'!L2661</f>
        <v>0</v>
      </c>
      <c r="B2661" s="6">
        <f>+'[1]VENTAS(RESUMEN GLOBAL)'!M2661</f>
        <v>0</v>
      </c>
      <c r="C2661">
        <f>+'[1]VENTAS(RESUMEN GLOBAL)'!B2661</f>
        <v>0</v>
      </c>
      <c r="D2661" t="e">
        <f>INDEX('[1]CÓDIGOS DE PRODUCTO'!$D$3:$D$1000,MATCH(C2661,'[1]CÓDIGOS DE PRODUCTO'!$A$3:$A$1000,0))</f>
        <v>#N/A</v>
      </c>
      <c r="E2661">
        <f>VLOOKUP(C2661,'[1]CÓDIGOS DE PRODUCTO'!$A$4:$B$156,2,FALSE)</f>
        <v>0</v>
      </c>
      <c r="F2661">
        <f>INDEX('[1]CÓDIGOS DE PRODUCTO'!$C$3:$C$1000,MATCH(C2661,'[1]CÓDIGOS DE PRODUCTO'!$A$3:$A$1000,0))</f>
        <v>0</v>
      </c>
      <c r="G2661">
        <f>+'[1]VENTAS(RESUMEN GLOBAL)'!D2661-'[1]VENTAS(RESUMEN GLOBAL)'!E2661</f>
        <v>0</v>
      </c>
      <c r="H2661" s="9">
        <f>+'[1]VENTAS(RESUMEN GLOBAL)'!K2661</f>
        <v>0</v>
      </c>
      <c r="I2661" s="8">
        <f>+G2661*'[1]VENTAS(RESUMEN GLOBAL)'!F2661</f>
        <v>0</v>
      </c>
      <c r="J2661" s="8">
        <f>'[1]VENTAS(RESUMEN GLOBAL)'!G2661*(1-'[1]VENTAS(RESUMEN GLOBAL)'!H2661)</f>
        <v>0</v>
      </c>
      <c r="K2661" s="8">
        <f t="shared" si="41"/>
        <v>0</v>
      </c>
      <c r="L2661" s="8">
        <f>+'[1]VENTAS(RESUMEN GLOBAL)'!J2661</f>
        <v>0</v>
      </c>
      <c r="M2661" s="8">
        <f>+Tabla1[[#This Row],[utilidad x dia]]*7</f>
        <v>0</v>
      </c>
    </row>
    <row r="2662" spans="1:13" x14ac:dyDescent="0.3">
      <c r="A2662" s="6">
        <f>+'[1]VENTAS(RESUMEN GLOBAL)'!L2662</f>
        <v>0</v>
      </c>
      <c r="B2662" s="6">
        <f>+'[1]VENTAS(RESUMEN GLOBAL)'!M2662</f>
        <v>0</v>
      </c>
      <c r="C2662">
        <f>+'[1]VENTAS(RESUMEN GLOBAL)'!B2662</f>
        <v>0</v>
      </c>
      <c r="D2662" t="e">
        <f>INDEX('[1]CÓDIGOS DE PRODUCTO'!$D$3:$D$1000,MATCH(C2662,'[1]CÓDIGOS DE PRODUCTO'!$A$3:$A$1000,0))</f>
        <v>#N/A</v>
      </c>
      <c r="E2662">
        <f>VLOOKUP(C2662,'[1]CÓDIGOS DE PRODUCTO'!$A$4:$B$156,2,FALSE)</f>
        <v>0</v>
      </c>
      <c r="F2662">
        <f>INDEX('[1]CÓDIGOS DE PRODUCTO'!$C$3:$C$1000,MATCH(C2662,'[1]CÓDIGOS DE PRODUCTO'!$A$3:$A$1000,0))</f>
        <v>0</v>
      </c>
      <c r="G2662">
        <f>+'[1]VENTAS(RESUMEN GLOBAL)'!D2662-'[1]VENTAS(RESUMEN GLOBAL)'!E2662</f>
        <v>0</v>
      </c>
      <c r="H2662" s="9">
        <f>+'[1]VENTAS(RESUMEN GLOBAL)'!K2662</f>
        <v>0</v>
      </c>
      <c r="I2662" s="8">
        <f>+G2662*'[1]VENTAS(RESUMEN GLOBAL)'!F2662</f>
        <v>0</v>
      </c>
      <c r="J2662" s="8">
        <f>'[1]VENTAS(RESUMEN GLOBAL)'!G2662*(1-'[1]VENTAS(RESUMEN GLOBAL)'!H2662)</f>
        <v>0</v>
      </c>
      <c r="K2662" s="8">
        <f t="shared" si="41"/>
        <v>0</v>
      </c>
      <c r="L2662" s="8">
        <f>+'[1]VENTAS(RESUMEN GLOBAL)'!J2662</f>
        <v>0</v>
      </c>
      <c r="M2662" s="8">
        <f>+Tabla1[[#This Row],[utilidad x dia]]*7</f>
        <v>0</v>
      </c>
    </row>
    <row r="2663" spans="1:13" x14ac:dyDescent="0.3">
      <c r="A2663" s="6">
        <f>+'[1]VENTAS(RESUMEN GLOBAL)'!L2663</f>
        <v>0</v>
      </c>
      <c r="B2663" s="6">
        <f>+'[1]VENTAS(RESUMEN GLOBAL)'!M2663</f>
        <v>0</v>
      </c>
      <c r="C2663">
        <f>+'[1]VENTAS(RESUMEN GLOBAL)'!B2663</f>
        <v>0</v>
      </c>
      <c r="D2663" t="e">
        <f>INDEX('[1]CÓDIGOS DE PRODUCTO'!$D$3:$D$1000,MATCH(C2663,'[1]CÓDIGOS DE PRODUCTO'!$A$3:$A$1000,0))</f>
        <v>#N/A</v>
      </c>
      <c r="E2663">
        <f>VLOOKUP(C2663,'[1]CÓDIGOS DE PRODUCTO'!$A$4:$B$156,2,FALSE)</f>
        <v>0</v>
      </c>
      <c r="F2663">
        <f>INDEX('[1]CÓDIGOS DE PRODUCTO'!$C$3:$C$1000,MATCH(C2663,'[1]CÓDIGOS DE PRODUCTO'!$A$3:$A$1000,0))</f>
        <v>0</v>
      </c>
      <c r="G2663">
        <f>+'[1]VENTAS(RESUMEN GLOBAL)'!D2663-'[1]VENTAS(RESUMEN GLOBAL)'!E2663</f>
        <v>0</v>
      </c>
      <c r="H2663" s="9">
        <f>+'[1]VENTAS(RESUMEN GLOBAL)'!K2663</f>
        <v>0</v>
      </c>
      <c r="I2663" s="8">
        <f>+G2663*'[1]VENTAS(RESUMEN GLOBAL)'!F2663</f>
        <v>0</v>
      </c>
      <c r="J2663" s="8">
        <f>'[1]VENTAS(RESUMEN GLOBAL)'!G2663*(1-'[1]VENTAS(RESUMEN GLOBAL)'!H2663)</f>
        <v>0</v>
      </c>
      <c r="K2663" s="8">
        <f t="shared" si="41"/>
        <v>0</v>
      </c>
      <c r="L2663" s="8">
        <f>+'[1]VENTAS(RESUMEN GLOBAL)'!J2663</f>
        <v>0</v>
      </c>
      <c r="M2663" s="8">
        <f>+Tabla1[[#This Row],[utilidad x dia]]*7</f>
        <v>0</v>
      </c>
    </row>
    <row r="2664" spans="1:13" x14ac:dyDescent="0.3">
      <c r="A2664" s="6">
        <f>+'[1]VENTAS(RESUMEN GLOBAL)'!L2664</f>
        <v>0</v>
      </c>
      <c r="B2664" s="6">
        <f>+'[1]VENTAS(RESUMEN GLOBAL)'!M2664</f>
        <v>0</v>
      </c>
      <c r="C2664">
        <f>+'[1]VENTAS(RESUMEN GLOBAL)'!B2664</f>
        <v>0</v>
      </c>
      <c r="D2664" t="e">
        <f>INDEX('[1]CÓDIGOS DE PRODUCTO'!$D$3:$D$1000,MATCH(C2664,'[1]CÓDIGOS DE PRODUCTO'!$A$3:$A$1000,0))</f>
        <v>#N/A</v>
      </c>
      <c r="E2664">
        <f>VLOOKUP(C2664,'[1]CÓDIGOS DE PRODUCTO'!$A$4:$B$156,2,FALSE)</f>
        <v>0</v>
      </c>
      <c r="F2664">
        <f>INDEX('[1]CÓDIGOS DE PRODUCTO'!$C$3:$C$1000,MATCH(C2664,'[1]CÓDIGOS DE PRODUCTO'!$A$3:$A$1000,0))</f>
        <v>0</v>
      </c>
      <c r="G2664">
        <f>+'[1]VENTAS(RESUMEN GLOBAL)'!D2664-'[1]VENTAS(RESUMEN GLOBAL)'!E2664</f>
        <v>0</v>
      </c>
      <c r="H2664" s="9">
        <f>+'[1]VENTAS(RESUMEN GLOBAL)'!K2664</f>
        <v>0</v>
      </c>
      <c r="I2664" s="8">
        <f>+G2664*'[1]VENTAS(RESUMEN GLOBAL)'!F2664</f>
        <v>0</v>
      </c>
      <c r="J2664" s="8">
        <f>'[1]VENTAS(RESUMEN GLOBAL)'!G2664*(1-'[1]VENTAS(RESUMEN GLOBAL)'!H2664)</f>
        <v>0</v>
      </c>
      <c r="K2664" s="8">
        <f t="shared" si="41"/>
        <v>0</v>
      </c>
      <c r="L2664" s="8">
        <f>+'[1]VENTAS(RESUMEN GLOBAL)'!J2664</f>
        <v>0</v>
      </c>
      <c r="M2664" s="8">
        <f>+Tabla1[[#This Row],[utilidad x dia]]*7</f>
        <v>0</v>
      </c>
    </row>
    <row r="2665" spans="1:13" x14ac:dyDescent="0.3">
      <c r="A2665" s="6">
        <f>+'[1]VENTAS(RESUMEN GLOBAL)'!L2665</f>
        <v>0</v>
      </c>
      <c r="B2665" s="6">
        <f>+'[1]VENTAS(RESUMEN GLOBAL)'!M2665</f>
        <v>0</v>
      </c>
      <c r="C2665">
        <f>+'[1]VENTAS(RESUMEN GLOBAL)'!B2665</f>
        <v>0</v>
      </c>
      <c r="D2665" t="e">
        <f>INDEX('[1]CÓDIGOS DE PRODUCTO'!$D$3:$D$1000,MATCH(C2665,'[1]CÓDIGOS DE PRODUCTO'!$A$3:$A$1000,0))</f>
        <v>#N/A</v>
      </c>
      <c r="E2665">
        <f>VLOOKUP(C2665,'[1]CÓDIGOS DE PRODUCTO'!$A$4:$B$156,2,FALSE)</f>
        <v>0</v>
      </c>
      <c r="F2665">
        <f>INDEX('[1]CÓDIGOS DE PRODUCTO'!$C$3:$C$1000,MATCH(C2665,'[1]CÓDIGOS DE PRODUCTO'!$A$3:$A$1000,0))</f>
        <v>0</v>
      </c>
      <c r="G2665">
        <f>+'[1]VENTAS(RESUMEN GLOBAL)'!D2665-'[1]VENTAS(RESUMEN GLOBAL)'!E2665</f>
        <v>0</v>
      </c>
      <c r="H2665" s="9">
        <f>+'[1]VENTAS(RESUMEN GLOBAL)'!K2665</f>
        <v>0</v>
      </c>
      <c r="I2665" s="8">
        <f>+G2665*'[1]VENTAS(RESUMEN GLOBAL)'!F2665</f>
        <v>0</v>
      </c>
      <c r="J2665" s="8">
        <f>'[1]VENTAS(RESUMEN GLOBAL)'!G2665*(1-'[1]VENTAS(RESUMEN GLOBAL)'!H2665)</f>
        <v>0</v>
      </c>
      <c r="K2665" s="8">
        <f t="shared" si="41"/>
        <v>0</v>
      </c>
      <c r="L2665" s="8">
        <f>+'[1]VENTAS(RESUMEN GLOBAL)'!J2665</f>
        <v>0</v>
      </c>
      <c r="M2665" s="8">
        <f>+Tabla1[[#This Row],[utilidad x dia]]*7</f>
        <v>0</v>
      </c>
    </row>
    <row r="2666" spans="1:13" x14ac:dyDescent="0.3">
      <c r="A2666" s="6">
        <f>+'[1]VENTAS(RESUMEN GLOBAL)'!L2666</f>
        <v>0</v>
      </c>
      <c r="B2666" s="6">
        <f>+'[1]VENTAS(RESUMEN GLOBAL)'!M2666</f>
        <v>0</v>
      </c>
      <c r="C2666">
        <f>+'[1]VENTAS(RESUMEN GLOBAL)'!B2666</f>
        <v>0</v>
      </c>
      <c r="D2666" t="e">
        <f>INDEX('[1]CÓDIGOS DE PRODUCTO'!$D$3:$D$1000,MATCH(C2666,'[1]CÓDIGOS DE PRODUCTO'!$A$3:$A$1000,0))</f>
        <v>#N/A</v>
      </c>
      <c r="E2666">
        <f>VLOOKUP(C2666,'[1]CÓDIGOS DE PRODUCTO'!$A$4:$B$156,2,FALSE)</f>
        <v>0</v>
      </c>
      <c r="F2666">
        <f>INDEX('[1]CÓDIGOS DE PRODUCTO'!$C$3:$C$1000,MATCH(C2666,'[1]CÓDIGOS DE PRODUCTO'!$A$3:$A$1000,0))</f>
        <v>0</v>
      </c>
      <c r="G2666">
        <f>+'[1]VENTAS(RESUMEN GLOBAL)'!D2666-'[1]VENTAS(RESUMEN GLOBAL)'!E2666</f>
        <v>0</v>
      </c>
      <c r="H2666" s="9">
        <f>+'[1]VENTAS(RESUMEN GLOBAL)'!K2666</f>
        <v>0</v>
      </c>
      <c r="I2666" s="8">
        <f>+G2666*'[1]VENTAS(RESUMEN GLOBAL)'!F2666</f>
        <v>0</v>
      </c>
      <c r="J2666" s="8">
        <f>'[1]VENTAS(RESUMEN GLOBAL)'!G2666*(1-'[1]VENTAS(RESUMEN GLOBAL)'!H2666)</f>
        <v>0</v>
      </c>
      <c r="K2666" s="8">
        <f t="shared" si="41"/>
        <v>0</v>
      </c>
      <c r="L2666" s="8">
        <f>+'[1]VENTAS(RESUMEN GLOBAL)'!J2666</f>
        <v>0</v>
      </c>
      <c r="M2666" s="8">
        <f>+Tabla1[[#This Row],[utilidad x dia]]*7</f>
        <v>0</v>
      </c>
    </row>
    <row r="2667" spans="1:13" x14ac:dyDescent="0.3">
      <c r="A2667" s="6">
        <f>+'[1]VENTAS(RESUMEN GLOBAL)'!L2667</f>
        <v>0</v>
      </c>
      <c r="B2667" s="6">
        <f>+'[1]VENTAS(RESUMEN GLOBAL)'!M2667</f>
        <v>0</v>
      </c>
      <c r="C2667">
        <f>+'[1]VENTAS(RESUMEN GLOBAL)'!B2667</f>
        <v>0</v>
      </c>
      <c r="D2667" t="e">
        <f>INDEX('[1]CÓDIGOS DE PRODUCTO'!$D$3:$D$1000,MATCH(C2667,'[1]CÓDIGOS DE PRODUCTO'!$A$3:$A$1000,0))</f>
        <v>#N/A</v>
      </c>
      <c r="E2667">
        <f>VLOOKUP(C2667,'[1]CÓDIGOS DE PRODUCTO'!$A$4:$B$156,2,FALSE)</f>
        <v>0</v>
      </c>
      <c r="F2667">
        <f>INDEX('[1]CÓDIGOS DE PRODUCTO'!$C$3:$C$1000,MATCH(C2667,'[1]CÓDIGOS DE PRODUCTO'!$A$3:$A$1000,0))</f>
        <v>0</v>
      </c>
      <c r="G2667">
        <f>+'[1]VENTAS(RESUMEN GLOBAL)'!D2667-'[1]VENTAS(RESUMEN GLOBAL)'!E2667</f>
        <v>0</v>
      </c>
      <c r="H2667" s="9">
        <f>+'[1]VENTAS(RESUMEN GLOBAL)'!K2667</f>
        <v>0</v>
      </c>
      <c r="I2667" s="8">
        <f>+G2667*'[1]VENTAS(RESUMEN GLOBAL)'!F2667</f>
        <v>0</v>
      </c>
      <c r="J2667" s="8">
        <f>'[1]VENTAS(RESUMEN GLOBAL)'!G2667*(1-'[1]VENTAS(RESUMEN GLOBAL)'!H2667)</f>
        <v>0</v>
      </c>
      <c r="K2667" s="8">
        <f t="shared" si="41"/>
        <v>0</v>
      </c>
      <c r="L2667" s="8">
        <f>+'[1]VENTAS(RESUMEN GLOBAL)'!J2667</f>
        <v>0</v>
      </c>
      <c r="M2667" s="8">
        <f>+Tabla1[[#This Row],[utilidad x dia]]*7</f>
        <v>0</v>
      </c>
    </row>
    <row r="2668" spans="1:13" x14ac:dyDescent="0.3">
      <c r="A2668" s="6">
        <f>+'[1]VENTAS(RESUMEN GLOBAL)'!L2668</f>
        <v>0</v>
      </c>
      <c r="B2668" s="6">
        <f>+'[1]VENTAS(RESUMEN GLOBAL)'!M2668</f>
        <v>0</v>
      </c>
      <c r="C2668">
        <f>+'[1]VENTAS(RESUMEN GLOBAL)'!B2668</f>
        <v>0</v>
      </c>
      <c r="D2668" t="e">
        <f>INDEX('[1]CÓDIGOS DE PRODUCTO'!$D$3:$D$1000,MATCH(C2668,'[1]CÓDIGOS DE PRODUCTO'!$A$3:$A$1000,0))</f>
        <v>#N/A</v>
      </c>
      <c r="E2668">
        <f>VLOOKUP(C2668,'[1]CÓDIGOS DE PRODUCTO'!$A$4:$B$156,2,FALSE)</f>
        <v>0</v>
      </c>
      <c r="F2668">
        <f>INDEX('[1]CÓDIGOS DE PRODUCTO'!$C$3:$C$1000,MATCH(C2668,'[1]CÓDIGOS DE PRODUCTO'!$A$3:$A$1000,0))</f>
        <v>0</v>
      </c>
      <c r="G2668">
        <f>+'[1]VENTAS(RESUMEN GLOBAL)'!D2668-'[1]VENTAS(RESUMEN GLOBAL)'!E2668</f>
        <v>0</v>
      </c>
      <c r="H2668" s="9">
        <f>+'[1]VENTAS(RESUMEN GLOBAL)'!K2668</f>
        <v>0</v>
      </c>
      <c r="I2668" s="8">
        <f>+G2668*'[1]VENTAS(RESUMEN GLOBAL)'!F2668</f>
        <v>0</v>
      </c>
      <c r="J2668" s="8">
        <f>'[1]VENTAS(RESUMEN GLOBAL)'!G2668*(1-'[1]VENTAS(RESUMEN GLOBAL)'!H2668)</f>
        <v>0</v>
      </c>
      <c r="K2668" s="8">
        <f t="shared" si="41"/>
        <v>0</v>
      </c>
      <c r="L2668" s="8">
        <f>+'[1]VENTAS(RESUMEN GLOBAL)'!J2668</f>
        <v>0</v>
      </c>
      <c r="M2668" s="8">
        <f>+Tabla1[[#This Row],[utilidad x dia]]*7</f>
        <v>0</v>
      </c>
    </row>
    <row r="2669" spans="1:13" x14ac:dyDescent="0.3">
      <c r="A2669" s="6">
        <f>+'[1]VENTAS(RESUMEN GLOBAL)'!L2669</f>
        <v>0</v>
      </c>
      <c r="B2669" s="6">
        <f>+'[1]VENTAS(RESUMEN GLOBAL)'!M2669</f>
        <v>0</v>
      </c>
      <c r="C2669">
        <f>+'[1]VENTAS(RESUMEN GLOBAL)'!B2669</f>
        <v>0</v>
      </c>
      <c r="D2669" t="e">
        <f>INDEX('[1]CÓDIGOS DE PRODUCTO'!$D$3:$D$1000,MATCH(C2669,'[1]CÓDIGOS DE PRODUCTO'!$A$3:$A$1000,0))</f>
        <v>#N/A</v>
      </c>
      <c r="E2669">
        <f>VLOOKUP(C2669,'[1]CÓDIGOS DE PRODUCTO'!$A$4:$B$156,2,FALSE)</f>
        <v>0</v>
      </c>
      <c r="F2669">
        <f>INDEX('[1]CÓDIGOS DE PRODUCTO'!$C$3:$C$1000,MATCH(C2669,'[1]CÓDIGOS DE PRODUCTO'!$A$3:$A$1000,0))</f>
        <v>0</v>
      </c>
      <c r="G2669">
        <f>+'[1]VENTAS(RESUMEN GLOBAL)'!D2669-'[1]VENTAS(RESUMEN GLOBAL)'!E2669</f>
        <v>0</v>
      </c>
      <c r="H2669" s="9">
        <f>+'[1]VENTAS(RESUMEN GLOBAL)'!K2669</f>
        <v>0</v>
      </c>
      <c r="I2669" s="8">
        <f>+G2669*'[1]VENTAS(RESUMEN GLOBAL)'!F2669</f>
        <v>0</v>
      </c>
      <c r="J2669" s="8">
        <f>'[1]VENTAS(RESUMEN GLOBAL)'!G2669*(1-'[1]VENTAS(RESUMEN GLOBAL)'!H2669)</f>
        <v>0</v>
      </c>
      <c r="K2669" s="8">
        <f t="shared" si="41"/>
        <v>0</v>
      </c>
      <c r="L2669" s="8">
        <f>+'[1]VENTAS(RESUMEN GLOBAL)'!J2669</f>
        <v>0</v>
      </c>
      <c r="M2669" s="8">
        <f>+Tabla1[[#This Row],[utilidad x dia]]*7</f>
        <v>0</v>
      </c>
    </row>
    <row r="2670" spans="1:13" x14ac:dyDescent="0.3">
      <c r="A2670" s="6">
        <f>+'[1]VENTAS(RESUMEN GLOBAL)'!L2670</f>
        <v>0</v>
      </c>
      <c r="B2670" s="6">
        <f>+'[1]VENTAS(RESUMEN GLOBAL)'!M2670</f>
        <v>0</v>
      </c>
      <c r="C2670">
        <f>+'[1]VENTAS(RESUMEN GLOBAL)'!B2670</f>
        <v>0</v>
      </c>
      <c r="D2670" t="e">
        <f>INDEX('[1]CÓDIGOS DE PRODUCTO'!$D$3:$D$1000,MATCH(C2670,'[1]CÓDIGOS DE PRODUCTO'!$A$3:$A$1000,0))</f>
        <v>#N/A</v>
      </c>
      <c r="E2670">
        <f>VLOOKUP(C2670,'[1]CÓDIGOS DE PRODUCTO'!$A$4:$B$156,2,FALSE)</f>
        <v>0</v>
      </c>
      <c r="F2670">
        <f>INDEX('[1]CÓDIGOS DE PRODUCTO'!$C$3:$C$1000,MATCH(C2670,'[1]CÓDIGOS DE PRODUCTO'!$A$3:$A$1000,0))</f>
        <v>0</v>
      </c>
      <c r="G2670">
        <f>+'[1]VENTAS(RESUMEN GLOBAL)'!D2670-'[1]VENTAS(RESUMEN GLOBAL)'!E2670</f>
        <v>0</v>
      </c>
      <c r="H2670" s="9">
        <f>+'[1]VENTAS(RESUMEN GLOBAL)'!K2670</f>
        <v>0</v>
      </c>
      <c r="I2670" s="8">
        <f>+G2670*'[1]VENTAS(RESUMEN GLOBAL)'!F2670</f>
        <v>0</v>
      </c>
      <c r="J2670" s="8">
        <f>'[1]VENTAS(RESUMEN GLOBAL)'!G2670*(1-'[1]VENTAS(RESUMEN GLOBAL)'!H2670)</f>
        <v>0</v>
      </c>
      <c r="K2670" s="8">
        <f t="shared" si="41"/>
        <v>0</v>
      </c>
      <c r="L2670" s="8">
        <f>+'[1]VENTAS(RESUMEN GLOBAL)'!J2670</f>
        <v>0</v>
      </c>
      <c r="M2670" s="8">
        <f>+Tabla1[[#This Row],[utilidad x dia]]*7</f>
        <v>0</v>
      </c>
    </row>
    <row r="2671" spans="1:13" x14ac:dyDescent="0.3">
      <c r="A2671" s="6">
        <f>+'[1]VENTAS(RESUMEN GLOBAL)'!L2671</f>
        <v>0</v>
      </c>
      <c r="B2671" s="6">
        <f>+'[1]VENTAS(RESUMEN GLOBAL)'!M2671</f>
        <v>0</v>
      </c>
      <c r="C2671">
        <f>+'[1]VENTAS(RESUMEN GLOBAL)'!B2671</f>
        <v>0</v>
      </c>
      <c r="D2671" t="e">
        <f>INDEX('[1]CÓDIGOS DE PRODUCTO'!$D$3:$D$1000,MATCH(C2671,'[1]CÓDIGOS DE PRODUCTO'!$A$3:$A$1000,0))</f>
        <v>#N/A</v>
      </c>
      <c r="E2671">
        <f>VLOOKUP(C2671,'[1]CÓDIGOS DE PRODUCTO'!$A$4:$B$156,2,FALSE)</f>
        <v>0</v>
      </c>
      <c r="F2671">
        <f>INDEX('[1]CÓDIGOS DE PRODUCTO'!$C$3:$C$1000,MATCH(C2671,'[1]CÓDIGOS DE PRODUCTO'!$A$3:$A$1000,0))</f>
        <v>0</v>
      </c>
      <c r="G2671">
        <f>+'[1]VENTAS(RESUMEN GLOBAL)'!D2671-'[1]VENTAS(RESUMEN GLOBAL)'!E2671</f>
        <v>0</v>
      </c>
      <c r="H2671" s="9">
        <f>+'[1]VENTAS(RESUMEN GLOBAL)'!K2671</f>
        <v>0</v>
      </c>
      <c r="I2671" s="8">
        <f>+G2671*'[1]VENTAS(RESUMEN GLOBAL)'!F2671</f>
        <v>0</v>
      </c>
      <c r="J2671" s="8">
        <f>'[1]VENTAS(RESUMEN GLOBAL)'!G2671*(1-'[1]VENTAS(RESUMEN GLOBAL)'!H2671)</f>
        <v>0</v>
      </c>
      <c r="K2671" s="8">
        <f t="shared" si="41"/>
        <v>0</v>
      </c>
      <c r="L2671" s="8">
        <f>+'[1]VENTAS(RESUMEN GLOBAL)'!J2671</f>
        <v>0</v>
      </c>
      <c r="M2671" s="8">
        <f>+Tabla1[[#This Row],[utilidad x dia]]*7</f>
        <v>0</v>
      </c>
    </row>
    <row r="2672" spans="1:13" x14ac:dyDescent="0.3">
      <c r="A2672" s="6">
        <f>+'[1]VENTAS(RESUMEN GLOBAL)'!L2672</f>
        <v>0</v>
      </c>
      <c r="B2672" s="6">
        <f>+'[1]VENTAS(RESUMEN GLOBAL)'!M2672</f>
        <v>0</v>
      </c>
      <c r="C2672">
        <f>+'[1]VENTAS(RESUMEN GLOBAL)'!B2672</f>
        <v>0</v>
      </c>
      <c r="D2672" t="e">
        <f>INDEX('[1]CÓDIGOS DE PRODUCTO'!$D$3:$D$1000,MATCH(C2672,'[1]CÓDIGOS DE PRODUCTO'!$A$3:$A$1000,0))</f>
        <v>#N/A</v>
      </c>
      <c r="E2672">
        <f>VLOOKUP(C2672,'[1]CÓDIGOS DE PRODUCTO'!$A$4:$B$156,2,FALSE)</f>
        <v>0</v>
      </c>
      <c r="F2672">
        <f>INDEX('[1]CÓDIGOS DE PRODUCTO'!$C$3:$C$1000,MATCH(C2672,'[1]CÓDIGOS DE PRODUCTO'!$A$3:$A$1000,0))</f>
        <v>0</v>
      </c>
      <c r="G2672">
        <f>+'[1]VENTAS(RESUMEN GLOBAL)'!D2672-'[1]VENTAS(RESUMEN GLOBAL)'!E2672</f>
        <v>0</v>
      </c>
      <c r="H2672" s="9">
        <f>+'[1]VENTAS(RESUMEN GLOBAL)'!K2672</f>
        <v>0</v>
      </c>
      <c r="I2672" s="8">
        <f>+G2672*'[1]VENTAS(RESUMEN GLOBAL)'!F2672</f>
        <v>0</v>
      </c>
      <c r="J2672" s="8">
        <f>'[1]VENTAS(RESUMEN GLOBAL)'!G2672*(1-'[1]VENTAS(RESUMEN GLOBAL)'!H2672)</f>
        <v>0</v>
      </c>
      <c r="K2672" s="8">
        <f t="shared" si="41"/>
        <v>0</v>
      </c>
      <c r="L2672" s="8">
        <f>+'[1]VENTAS(RESUMEN GLOBAL)'!J2672</f>
        <v>0</v>
      </c>
      <c r="M2672" s="8">
        <f>+Tabla1[[#This Row],[utilidad x dia]]*7</f>
        <v>0</v>
      </c>
    </row>
    <row r="2673" spans="1:13" x14ac:dyDescent="0.3">
      <c r="A2673" s="6">
        <f>+'[1]VENTAS(RESUMEN GLOBAL)'!L2673</f>
        <v>0</v>
      </c>
      <c r="B2673" s="6">
        <f>+'[1]VENTAS(RESUMEN GLOBAL)'!M2673</f>
        <v>0</v>
      </c>
      <c r="C2673">
        <f>+'[1]VENTAS(RESUMEN GLOBAL)'!B2673</f>
        <v>0</v>
      </c>
      <c r="D2673" t="e">
        <f>INDEX('[1]CÓDIGOS DE PRODUCTO'!$D$3:$D$1000,MATCH(C2673,'[1]CÓDIGOS DE PRODUCTO'!$A$3:$A$1000,0))</f>
        <v>#N/A</v>
      </c>
      <c r="E2673">
        <f>VLOOKUP(C2673,'[1]CÓDIGOS DE PRODUCTO'!$A$4:$B$156,2,FALSE)</f>
        <v>0</v>
      </c>
      <c r="F2673">
        <f>INDEX('[1]CÓDIGOS DE PRODUCTO'!$C$3:$C$1000,MATCH(C2673,'[1]CÓDIGOS DE PRODUCTO'!$A$3:$A$1000,0))</f>
        <v>0</v>
      </c>
      <c r="G2673">
        <f>+'[1]VENTAS(RESUMEN GLOBAL)'!D2673-'[1]VENTAS(RESUMEN GLOBAL)'!E2673</f>
        <v>0</v>
      </c>
      <c r="H2673" s="9">
        <f>+'[1]VENTAS(RESUMEN GLOBAL)'!K2673</f>
        <v>0</v>
      </c>
      <c r="I2673" s="8">
        <f>+G2673*'[1]VENTAS(RESUMEN GLOBAL)'!F2673</f>
        <v>0</v>
      </c>
      <c r="J2673" s="8">
        <f>'[1]VENTAS(RESUMEN GLOBAL)'!G2673*(1-'[1]VENTAS(RESUMEN GLOBAL)'!H2673)</f>
        <v>0</v>
      </c>
      <c r="K2673" s="8">
        <f t="shared" si="41"/>
        <v>0</v>
      </c>
      <c r="L2673" s="8">
        <f>+'[1]VENTAS(RESUMEN GLOBAL)'!J2673</f>
        <v>0</v>
      </c>
      <c r="M2673" s="8">
        <f>+Tabla1[[#This Row],[utilidad x dia]]*7</f>
        <v>0</v>
      </c>
    </row>
    <row r="2674" spans="1:13" x14ac:dyDescent="0.3">
      <c r="A2674" s="6">
        <f>+'[1]VENTAS(RESUMEN GLOBAL)'!L2674</f>
        <v>0</v>
      </c>
      <c r="B2674" s="6">
        <f>+'[1]VENTAS(RESUMEN GLOBAL)'!M2674</f>
        <v>0</v>
      </c>
      <c r="C2674">
        <f>+'[1]VENTAS(RESUMEN GLOBAL)'!B2674</f>
        <v>0</v>
      </c>
      <c r="D2674" t="e">
        <f>INDEX('[1]CÓDIGOS DE PRODUCTO'!$D$3:$D$1000,MATCH(C2674,'[1]CÓDIGOS DE PRODUCTO'!$A$3:$A$1000,0))</f>
        <v>#N/A</v>
      </c>
      <c r="E2674">
        <f>VLOOKUP(C2674,'[1]CÓDIGOS DE PRODUCTO'!$A$4:$B$156,2,FALSE)</f>
        <v>0</v>
      </c>
      <c r="F2674">
        <f>INDEX('[1]CÓDIGOS DE PRODUCTO'!$C$3:$C$1000,MATCH(C2674,'[1]CÓDIGOS DE PRODUCTO'!$A$3:$A$1000,0))</f>
        <v>0</v>
      </c>
      <c r="G2674">
        <f>+'[1]VENTAS(RESUMEN GLOBAL)'!D2674-'[1]VENTAS(RESUMEN GLOBAL)'!E2674</f>
        <v>0</v>
      </c>
      <c r="H2674" s="9">
        <f>+'[1]VENTAS(RESUMEN GLOBAL)'!K2674</f>
        <v>0</v>
      </c>
      <c r="I2674" s="8">
        <f>+G2674*'[1]VENTAS(RESUMEN GLOBAL)'!F2674</f>
        <v>0</v>
      </c>
      <c r="J2674" s="8">
        <f>'[1]VENTAS(RESUMEN GLOBAL)'!G2674*(1-'[1]VENTAS(RESUMEN GLOBAL)'!H2674)</f>
        <v>0</v>
      </c>
      <c r="K2674" s="8">
        <f t="shared" si="41"/>
        <v>0</v>
      </c>
      <c r="L2674" s="8">
        <f>+'[1]VENTAS(RESUMEN GLOBAL)'!J2674</f>
        <v>0</v>
      </c>
      <c r="M2674" s="8">
        <f>+Tabla1[[#This Row],[utilidad x dia]]*7</f>
        <v>0</v>
      </c>
    </row>
    <row r="2675" spans="1:13" x14ac:dyDescent="0.3">
      <c r="A2675" s="6">
        <f>+'[1]VENTAS(RESUMEN GLOBAL)'!L2675</f>
        <v>0</v>
      </c>
      <c r="B2675" s="6">
        <f>+'[1]VENTAS(RESUMEN GLOBAL)'!M2675</f>
        <v>0</v>
      </c>
      <c r="C2675">
        <f>+'[1]VENTAS(RESUMEN GLOBAL)'!B2675</f>
        <v>0</v>
      </c>
      <c r="D2675" t="e">
        <f>INDEX('[1]CÓDIGOS DE PRODUCTO'!$D$3:$D$1000,MATCH(C2675,'[1]CÓDIGOS DE PRODUCTO'!$A$3:$A$1000,0))</f>
        <v>#N/A</v>
      </c>
      <c r="E2675">
        <f>VLOOKUP(C2675,'[1]CÓDIGOS DE PRODUCTO'!$A$4:$B$156,2,FALSE)</f>
        <v>0</v>
      </c>
      <c r="F2675">
        <f>INDEX('[1]CÓDIGOS DE PRODUCTO'!$C$3:$C$1000,MATCH(C2675,'[1]CÓDIGOS DE PRODUCTO'!$A$3:$A$1000,0))</f>
        <v>0</v>
      </c>
      <c r="G2675">
        <f>+'[1]VENTAS(RESUMEN GLOBAL)'!D2675-'[1]VENTAS(RESUMEN GLOBAL)'!E2675</f>
        <v>0</v>
      </c>
      <c r="H2675" s="9">
        <f>+'[1]VENTAS(RESUMEN GLOBAL)'!K2675</f>
        <v>0</v>
      </c>
      <c r="I2675" s="8">
        <f>+G2675*'[1]VENTAS(RESUMEN GLOBAL)'!F2675</f>
        <v>0</v>
      </c>
      <c r="J2675" s="8">
        <f>'[1]VENTAS(RESUMEN GLOBAL)'!G2675*(1-'[1]VENTAS(RESUMEN GLOBAL)'!H2675)</f>
        <v>0</v>
      </c>
      <c r="K2675" s="8">
        <f t="shared" si="41"/>
        <v>0</v>
      </c>
      <c r="L2675" s="8">
        <f>+'[1]VENTAS(RESUMEN GLOBAL)'!J2675</f>
        <v>0</v>
      </c>
      <c r="M2675" s="8">
        <f>+Tabla1[[#This Row],[utilidad x dia]]*7</f>
        <v>0</v>
      </c>
    </row>
    <row r="2676" spans="1:13" x14ac:dyDescent="0.3">
      <c r="A2676" s="6">
        <f>+'[1]VENTAS(RESUMEN GLOBAL)'!L2676</f>
        <v>0</v>
      </c>
      <c r="B2676" s="6">
        <f>+'[1]VENTAS(RESUMEN GLOBAL)'!M2676</f>
        <v>0</v>
      </c>
      <c r="C2676">
        <f>+'[1]VENTAS(RESUMEN GLOBAL)'!B2676</f>
        <v>0</v>
      </c>
      <c r="D2676" t="e">
        <f>INDEX('[1]CÓDIGOS DE PRODUCTO'!$D$3:$D$1000,MATCH(C2676,'[1]CÓDIGOS DE PRODUCTO'!$A$3:$A$1000,0))</f>
        <v>#N/A</v>
      </c>
      <c r="E2676">
        <f>VLOOKUP(C2676,'[1]CÓDIGOS DE PRODUCTO'!$A$4:$B$156,2,FALSE)</f>
        <v>0</v>
      </c>
      <c r="F2676">
        <f>INDEX('[1]CÓDIGOS DE PRODUCTO'!$C$3:$C$1000,MATCH(C2676,'[1]CÓDIGOS DE PRODUCTO'!$A$3:$A$1000,0))</f>
        <v>0</v>
      </c>
      <c r="G2676">
        <f>+'[1]VENTAS(RESUMEN GLOBAL)'!D2676-'[1]VENTAS(RESUMEN GLOBAL)'!E2676</f>
        <v>0</v>
      </c>
      <c r="H2676" s="9">
        <f>+'[1]VENTAS(RESUMEN GLOBAL)'!K2676</f>
        <v>0</v>
      </c>
      <c r="I2676" s="8">
        <f>+G2676*'[1]VENTAS(RESUMEN GLOBAL)'!F2676</f>
        <v>0</v>
      </c>
      <c r="J2676" s="8">
        <f>'[1]VENTAS(RESUMEN GLOBAL)'!G2676*(1-'[1]VENTAS(RESUMEN GLOBAL)'!H2676)</f>
        <v>0</v>
      </c>
      <c r="K2676" s="8">
        <f t="shared" si="41"/>
        <v>0</v>
      </c>
      <c r="L2676" s="8">
        <f>+'[1]VENTAS(RESUMEN GLOBAL)'!J2676</f>
        <v>0</v>
      </c>
      <c r="M2676" s="8">
        <f>+Tabla1[[#This Row],[utilidad x dia]]*7</f>
        <v>0</v>
      </c>
    </row>
    <row r="2677" spans="1:13" x14ac:dyDescent="0.3">
      <c r="A2677" s="6">
        <f>+'[1]VENTAS(RESUMEN GLOBAL)'!L2677</f>
        <v>0</v>
      </c>
      <c r="B2677" s="6">
        <f>+'[1]VENTAS(RESUMEN GLOBAL)'!M2677</f>
        <v>0</v>
      </c>
      <c r="C2677">
        <f>+'[1]VENTAS(RESUMEN GLOBAL)'!B2677</f>
        <v>0</v>
      </c>
      <c r="D2677" t="e">
        <f>INDEX('[1]CÓDIGOS DE PRODUCTO'!$D$3:$D$1000,MATCH(C2677,'[1]CÓDIGOS DE PRODUCTO'!$A$3:$A$1000,0))</f>
        <v>#N/A</v>
      </c>
      <c r="E2677">
        <f>VLOOKUP(C2677,'[1]CÓDIGOS DE PRODUCTO'!$A$4:$B$156,2,FALSE)</f>
        <v>0</v>
      </c>
      <c r="F2677">
        <f>INDEX('[1]CÓDIGOS DE PRODUCTO'!$C$3:$C$1000,MATCH(C2677,'[1]CÓDIGOS DE PRODUCTO'!$A$3:$A$1000,0))</f>
        <v>0</v>
      </c>
      <c r="G2677">
        <f>+'[1]VENTAS(RESUMEN GLOBAL)'!D2677-'[1]VENTAS(RESUMEN GLOBAL)'!E2677</f>
        <v>0</v>
      </c>
      <c r="H2677" s="9">
        <f>+'[1]VENTAS(RESUMEN GLOBAL)'!K2677</f>
        <v>0</v>
      </c>
      <c r="I2677" s="8">
        <f>+G2677*'[1]VENTAS(RESUMEN GLOBAL)'!F2677</f>
        <v>0</v>
      </c>
      <c r="J2677" s="8">
        <f>'[1]VENTAS(RESUMEN GLOBAL)'!G2677*(1-'[1]VENTAS(RESUMEN GLOBAL)'!H2677)</f>
        <v>0</v>
      </c>
      <c r="K2677" s="8">
        <f t="shared" si="41"/>
        <v>0</v>
      </c>
      <c r="L2677" s="8">
        <f>+'[1]VENTAS(RESUMEN GLOBAL)'!J2677</f>
        <v>0</v>
      </c>
      <c r="M2677" s="8">
        <f>+Tabla1[[#This Row],[utilidad x dia]]*7</f>
        <v>0</v>
      </c>
    </row>
    <row r="2678" spans="1:13" x14ac:dyDescent="0.3">
      <c r="A2678" s="6">
        <f>+'[1]VENTAS(RESUMEN GLOBAL)'!L2678</f>
        <v>0</v>
      </c>
      <c r="B2678" s="6">
        <f>+'[1]VENTAS(RESUMEN GLOBAL)'!M2678</f>
        <v>0</v>
      </c>
      <c r="C2678">
        <f>+'[1]VENTAS(RESUMEN GLOBAL)'!B2678</f>
        <v>0</v>
      </c>
      <c r="D2678" t="e">
        <f>INDEX('[1]CÓDIGOS DE PRODUCTO'!$D$3:$D$1000,MATCH(C2678,'[1]CÓDIGOS DE PRODUCTO'!$A$3:$A$1000,0))</f>
        <v>#N/A</v>
      </c>
      <c r="E2678">
        <f>VLOOKUP(C2678,'[1]CÓDIGOS DE PRODUCTO'!$A$4:$B$156,2,FALSE)</f>
        <v>0</v>
      </c>
      <c r="F2678">
        <f>INDEX('[1]CÓDIGOS DE PRODUCTO'!$C$3:$C$1000,MATCH(C2678,'[1]CÓDIGOS DE PRODUCTO'!$A$3:$A$1000,0))</f>
        <v>0</v>
      </c>
      <c r="G2678">
        <f>+'[1]VENTAS(RESUMEN GLOBAL)'!D2678-'[1]VENTAS(RESUMEN GLOBAL)'!E2678</f>
        <v>0</v>
      </c>
      <c r="H2678" s="9">
        <f>+'[1]VENTAS(RESUMEN GLOBAL)'!K2678</f>
        <v>0</v>
      </c>
      <c r="I2678" s="8">
        <f>+G2678*'[1]VENTAS(RESUMEN GLOBAL)'!F2678</f>
        <v>0</v>
      </c>
      <c r="J2678" s="8">
        <f>'[1]VENTAS(RESUMEN GLOBAL)'!G2678*(1-'[1]VENTAS(RESUMEN GLOBAL)'!H2678)</f>
        <v>0</v>
      </c>
      <c r="K2678" s="8">
        <f t="shared" si="41"/>
        <v>0</v>
      </c>
      <c r="L2678" s="8">
        <f>+'[1]VENTAS(RESUMEN GLOBAL)'!J2678</f>
        <v>0</v>
      </c>
      <c r="M2678" s="8">
        <f>+Tabla1[[#This Row],[utilidad x dia]]*7</f>
        <v>0</v>
      </c>
    </row>
    <row r="2679" spans="1:13" x14ac:dyDescent="0.3">
      <c r="A2679" s="6">
        <f>+'[1]VENTAS(RESUMEN GLOBAL)'!L2679</f>
        <v>0</v>
      </c>
      <c r="B2679" s="6">
        <f>+'[1]VENTAS(RESUMEN GLOBAL)'!M2679</f>
        <v>0</v>
      </c>
      <c r="C2679">
        <f>+'[1]VENTAS(RESUMEN GLOBAL)'!B2679</f>
        <v>0</v>
      </c>
      <c r="D2679" t="e">
        <f>INDEX('[1]CÓDIGOS DE PRODUCTO'!$D$3:$D$1000,MATCH(C2679,'[1]CÓDIGOS DE PRODUCTO'!$A$3:$A$1000,0))</f>
        <v>#N/A</v>
      </c>
      <c r="E2679">
        <f>VLOOKUP(C2679,'[1]CÓDIGOS DE PRODUCTO'!$A$4:$B$156,2,FALSE)</f>
        <v>0</v>
      </c>
      <c r="F2679">
        <f>INDEX('[1]CÓDIGOS DE PRODUCTO'!$C$3:$C$1000,MATCH(C2679,'[1]CÓDIGOS DE PRODUCTO'!$A$3:$A$1000,0))</f>
        <v>0</v>
      </c>
      <c r="G2679">
        <f>+'[1]VENTAS(RESUMEN GLOBAL)'!D2679-'[1]VENTAS(RESUMEN GLOBAL)'!E2679</f>
        <v>0</v>
      </c>
      <c r="H2679" s="9">
        <f>+'[1]VENTAS(RESUMEN GLOBAL)'!K2679</f>
        <v>0</v>
      </c>
      <c r="I2679" s="8">
        <f>+G2679*'[1]VENTAS(RESUMEN GLOBAL)'!F2679</f>
        <v>0</v>
      </c>
      <c r="J2679" s="8">
        <f>'[1]VENTAS(RESUMEN GLOBAL)'!G2679*(1-'[1]VENTAS(RESUMEN GLOBAL)'!H2679)</f>
        <v>0</v>
      </c>
      <c r="K2679" s="8">
        <f t="shared" si="41"/>
        <v>0</v>
      </c>
      <c r="L2679" s="8">
        <f>+'[1]VENTAS(RESUMEN GLOBAL)'!J2679</f>
        <v>0</v>
      </c>
      <c r="M2679" s="8">
        <f>+Tabla1[[#This Row],[utilidad x dia]]*7</f>
        <v>0</v>
      </c>
    </row>
    <row r="2680" spans="1:13" x14ac:dyDescent="0.3">
      <c r="A2680" s="6">
        <f>+'[1]VENTAS(RESUMEN GLOBAL)'!L2680</f>
        <v>0</v>
      </c>
      <c r="B2680" s="6">
        <f>+'[1]VENTAS(RESUMEN GLOBAL)'!M2680</f>
        <v>0</v>
      </c>
      <c r="C2680">
        <f>+'[1]VENTAS(RESUMEN GLOBAL)'!B2680</f>
        <v>0</v>
      </c>
      <c r="D2680" t="e">
        <f>INDEX('[1]CÓDIGOS DE PRODUCTO'!$D$3:$D$1000,MATCH(C2680,'[1]CÓDIGOS DE PRODUCTO'!$A$3:$A$1000,0))</f>
        <v>#N/A</v>
      </c>
      <c r="E2680">
        <f>VLOOKUP(C2680,'[1]CÓDIGOS DE PRODUCTO'!$A$4:$B$156,2,FALSE)</f>
        <v>0</v>
      </c>
      <c r="F2680">
        <f>INDEX('[1]CÓDIGOS DE PRODUCTO'!$C$3:$C$1000,MATCH(C2680,'[1]CÓDIGOS DE PRODUCTO'!$A$3:$A$1000,0))</f>
        <v>0</v>
      </c>
      <c r="G2680">
        <f>+'[1]VENTAS(RESUMEN GLOBAL)'!D2680-'[1]VENTAS(RESUMEN GLOBAL)'!E2680</f>
        <v>0</v>
      </c>
      <c r="H2680" s="9">
        <f>+'[1]VENTAS(RESUMEN GLOBAL)'!K2680</f>
        <v>0</v>
      </c>
      <c r="I2680" s="8">
        <f>+G2680*'[1]VENTAS(RESUMEN GLOBAL)'!F2680</f>
        <v>0</v>
      </c>
      <c r="J2680" s="8">
        <f>'[1]VENTAS(RESUMEN GLOBAL)'!G2680*(1-'[1]VENTAS(RESUMEN GLOBAL)'!H2680)</f>
        <v>0</v>
      </c>
      <c r="K2680" s="8">
        <f t="shared" si="41"/>
        <v>0</v>
      </c>
      <c r="L2680" s="8">
        <f>+'[1]VENTAS(RESUMEN GLOBAL)'!J2680</f>
        <v>0</v>
      </c>
      <c r="M2680" s="8">
        <f>+Tabla1[[#This Row],[utilidad x dia]]*7</f>
        <v>0</v>
      </c>
    </row>
    <row r="2681" spans="1:13" x14ac:dyDescent="0.3">
      <c r="A2681" s="6">
        <f>+'[1]VENTAS(RESUMEN GLOBAL)'!L2681</f>
        <v>0</v>
      </c>
      <c r="B2681" s="6">
        <f>+'[1]VENTAS(RESUMEN GLOBAL)'!M2681</f>
        <v>0</v>
      </c>
      <c r="C2681">
        <f>+'[1]VENTAS(RESUMEN GLOBAL)'!B2681</f>
        <v>0</v>
      </c>
      <c r="D2681" t="e">
        <f>INDEX('[1]CÓDIGOS DE PRODUCTO'!$D$3:$D$1000,MATCH(C2681,'[1]CÓDIGOS DE PRODUCTO'!$A$3:$A$1000,0))</f>
        <v>#N/A</v>
      </c>
      <c r="E2681">
        <f>VLOOKUP(C2681,'[1]CÓDIGOS DE PRODUCTO'!$A$4:$B$156,2,FALSE)</f>
        <v>0</v>
      </c>
      <c r="F2681">
        <f>INDEX('[1]CÓDIGOS DE PRODUCTO'!$C$3:$C$1000,MATCH(C2681,'[1]CÓDIGOS DE PRODUCTO'!$A$3:$A$1000,0))</f>
        <v>0</v>
      </c>
      <c r="G2681">
        <f>+'[1]VENTAS(RESUMEN GLOBAL)'!D2681-'[1]VENTAS(RESUMEN GLOBAL)'!E2681</f>
        <v>0</v>
      </c>
      <c r="H2681" s="9">
        <f>+'[1]VENTAS(RESUMEN GLOBAL)'!K2681</f>
        <v>0</v>
      </c>
      <c r="I2681" s="8">
        <f>+G2681*'[1]VENTAS(RESUMEN GLOBAL)'!F2681</f>
        <v>0</v>
      </c>
      <c r="J2681" s="8">
        <f>'[1]VENTAS(RESUMEN GLOBAL)'!G2681*(1-'[1]VENTAS(RESUMEN GLOBAL)'!H2681)</f>
        <v>0</v>
      </c>
      <c r="K2681" s="8">
        <f t="shared" si="41"/>
        <v>0</v>
      </c>
      <c r="L2681" s="8">
        <f>+'[1]VENTAS(RESUMEN GLOBAL)'!J2681</f>
        <v>0</v>
      </c>
      <c r="M2681" s="8">
        <f>+Tabla1[[#This Row],[utilidad x dia]]*7</f>
        <v>0</v>
      </c>
    </row>
    <row r="2682" spans="1:13" x14ac:dyDescent="0.3">
      <c r="A2682" s="6">
        <f>+'[1]VENTAS(RESUMEN GLOBAL)'!L2682</f>
        <v>0</v>
      </c>
      <c r="B2682" s="6">
        <f>+'[1]VENTAS(RESUMEN GLOBAL)'!M2682</f>
        <v>0</v>
      </c>
      <c r="C2682">
        <f>+'[1]VENTAS(RESUMEN GLOBAL)'!B2682</f>
        <v>0</v>
      </c>
      <c r="D2682" t="e">
        <f>INDEX('[1]CÓDIGOS DE PRODUCTO'!$D$3:$D$1000,MATCH(C2682,'[1]CÓDIGOS DE PRODUCTO'!$A$3:$A$1000,0))</f>
        <v>#N/A</v>
      </c>
      <c r="E2682">
        <f>VLOOKUP(C2682,'[1]CÓDIGOS DE PRODUCTO'!$A$4:$B$156,2,FALSE)</f>
        <v>0</v>
      </c>
      <c r="F2682">
        <f>INDEX('[1]CÓDIGOS DE PRODUCTO'!$C$3:$C$1000,MATCH(C2682,'[1]CÓDIGOS DE PRODUCTO'!$A$3:$A$1000,0))</f>
        <v>0</v>
      </c>
      <c r="G2682">
        <f>+'[1]VENTAS(RESUMEN GLOBAL)'!D2682-'[1]VENTAS(RESUMEN GLOBAL)'!E2682</f>
        <v>0</v>
      </c>
      <c r="H2682" s="9">
        <f>+'[1]VENTAS(RESUMEN GLOBAL)'!K2682</f>
        <v>0</v>
      </c>
      <c r="I2682" s="8">
        <f>+G2682*'[1]VENTAS(RESUMEN GLOBAL)'!F2682</f>
        <v>0</v>
      </c>
      <c r="J2682" s="8">
        <f>'[1]VENTAS(RESUMEN GLOBAL)'!G2682*(1-'[1]VENTAS(RESUMEN GLOBAL)'!H2682)</f>
        <v>0</v>
      </c>
      <c r="K2682" s="8">
        <f t="shared" si="41"/>
        <v>0</v>
      </c>
      <c r="L2682" s="8">
        <f>+'[1]VENTAS(RESUMEN GLOBAL)'!J2682</f>
        <v>0</v>
      </c>
      <c r="M2682" s="8">
        <f>+Tabla1[[#This Row],[utilidad x dia]]*7</f>
        <v>0</v>
      </c>
    </row>
    <row r="2683" spans="1:13" x14ac:dyDescent="0.3">
      <c r="A2683" s="6">
        <f>+'[1]VENTAS(RESUMEN GLOBAL)'!L2683</f>
        <v>0</v>
      </c>
      <c r="B2683" s="6">
        <f>+'[1]VENTAS(RESUMEN GLOBAL)'!M2683</f>
        <v>0</v>
      </c>
      <c r="C2683">
        <f>+'[1]VENTAS(RESUMEN GLOBAL)'!B2683</f>
        <v>0</v>
      </c>
      <c r="D2683" t="e">
        <f>INDEX('[1]CÓDIGOS DE PRODUCTO'!$D$3:$D$1000,MATCH(C2683,'[1]CÓDIGOS DE PRODUCTO'!$A$3:$A$1000,0))</f>
        <v>#N/A</v>
      </c>
      <c r="E2683">
        <f>VLOOKUP(C2683,'[1]CÓDIGOS DE PRODUCTO'!$A$4:$B$156,2,FALSE)</f>
        <v>0</v>
      </c>
      <c r="F2683">
        <f>INDEX('[1]CÓDIGOS DE PRODUCTO'!$C$3:$C$1000,MATCH(C2683,'[1]CÓDIGOS DE PRODUCTO'!$A$3:$A$1000,0))</f>
        <v>0</v>
      </c>
      <c r="G2683">
        <f>+'[1]VENTAS(RESUMEN GLOBAL)'!D2683-'[1]VENTAS(RESUMEN GLOBAL)'!E2683</f>
        <v>0</v>
      </c>
      <c r="H2683" s="9">
        <f>+'[1]VENTAS(RESUMEN GLOBAL)'!K2683</f>
        <v>0</v>
      </c>
      <c r="I2683" s="8">
        <f>+G2683*'[1]VENTAS(RESUMEN GLOBAL)'!F2683</f>
        <v>0</v>
      </c>
      <c r="J2683" s="8">
        <f>'[1]VENTAS(RESUMEN GLOBAL)'!G2683*(1-'[1]VENTAS(RESUMEN GLOBAL)'!H2683)</f>
        <v>0</v>
      </c>
      <c r="K2683" s="8">
        <f t="shared" si="41"/>
        <v>0</v>
      </c>
      <c r="L2683" s="8">
        <f>+'[1]VENTAS(RESUMEN GLOBAL)'!J2683</f>
        <v>0</v>
      </c>
      <c r="M2683" s="8">
        <f>+Tabla1[[#This Row],[utilidad x dia]]*7</f>
        <v>0</v>
      </c>
    </row>
    <row r="2684" spans="1:13" x14ac:dyDescent="0.3">
      <c r="A2684" s="6">
        <f>+'[1]VENTAS(RESUMEN GLOBAL)'!L2684</f>
        <v>0</v>
      </c>
      <c r="B2684" s="6">
        <f>+'[1]VENTAS(RESUMEN GLOBAL)'!M2684</f>
        <v>0</v>
      </c>
      <c r="C2684">
        <f>+'[1]VENTAS(RESUMEN GLOBAL)'!B2684</f>
        <v>0</v>
      </c>
      <c r="D2684" t="e">
        <f>INDEX('[1]CÓDIGOS DE PRODUCTO'!$D$3:$D$1000,MATCH(C2684,'[1]CÓDIGOS DE PRODUCTO'!$A$3:$A$1000,0))</f>
        <v>#N/A</v>
      </c>
      <c r="E2684">
        <f>VLOOKUP(C2684,'[1]CÓDIGOS DE PRODUCTO'!$A$4:$B$156,2,FALSE)</f>
        <v>0</v>
      </c>
      <c r="F2684">
        <f>INDEX('[1]CÓDIGOS DE PRODUCTO'!$C$3:$C$1000,MATCH(C2684,'[1]CÓDIGOS DE PRODUCTO'!$A$3:$A$1000,0))</f>
        <v>0</v>
      </c>
      <c r="G2684">
        <f>+'[1]VENTAS(RESUMEN GLOBAL)'!D2684-'[1]VENTAS(RESUMEN GLOBAL)'!E2684</f>
        <v>0</v>
      </c>
      <c r="H2684" s="9">
        <f>+'[1]VENTAS(RESUMEN GLOBAL)'!K2684</f>
        <v>0</v>
      </c>
      <c r="I2684" s="8">
        <f>+G2684*'[1]VENTAS(RESUMEN GLOBAL)'!F2684</f>
        <v>0</v>
      </c>
      <c r="J2684" s="8">
        <f>'[1]VENTAS(RESUMEN GLOBAL)'!G2684*(1-'[1]VENTAS(RESUMEN GLOBAL)'!H2684)</f>
        <v>0</v>
      </c>
      <c r="K2684" s="8">
        <f t="shared" si="41"/>
        <v>0</v>
      </c>
      <c r="L2684" s="8">
        <f>+'[1]VENTAS(RESUMEN GLOBAL)'!J2684</f>
        <v>0</v>
      </c>
      <c r="M2684" s="8">
        <f>+Tabla1[[#This Row],[utilidad x dia]]*7</f>
        <v>0</v>
      </c>
    </row>
    <row r="2685" spans="1:13" x14ac:dyDescent="0.3">
      <c r="A2685" s="6">
        <f>+'[1]VENTAS(RESUMEN GLOBAL)'!L2685</f>
        <v>0</v>
      </c>
      <c r="B2685" s="6">
        <f>+'[1]VENTAS(RESUMEN GLOBAL)'!M2685</f>
        <v>0</v>
      </c>
      <c r="C2685">
        <f>+'[1]VENTAS(RESUMEN GLOBAL)'!B2685</f>
        <v>0</v>
      </c>
      <c r="D2685" t="e">
        <f>INDEX('[1]CÓDIGOS DE PRODUCTO'!$D$3:$D$1000,MATCH(C2685,'[1]CÓDIGOS DE PRODUCTO'!$A$3:$A$1000,0))</f>
        <v>#N/A</v>
      </c>
      <c r="E2685">
        <f>VLOOKUP(C2685,'[1]CÓDIGOS DE PRODUCTO'!$A$4:$B$156,2,FALSE)</f>
        <v>0</v>
      </c>
      <c r="F2685">
        <f>INDEX('[1]CÓDIGOS DE PRODUCTO'!$C$3:$C$1000,MATCH(C2685,'[1]CÓDIGOS DE PRODUCTO'!$A$3:$A$1000,0))</f>
        <v>0</v>
      </c>
      <c r="G2685">
        <f>+'[1]VENTAS(RESUMEN GLOBAL)'!D2685-'[1]VENTAS(RESUMEN GLOBAL)'!E2685</f>
        <v>0</v>
      </c>
      <c r="H2685" s="9">
        <f>+'[1]VENTAS(RESUMEN GLOBAL)'!K2685</f>
        <v>0</v>
      </c>
      <c r="I2685" s="8">
        <f>+G2685*'[1]VENTAS(RESUMEN GLOBAL)'!F2685</f>
        <v>0</v>
      </c>
      <c r="J2685" s="8">
        <f>'[1]VENTAS(RESUMEN GLOBAL)'!G2685*(1-'[1]VENTAS(RESUMEN GLOBAL)'!H2685)</f>
        <v>0</v>
      </c>
      <c r="K2685" s="8">
        <f t="shared" si="41"/>
        <v>0</v>
      </c>
      <c r="L2685" s="8">
        <f>+'[1]VENTAS(RESUMEN GLOBAL)'!J2685</f>
        <v>0</v>
      </c>
      <c r="M2685" s="8">
        <f>+Tabla1[[#This Row],[utilidad x dia]]*7</f>
        <v>0</v>
      </c>
    </row>
    <row r="2686" spans="1:13" x14ac:dyDescent="0.3">
      <c r="A2686" s="6">
        <f>+'[1]VENTAS(RESUMEN GLOBAL)'!L2686</f>
        <v>0</v>
      </c>
      <c r="B2686" s="6">
        <f>+'[1]VENTAS(RESUMEN GLOBAL)'!M2686</f>
        <v>0</v>
      </c>
      <c r="C2686">
        <f>+'[1]VENTAS(RESUMEN GLOBAL)'!B2686</f>
        <v>0</v>
      </c>
      <c r="D2686" t="e">
        <f>INDEX('[1]CÓDIGOS DE PRODUCTO'!$D$3:$D$1000,MATCH(C2686,'[1]CÓDIGOS DE PRODUCTO'!$A$3:$A$1000,0))</f>
        <v>#N/A</v>
      </c>
      <c r="E2686">
        <f>VLOOKUP(C2686,'[1]CÓDIGOS DE PRODUCTO'!$A$4:$B$156,2,FALSE)</f>
        <v>0</v>
      </c>
      <c r="F2686">
        <f>INDEX('[1]CÓDIGOS DE PRODUCTO'!$C$3:$C$1000,MATCH(C2686,'[1]CÓDIGOS DE PRODUCTO'!$A$3:$A$1000,0))</f>
        <v>0</v>
      </c>
      <c r="G2686">
        <f>+'[1]VENTAS(RESUMEN GLOBAL)'!D2686-'[1]VENTAS(RESUMEN GLOBAL)'!E2686</f>
        <v>0</v>
      </c>
      <c r="H2686" s="9">
        <f>+'[1]VENTAS(RESUMEN GLOBAL)'!K2686</f>
        <v>0</v>
      </c>
      <c r="I2686" s="8">
        <f>+G2686*'[1]VENTAS(RESUMEN GLOBAL)'!F2686</f>
        <v>0</v>
      </c>
      <c r="J2686" s="8">
        <f>'[1]VENTAS(RESUMEN GLOBAL)'!G2686*(1-'[1]VENTAS(RESUMEN GLOBAL)'!H2686)</f>
        <v>0</v>
      </c>
      <c r="K2686" s="8">
        <f t="shared" si="41"/>
        <v>0</v>
      </c>
      <c r="L2686" s="8">
        <f>+'[1]VENTAS(RESUMEN GLOBAL)'!J2686</f>
        <v>0</v>
      </c>
      <c r="M2686" s="8">
        <f>+Tabla1[[#This Row],[utilidad x dia]]*7</f>
        <v>0</v>
      </c>
    </row>
    <row r="2687" spans="1:13" x14ac:dyDescent="0.3">
      <c r="A2687" s="6">
        <f>+'[1]VENTAS(RESUMEN GLOBAL)'!L2687</f>
        <v>0</v>
      </c>
      <c r="B2687" s="6">
        <f>+'[1]VENTAS(RESUMEN GLOBAL)'!M2687</f>
        <v>0</v>
      </c>
      <c r="C2687">
        <f>+'[1]VENTAS(RESUMEN GLOBAL)'!B2687</f>
        <v>0</v>
      </c>
      <c r="D2687" t="e">
        <f>INDEX('[1]CÓDIGOS DE PRODUCTO'!$D$3:$D$1000,MATCH(C2687,'[1]CÓDIGOS DE PRODUCTO'!$A$3:$A$1000,0))</f>
        <v>#N/A</v>
      </c>
      <c r="E2687">
        <f>VLOOKUP(C2687,'[1]CÓDIGOS DE PRODUCTO'!$A$4:$B$156,2,FALSE)</f>
        <v>0</v>
      </c>
      <c r="F2687">
        <f>INDEX('[1]CÓDIGOS DE PRODUCTO'!$C$3:$C$1000,MATCH(C2687,'[1]CÓDIGOS DE PRODUCTO'!$A$3:$A$1000,0))</f>
        <v>0</v>
      </c>
      <c r="G2687">
        <f>+'[1]VENTAS(RESUMEN GLOBAL)'!D2687-'[1]VENTAS(RESUMEN GLOBAL)'!E2687</f>
        <v>0</v>
      </c>
      <c r="H2687" s="9">
        <f>+'[1]VENTAS(RESUMEN GLOBAL)'!K2687</f>
        <v>0</v>
      </c>
      <c r="I2687" s="8">
        <f>+G2687*'[1]VENTAS(RESUMEN GLOBAL)'!F2687</f>
        <v>0</v>
      </c>
      <c r="J2687" s="8">
        <f>'[1]VENTAS(RESUMEN GLOBAL)'!G2687*(1-'[1]VENTAS(RESUMEN GLOBAL)'!H2687)</f>
        <v>0</v>
      </c>
      <c r="K2687" s="8">
        <f t="shared" si="41"/>
        <v>0</v>
      </c>
      <c r="L2687" s="8">
        <f>+'[1]VENTAS(RESUMEN GLOBAL)'!J2687</f>
        <v>0</v>
      </c>
      <c r="M2687" s="8">
        <f>+Tabla1[[#This Row],[utilidad x dia]]*7</f>
        <v>0</v>
      </c>
    </row>
    <row r="2688" spans="1:13" x14ac:dyDescent="0.3">
      <c r="A2688" s="6">
        <f>+'[1]VENTAS(RESUMEN GLOBAL)'!L2688</f>
        <v>0</v>
      </c>
      <c r="B2688" s="6">
        <f>+'[1]VENTAS(RESUMEN GLOBAL)'!M2688</f>
        <v>0</v>
      </c>
      <c r="C2688">
        <f>+'[1]VENTAS(RESUMEN GLOBAL)'!B2688</f>
        <v>0</v>
      </c>
      <c r="D2688" t="e">
        <f>INDEX('[1]CÓDIGOS DE PRODUCTO'!$D$3:$D$1000,MATCH(C2688,'[1]CÓDIGOS DE PRODUCTO'!$A$3:$A$1000,0))</f>
        <v>#N/A</v>
      </c>
      <c r="E2688">
        <f>VLOOKUP(C2688,'[1]CÓDIGOS DE PRODUCTO'!$A$4:$B$156,2,FALSE)</f>
        <v>0</v>
      </c>
      <c r="F2688">
        <f>INDEX('[1]CÓDIGOS DE PRODUCTO'!$C$3:$C$1000,MATCH(C2688,'[1]CÓDIGOS DE PRODUCTO'!$A$3:$A$1000,0))</f>
        <v>0</v>
      </c>
      <c r="G2688">
        <f>+'[1]VENTAS(RESUMEN GLOBAL)'!D2688-'[1]VENTAS(RESUMEN GLOBAL)'!E2688</f>
        <v>0</v>
      </c>
      <c r="H2688" s="9">
        <f>+'[1]VENTAS(RESUMEN GLOBAL)'!K2688</f>
        <v>0</v>
      </c>
      <c r="I2688" s="8">
        <f>+G2688*'[1]VENTAS(RESUMEN GLOBAL)'!F2688</f>
        <v>0</v>
      </c>
      <c r="J2688" s="8">
        <f>'[1]VENTAS(RESUMEN GLOBAL)'!G2688*(1-'[1]VENTAS(RESUMEN GLOBAL)'!H2688)</f>
        <v>0</v>
      </c>
      <c r="K2688" s="8">
        <f t="shared" si="41"/>
        <v>0</v>
      </c>
      <c r="L2688" s="8">
        <f>+'[1]VENTAS(RESUMEN GLOBAL)'!J2688</f>
        <v>0</v>
      </c>
      <c r="M2688" s="8">
        <f>+Tabla1[[#This Row],[utilidad x dia]]*7</f>
        <v>0</v>
      </c>
    </row>
    <row r="2689" spans="1:13" x14ac:dyDescent="0.3">
      <c r="A2689" s="6">
        <f>+'[1]VENTAS(RESUMEN GLOBAL)'!L2689</f>
        <v>0</v>
      </c>
      <c r="B2689" s="6">
        <f>+'[1]VENTAS(RESUMEN GLOBAL)'!M2689</f>
        <v>0</v>
      </c>
      <c r="C2689">
        <f>+'[1]VENTAS(RESUMEN GLOBAL)'!B2689</f>
        <v>0</v>
      </c>
      <c r="D2689" t="e">
        <f>INDEX('[1]CÓDIGOS DE PRODUCTO'!$D$3:$D$1000,MATCH(C2689,'[1]CÓDIGOS DE PRODUCTO'!$A$3:$A$1000,0))</f>
        <v>#N/A</v>
      </c>
      <c r="E2689">
        <f>VLOOKUP(C2689,'[1]CÓDIGOS DE PRODUCTO'!$A$4:$B$156,2,FALSE)</f>
        <v>0</v>
      </c>
      <c r="F2689">
        <f>INDEX('[1]CÓDIGOS DE PRODUCTO'!$C$3:$C$1000,MATCH(C2689,'[1]CÓDIGOS DE PRODUCTO'!$A$3:$A$1000,0))</f>
        <v>0</v>
      </c>
      <c r="G2689">
        <f>+'[1]VENTAS(RESUMEN GLOBAL)'!D2689-'[1]VENTAS(RESUMEN GLOBAL)'!E2689</f>
        <v>0</v>
      </c>
      <c r="H2689" s="9">
        <f>+'[1]VENTAS(RESUMEN GLOBAL)'!K2689</f>
        <v>0</v>
      </c>
      <c r="I2689" s="8">
        <f>+G2689*'[1]VENTAS(RESUMEN GLOBAL)'!F2689</f>
        <v>0</v>
      </c>
      <c r="J2689" s="8">
        <f>'[1]VENTAS(RESUMEN GLOBAL)'!G2689*(1-'[1]VENTAS(RESUMEN GLOBAL)'!H2689)</f>
        <v>0</v>
      </c>
      <c r="K2689" s="8">
        <f t="shared" si="41"/>
        <v>0</v>
      </c>
      <c r="L2689" s="8">
        <f>+'[1]VENTAS(RESUMEN GLOBAL)'!J2689</f>
        <v>0</v>
      </c>
      <c r="M2689" s="8">
        <f>+Tabla1[[#This Row],[utilidad x dia]]*7</f>
        <v>0</v>
      </c>
    </row>
    <row r="2690" spans="1:13" x14ac:dyDescent="0.3">
      <c r="A2690" s="6">
        <f>+'[1]VENTAS(RESUMEN GLOBAL)'!L2690</f>
        <v>0</v>
      </c>
      <c r="B2690" s="6">
        <f>+'[1]VENTAS(RESUMEN GLOBAL)'!M2690</f>
        <v>0</v>
      </c>
      <c r="C2690">
        <f>+'[1]VENTAS(RESUMEN GLOBAL)'!B2690</f>
        <v>0</v>
      </c>
      <c r="D2690" t="e">
        <f>INDEX('[1]CÓDIGOS DE PRODUCTO'!$D$3:$D$1000,MATCH(C2690,'[1]CÓDIGOS DE PRODUCTO'!$A$3:$A$1000,0))</f>
        <v>#N/A</v>
      </c>
      <c r="E2690">
        <f>VLOOKUP(C2690,'[1]CÓDIGOS DE PRODUCTO'!$A$4:$B$156,2,FALSE)</f>
        <v>0</v>
      </c>
      <c r="F2690">
        <f>INDEX('[1]CÓDIGOS DE PRODUCTO'!$C$3:$C$1000,MATCH(C2690,'[1]CÓDIGOS DE PRODUCTO'!$A$3:$A$1000,0))</f>
        <v>0</v>
      </c>
      <c r="G2690">
        <f>+'[1]VENTAS(RESUMEN GLOBAL)'!D2690-'[1]VENTAS(RESUMEN GLOBAL)'!E2690</f>
        <v>0</v>
      </c>
      <c r="H2690" s="9">
        <f>+'[1]VENTAS(RESUMEN GLOBAL)'!K2690</f>
        <v>0</v>
      </c>
      <c r="I2690" s="8">
        <f>+G2690*'[1]VENTAS(RESUMEN GLOBAL)'!F2690</f>
        <v>0</v>
      </c>
      <c r="J2690" s="8">
        <f>'[1]VENTAS(RESUMEN GLOBAL)'!G2690*(1-'[1]VENTAS(RESUMEN GLOBAL)'!H2690)</f>
        <v>0</v>
      </c>
      <c r="K2690" s="8">
        <f t="shared" si="41"/>
        <v>0</v>
      </c>
      <c r="L2690" s="8">
        <f>+'[1]VENTAS(RESUMEN GLOBAL)'!J2690</f>
        <v>0</v>
      </c>
      <c r="M2690" s="8">
        <f>+Tabla1[[#This Row],[utilidad x dia]]*7</f>
        <v>0</v>
      </c>
    </row>
    <row r="2691" spans="1:13" x14ac:dyDescent="0.3">
      <c r="A2691" s="6">
        <f>+'[1]VENTAS(RESUMEN GLOBAL)'!L2691</f>
        <v>0</v>
      </c>
      <c r="B2691" s="6">
        <f>+'[1]VENTAS(RESUMEN GLOBAL)'!M2691</f>
        <v>0</v>
      </c>
      <c r="C2691">
        <f>+'[1]VENTAS(RESUMEN GLOBAL)'!B2691</f>
        <v>0</v>
      </c>
      <c r="D2691" t="e">
        <f>INDEX('[1]CÓDIGOS DE PRODUCTO'!$D$3:$D$1000,MATCH(C2691,'[1]CÓDIGOS DE PRODUCTO'!$A$3:$A$1000,0))</f>
        <v>#N/A</v>
      </c>
      <c r="E2691">
        <f>VLOOKUP(C2691,'[1]CÓDIGOS DE PRODUCTO'!$A$4:$B$156,2,FALSE)</f>
        <v>0</v>
      </c>
      <c r="F2691">
        <f>INDEX('[1]CÓDIGOS DE PRODUCTO'!$C$3:$C$1000,MATCH(C2691,'[1]CÓDIGOS DE PRODUCTO'!$A$3:$A$1000,0))</f>
        <v>0</v>
      </c>
      <c r="G2691">
        <f>+'[1]VENTAS(RESUMEN GLOBAL)'!D2691-'[1]VENTAS(RESUMEN GLOBAL)'!E2691</f>
        <v>0</v>
      </c>
      <c r="H2691" s="9">
        <f>+'[1]VENTAS(RESUMEN GLOBAL)'!K2691</f>
        <v>0</v>
      </c>
      <c r="I2691" s="8">
        <f>+G2691*'[1]VENTAS(RESUMEN GLOBAL)'!F2691</f>
        <v>0</v>
      </c>
      <c r="J2691" s="8">
        <f>'[1]VENTAS(RESUMEN GLOBAL)'!G2691*(1-'[1]VENTAS(RESUMEN GLOBAL)'!H2691)</f>
        <v>0</v>
      </c>
      <c r="K2691" s="8">
        <f t="shared" ref="K2691:K2754" si="42">+I2691-J2691</f>
        <v>0</v>
      </c>
      <c r="L2691" s="8">
        <f>+'[1]VENTAS(RESUMEN GLOBAL)'!J2691</f>
        <v>0</v>
      </c>
      <c r="M2691" s="8">
        <f>+Tabla1[[#This Row],[utilidad x dia]]*7</f>
        <v>0</v>
      </c>
    </row>
    <row r="2692" spans="1:13" x14ac:dyDescent="0.3">
      <c r="A2692" s="6">
        <f>+'[1]VENTAS(RESUMEN GLOBAL)'!L2692</f>
        <v>0</v>
      </c>
      <c r="B2692" s="6">
        <f>+'[1]VENTAS(RESUMEN GLOBAL)'!M2692</f>
        <v>0</v>
      </c>
      <c r="C2692">
        <f>+'[1]VENTAS(RESUMEN GLOBAL)'!B2692</f>
        <v>0</v>
      </c>
      <c r="D2692" t="e">
        <f>INDEX('[1]CÓDIGOS DE PRODUCTO'!$D$3:$D$1000,MATCH(C2692,'[1]CÓDIGOS DE PRODUCTO'!$A$3:$A$1000,0))</f>
        <v>#N/A</v>
      </c>
      <c r="E2692">
        <f>VLOOKUP(C2692,'[1]CÓDIGOS DE PRODUCTO'!$A$4:$B$156,2,FALSE)</f>
        <v>0</v>
      </c>
      <c r="F2692">
        <f>INDEX('[1]CÓDIGOS DE PRODUCTO'!$C$3:$C$1000,MATCH(C2692,'[1]CÓDIGOS DE PRODUCTO'!$A$3:$A$1000,0))</f>
        <v>0</v>
      </c>
      <c r="G2692">
        <f>+'[1]VENTAS(RESUMEN GLOBAL)'!D2692-'[1]VENTAS(RESUMEN GLOBAL)'!E2692</f>
        <v>0</v>
      </c>
      <c r="H2692" s="9">
        <f>+'[1]VENTAS(RESUMEN GLOBAL)'!K2692</f>
        <v>0</v>
      </c>
      <c r="I2692" s="8">
        <f>+G2692*'[1]VENTAS(RESUMEN GLOBAL)'!F2692</f>
        <v>0</v>
      </c>
      <c r="J2692" s="8">
        <f>'[1]VENTAS(RESUMEN GLOBAL)'!G2692*(1-'[1]VENTAS(RESUMEN GLOBAL)'!H2692)</f>
        <v>0</v>
      </c>
      <c r="K2692" s="8">
        <f t="shared" si="42"/>
        <v>0</v>
      </c>
      <c r="L2692" s="8">
        <f>+'[1]VENTAS(RESUMEN GLOBAL)'!J2692</f>
        <v>0</v>
      </c>
      <c r="M2692" s="8">
        <f>+Tabla1[[#This Row],[utilidad x dia]]*7</f>
        <v>0</v>
      </c>
    </row>
    <row r="2693" spans="1:13" x14ac:dyDescent="0.3">
      <c r="A2693" s="6">
        <f>+'[1]VENTAS(RESUMEN GLOBAL)'!L2693</f>
        <v>0</v>
      </c>
      <c r="B2693" s="6">
        <f>+'[1]VENTAS(RESUMEN GLOBAL)'!M2693</f>
        <v>0</v>
      </c>
      <c r="C2693">
        <f>+'[1]VENTAS(RESUMEN GLOBAL)'!B2693</f>
        <v>0</v>
      </c>
      <c r="D2693" t="e">
        <f>INDEX('[1]CÓDIGOS DE PRODUCTO'!$D$3:$D$1000,MATCH(C2693,'[1]CÓDIGOS DE PRODUCTO'!$A$3:$A$1000,0))</f>
        <v>#N/A</v>
      </c>
      <c r="E2693">
        <f>VLOOKUP(C2693,'[1]CÓDIGOS DE PRODUCTO'!$A$4:$B$156,2,FALSE)</f>
        <v>0</v>
      </c>
      <c r="F2693">
        <f>INDEX('[1]CÓDIGOS DE PRODUCTO'!$C$3:$C$1000,MATCH(C2693,'[1]CÓDIGOS DE PRODUCTO'!$A$3:$A$1000,0))</f>
        <v>0</v>
      </c>
      <c r="G2693">
        <f>+'[1]VENTAS(RESUMEN GLOBAL)'!D2693-'[1]VENTAS(RESUMEN GLOBAL)'!E2693</f>
        <v>0</v>
      </c>
      <c r="H2693" s="9">
        <f>+'[1]VENTAS(RESUMEN GLOBAL)'!K2693</f>
        <v>0</v>
      </c>
      <c r="I2693" s="8">
        <f>+G2693*'[1]VENTAS(RESUMEN GLOBAL)'!F2693</f>
        <v>0</v>
      </c>
      <c r="J2693" s="8">
        <f>'[1]VENTAS(RESUMEN GLOBAL)'!G2693*(1-'[1]VENTAS(RESUMEN GLOBAL)'!H2693)</f>
        <v>0</v>
      </c>
      <c r="K2693" s="8">
        <f t="shared" si="42"/>
        <v>0</v>
      </c>
      <c r="L2693" s="8">
        <f>+'[1]VENTAS(RESUMEN GLOBAL)'!J2693</f>
        <v>0</v>
      </c>
      <c r="M2693" s="8">
        <f>+Tabla1[[#This Row],[utilidad x dia]]*7</f>
        <v>0</v>
      </c>
    </row>
    <row r="2694" spans="1:13" x14ac:dyDescent="0.3">
      <c r="A2694" s="6">
        <f>+'[1]VENTAS(RESUMEN GLOBAL)'!L2694</f>
        <v>0</v>
      </c>
      <c r="B2694" s="6">
        <f>+'[1]VENTAS(RESUMEN GLOBAL)'!M2694</f>
        <v>0</v>
      </c>
      <c r="C2694">
        <f>+'[1]VENTAS(RESUMEN GLOBAL)'!B2694</f>
        <v>0</v>
      </c>
      <c r="D2694" t="e">
        <f>INDEX('[1]CÓDIGOS DE PRODUCTO'!$D$3:$D$1000,MATCH(C2694,'[1]CÓDIGOS DE PRODUCTO'!$A$3:$A$1000,0))</f>
        <v>#N/A</v>
      </c>
      <c r="E2694">
        <f>VLOOKUP(C2694,'[1]CÓDIGOS DE PRODUCTO'!$A$4:$B$156,2,FALSE)</f>
        <v>0</v>
      </c>
      <c r="F2694">
        <f>INDEX('[1]CÓDIGOS DE PRODUCTO'!$C$3:$C$1000,MATCH(C2694,'[1]CÓDIGOS DE PRODUCTO'!$A$3:$A$1000,0))</f>
        <v>0</v>
      </c>
      <c r="G2694">
        <f>+'[1]VENTAS(RESUMEN GLOBAL)'!D2694-'[1]VENTAS(RESUMEN GLOBAL)'!E2694</f>
        <v>0</v>
      </c>
      <c r="H2694" s="9">
        <f>+'[1]VENTAS(RESUMEN GLOBAL)'!K2694</f>
        <v>0</v>
      </c>
      <c r="I2694" s="8">
        <f>+G2694*'[1]VENTAS(RESUMEN GLOBAL)'!F2694</f>
        <v>0</v>
      </c>
      <c r="J2694" s="8">
        <f>'[1]VENTAS(RESUMEN GLOBAL)'!G2694*(1-'[1]VENTAS(RESUMEN GLOBAL)'!H2694)</f>
        <v>0</v>
      </c>
      <c r="K2694" s="8">
        <f t="shared" si="42"/>
        <v>0</v>
      </c>
      <c r="L2694" s="8">
        <f>+'[1]VENTAS(RESUMEN GLOBAL)'!J2694</f>
        <v>0</v>
      </c>
      <c r="M2694" s="8">
        <f>+Tabla1[[#This Row],[utilidad x dia]]*7</f>
        <v>0</v>
      </c>
    </row>
    <row r="2695" spans="1:13" x14ac:dyDescent="0.3">
      <c r="A2695" s="6">
        <f>+'[1]VENTAS(RESUMEN GLOBAL)'!L2695</f>
        <v>0</v>
      </c>
      <c r="B2695" s="6">
        <f>+'[1]VENTAS(RESUMEN GLOBAL)'!M2695</f>
        <v>0</v>
      </c>
      <c r="C2695">
        <f>+'[1]VENTAS(RESUMEN GLOBAL)'!B2695</f>
        <v>0</v>
      </c>
      <c r="D2695" t="e">
        <f>INDEX('[1]CÓDIGOS DE PRODUCTO'!$D$3:$D$1000,MATCH(C2695,'[1]CÓDIGOS DE PRODUCTO'!$A$3:$A$1000,0))</f>
        <v>#N/A</v>
      </c>
      <c r="E2695">
        <f>VLOOKUP(C2695,'[1]CÓDIGOS DE PRODUCTO'!$A$4:$B$156,2,FALSE)</f>
        <v>0</v>
      </c>
      <c r="F2695">
        <f>INDEX('[1]CÓDIGOS DE PRODUCTO'!$C$3:$C$1000,MATCH(C2695,'[1]CÓDIGOS DE PRODUCTO'!$A$3:$A$1000,0))</f>
        <v>0</v>
      </c>
      <c r="G2695">
        <f>+'[1]VENTAS(RESUMEN GLOBAL)'!D2695-'[1]VENTAS(RESUMEN GLOBAL)'!E2695</f>
        <v>0</v>
      </c>
      <c r="H2695" s="9">
        <f>+'[1]VENTAS(RESUMEN GLOBAL)'!K2695</f>
        <v>0</v>
      </c>
      <c r="I2695" s="8">
        <f>+G2695*'[1]VENTAS(RESUMEN GLOBAL)'!F2695</f>
        <v>0</v>
      </c>
      <c r="J2695" s="8">
        <f>'[1]VENTAS(RESUMEN GLOBAL)'!G2695*(1-'[1]VENTAS(RESUMEN GLOBAL)'!H2695)</f>
        <v>0</v>
      </c>
      <c r="K2695" s="8">
        <f t="shared" si="42"/>
        <v>0</v>
      </c>
      <c r="L2695" s="8">
        <f>+'[1]VENTAS(RESUMEN GLOBAL)'!J2695</f>
        <v>0</v>
      </c>
      <c r="M2695" s="8">
        <f>+Tabla1[[#This Row],[utilidad x dia]]*7</f>
        <v>0</v>
      </c>
    </row>
    <row r="2696" spans="1:13" x14ac:dyDescent="0.3">
      <c r="A2696" s="6">
        <f>+'[1]VENTAS(RESUMEN GLOBAL)'!L2696</f>
        <v>0</v>
      </c>
      <c r="B2696" s="6">
        <f>+'[1]VENTAS(RESUMEN GLOBAL)'!M2696</f>
        <v>0</v>
      </c>
      <c r="C2696">
        <f>+'[1]VENTAS(RESUMEN GLOBAL)'!B2696</f>
        <v>0</v>
      </c>
      <c r="D2696" t="e">
        <f>INDEX('[1]CÓDIGOS DE PRODUCTO'!$D$3:$D$1000,MATCH(C2696,'[1]CÓDIGOS DE PRODUCTO'!$A$3:$A$1000,0))</f>
        <v>#N/A</v>
      </c>
      <c r="E2696">
        <f>VLOOKUP(C2696,'[1]CÓDIGOS DE PRODUCTO'!$A$4:$B$156,2,FALSE)</f>
        <v>0</v>
      </c>
      <c r="F2696">
        <f>INDEX('[1]CÓDIGOS DE PRODUCTO'!$C$3:$C$1000,MATCH(C2696,'[1]CÓDIGOS DE PRODUCTO'!$A$3:$A$1000,0))</f>
        <v>0</v>
      </c>
      <c r="G2696">
        <f>+'[1]VENTAS(RESUMEN GLOBAL)'!D2696-'[1]VENTAS(RESUMEN GLOBAL)'!E2696</f>
        <v>0</v>
      </c>
      <c r="H2696" s="9">
        <f>+'[1]VENTAS(RESUMEN GLOBAL)'!K2696</f>
        <v>0</v>
      </c>
      <c r="I2696" s="8">
        <f>+G2696*'[1]VENTAS(RESUMEN GLOBAL)'!F2696</f>
        <v>0</v>
      </c>
      <c r="J2696" s="8">
        <f>'[1]VENTAS(RESUMEN GLOBAL)'!G2696*(1-'[1]VENTAS(RESUMEN GLOBAL)'!H2696)</f>
        <v>0</v>
      </c>
      <c r="K2696" s="8">
        <f t="shared" si="42"/>
        <v>0</v>
      </c>
      <c r="L2696" s="8">
        <f>+'[1]VENTAS(RESUMEN GLOBAL)'!J2696</f>
        <v>0</v>
      </c>
      <c r="M2696" s="8">
        <f>+Tabla1[[#This Row],[utilidad x dia]]*7</f>
        <v>0</v>
      </c>
    </row>
    <row r="2697" spans="1:13" x14ac:dyDescent="0.3">
      <c r="A2697" s="6">
        <f>+'[1]VENTAS(RESUMEN GLOBAL)'!L2697</f>
        <v>0</v>
      </c>
      <c r="B2697" s="6">
        <f>+'[1]VENTAS(RESUMEN GLOBAL)'!M2697</f>
        <v>0</v>
      </c>
      <c r="C2697">
        <f>+'[1]VENTAS(RESUMEN GLOBAL)'!B2697</f>
        <v>0</v>
      </c>
      <c r="D2697" t="e">
        <f>INDEX('[1]CÓDIGOS DE PRODUCTO'!$D$3:$D$1000,MATCH(C2697,'[1]CÓDIGOS DE PRODUCTO'!$A$3:$A$1000,0))</f>
        <v>#N/A</v>
      </c>
      <c r="E2697">
        <f>VLOOKUP(C2697,'[1]CÓDIGOS DE PRODUCTO'!$A$4:$B$156,2,FALSE)</f>
        <v>0</v>
      </c>
      <c r="F2697">
        <f>INDEX('[1]CÓDIGOS DE PRODUCTO'!$C$3:$C$1000,MATCH(C2697,'[1]CÓDIGOS DE PRODUCTO'!$A$3:$A$1000,0))</f>
        <v>0</v>
      </c>
      <c r="G2697">
        <f>+'[1]VENTAS(RESUMEN GLOBAL)'!D2697-'[1]VENTAS(RESUMEN GLOBAL)'!E2697</f>
        <v>0</v>
      </c>
      <c r="H2697" s="9">
        <f>+'[1]VENTAS(RESUMEN GLOBAL)'!K2697</f>
        <v>0</v>
      </c>
      <c r="I2697" s="8">
        <f>+G2697*'[1]VENTAS(RESUMEN GLOBAL)'!F2697</f>
        <v>0</v>
      </c>
      <c r="J2697" s="8">
        <f>'[1]VENTAS(RESUMEN GLOBAL)'!G2697*(1-'[1]VENTAS(RESUMEN GLOBAL)'!H2697)</f>
        <v>0</v>
      </c>
      <c r="K2697" s="8">
        <f t="shared" si="42"/>
        <v>0</v>
      </c>
      <c r="L2697" s="8">
        <f>+'[1]VENTAS(RESUMEN GLOBAL)'!J2697</f>
        <v>0</v>
      </c>
      <c r="M2697" s="8">
        <f>+Tabla1[[#This Row],[utilidad x dia]]*7</f>
        <v>0</v>
      </c>
    </row>
    <row r="2698" spans="1:13" x14ac:dyDescent="0.3">
      <c r="A2698" s="6">
        <f>+'[1]VENTAS(RESUMEN GLOBAL)'!L2698</f>
        <v>0</v>
      </c>
      <c r="B2698" s="6">
        <f>+'[1]VENTAS(RESUMEN GLOBAL)'!M2698</f>
        <v>0</v>
      </c>
      <c r="C2698">
        <f>+'[1]VENTAS(RESUMEN GLOBAL)'!B2698</f>
        <v>0</v>
      </c>
      <c r="D2698" t="e">
        <f>INDEX('[1]CÓDIGOS DE PRODUCTO'!$D$3:$D$1000,MATCH(C2698,'[1]CÓDIGOS DE PRODUCTO'!$A$3:$A$1000,0))</f>
        <v>#N/A</v>
      </c>
      <c r="E2698">
        <f>VLOOKUP(C2698,'[1]CÓDIGOS DE PRODUCTO'!$A$4:$B$156,2,FALSE)</f>
        <v>0</v>
      </c>
      <c r="F2698">
        <f>INDEX('[1]CÓDIGOS DE PRODUCTO'!$C$3:$C$1000,MATCH(C2698,'[1]CÓDIGOS DE PRODUCTO'!$A$3:$A$1000,0))</f>
        <v>0</v>
      </c>
      <c r="G2698">
        <f>+'[1]VENTAS(RESUMEN GLOBAL)'!D2698-'[1]VENTAS(RESUMEN GLOBAL)'!E2698</f>
        <v>0</v>
      </c>
      <c r="H2698" s="9">
        <f>+'[1]VENTAS(RESUMEN GLOBAL)'!K2698</f>
        <v>0</v>
      </c>
      <c r="I2698" s="8">
        <f>+G2698*'[1]VENTAS(RESUMEN GLOBAL)'!F2698</f>
        <v>0</v>
      </c>
      <c r="J2698" s="8">
        <f>'[1]VENTAS(RESUMEN GLOBAL)'!G2698*(1-'[1]VENTAS(RESUMEN GLOBAL)'!H2698)</f>
        <v>0</v>
      </c>
      <c r="K2698" s="8">
        <f t="shared" si="42"/>
        <v>0</v>
      </c>
      <c r="L2698" s="8">
        <f>+'[1]VENTAS(RESUMEN GLOBAL)'!J2698</f>
        <v>0</v>
      </c>
      <c r="M2698" s="8">
        <f>+Tabla1[[#This Row],[utilidad x dia]]*7</f>
        <v>0</v>
      </c>
    </row>
    <row r="2699" spans="1:13" x14ac:dyDescent="0.3">
      <c r="A2699" s="6">
        <f>+'[1]VENTAS(RESUMEN GLOBAL)'!L2699</f>
        <v>0</v>
      </c>
      <c r="B2699" s="6">
        <f>+'[1]VENTAS(RESUMEN GLOBAL)'!M2699</f>
        <v>0</v>
      </c>
      <c r="C2699">
        <f>+'[1]VENTAS(RESUMEN GLOBAL)'!B2699</f>
        <v>0</v>
      </c>
      <c r="D2699" t="e">
        <f>INDEX('[1]CÓDIGOS DE PRODUCTO'!$D$3:$D$1000,MATCH(C2699,'[1]CÓDIGOS DE PRODUCTO'!$A$3:$A$1000,0))</f>
        <v>#N/A</v>
      </c>
      <c r="E2699">
        <f>VLOOKUP(C2699,'[1]CÓDIGOS DE PRODUCTO'!$A$4:$B$156,2,FALSE)</f>
        <v>0</v>
      </c>
      <c r="F2699">
        <f>INDEX('[1]CÓDIGOS DE PRODUCTO'!$C$3:$C$1000,MATCH(C2699,'[1]CÓDIGOS DE PRODUCTO'!$A$3:$A$1000,0))</f>
        <v>0</v>
      </c>
      <c r="G2699">
        <f>+'[1]VENTAS(RESUMEN GLOBAL)'!D2699-'[1]VENTAS(RESUMEN GLOBAL)'!E2699</f>
        <v>0</v>
      </c>
      <c r="H2699" s="9">
        <f>+'[1]VENTAS(RESUMEN GLOBAL)'!K2699</f>
        <v>0</v>
      </c>
      <c r="I2699" s="8">
        <f>+G2699*'[1]VENTAS(RESUMEN GLOBAL)'!F2699</f>
        <v>0</v>
      </c>
      <c r="J2699" s="8">
        <f>'[1]VENTAS(RESUMEN GLOBAL)'!G2699*(1-'[1]VENTAS(RESUMEN GLOBAL)'!H2699)</f>
        <v>0</v>
      </c>
      <c r="K2699" s="8">
        <f t="shared" si="42"/>
        <v>0</v>
      </c>
      <c r="L2699" s="8">
        <f>+'[1]VENTAS(RESUMEN GLOBAL)'!J2699</f>
        <v>0</v>
      </c>
      <c r="M2699" s="8">
        <f>+Tabla1[[#This Row],[utilidad x dia]]*7</f>
        <v>0</v>
      </c>
    </row>
    <row r="2700" spans="1:13" x14ac:dyDescent="0.3">
      <c r="A2700" s="6">
        <f>+'[1]VENTAS(RESUMEN GLOBAL)'!L2700</f>
        <v>0</v>
      </c>
      <c r="B2700" s="6">
        <f>+'[1]VENTAS(RESUMEN GLOBAL)'!M2700</f>
        <v>0</v>
      </c>
      <c r="C2700">
        <f>+'[1]VENTAS(RESUMEN GLOBAL)'!B2700</f>
        <v>0</v>
      </c>
      <c r="D2700" t="e">
        <f>INDEX('[1]CÓDIGOS DE PRODUCTO'!$D$3:$D$1000,MATCH(C2700,'[1]CÓDIGOS DE PRODUCTO'!$A$3:$A$1000,0))</f>
        <v>#N/A</v>
      </c>
      <c r="E2700">
        <f>VLOOKUP(C2700,'[1]CÓDIGOS DE PRODUCTO'!$A$4:$B$156,2,FALSE)</f>
        <v>0</v>
      </c>
      <c r="F2700">
        <f>INDEX('[1]CÓDIGOS DE PRODUCTO'!$C$3:$C$1000,MATCH(C2700,'[1]CÓDIGOS DE PRODUCTO'!$A$3:$A$1000,0))</f>
        <v>0</v>
      </c>
      <c r="G2700">
        <f>+'[1]VENTAS(RESUMEN GLOBAL)'!D2700-'[1]VENTAS(RESUMEN GLOBAL)'!E2700</f>
        <v>0</v>
      </c>
      <c r="H2700" s="9">
        <f>+'[1]VENTAS(RESUMEN GLOBAL)'!K2700</f>
        <v>0</v>
      </c>
      <c r="I2700" s="8">
        <f>+G2700*'[1]VENTAS(RESUMEN GLOBAL)'!F2700</f>
        <v>0</v>
      </c>
      <c r="J2700" s="8">
        <f>'[1]VENTAS(RESUMEN GLOBAL)'!G2700*(1-'[1]VENTAS(RESUMEN GLOBAL)'!H2700)</f>
        <v>0</v>
      </c>
      <c r="K2700" s="8">
        <f t="shared" si="42"/>
        <v>0</v>
      </c>
      <c r="L2700" s="8">
        <f>+'[1]VENTAS(RESUMEN GLOBAL)'!J2700</f>
        <v>0</v>
      </c>
      <c r="M2700" s="8">
        <f>+Tabla1[[#This Row],[utilidad x dia]]*7</f>
        <v>0</v>
      </c>
    </row>
    <row r="2701" spans="1:13" x14ac:dyDescent="0.3">
      <c r="A2701" s="6">
        <f>+'[1]VENTAS(RESUMEN GLOBAL)'!L2701</f>
        <v>0</v>
      </c>
      <c r="B2701" s="6">
        <f>+'[1]VENTAS(RESUMEN GLOBAL)'!M2701</f>
        <v>0</v>
      </c>
      <c r="C2701">
        <f>+'[1]VENTAS(RESUMEN GLOBAL)'!B2701</f>
        <v>0</v>
      </c>
      <c r="D2701" t="e">
        <f>INDEX('[1]CÓDIGOS DE PRODUCTO'!$D$3:$D$1000,MATCH(C2701,'[1]CÓDIGOS DE PRODUCTO'!$A$3:$A$1000,0))</f>
        <v>#N/A</v>
      </c>
      <c r="E2701">
        <f>VLOOKUP(C2701,'[1]CÓDIGOS DE PRODUCTO'!$A$4:$B$156,2,FALSE)</f>
        <v>0</v>
      </c>
      <c r="F2701">
        <f>INDEX('[1]CÓDIGOS DE PRODUCTO'!$C$3:$C$1000,MATCH(C2701,'[1]CÓDIGOS DE PRODUCTO'!$A$3:$A$1000,0))</f>
        <v>0</v>
      </c>
      <c r="G2701">
        <f>+'[1]VENTAS(RESUMEN GLOBAL)'!D2701-'[1]VENTAS(RESUMEN GLOBAL)'!E2701</f>
        <v>0</v>
      </c>
      <c r="H2701" s="9">
        <f>+'[1]VENTAS(RESUMEN GLOBAL)'!K2701</f>
        <v>0</v>
      </c>
      <c r="I2701" s="8">
        <f>+G2701*'[1]VENTAS(RESUMEN GLOBAL)'!F2701</f>
        <v>0</v>
      </c>
      <c r="J2701" s="8">
        <f>'[1]VENTAS(RESUMEN GLOBAL)'!G2701*(1-'[1]VENTAS(RESUMEN GLOBAL)'!H2701)</f>
        <v>0</v>
      </c>
      <c r="K2701" s="8">
        <f t="shared" si="42"/>
        <v>0</v>
      </c>
      <c r="L2701" s="8">
        <f>+'[1]VENTAS(RESUMEN GLOBAL)'!J2701</f>
        <v>0</v>
      </c>
      <c r="M2701" s="8">
        <f>+Tabla1[[#This Row],[utilidad x dia]]*7</f>
        <v>0</v>
      </c>
    </row>
    <row r="2702" spans="1:13" x14ac:dyDescent="0.3">
      <c r="A2702" s="6">
        <f>+'[1]VENTAS(RESUMEN GLOBAL)'!L2702</f>
        <v>0</v>
      </c>
      <c r="B2702" s="6">
        <f>+'[1]VENTAS(RESUMEN GLOBAL)'!M2702</f>
        <v>0</v>
      </c>
      <c r="C2702">
        <f>+'[1]VENTAS(RESUMEN GLOBAL)'!B2702</f>
        <v>0</v>
      </c>
      <c r="D2702" t="e">
        <f>INDEX('[1]CÓDIGOS DE PRODUCTO'!$D$3:$D$1000,MATCH(C2702,'[1]CÓDIGOS DE PRODUCTO'!$A$3:$A$1000,0))</f>
        <v>#N/A</v>
      </c>
      <c r="E2702">
        <f>VLOOKUP(C2702,'[1]CÓDIGOS DE PRODUCTO'!$A$4:$B$156,2,FALSE)</f>
        <v>0</v>
      </c>
      <c r="F2702">
        <f>INDEX('[1]CÓDIGOS DE PRODUCTO'!$C$3:$C$1000,MATCH(C2702,'[1]CÓDIGOS DE PRODUCTO'!$A$3:$A$1000,0))</f>
        <v>0</v>
      </c>
      <c r="G2702">
        <f>+'[1]VENTAS(RESUMEN GLOBAL)'!D2702-'[1]VENTAS(RESUMEN GLOBAL)'!E2702</f>
        <v>0</v>
      </c>
      <c r="H2702" s="9">
        <f>+'[1]VENTAS(RESUMEN GLOBAL)'!K2702</f>
        <v>0</v>
      </c>
      <c r="I2702" s="8">
        <f>+G2702*'[1]VENTAS(RESUMEN GLOBAL)'!F2702</f>
        <v>0</v>
      </c>
      <c r="J2702" s="8">
        <f>'[1]VENTAS(RESUMEN GLOBAL)'!G2702*(1-'[1]VENTAS(RESUMEN GLOBAL)'!H2702)</f>
        <v>0</v>
      </c>
      <c r="K2702" s="8">
        <f t="shared" si="42"/>
        <v>0</v>
      </c>
      <c r="L2702" s="8">
        <f>+'[1]VENTAS(RESUMEN GLOBAL)'!J2702</f>
        <v>0</v>
      </c>
      <c r="M2702" s="8">
        <f>+Tabla1[[#This Row],[utilidad x dia]]*7</f>
        <v>0</v>
      </c>
    </row>
    <row r="2703" spans="1:13" x14ac:dyDescent="0.3">
      <c r="A2703" s="6">
        <f>+'[1]VENTAS(RESUMEN GLOBAL)'!L2703</f>
        <v>0</v>
      </c>
      <c r="B2703" s="6">
        <f>+'[1]VENTAS(RESUMEN GLOBAL)'!M2703</f>
        <v>0</v>
      </c>
      <c r="C2703">
        <f>+'[1]VENTAS(RESUMEN GLOBAL)'!B2703</f>
        <v>0</v>
      </c>
      <c r="D2703" t="e">
        <f>INDEX('[1]CÓDIGOS DE PRODUCTO'!$D$3:$D$1000,MATCH(C2703,'[1]CÓDIGOS DE PRODUCTO'!$A$3:$A$1000,0))</f>
        <v>#N/A</v>
      </c>
      <c r="E2703">
        <f>VLOOKUP(C2703,'[1]CÓDIGOS DE PRODUCTO'!$A$4:$B$156,2,FALSE)</f>
        <v>0</v>
      </c>
      <c r="F2703">
        <f>INDEX('[1]CÓDIGOS DE PRODUCTO'!$C$3:$C$1000,MATCH(C2703,'[1]CÓDIGOS DE PRODUCTO'!$A$3:$A$1000,0))</f>
        <v>0</v>
      </c>
      <c r="G2703">
        <f>+'[1]VENTAS(RESUMEN GLOBAL)'!D2703-'[1]VENTAS(RESUMEN GLOBAL)'!E2703</f>
        <v>0</v>
      </c>
      <c r="H2703" s="9">
        <f>+'[1]VENTAS(RESUMEN GLOBAL)'!K2703</f>
        <v>0</v>
      </c>
      <c r="I2703" s="8">
        <f>+G2703*'[1]VENTAS(RESUMEN GLOBAL)'!F2703</f>
        <v>0</v>
      </c>
      <c r="J2703" s="8">
        <f>'[1]VENTAS(RESUMEN GLOBAL)'!G2703*(1-'[1]VENTAS(RESUMEN GLOBAL)'!H2703)</f>
        <v>0</v>
      </c>
      <c r="K2703" s="8">
        <f t="shared" si="42"/>
        <v>0</v>
      </c>
      <c r="L2703" s="8">
        <f>+'[1]VENTAS(RESUMEN GLOBAL)'!J2703</f>
        <v>0</v>
      </c>
      <c r="M2703" s="8">
        <f>+Tabla1[[#This Row],[utilidad x dia]]*7</f>
        <v>0</v>
      </c>
    </row>
    <row r="2704" spans="1:13" x14ac:dyDescent="0.3">
      <c r="A2704" s="6">
        <f>+'[1]VENTAS(RESUMEN GLOBAL)'!L2704</f>
        <v>0</v>
      </c>
      <c r="B2704" s="6">
        <f>+'[1]VENTAS(RESUMEN GLOBAL)'!M2704</f>
        <v>0</v>
      </c>
      <c r="C2704">
        <f>+'[1]VENTAS(RESUMEN GLOBAL)'!B2704</f>
        <v>0</v>
      </c>
      <c r="D2704" t="e">
        <f>INDEX('[1]CÓDIGOS DE PRODUCTO'!$D$3:$D$1000,MATCH(C2704,'[1]CÓDIGOS DE PRODUCTO'!$A$3:$A$1000,0))</f>
        <v>#N/A</v>
      </c>
      <c r="E2704">
        <f>VLOOKUP(C2704,'[1]CÓDIGOS DE PRODUCTO'!$A$4:$B$156,2,FALSE)</f>
        <v>0</v>
      </c>
      <c r="F2704">
        <f>INDEX('[1]CÓDIGOS DE PRODUCTO'!$C$3:$C$1000,MATCH(C2704,'[1]CÓDIGOS DE PRODUCTO'!$A$3:$A$1000,0))</f>
        <v>0</v>
      </c>
      <c r="G2704">
        <f>+'[1]VENTAS(RESUMEN GLOBAL)'!D2704-'[1]VENTAS(RESUMEN GLOBAL)'!E2704</f>
        <v>0</v>
      </c>
      <c r="H2704" s="9">
        <f>+'[1]VENTAS(RESUMEN GLOBAL)'!K2704</f>
        <v>0</v>
      </c>
      <c r="I2704" s="8">
        <f>+G2704*'[1]VENTAS(RESUMEN GLOBAL)'!F2704</f>
        <v>0</v>
      </c>
      <c r="J2704" s="8">
        <f>'[1]VENTAS(RESUMEN GLOBAL)'!G2704*(1-'[1]VENTAS(RESUMEN GLOBAL)'!H2704)</f>
        <v>0</v>
      </c>
      <c r="K2704" s="8">
        <f t="shared" si="42"/>
        <v>0</v>
      </c>
      <c r="L2704" s="8">
        <f>+'[1]VENTAS(RESUMEN GLOBAL)'!J2704</f>
        <v>0</v>
      </c>
      <c r="M2704" s="8">
        <f>+Tabla1[[#This Row],[utilidad x dia]]*7</f>
        <v>0</v>
      </c>
    </row>
    <row r="2705" spans="1:13" x14ac:dyDescent="0.3">
      <c r="A2705" s="6">
        <f>+'[1]VENTAS(RESUMEN GLOBAL)'!L2705</f>
        <v>0</v>
      </c>
      <c r="B2705" s="6">
        <f>+'[1]VENTAS(RESUMEN GLOBAL)'!M2705</f>
        <v>0</v>
      </c>
      <c r="C2705">
        <f>+'[1]VENTAS(RESUMEN GLOBAL)'!B2705</f>
        <v>0</v>
      </c>
      <c r="D2705" t="e">
        <f>INDEX('[1]CÓDIGOS DE PRODUCTO'!$D$3:$D$1000,MATCH(C2705,'[1]CÓDIGOS DE PRODUCTO'!$A$3:$A$1000,0))</f>
        <v>#N/A</v>
      </c>
      <c r="E2705">
        <f>VLOOKUP(C2705,'[1]CÓDIGOS DE PRODUCTO'!$A$4:$B$156,2,FALSE)</f>
        <v>0</v>
      </c>
      <c r="F2705">
        <f>INDEX('[1]CÓDIGOS DE PRODUCTO'!$C$3:$C$1000,MATCH(C2705,'[1]CÓDIGOS DE PRODUCTO'!$A$3:$A$1000,0))</f>
        <v>0</v>
      </c>
      <c r="G2705">
        <f>+'[1]VENTAS(RESUMEN GLOBAL)'!D2705-'[1]VENTAS(RESUMEN GLOBAL)'!E2705</f>
        <v>0</v>
      </c>
      <c r="H2705" s="9">
        <f>+'[1]VENTAS(RESUMEN GLOBAL)'!K2705</f>
        <v>0</v>
      </c>
      <c r="I2705" s="8">
        <f>+G2705*'[1]VENTAS(RESUMEN GLOBAL)'!F2705</f>
        <v>0</v>
      </c>
      <c r="J2705" s="8">
        <f>'[1]VENTAS(RESUMEN GLOBAL)'!G2705*(1-'[1]VENTAS(RESUMEN GLOBAL)'!H2705)</f>
        <v>0</v>
      </c>
      <c r="K2705" s="8">
        <f t="shared" si="42"/>
        <v>0</v>
      </c>
      <c r="L2705" s="8">
        <f>+'[1]VENTAS(RESUMEN GLOBAL)'!J2705</f>
        <v>0</v>
      </c>
      <c r="M2705" s="8">
        <f>+Tabla1[[#This Row],[utilidad x dia]]*7</f>
        <v>0</v>
      </c>
    </row>
    <row r="2706" spans="1:13" x14ac:dyDescent="0.3">
      <c r="A2706" s="6">
        <f>+'[1]VENTAS(RESUMEN GLOBAL)'!L2706</f>
        <v>0</v>
      </c>
      <c r="B2706" s="6">
        <f>+'[1]VENTAS(RESUMEN GLOBAL)'!M2706</f>
        <v>0</v>
      </c>
      <c r="C2706">
        <f>+'[1]VENTAS(RESUMEN GLOBAL)'!B2706</f>
        <v>0</v>
      </c>
      <c r="D2706" t="e">
        <f>INDEX('[1]CÓDIGOS DE PRODUCTO'!$D$3:$D$1000,MATCH(C2706,'[1]CÓDIGOS DE PRODUCTO'!$A$3:$A$1000,0))</f>
        <v>#N/A</v>
      </c>
      <c r="E2706">
        <f>VLOOKUP(C2706,'[1]CÓDIGOS DE PRODUCTO'!$A$4:$B$156,2,FALSE)</f>
        <v>0</v>
      </c>
      <c r="F2706">
        <f>INDEX('[1]CÓDIGOS DE PRODUCTO'!$C$3:$C$1000,MATCH(C2706,'[1]CÓDIGOS DE PRODUCTO'!$A$3:$A$1000,0))</f>
        <v>0</v>
      </c>
      <c r="G2706">
        <f>+'[1]VENTAS(RESUMEN GLOBAL)'!D2706-'[1]VENTAS(RESUMEN GLOBAL)'!E2706</f>
        <v>0</v>
      </c>
      <c r="H2706" s="9">
        <f>+'[1]VENTAS(RESUMEN GLOBAL)'!K2706</f>
        <v>0</v>
      </c>
      <c r="I2706" s="8">
        <f>+G2706*'[1]VENTAS(RESUMEN GLOBAL)'!F2706</f>
        <v>0</v>
      </c>
      <c r="J2706" s="8">
        <f>'[1]VENTAS(RESUMEN GLOBAL)'!G2706*(1-'[1]VENTAS(RESUMEN GLOBAL)'!H2706)</f>
        <v>0</v>
      </c>
      <c r="K2706" s="8">
        <f t="shared" si="42"/>
        <v>0</v>
      </c>
      <c r="L2706" s="8">
        <f>+'[1]VENTAS(RESUMEN GLOBAL)'!J2706</f>
        <v>0</v>
      </c>
      <c r="M2706" s="8">
        <f>+Tabla1[[#This Row],[utilidad x dia]]*7</f>
        <v>0</v>
      </c>
    </row>
    <row r="2707" spans="1:13" x14ac:dyDescent="0.3">
      <c r="A2707" s="6">
        <f>+'[1]VENTAS(RESUMEN GLOBAL)'!L2707</f>
        <v>0</v>
      </c>
      <c r="B2707" s="6">
        <f>+'[1]VENTAS(RESUMEN GLOBAL)'!M2707</f>
        <v>0</v>
      </c>
      <c r="C2707">
        <f>+'[1]VENTAS(RESUMEN GLOBAL)'!B2707</f>
        <v>0</v>
      </c>
      <c r="D2707" t="e">
        <f>INDEX('[1]CÓDIGOS DE PRODUCTO'!$D$3:$D$1000,MATCH(C2707,'[1]CÓDIGOS DE PRODUCTO'!$A$3:$A$1000,0))</f>
        <v>#N/A</v>
      </c>
      <c r="E2707">
        <f>VLOOKUP(C2707,'[1]CÓDIGOS DE PRODUCTO'!$A$4:$B$156,2,FALSE)</f>
        <v>0</v>
      </c>
      <c r="F2707">
        <f>INDEX('[1]CÓDIGOS DE PRODUCTO'!$C$3:$C$1000,MATCH(C2707,'[1]CÓDIGOS DE PRODUCTO'!$A$3:$A$1000,0))</f>
        <v>0</v>
      </c>
      <c r="G2707">
        <f>+'[1]VENTAS(RESUMEN GLOBAL)'!D2707-'[1]VENTAS(RESUMEN GLOBAL)'!E2707</f>
        <v>0</v>
      </c>
      <c r="H2707" s="9">
        <f>+'[1]VENTAS(RESUMEN GLOBAL)'!K2707</f>
        <v>0</v>
      </c>
      <c r="I2707" s="8">
        <f>+G2707*'[1]VENTAS(RESUMEN GLOBAL)'!F2707</f>
        <v>0</v>
      </c>
      <c r="J2707" s="8">
        <f>'[1]VENTAS(RESUMEN GLOBAL)'!G2707*(1-'[1]VENTAS(RESUMEN GLOBAL)'!H2707)</f>
        <v>0</v>
      </c>
      <c r="K2707" s="8">
        <f t="shared" si="42"/>
        <v>0</v>
      </c>
      <c r="L2707" s="8">
        <f>+'[1]VENTAS(RESUMEN GLOBAL)'!J2707</f>
        <v>0</v>
      </c>
      <c r="M2707" s="8">
        <f>+Tabla1[[#This Row],[utilidad x dia]]*7</f>
        <v>0</v>
      </c>
    </row>
    <row r="2708" spans="1:13" x14ac:dyDescent="0.3">
      <c r="A2708" s="6">
        <f>+'[1]VENTAS(RESUMEN GLOBAL)'!L2708</f>
        <v>0</v>
      </c>
      <c r="B2708" s="6">
        <f>+'[1]VENTAS(RESUMEN GLOBAL)'!M2708</f>
        <v>0</v>
      </c>
      <c r="C2708">
        <f>+'[1]VENTAS(RESUMEN GLOBAL)'!B2708</f>
        <v>0</v>
      </c>
      <c r="D2708" t="e">
        <f>INDEX('[1]CÓDIGOS DE PRODUCTO'!$D$3:$D$1000,MATCH(C2708,'[1]CÓDIGOS DE PRODUCTO'!$A$3:$A$1000,0))</f>
        <v>#N/A</v>
      </c>
      <c r="E2708">
        <f>VLOOKUP(C2708,'[1]CÓDIGOS DE PRODUCTO'!$A$4:$B$156,2,FALSE)</f>
        <v>0</v>
      </c>
      <c r="F2708">
        <f>INDEX('[1]CÓDIGOS DE PRODUCTO'!$C$3:$C$1000,MATCH(C2708,'[1]CÓDIGOS DE PRODUCTO'!$A$3:$A$1000,0))</f>
        <v>0</v>
      </c>
      <c r="G2708">
        <f>+'[1]VENTAS(RESUMEN GLOBAL)'!D2708-'[1]VENTAS(RESUMEN GLOBAL)'!E2708</f>
        <v>0</v>
      </c>
      <c r="H2708" s="9">
        <f>+'[1]VENTAS(RESUMEN GLOBAL)'!K2708</f>
        <v>0</v>
      </c>
      <c r="I2708" s="8">
        <f>+G2708*'[1]VENTAS(RESUMEN GLOBAL)'!F2708</f>
        <v>0</v>
      </c>
      <c r="J2708" s="8">
        <f>'[1]VENTAS(RESUMEN GLOBAL)'!G2708*(1-'[1]VENTAS(RESUMEN GLOBAL)'!H2708)</f>
        <v>0</v>
      </c>
      <c r="K2708" s="8">
        <f t="shared" si="42"/>
        <v>0</v>
      </c>
      <c r="L2708" s="8">
        <f>+'[1]VENTAS(RESUMEN GLOBAL)'!J2708</f>
        <v>0</v>
      </c>
      <c r="M2708" s="8">
        <f>+Tabla1[[#This Row],[utilidad x dia]]*7</f>
        <v>0</v>
      </c>
    </row>
    <row r="2709" spans="1:13" x14ac:dyDescent="0.3">
      <c r="A2709" s="6">
        <f>+'[1]VENTAS(RESUMEN GLOBAL)'!L2709</f>
        <v>0</v>
      </c>
      <c r="B2709" s="6">
        <f>+'[1]VENTAS(RESUMEN GLOBAL)'!M2709</f>
        <v>0</v>
      </c>
      <c r="C2709">
        <f>+'[1]VENTAS(RESUMEN GLOBAL)'!B2709</f>
        <v>0</v>
      </c>
      <c r="D2709" t="e">
        <f>INDEX('[1]CÓDIGOS DE PRODUCTO'!$D$3:$D$1000,MATCH(C2709,'[1]CÓDIGOS DE PRODUCTO'!$A$3:$A$1000,0))</f>
        <v>#N/A</v>
      </c>
      <c r="E2709">
        <f>VLOOKUP(C2709,'[1]CÓDIGOS DE PRODUCTO'!$A$4:$B$156,2,FALSE)</f>
        <v>0</v>
      </c>
      <c r="F2709">
        <f>INDEX('[1]CÓDIGOS DE PRODUCTO'!$C$3:$C$1000,MATCH(C2709,'[1]CÓDIGOS DE PRODUCTO'!$A$3:$A$1000,0))</f>
        <v>0</v>
      </c>
      <c r="G2709">
        <f>+'[1]VENTAS(RESUMEN GLOBAL)'!D2709-'[1]VENTAS(RESUMEN GLOBAL)'!E2709</f>
        <v>0</v>
      </c>
      <c r="H2709" s="9">
        <f>+'[1]VENTAS(RESUMEN GLOBAL)'!K2709</f>
        <v>0</v>
      </c>
      <c r="I2709" s="8">
        <f>+G2709*'[1]VENTAS(RESUMEN GLOBAL)'!F2709</f>
        <v>0</v>
      </c>
      <c r="J2709" s="8">
        <f>'[1]VENTAS(RESUMEN GLOBAL)'!G2709*(1-'[1]VENTAS(RESUMEN GLOBAL)'!H2709)</f>
        <v>0</v>
      </c>
      <c r="K2709" s="8">
        <f t="shared" si="42"/>
        <v>0</v>
      </c>
      <c r="L2709" s="8">
        <f>+'[1]VENTAS(RESUMEN GLOBAL)'!J2709</f>
        <v>0</v>
      </c>
      <c r="M2709" s="8">
        <f>+Tabla1[[#This Row],[utilidad x dia]]*7</f>
        <v>0</v>
      </c>
    </row>
    <row r="2710" spans="1:13" x14ac:dyDescent="0.3">
      <c r="A2710" s="6">
        <f>+'[1]VENTAS(RESUMEN GLOBAL)'!L2710</f>
        <v>0</v>
      </c>
      <c r="B2710" s="6">
        <f>+'[1]VENTAS(RESUMEN GLOBAL)'!M2710</f>
        <v>0</v>
      </c>
      <c r="C2710">
        <f>+'[1]VENTAS(RESUMEN GLOBAL)'!B2710</f>
        <v>0</v>
      </c>
      <c r="D2710" t="e">
        <f>INDEX('[1]CÓDIGOS DE PRODUCTO'!$D$3:$D$1000,MATCH(C2710,'[1]CÓDIGOS DE PRODUCTO'!$A$3:$A$1000,0))</f>
        <v>#N/A</v>
      </c>
      <c r="E2710">
        <f>VLOOKUP(C2710,'[1]CÓDIGOS DE PRODUCTO'!$A$4:$B$156,2,FALSE)</f>
        <v>0</v>
      </c>
      <c r="F2710">
        <f>INDEX('[1]CÓDIGOS DE PRODUCTO'!$C$3:$C$1000,MATCH(C2710,'[1]CÓDIGOS DE PRODUCTO'!$A$3:$A$1000,0))</f>
        <v>0</v>
      </c>
      <c r="G2710">
        <f>+'[1]VENTAS(RESUMEN GLOBAL)'!D2710-'[1]VENTAS(RESUMEN GLOBAL)'!E2710</f>
        <v>0</v>
      </c>
      <c r="H2710" s="9">
        <f>+'[1]VENTAS(RESUMEN GLOBAL)'!K2710</f>
        <v>0</v>
      </c>
      <c r="I2710" s="8">
        <f>+G2710*'[1]VENTAS(RESUMEN GLOBAL)'!F2710</f>
        <v>0</v>
      </c>
      <c r="J2710" s="8">
        <f>'[1]VENTAS(RESUMEN GLOBAL)'!G2710*(1-'[1]VENTAS(RESUMEN GLOBAL)'!H2710)</f>
        <v>0</v>
      </c>
      <c r="K2710" s="8">
        <f t="shared" si="42"/>
        <v>0</v>
      </c>
      <c r="L2710" s="8">
        <f>+'[1]VENTAS(RESUMEN GLOBAL)'!J2710</f>
        <v>0</v>
      </c>
      <c r="M2710" s="8">
        <f>+Tabla1[[#This Row],[utilidad x dia]]*7</f>
        <v>0</v>
      </c>
    </row>
    <row r="2711" spans="1:13" x14ac:dyDescent="0.3">
      <c r="A2711" s="6">
        <f>+'[1]VENTAS(RESUMEN GLOBAL)'!L2711</f>
        <v>0</v>
      </c>
      <c r="B2711" s="6">
        <f>+'[1]VENTAS(RESUMEN GLOBAL)'!M2711</f>
        <v>0</v>
      </c>
      <c r="C2711">
        <f>+'[1]VENTAS(RESUMEN GLOBAL)'!B2711</f>
        <v>0</v>
      </c>
      <c r="D2711" t="e">
        <f>INDEX('[1]CÓDIGOS DE PRODUCTO'!$D$3:$D$1000,MATCH(C2711,'[1]CÓDIGOS DE PRODUCTO'!$A$3:$A$1000,0))</f>
        <v>#N/A</v>
      </c>
      <c r="E2711">
        <f>VLOOKUP(C2711,'[1]CÓDIGOS DE PRODUCTO'!$A$4:$B$156,2,FALSE)</f>
        <v>0</v>
      </c>
      <c r="F2711">
        <f>INDEX('[1]CÓDIGOS DE PRODUCTO'!$C$3:$C$1000,MATCH(C2711,'[1]CÓDIGOS DE PRODUCTO'!$A$3:$A$1000,0))</f>
        <v>0</v>
      </c>
      <c r="G2711">
        <f>+'[1]VENTAS(RESUMEN GLOBAL)'!D2711-'[1]VENTAS(RESUMEN GLOBAL)'!E2711</f>
        <v>0</v>
      </c>
      <c r="H2711" s="9">
        <f>+'[1]VENTAS(RESUMEN GLOBAL)'!K2711</f>
        <v>0</v>
      </c>
      <c r="I2711" s="8">
        <f>+G2711*'[1]VENTAS(RESUMEN GLOBAL)'!F2711</f>
        <v>0</v>
      </c>
      <c r="J2711" s="8">
        <f>'[1]VENTAS(RESUMEN GLOBAL)'!G2711*(1-'[1]VENTAS(RESUMEN GLOBAL)'!H2711)</f>
        <v>0</v>
      </c>
      <c r="K2711" s="8">
        <f t="shared" si="42"/>
        <v>0</v>
      </c>
      <c r="L2711" s="8">
        <f>+'[1]VENTAS(RESUMEN GLOBAL)'!J2711</f>
        <v>0</v>
      </c>
      <c r="M2711" s="8">
        <f>+Tabla1[[#This Row],[utilidad x dia]]*7</f>
        <v>0</v>
      </c>
    </row>
    <row r="2712" spans="1:13" x14ac:dyDescent="0.3">
      <c r="A2712" s="6">
        <f>+'[1]VENTAS(RESUMEN GLOBAL)'!L2712</f>
        <v>0</v>
      </c>
      <c r="B2712" s="6">
        <f>+'[1]VENTAS(RESUMEN GLOBAL)'!M2712</f>
        <v>0</v>
      </c>
      <c r="C2712">
        <f>+'[1]VENTAS(RESUMEN GLOBAL)'!B2712</f>
        <v>0</v>
      </c>
      <c r="D2712" t="e">
        <f>INDEX('[1]CÓDIGOS DE PRODUCTO'!$D$3:$D$1000,MATCH(C2712,'[1]CÓDIGOS DE PRODUCTO'!$A$3:$A$1000,0))</f>
        <v>#N/A</v>
      </c>
      <c r="E2712">
        <f>VLOOKUP(C2712,'[1]CÓDIGOS DE PRODUCTO'!$A$4:$B$156,2,FALSE)</f>
        <v>0</v>
      </c>
      <c r="F2712">
        <f>INDEX('[1]CÓDIGOS DE PRODUCTO'!$C$3:$C$1000,MATCH(C2712,'[1]CÓDIGOS DE PRODUCTO'!$A$3:$A$1000,0))</f>
        <v>0</v>
      </c>
      <c r="G2712">
        <f>+'[1]VENTAS(RESUMEN GLOBAL)'!D2712-'[1]VENTAS(RESUMEN GLOBAL)'!E2712</f>
        <v>0</v>
      </c>
      <c r="H2712" s="9">
        <f>+'[1]VENTAS(RESUMEN GLOBAL)'!K2712</f>
        <v>0</v>
      </c>
      <c r="I2712" s="8">
        <f>+G2712*'[1]VENTAS(RESUMEN GLOBAL)'!F2712</f>
        <v>0</v>
      </c>
      <c r="J2712" s="8">
        <f>'[1]VENTAS(RESUMEN GLOBAL)'!G2712*(1-'[1]VENTAS(RESUMEN GLOBAL)'!H2712)</f>
        <v>0</v>
      </c>
      <c r="K2712" s="8">
        <f t="shared" si="42"/>
        <v>0</v>
      </c>
      <c r="L2712" s="8">
        <f>+'[1]VENTAS(RESUMEN GLOBAL)'!J2712</f>
        <v>0</v>
      </c>
      <c r="M2712" s="8">
        <f>+Tabla1[[#This Row],[utilidad x dia]]*7</f>
        <v>0</v>
      </c>
    </row>
    <row r="2713" spans="1:13" x14ac:dyDescent="0.3">
      <c r="A2713" s="6">
        <f>+'[1]VENTAS(RESUMEN GLOBAL)'!L2713</f>
        <v>0</v>
      </c>
      <c r="B2713" s="6">
        <f>+'[1]VENTAS(RESUMEN GLOBAL)'!M2713</f>
        <v>0</v>
      </c>
      <c r="C2713">
        <f>+'[1]VENTAS(RESUMEN GLOBAL)'!B2713</f>
        <v>0</v>
      </c>
      <c r="D2713" t="e">
        <f>INDEX('[1]CÓDIGOS DE PRODUCTO'!$D$3:$D$1000,MATCH(C2713,'[1]CÓDIGOS DE PRODUCTO'!$A$3:$A$1000,0))</f>
        <v>#N/A</v>
      </c>
      <c r="E2713">
        <f>VLOOKUP(C2713,'[1]CÓDIGOS DE PRODUCTO'!$A$4:$B$156,2,FALSE)</f>
        <v>0</v>
      </c>
      <c r="F2713">
        <f>INDEX('[1]CÓDIGOS DE PRODUCTO'!$C$3:$C$1000,MATCH(C2713,'[1]CÓDIGOS DE PRODUCTO'!$A$3:$A$1000,0))</f>
        <v>0</v>
      </c>
      <c r="G2713">
        <f>+'[1]VENTAS(RESUMEN GLOBAL)'!D2713-'[1]VENTAS(RESUMEN GLOBAL)'!E2713</f>
        <v>0</v>
      </c>
      <c r="H2713" s="9">
        <f>+'[1]VENTAS(RESUMEN GLOBAL)'!K2713</f>
        <v>0</v>
      </c>
      <c r="I2713" s="8">
        <f>+G2713*'[1]VENTAS(RESUMEN GLOBAL)'!F2713</f>
        <v>0</v>
      </c>
      <c r="J2713" s="8">
        <f>'[1]VENTAS(RESUMEN GLOBAL)'!G2713*(1-'[1]VENTAS(RESUMEN GLOBAL)'!H2713)</f>
        <v>0</v>
      </c>
      <c r="K2713" s="8">
        <f t="shared" si="42"/>
        <v>0</v>
      </c>
      <c r="L2713" s="8">
        <f>+'[1]VENTAS(RESUMEN GLOBAL)'!J2713</f>
        <v>0</v>
      </c>
      <c r="M2713" s="8">
        <f>+Tabla1[[#This Row],[utilidad x dia]]*7</f>
        <v>0</v>
      </c>
    </row>
    <row r="2714" spans="1:13" x14ac:dyDescent="0.3">
      <c r="A2714" s="6">
        <f>+'[1]VENTAS(RESUMEN GLOBAL)'!L2714</f>
        <v>0</v>
      </c>
      <c r="B2714" s="6">
        <f>+'[1]VENTAS(RESUMEN GLOBAL)'!M2714</f>
        <v>0</v>
      </c>
      <c r="C2714">
        <f>+'[1]VENTAS(RESUMEN GLOBAL)'!B2714</f>
        <v>0</v>
      </c>
      <c r="D2714" t="e">
        <f>INDEX('[1]CÓDIGOS DE PRODUCTO'!$D$3:$D$1000,MATCH(C2714,'[1]CÓDIGOS DE PRODUCTO'!$A$3:$A$1000,0))</f>
        <v>#N/A</v>
      </c>
      <c r="E2714">
        <f>VLOOKUP(C2714,'[1]CÓDIGOS DE PRODUCTO'!$A$4:$B$156,2,FALSE)</f>
        <v>0</v>
      </c>
      <c r="F2714">
        <f>INDEX('[1]CÓDIGOS DE PRODUCTO'!$C$3:$C$1000,MATCH(C2714,'[1]CÓDIGOS DE PRODUCTO'!$A$3:$A$1000,0))</f>
        <v>0</v>
      </c>
      <c r="G2714">
        <f>+'[1]VENTAS(RESUMEN GLOBAL)'!D2714-'[1]VENTAS(RESUMEN GLOBAL)'!E2714</f>
        <v>0</v>
      </c>
      <c r="H2714" s="9">
        <f>+'[1]VENTAS(RESUMEN GLOBAL)'!K2714</f>
        <v>0</v>
      </c>
      <c r="I2714" s="8">
        <f>+G2714*'[1]VENTAS(RESUMEN GLOBAL)'!F2714</f>
        <v>0</v>
      </c>
      <c r="J2714" s="8">
        <f>'[1]VENTAS(RESUMEN GLOBAL)'!G2714*(1-'[1]VENTAS(RESUMEN GLOBAL)'!H2714)</f>
        <v>0</v>
      </c>
      <c r="K2714" s="8">
        <f t="shared" si="42"/>
        <v>0</v>
      </c>
      <c r="L2714" s="8">
        <f>+'[1]VENTAS(RESUMEN GLOBAL)'!J2714</f>
        <v>0</v>
      </c>
      <c r="M2714" s="8">
        <f>+Tabla1[[#This Row],[utilidad x dia]]*7</f>
        <v>0</v>
      </c>
    </row>
    <row r="2715" spans="1:13" x14ac:dyDescent="0.3">
      <c r="A2715" s="6">
        <f>+'[1]VENTAS(RESUMEN GLOBAL)'!L2715</f>
        <v>0</v>
      </c>
      <c r="B2715" s="6">
        <f>+'[1]VENTAS(RESUMEN GLOBAL)'!M2715</f>
        <v>0</v>
      </c>
      <c r="C2715">
        <f>+'[1]VENTAS(RESUMEN GLOBAL)'!B2715</f>
        <v>0</v>
      </c>
      <c r="D2715" t="e">
        <f>INDEX('[1]CÓDIGOS DE PRODUCTO'!$D$3:$D$1000,MATCH(C2715,'[1]CÓDIGOS DE PRODUCTO'!$A$3:$A$1000,0))</f>
        <v>#N/A</v>
      </c>
      <c r="E2715">
        <f>VLOOKUP(C2715,'[1]CÓDIGOS DE PRODUCTO'!$A$4:$B$156,2,FALSE)</f>
        <v>0</v>
      </c>
      <c r="F2715">
        <f>INDEX('[1]CÓDIGOS DE PRODUCTO'!$C$3:$C$1000,MATCH(C2715,'[1]CÓDIGOS DE PRODUCTO'!$A$3:$A$1000,0))</f>
        <v>0</v>
      </c>
      <c r="G2715">
        <f>+'[1]VENTAS(RESUMEN GLOBAL)'!D2715-'[1]VENTAS(RESUMEN GLOBAL)'!E2715</f>
        <v>0</v>
      </c>
      <c r="H2715" s="9">
        <f>+'[1]VENTAS(RESUMEN GLOBAL)'!K2715</f>
        <v>0</v>
      </c>
      <c r="I2715" s="8">
        <f>+G2715*'[1]VENTAS(RESUMEN GLOBAL)'!F2715</f>
        <v>0</v>
      </c>
      <c r="J2715" s="8">
        <f>'[1]VENTAS(RESUMEN GLOBAL)'!G2715*(1-'[1]VENTAS(RESUMEN GLOBAL)'!H2715)</f>
        <v>0</v>
      </c>
      <c r="K2715" s="8">
        <f t="shared" si="42"/>
        <v>0</v>
      </c>
      <c r="L2715" s="8">
        <f>+'[1]VENTAS(RESUMEN GLOBAL)'!J2715</f>
        <v>0</v>
      </c>
      <c r="M2715" s="8">
        <f>+Tabla1[[#This Row],[utilidad x dia]]*7</f>
        <v>0</v>
      </c>
    </row>
    <row r="2716" spans="1:13" x14ac:dyDescent="0.3">
      <c r="A2716" s="6">
        <f>+'[1]VENTAS(RESUMEN GLOBAL)'!L2716</f>
        <v>0</v>
      </c>
      <c r="B2716" s="6">
        <f>+'[1]VENTAS(RESUMEN GLOBAL)'!M2716</f>
        <v>0</v>
      </c>
      <c r="C2716">
        <f>+'[1]VENTAS(RESUMEN GLOBAL)'!B2716</f>
        <v>0</v>
      </c>
      <c r="D2716" t="e">
        <f>INDEX('[1]CÓDIGOS DE PRODUCTO'!$D$3:$D$1000,MATCH(C2716,'[1]CÓDIGOS DE PRODUCTO'!$A$3:$A$1000,0))</f>
        <v>#N/A</v>
      </c>
      <c r="E2716">
        <f>VLOOKUP(C2716,'[1]CÓDIGOS DE PRODUCTO'!$A$4:$B$156,2,FALSE)</f>
        <v>0</v>
      </c>
      <c r="F2716">
        <f>INDEX('[1]CÓDIGOS DE PRODUCTO'!$C$3:$C$1000,MATCH(C2716,'[1]CÓDIGOS DE PRODUCTO'!$A$3:$A$1000,0))</f>
        <v>0</v>
      </c>
      <c r="G2716">
        <f>+'[1]VENTAS(RESUMEN GLOBAL)'!D2716-'[1]VENTAS(RESUMEN GLOBAL)'!E2716</f>
        <v>0</v>
      </c>
      <c r="H2716" s="9">
        <f>+'[1]VENTAS(RESUMEN GLOBAL)'!K2716</f>
        <v>0</v>
      </c>
      <c r="I2716" s="8">
        <f>+G2716*'[1]VENTAS(RESUMEN GLOBAL)'!F2716</f>
        <v>0</v>
      </c>
      <c r="J2716" s="8">
        <f>'[1]VENTAS(RESUMEN GLOBAL)'!G2716*(1-'[1]VENTAS(RESUMEN GLOBAL)'!H2716)</f>
        <v>0</v>
      </c>
      <c r="K2716" s="8">
        <f t="shared" si="42"/>
        <v>0</v>
      </c>
      <c r="L2716" s="8">
        <f>+'[1]VENTAS(RESUMEN GLOBAL)'!J2716</f>
        <v>0</v>
      </c>
      <c r="M2716" s="8">
        <f>+Tabla1[[#This Row],[utilidad x dia]]*7</f>
        <v>0</v>
      </c>
    </row>
    <row r="2717" spans="1:13" x14ac:dyDescent="0.3">
      <c r="A2717" s="6">
        <f>+'[1]VENTAS(RESUMEN GLOBAL)'!L2717</f>
        <v>0</v>
      </c>
      <c r="B2717" s="6">
        <f>+'[1]VENTAS(RESUMEN GLOBAL)'!M2717</f>
        <v>0</v>
      </c>
      <c r="C2717">
        <f>+'[1]VENTAS(RESUMEN GLOBAL)'!B2717</f>
        <v>0</v>
      </c>
      <c r="D2717" t="e">
        <f>INDEX('[1]CÓDIGOS DE PRODUCTO'!$D$3:$D$1000,MATCH(C2717,'[1]CÓDIGOS DE PRODUCTO'!$A$3:$A$1000,0))</f>
        <v>#N/A</v>
      </c>
      <c r="E2717">
        <f>VLOOKUP(C2717,'[1]CÓDIGOS DE PRODUCTO'!$A$4:$B$156,2,FALSE)</f>
        <v>0</v>
      </c>
      <c r="F2717">
        <f>INDEX('[1]CÓDIGOS DE PRODUCTO'!$C$3:$C$1000,MATCH(C2717,'[1]CÓDIGOS DE PRODUCTO'!$A$3:$A$1000,0))</f>
        <v>0</v>
      </c>
      <c r="G2717">
        <f>+'[1]VENTAS(RESUMEN GLOBAL)'!D2717-'[1]VENTAS(RESUMEN GLOBAL)'!E2717</f>
        <v>0</v>
      </c>
      <c r="H2717" s="9">
        <f>+'[1]VENTAS(RESUMEN GLOBAL)'!K2717</f>
        <v>0</v>
      </c>
      <c r="I2717" s="8">
        <f>+G2717*'[1]VENTAS(RESUMEN GLOBAL)'!F2717</f>
        <v>0</v>
      </c>
      <c r="J2717" s="8">
        <f>'[1]VENTAS(RESUMEN GLOBAL)'!G2717*(1-'[1]VENTAS(RESUMEN GLOBAL)'!H2717)</f>
        <v>0</v>
      </c>
      <c r="K2717" s="8">
        <f t="shared" si="42"/>
        <v>0</v>
      </c>
      <c r="L2717" s="8">
        <f>+'[1]VENTAS(RESUMEN GLOBAL)'!J2717</f>
        <v>0</v>
      </c>
      <c r="M2717" s="8">
        <f>+Tabla1[[#This Row],[utilidad x dia]]*7</f>
        <v>0</v>
      </c>
    </row>
    <row r="2718" spans="1:13" x14ac:dyDescent="0.3">
      <c r="A2718" s="6">
        <f>+'[1]VENTAS(RESUMEN GLOBAL)'!L2718</f>
        <v>0</v>
      </c>
      <c r="B2718" s="6">
        <f>+'[1]VENTAS(RESUMEN GLOBAL)'!M2718</f>
        <v>0</v>
      </c>
      <c r="C2718">
        <f>+'[1]VENTAS(RESUMEN GLOBAL)'!B2718</f>
        <v>0</v>
      </c>
      <c r="D2718" t="e">
        <f>INDEX('[1]CÓDIGOS DE PRODUCTO'!$D$3:$D$1000,MATCH(C2718,'[1]CÓDIGOS DE PRODUCTO'!$A$3:$A$1000,0))</f>
        <v>#N/A</v>
      </c>
      <c r="E2718">
        <f>VLOOKUP(C2718,'[1]CÓDIGOS DE PRODUCTO'!$A$4:$B$156,2,FALSE)</f>
        <v>0</v>
      </c>
      <c r="F2718">
        <f>INDEX('[1]CÓDIGOS DE PRODUCTO'!$C$3:$C$1000,MATCH(C2718,'[1]CÓDIGOS DE PRODUCTO'!$A$3:$A$1000,0))</f>
        <v>0</v>
      </c>
      <c r="G2718">
        <f>+'[1]VENTAS(RESUMEN GLOBAL)'!D2718-'[1]VENTAS(RESUMEN GLOBAL)'!E2718</f>
        <v>0</v>
      </c>
      <c r="H2718" s="9">
        <f>+'[1]VENTAS(RESUMEN GLOBAL)'!K2718</f>
        <v>0</v>
      </c>
      <c r="I2718" s="8">
        <f>+G2718*'[1]VENTAS(RESUMEN GLOBAL)'!F2718</f>
        <v>0</v>
      </c>
      <c r="J2718" s="8">
        <f>'[1]VENTAS(RESUMEN GLOBAL)'!G2718*(1-'[1]VENTAS(RESUMEN GLOBAL)'!H2718)</f>
        <v>0</v>
      </c>
      <c r="K2718" s="8">
        <f t="shared" si="42"/>
        <v>0</v>
      </c>
      <c r="L2718" s="8">
        <f>+'[1]VENTAS(RESUMEN GLOBAL)'!J2718</f>
        <v>0</v>
      </c>
      <c r="M2718" s="8">
        <f>+Tabla1[[#This Row],[utilidad x dia]]*7</f>
        <v>0</v>
      </c>
    </row>
    <row r="2719" spans="1:13" x14ac:dyDescent="0.3">
      <c r="A2719" s="6">
        <f>+'[1]VENTAS(RESUMEN GLOBAL)'!L2719</f>
        <v>0</v>
      </c>
      <c r="B2719" s="6">
        <f>+'[1]VENTAS(RESUMEN GLOBAL)'!M2719</f>
        <v>0</v>
      </c>
      <c r="C2719">
        <f>+'[1]VENTAS(RESUMEN GLOBAL)'!B2719</f>
        <v>0</v>
      </c>
      <c r="D2719" t="e">
        <f>INDEX('[1]CÓDIGOS DE PRODUCTO'!$D$3:$D$1000,MATCH(C2719,'[1]CÓDIGOS DE PRODUCTO'!$A$3:$A$1000,0))</f>
        <v>#N/A</v>
      </c>
      <c r="E2719">
        <f>VLOOKUP(C2719,'[1]CÓDIGOS DE PRODUCTO'!$A$4:$B$156,2,FALSE)</f>
        <v>0</v>
      </c>
      <c r="F2719">
        <f>INDEX('[1]CÓDIGOS DE PRODUCTO'!$C$3:$C$1000,MATCH(C2719,'[1]CÓDIGOS DE PRODUCTO'!$A$3:$A$1000,0))</f>
        <v>0</v>
      </c>
      <c r="G2719">
        <f>+'[1]VENTAS(RESUMEN GLOBAL)'!D2719-'[1]VENTAS(RESUMEN GLOBAL)'!E2719</f>
        <v>0</v>
      </c>
      <c r="H2719" s="9">
        <f>+'[1]VENTAS(RESUMEN GLOBAL)'!K2719</f>
        <v>0</v>
      </c>
      <c r="I2719" s="8">
        <f>+G2719*'[1]VENTAS(RESUMEN GLOBAL)'!F2719</f>
        <v>0</v>
      </c>
      <c r="J2719" s="8">
        <f>'[1]VENTAS(RESUMEN GLOBAL)'!G2719*(1-'[1]VENTAS(RESUMEN GLOBAL)'!H2719)</f>
        <v>0</v>
      </c>
      <c r="K2719" s="8">
        <f t="shared" si="42"/>
        <v>0</v>
      </c>
      <c r="L2719" s="8">
        <f>+'[1]VENTAS(RESUMEN GLOBAL)'!J2719</f>
        <v>0</v>
      </c>
      <c r="M2719" s="8">
        <f>+Tabla1[[#This Row],[utilidad x dia]]*7</f>
        <v>0</v>
      </c>
    </row>
    <row r="2720" spans="1:13" x14ac:dyDescent="0.3">
      <c r="A2720" s="6">
        <f>+'[1]VENTAS(RESUMEN GLOBAL)'!L2720</f>
        <v>0</v>
      </c>
      <c r="B2720" s="6">
        <f>+'[1]VENTAS(RESUMEN GLOBAL)'!M2720</f>
        <v>0</v>
      </c>
      <c r="C2720">
        <f>+'[1]VENTAS(RESUMEN GLOBAL)'!B2720</f>
        <v>0</v>
      </c>
      <c r="D2720" t="e">
        <f>INDEX('[1]CÓDIGOS DE PRODUCTO'!$D$3:$D$1000,MATCH(C2720,'[1]CÓDIGOS DE PRODUCTO'!$A$3:$A$1000,0))</f>
        <v>#N/A</v>
      </c>
      <c r="E2720">
        <f>VLOOKUP(C2720,'[1]CÓDIGOS DE PRODUCTO'!$A$4:$B$156,2,FALSE)</f>
        <v>0</v>
      </c>
      <c r="F2720">
        <f>INDEX('[1]CÓDIGOS DE PRODUCTO'!$C$3:$C$1000,MATCH(C2720,'[1]CÓDIGOS DE PRODUCTO'!$A$3:$A$1000,0))</f>
        <v>0</v>
      </c>
      <c r="G2720">
        <f>+'[1]VENTAS(RESUMEN GLOBAL)'!D2720-'[1]VENTAS(RESUMEN GLOBAL)'!E2720</f>
        <v>0</v>
      </c>
      <c r="H2720" s="9">
        <f>+'[1]VENTAS(RESUMEN GLOBAL)'!K2720</f>
        <v>0</v>
      </c>
      <c r="I2720" s="8">
        <f>+G2720*'[1]VENTAS(RESUMEN GLOBAL)'!F2720</f>
        <v>0</v>
      </c>
      <c r="J2720" s="8">
        <f>'[1]VENTAS(RESUMEN GLOBAL)'!G2720*(1-'[1]VENTAS(RESUMEN GLOBAL)'!H2720)</f>
        <v>0</v>
      </c>
      <c r="K2720" s="8">
        <f t="shared" si="42"/>
        <v>0</v>
      </c>
      <c r="L2720" s="8">
        <f>+'[1]VENTAS(RESUMEN GLOBAL)'!J2720</f>
        <v>0</v>
      </c>
      <c r="M2720" s="8">
        <f>+Tabla1[[#This Row],[utilidad x dia]]*7</f>
        <v>0</v>
      </c>
    </row>
    <row r="2721" spans="1:13" x14ac:dyDescent="0.3">
      <c r="A2721" s="6">
        <f>+'[1]VENTAS(RESUMEN GLOBAL)'!L2721</f>
        <v>0</v>
      </c>
      <c r="B2721" s="6">
        <f>+'[1]VENTAS(RESUMEN GLOBAL)'!M2721</f>
        <v>0</v>
      </c>
      <c r="C2721">
        <f>+'[1]VENTAS(RESUMEN GLOBAL)'!B2721</f>
        <v>0</v>
      </c>
      <c r="D2721" t="e">
        <f>INDEX('[1]CÓDIGOS DE PRODUCTO'!$D$3:$D$1000,MATCH(C2721,'[1]CÓDIGOS DE PRODUCTO'!$A$3:$A$1000,0))</f>
        <v>#N/A</v>
      </c>
      <c r="E2721">
        <f>VLOOKUP(C2721,'[1]CÓDIGOS DE PRODUCTO'!$A$4:$B$156,2,FALSE)</f>
        <v>0</v>
      </c>
      <c r="F2721">
        <f>INDEX('[1]CÓDIGOS DE PRODUCTO'!$C$3:$C$1000,MATCH(C2721,'[1]CÓDIGOS DE PRODUCTO'!$A$3:$A$1000,0))</f>
        <v>0</v>
      </c>
      <c r="G2721">
        <f>+'[1]VENTAS(RESUMEN GLOBAL)'!D2721-'[1]VENTAS(RESUMEN GLOBAL)'!E2721</f>
        <v>0</v>
      </c>
      <c r="H2721" s="9">
        <f>+'[1]VENTAS(RESUMEN GLOBAL)'!K2721</f>
        <v>0</v>
      </c>
      <c r="I2721" s="8">
        <f>+G2721*'[1]VENTAS(RESUMEN GLOBAL)'!F2721</f>
        <v>0</v>
      </c>
      <c r="J2721" s="8">
        <f>'[1]VENTAS(RESUMEN GLOBAL)'!G2721*(1-'[1]VENTAS(RESUMEN GLOBAL)'!H2721)</f>
        <v>0</v>
      </c>
      <c r="K2721" s="8">
        <f t="shared" si="42"/>
        <v>0</v>
      </c>
      <c r="L2721" s="8">
        <f>+'[1]VENTAS(RESUMEN GLOBAL)'!J2721</f>
        <v>0</v>
      </c>
      <c r="M2721" s="8">
        <f>+Tabla1[[#This Row],[utilidad x dia]]*7</f>
        <v>0</v>
      </c>
    </row>
    <row r="2722" spans="1:13" x14ac:dyDescent="0.3">
      <c r="A2722" s="6">
        <f>+'[1]VENTAS(RESUMEN GLOBAL)'!L2722</f>
        <v>0</v>
      </c>
      <c r="B2722" s="6">
        <f>+'[1]VENTAS(RESUMEN GLOBAL)'!M2722</f>
        <v>0</v>
      </c>
      <c r="C2722">
        <f>+'[1]VENTAS(RESUMEN GLOBAL)'!B2722</f>
        <v>0</v>
      </c>
      <c r="D2722" t="e">
        <f>INDEX('[1]CÓDIGOS DE PRODUCTO'!$D$3:$D$1000,MATCH(C2722,'[1]CÓDIGOS DE PRODUCTO'!$A$3:$A$1000,0))</f>
        <v>#N/A</v>
      </c>
      <c r="E2722">
        <f>VLOOKUP(C2722,'[1]CÓDIGOS DE PRODUCTO'!$A$4:$B$156,2,FALSE)</f>
        <v>0</v>
      </c>
      <c r="F2722">
        <f>INDEX('[1]CÓDIGOS DE PRODUCTO'!$C$3:$C$1000,MATCH(C2722,'[1]CÓDIGOS DE PRODUCTO'!$A$3:$A$1000,0))</f>
        <v>0</v>
      </c>
      <c r="G2722">
        <f>+'[1]VENTAS(RESUMEN GLOBAL)'!D2722-'[1]VENTAS(RESUMEN GLOBAL)'!E2722</f>
        <v>0</v>
      </c>
      <c r="H2722" s="9">
        <f>+'[1]VENTAS(RESUMEN GLOBAL)'!K2722</f>
        <v>0</v>
      </c>
      <c r="I2722" s="8">
        <f>+G2722*'[1]VENTAS(RESUMEN GLOBAL)'!F2722</f>
        <v>0</v>
      </c>
      <c r="J2722" s="8">
        <f>'[1]VENTAS(RESUMEN GLOBAL)'!G2722*(1-'[1]VENTAS(RESUMEN GLOBAL)'!H2722)</f>
        <v>0</v>
      </c>
      <c r="K2722" s="8">
        <f t="shared" si="42"/>
        <v>0</v>
      </c>
      <c r="L2722" s="8">
        <f>+'[1]VENTAS(RESUMEN GLOBAL)'!J2722</f>
        <v>0</v>
      </c>
      <c r="M2722" s="8">
        <f>+Tabla1[[#This Row],[utilidad x dia]]*7</f>
        <v>0</v>
      </c>
    </row>
    <row r="2723" spans="1:13" x14ac:dyDescent="0.3">
      <c r="A2723" s="6">
        <f>+'[1]VENTAS(RESUMEN GLOBAL)'!L2723</f>
        <v>0</v>
      </c>
      <c r="B2723" s="6">
        <f>+'[1]VENTAS(RESUMEN GLOBAL)'!M2723</f>
        <v>0</v>
      </c>
      <c r="C2723">
        <f>+'[1]VENTAS(RESUMEN GLOBAL)'!B2723</f>
        <v>0</v>
      </c>
      <c r="D2723" t="e">
        <f>INDEX('[1]CÓDIGOS DE PRODUCTO'!$D$3:$D$1000,MATCH(C2723,'[1]CÓDIGOS DE PRODUCTO'!$A$3:$A$1000,0))</f>
        <v>#N/A</v>
      </c>
      <c r="E2723">
        <f>VLOOKUP(C2723,'[1]CÓDIGOS DE PRODUCTO'!$A$4:$B$156,2,FALSE)</f>
        <v>0</v>
      </c>
      <c r="F2723">
        <f>INDEX('[1]CÓDIGOS DE PRODUCTO'!$C$3:$C$1000,MATCH(C2723,'[1]CÓDIGOS DE PRODUCTO'!$A$3:$A$1000,0))</f>
        <v>0</v>
      </c>
      <c r="G2723">
        <f>+'[1]VENTAS(RESUMEN GLOBAL)'!D2723-'[1]VENTAS(RESUMEN GLOBAL)'!E2723</f>
        <v>0</v>
      </c>
      <c r="H2723" s="9">
        <f>+'[1]VENTAS(RESUMEN GLOBAL)'!K2723</f>
        <v>0</v>
      </c>
      <c r="I2723" s="8">
        <f>+G2723*'[1]VENTAS(RESUMEN GLOBAL)'!F2723</f>
        <v>0</v>
      </c>
      <c r="J2723" s="8">
        <f>'[1]VENTAS(RESUMEN GLOBAL)'!G2723*(1-'[1]VENTAS(RESUMEN GLOBAL)'!H2723)</f>
        <v>0</v>
      </c>
      <c r="K2723" s="8">
        <f t="shared" si="42"/>
        <v>0</v>
      </c>
      <c r="L2723" s="8">
        <f>+'[1]VENTAS(RESUMEN GLOBAL)'!J2723</f>
        <v>0</v>
      </c>
      <c r="M2723" s="8">
        <f>+Tabla1[[#This Row],[utilidad x dia]]*7</f>
        <v>0</v>
      </c>
    </row>
    <row r="2724" spans="1:13" x14ac:dyDescent="0.3">
      <c r="A2724" s="6">
        <f>+'[1]VENTAS(RESUMEN GLOBAL)'!L2724</f>
        <v>0</v>
      </c>
      <c r="B2724" s="6">
        <f>+'[1]VENTAS(RESUMEN GLOBAL)'!M2724</f>
        <v>0</v>
      </c>
      <c r="C2724">
        <f>+'[1]VENTAS(RESUMEN GLOBAL)'!B2724</f>
        <v>0</v>
      </c>
      <c r="D2724" t="e">
        <f>INDEX('[1]CÓDIGOS DE PRODUCTO'!$D$3:$D$1000,MATCH(C2724,'[1]CÓDIGOS DE PRODUCTO'!$A$3:$A$1000,0))</f>
        <v>#N/A</v>
      </c>
      <c r="E2724">
        <f>VLOOKUP(C2724,'[1]CÓDIGOS DE PRODUCTO'!$A$4:$B$156,2,FALSE)</f>
        <v>0</v>
      </c>
      <c r="F2724">
        <f>INDEX('[1]CÓDIGOS DE PRODUCTO'!$C$3:$C$1000,MATCH(C2724,'[1]CÓDIGOS DE PRODUCTO'!$A$3:$A$1000,0))</f>
        <v>0</v>
      </c>
      <c r="G2724">
        <f>+'[1]VENTAS(RESUMEN GLOBAL)'!D2724-'[1]VENTAS(RESUMEN GLOBAL)'!E2724</f>
        <v>0</v>
      </c>
      <c r="H2724" s="9">
        <f>+'[1]VENTAS(RESUMEN GLOBAL)'!K2724</f>
        <v>0</v>
      </c>
      <c r="I2724" s="8">
        <f>+G2724*'[1]VENTAS(RESUMEN GLOBAL)'!F2724</f>
        <v>0</v>
      </c>
      <c r="J2724" s="8">
        <f>'[1]VENTAS(RESUMEN GLOBAL)'!G2724*(1-'[1]VENTAS(RESUMEN GLOBAL)'!H2724)</f>
        <v>0</v>
      </c>
      <c r="K2724" s="8">
        <f t="shared" si="42"/>
        <v>0</v>
      </c>
      <c r="L2724" s="8">
        <f>+'[1]VENTAS(RESUMEN GLOBAL)'!J2724</f>
        <v>0</v>
      </c>
      <c r="M2724" s="8">
        <f>+Tabla1[[#This Row],[utilidad x dia]]*7</f>
        <v>0</v>
      </c>
    </row>
    <row r="2725" spans="1:13" x14ac:dyDescent="0.3">
      <c r="A2725" s="6">
        <f>+'[1]VENTAS(RESUMEN GLOBAL)'!L2725</f>
        <v>0</v>
      </c>
      <c r="B2725" s="6">
        <f>+'[1]VENTAS(RESUMEN GLOBAL)'!M2725</f>
        <v>0</v>
      </c>
      <c r="C2725">
        <f>+'[1]VENTAS(RESUMEN GLOBAL)'!B2725</f>
        <v>0</v>
      </c>
      <c r="D2725" t="e">
        <f>INDEX('[1]CÓDIGOS DE PRODUCTO'!$D$3:$D$1000,MATCH(C2725,'[1]CÓDIGOS DE PRODUCTO'!$A$3:$A$1000,0))</f>
        <v>#N/A</v>
      </c>
      <c r="E2725">
        <f>VLOOKUP(C2725,'[1]CÓDIGOS DE PRODUCTO'!$A$4:$B$156,2,FALSE)</f>
        <v>0</v>
      </c>
      <c r="F2725">
        <f>INDEX('[1]CÓDIGOS DE PRODUCTO'!$C$3:$C$1000,MATCH(C2725,'[1]CÓDIGOS DE PRODUCTO'!$A$3:$A$1000,0))</f>
        <v>0</v>
      </c>
      <c r="G2725">
        <f>+'[1]VENTAS(RESUMEN GLOBAL)'!D2725-'[1]VENTAS(RESUMEN GLOBAL)'!E2725</f>
        <v>0</v>
      </c>
      <c r="H2725" s="9">
        <f>+'[1]VENTAS(RESUMEN GLOBAL)'!K2725</f>
        <v>0</v>
      </c>
      <c r="I2725" s="8">
        <f>+G2725*'[1]VENTAS(RESUMEN GLOBAL)'!F2725</f>
        <v>0</v>
      </c>
      <c r="J2725" s="8">
        <f>'[1]VENTAS(RESUMEN GLOBAL)'!G2725*(1-'[1]VENTAS(RESUMEN GLOBAL)'!H2725)</f>
        <v>0</v>
      </c>
      <c r="K2725" s="8">
        <f t="shared" si="42"/>
        <v>0</v>
      </c>
      <c r="L2725" s="8">
        <f>+'[1]VENTAS(RESUMEN GLOBAL)'!J2725</f>
        <v>0</v>
      </c>
      <c r="M2725" s="8">
        <f>+Tabla1[[#This Row],[utilidad x dia]]*7</f>
        <v>0</v>
      </c>
    </row>
    <row r="2726" spans="1:13" x14ac:dyDescent="0.3">
      <c r="A2726" s="6">
        <f>+'[1]VENTAS(RESUMEN GLOBAL)'!L2726</f>
        <v>0</v>
      </c>
      <c r="B2726" s="6">
        <f>+'[1]VENTAS(RESUMEN GLOBAL)'!M2726</f>
        <v>0</v>
      </c>
      <c r="C2726">
        <f>+'[1]VENTAS(RESUMEN GLOBAL)'!B2726</f>
        <v>0</v>
      </c>
      <c r="D2726" t="e">
        <f>INDEX('[1]CÓDIGOS DE PRODUCTO'!$D$3:$D$1000,MATCH(C2726,'[1]CÓDIGOS DE PRODUCTO'!$A$3:$A$1000,0))</f>
        <v>#N/A</v>
      </c>
      <c r="E2726">
        <f>VLOOKUP(C2726,'[1]CÓDIGOS DE PRODUCTO'!$A$4:$B$156,2,FALSE)</f>
        <v>0</v>
      </c>
      <c r="F2726">
        <f>INDEX('[1]CÓDIGOS DE PRODUCTO'!$C$3:$C$1000,MATCH(C2726,'[1]CÓDIGOS DE PRODUCTO'!$A$3:$A$1000,0))</f>
        <v>0</v>
      </c>
      <c r="G2726">
        <f>+'[1]VENTAS(RESUMEN GLOBAL)'!D2726-'[1]VENTAS(RESUMEN GLOBAL)'!E2726</f>
        <v>0</v>
      </c>
      <c r="H2726" s="9">
        <f>+'[1]VENTAS(RESUMEN GLOBAL)'!K2726</f>
        <v>0</v>
      </c>
      <c r="I2726" s="8">
        <f>+G2726*'[1]VENTAS(RESUMEN GLOBAL)'!F2726</f>
        <v>0</v>
      </c>
      <c r="J2726" s="8">
        <f>'[1]VENTAS(RESUMEN GLOBAL)'!G2726*(1-'[1]VENTAS(RESUMEN GLOBAL)'!H2726)</f>
        <v>0</v>
      </c>
      <c r="K2726" s="8">
        <f t="shared" si="42"/>
        <v>0</v>
      </c>
      <c r="L2726" s="8">
        <f>+'[1]VENTAS(RESUMEN GLOBAL)'!J2726</f>
        <v>0</v>
      </c>
      <c r="M2726" s="8">
        <f>+Tabla1[[#This Row],[utilidad x dia]]*7</f>
        <v>0</v>
      </c>
    </row>
    <row r="2727" spans="1:13" x14ac:dyDescent="0.3">
      <c r="A2727" s="6">
        <f>+'[1]VENTAS(RESUMEN GLOBAL)'!L2727</f>
        <v>0</v>
      </c>
      <c r="B2727" s="6">
        <f>+'[1]VENTAS(RESUMEN GLOBAL)'!M2727</f>
        <v>0</v>
      </c>
      <c r="C2727">
        <f>+'[1]VENTAS(RESUMEN GLOBAL)'!B2727</f>
        <v>0</v>
      </c>
      <c r="D2727" t="e">
        <f>INDEX('[1]CÓDIGOS DE PRODUCTO'!$D$3:$D$1000,MATCH(C2727,'[1]CÓDIGOS DE PRODUCTO'!$A$3:$A$1000,0))</f>
        <v>#N/A</v>
      </c>
      <c r="E2727">
        <f>VLOOKUP(C2727,'[1]CÓDIGOS DE PRODUCTO'!$A$4:$B$156,2,FALSE)</f>
        <v>0</v>
      </c>
      <c r="F2727">
        <f>INDEX('[1]CÓDIGOS DE PRODUCTO'!$C$3:$C$1000,MATCH(C2727,'[1]CÓDIGOS DE PRODUCTO'!$A$3:$A$1000,0))</f>
        <v>0</v>
      </c>
      <c r="G2727">
        <f>+'[1]VENTAS(RESUMEN GLOBAL)'!D2727-'[1]VENTAS(RESUMEN GLOBAL)'!E2727</f>
        <v>0</v>
      </c>
      <c r="H2727" s="9">
        <f>+'[1]VENTAS(RESUMEN GLOBAL)'!K2727</f>
        <v>0</v>
      </c>
      <c r="I2727" s="8">
        <f>+G2727*'[1]VENTAS(RESUMEN GLOBAL)'!F2727</f>
        <v>0</v>
      </c>
      <c r="J2727" s="8">
        <f>'[1]VENTAS(RESUMEN GLOBAL)'!G2727*(1-'[1]VENTAS(RESUMEN GLOBAL)'!H2727)</f>
        <v>0</v>
      </c>
      <c r="K2727" s="8">
        <f t="shared" si="42"/>
        <v>0</v>
      </c>
      <c r="L2727" s="8">
        <f>+'[1]VENTAS(RESUMEN GLOBAL)'!J2727</f>
        <v>0</v>
      </c>
      <c r="M2727" s="8">
        <f>+Tabla1[[#This Row],[utilidad x dia]]*7</f>
        <v>0</v>
      </c>
    </row>
    <row r="2728" spans="1:13" x14ac:dyDescent="0.3">
      <c r="A2728" s="6">
        <f>+'[1]VENTAS(RESUMEN GLOBAL)'!L2728</f>
        <v>0</v>
      </c>
      <c r="B2728" s="6">
        <f>+'[1]VENTAS(RESUMEN GLOBAL)'!M2728</f>
        <v>0</v>
      </c>
      <c r="C2728">
        <f>+'[1]VENTAS(RESUMEN GLOBAL)'!B2728</f>
        <v>0</v>
      </c>
      <c r="D2728" t="e">
        <f>INDEX('[1]CÓDIGOS DE PRODUCTO'!$D$3:$D$1000,MATCH(C2728,'[1]CÓDIGOS DE PRODUCTO'!$A$3:$A$1000,0))</f>
        <v>#N/A</v>
      </c>
      <c r="E2728">
        <f>VLOOKUP(C2728,'[1]CÓDIGOS DE PRODUCTO'!$A$4:$B$156,2,FALSE)</f>
        <v>0</v>
      </c>
      <c r="F2728">
        <f>INDEX('[1]CÓDIGOS DE PRODUCTO'!$C$3:$C$1000,MATCH(C2728,'[1]CÓDIGOS DE PRODUCTO'!$A$3:$A$1000,0))</f>
        <v>0</v>
      </c>
      <c r="G2728">
        <f>+'[1]VENTAS(RESUMEN GLOBAL)'!D2728-'[1]VENTAS(RESUMEN GLOBAL)'!E2728</f>
        <v>0</v>
      </c>
      <c r="H2728" s="9">
        <f>+'[1]VENTAS(RESUMEN GLOBAL)'!K2728</f>
        <v>0</v>
      </c>
      <c r="I2728" s="8">
        <f>+G2728*'[1]VENTAS(RESUMEN GLOBAL)'!F2728</f>
        <v>0</v>
      </c>
      <c r="J2728" s="8">
        <f>'[1]VENTAS(RESUMEN GLOBAL)'!G2728*(1-'[1]VENTAS(RESUMEN GLOBAL)'!H2728)</f>
        <v>0</v>
      </c>
      <c r="K2728" s="8">
        <f t="shared" si="42"/>
        <v>0</v>
      </c>
      <c r="L2728" s="8">
        <f>+'[1]VENTAS(RESUMEN GLOBAL)'!J2728</f>
        <v>0</v>
      </c>
      <c r="M2728" s="8">
        <f>+Tabla1[[#This Row],[utilidad x dia]]*7</f>
        <v>0</v>
      </c>
    </row>
    <row r="2729" spans="1:13" x14ac:dyDescent="0.3">
      <c r="A2729" s="6">
        <f>+'[1]VENTAS(RESUMEN GLOBAL)'!L2729</f>
        <v>0</v>
      </c>
      <c r="B2729" s="6">
        <f>+'[1]VENTAS(RESUMEN GLOBAL)'!M2729</f>
        <v>0</v>
      </c>
      <c r="C2729">
        <f>+'[1]VENTAS(RESUMEN GLOBAL)'!B2729</f>
        <v>0</v>
      </c>
      <c r="D2729" t="e">
        <f>INDEX('[1]CÓDIGOS DE PRODUCTO'!$D$3:$D$1000,MATCH(C2729,'[1]CÓDIGOS DE PRODUCTO'!$A$3:$A$1000,0))</f>
        <v>#N/A</v>
      </c>
      <c r="E2729">
        <f>VLOOKUP(C2729,'[1]CÓDIGOS DE PRODUCTO'!$A$4:$B$156,2,FALSE)</f>
        <v>0</v>
      </c>
      <c r="F2729">
        <f>INDEX('[1]CÓDIGOS DE PRODUCTO'!$C$3:$C$1000,MATCH(C2729,'[1]CÓDIGOS DE PRODUCTO'!$A$3:$A$1000,0))</f>
        <v>0</v>
      </c>
      <c r="G2729">
        <f>+'[1]VENTAS(RESUMEN GLOBAL)'!D2729-'[1]VENTAS(RESUMEN GLOBAL)'!E2729</f>
        <v>0</v>
      </c>
      <c r="H2729" s="9">
        <f>+'[1]VENTAS(RESUMEN GLOBAL)'!K2729</f>
        <v>0</v>
      </c>
      <c r="I2729" s="8">
        <f>+G2729*'[1]VENTAS(RESUMEN GLOBAL)'!F2729</f>
        <v>0</v>
      </c>
      <c r="J2729" s="8">
        <f>'[1]VENTAS(RESUMEN GLOBAL)'!G2729*(1-'[1]VENTAS(RESUMEN GLOBAL)'!H2729)</f>
        <v>0</v>
      </c>
      <c r="K2729" s="8">
        <f t="shared" si="42"/>
        <v>0</v>
      </c>
      <c r="L2729" s="8">
        <f>+'[1]VENTAS(RESUMEN GLOBAL)'!J2729</f>
        <v>0</v>
      </c>
      <c r="M2729" s="8">
        <f>+Tabla1[[#This Row],[utilidad x dia]]*7</f>
        <v>0</v>
      </c>
    </row>
    <row r="2730" spans="1:13" x14ac:dyDescent="0.3">
      <c r="A2730" s="6">
        <f>+'[1]VENTAS(RESUMEN GLOBAL)'!L2730</f>
        <v>0</v>
      </c>
      <c r="B2730" s="6">
        <f>+'[1]VENTAS(RESUMEN GLOBAL)'!M2730</f>
        <v>0</v>
      </c>
      <c r="C2730">
        <f>+'[1]VENTAS(RESUMEN GLOBAL)'!B2730</f>
        <v>0</v>
      </c>
      <c r="D2730" t="e">
        <f>INDEX('[1]CÓDIGOS DE PRODUCTO'!$D$3:$D$1000,MATCH(C2730,'[1]CÓDIGOS DE PRODUCTO'!$A$3:$A$1000,0))</f>
        <v>#N/A</v>
      </c>
      <c r="E2730">
        <f>VLOOKUP(C2730,'[1]CÓDIGOS DE PRODUCTO'!$A$4:$B$156,2,FALSE)</f>
        <v>0</v>
      </c>
      <c r="F2730">
        <f>INDEX('[1]CÓDIGOS DE PRODUCTO'!$C$3:$C$1000,MATCH(C2730,'[1]CÓDIGOS DE PRODUCTO'!$A$3:$A$1000,0))</f>
        <v>0</v>
      </c>
      <c r="G2730">
        <f>+'[1]VENTAS(RESUMEN GLOBAL)'!D2730-'[1]VENTAS(RESUMEN GLOBAL)'!E2730</f>
        <v>0</v>
      </c>
      <c r="H2730" s="9">
        <f>+'[1]VENTAS(RESUMEN GLOBAL)'!K2730</f>
        <v>0</v>
      </c>
      <c r="I2730" s="8">
        <f>+G2730*'[1]VENTAS(RESUMEN GLOBAL)'!F2730</f>
        <v>0</v>
      </c>
      <c r="J2730" s="8">
        <f>'[1]VENTAS(RESUMEN GLOBAL)'!G2730*(1-'[1]VENTAS(RESUMEN GLOBAL)'!H2730)</f>
        <v>0</v>
      </c>
      <c r="K2730" s="8">
        <f t="shared" si="42"/>
        <v>0</v>
      </c>
      <c r="L2730" s="8">
        <f>+'[1]VENTAS(RESUMEN GLOBAL)'!J2730</f>
        <v>0</v>
      </c>
      <c r="M2730" s="8">
        <f>+Tabla1[[#This Row],[utilidad x dia]]*7</f>
        <v>0</v>
      </c>
    </row>
    <row r="2731" spans="1:13" x14ac:dyDescent="0.3">
      <c r="A2731" s="6">
        <f>+'[1]VENTAS(RESUMEN GLOBAL)'!L2731</f>
        <v>0</v>
      </c>
      <c r="B2731" s="6">
        <f>+'[1]VENTAS(RESUMEN GLOBAL)'!M2731</f>
        <v>0</v>
      </c>
      <c r="C2731">
        <f>+'[1]VENTAS(RESUMEN GLOBAL)'!B2731</f>
        <v>0</v>
      </c>
      <c r="D2731" t="e">
        <f>INDEX('[1]CÓDIGOS DE PRODUCTO'!$D$3:$D$1000,MATCH(C2731,'[1]CÓDIGOS DE PRODUCTO'!$A$3:$A$1000,0))</f>
        <v>#N/A</v>
      </c>
      <c r="E2731">
        <f>VLOOKUP(C2731,'[1]CÓDIGOS DE PRODUCTO'!$A$4:$B$156,2,FALSE)</f>
        <v>0</v>
      </c>
      <c r="F2731">
        <f>INDEX('[1]CÓDIGOS DE PRODUCTO'!$C$3:$C$1000,MATCH(C2731,'[1]CÓDIGOS DE PRODUCTO'!$A$3:$A$1000,0))</f>
        <v>0</v>
      </c>
      <c r="G2731">
        <f>+'[1]VENTAS(RESUMEN GLOBAL)'!D2731-'[1]VENTAS(RESUMEN GLOBAL)'!E2731</f>
        <v>0</v>
      </c>
      <c r="H2731" s="9">
        <f>+'[1]VENTAS(RESUMEN GLOBAL)'!K2731</f>
        <v>0</v>
      </c>
      <c r="I2731" s="8">
        <f>+G2731*'[1]VENTAS(RESUMEN GLOBAL)'!F2731</f>
        <v>0</v>
      </c>
      <c r="J2731" s="8">
        <f>'[1]VENTAS(RESUMEN GLOBAL)'!G2731*(1-'[1]VENTAS(RESUMEN GLOBAL)'!H2731)</f>
        <v>0</v>
      </c>
      <c r="K2731" s="8">
        <f t="shared" si="42"/>
        <v>0</v>
      </c>
      <c r="L2731" s="8">
        <f>+'[1]VENTAS(RESUMEN GLOBAL)'!J2731</f>
        <v>0</v>
      </c>
      <c r="M2731" s="8">
        <f>+Tabla1[[#This Row],[utilidad x dia]]*7</f>
        <v>0</v>
      </c>
    </row>
    <row r="2732" spans="1:13" x14ac:dyDescent="0.3">
      <c r="A2732" s="6">
        <f>+'[1]VENTAS(RESUMEN GLOBAL)'!L2732</f>
        <v>0</v>
      </c>
      <c r="B2732" s="6">
        <f>+'[1]VENTAS(RESUMEN GLOBAL)'!M2732</f>
        <v>0</v>
      </c>
      <c r="C2732">
        <f>+'[1]VENTAS(RESUMEN GLOBAL)'!B2732</f>
        <v>0</v>
      </c>
      <c r="D2732" t="e">
        <f>INDEX('[1]CÓDIGOS DE PRODUCTO'!$D$3:$D$1000,MATCH(C2732,'[1]CÓDIGOS DE PRODUCTO'!$A$3:$A$1000,0))</f>
        <v>#N/A</v>
      </c>
      <c r="E2732">
        <f>VLOOKUP(C2732,'[1]CÓDIGOS DE PRODUCTO'!$A$4:$B$156,2,FALSE)</f>
        <v>0</v>
      </c>
      <c r="F2732">
        <f>INDEX('[1]CÓDIGOS DE PRODUCTO'!$C$3:$C$1000,MATCH(C2732,'[1]CÓDIGOS DE PRODUCTO'!$A$3:$A$1000,0))</f>
        <v>0</v>
      </c>
      <c r="G2732">
        <f>+'[1]VENTAS(RESUMEN GLOBAL)'!D2732-'[1]VENTAS(RESUMEN GLOBAL)'!E2732</f>
        <v>0</v>
      </c>
      <c r="H2732" s="9">
        <f>+'[1]VENTAS(RESUMEN GLOBAL)'!K2732</f>
        <v>0</v>
      </c>
      <c r="I2732" s="8">
        <f>+G2732*'[1]VENTAS(RESUMEN GLOBAL)'!F2732</f>
        <v>0</v>
      </c>
      <c r="J2732" s="8">
        <f>'[1]VENTAS(RESUMEN GLOBAL)'!G2732*(1-'[1]VENTAS(RESUMEN GLOBAL)'!H2732)</f>
        <v>0</v>
      </c>
      <c r="K2732" s="8">
        <f t="shared" si="42"/>
        <v>0</v>
      </c>
      <c r="L2732" s="8">
        <f>+'[1]VENTAS(RESUMEN GLOBAL)'!J2732</f>
        <v>0</v>
      </c>
      <c r="M2732" s="8">
        <f>+Tabla1[[#This Row],[utilidad x dia]]*7</f>
        <v>0</v>
      </c>
    </row>
    <row r="2733" spans="1:13" x14ac:dyDescent="0.3">
      <c r="A2733" s="6">
        <f>+'[1]VENTAS(RESUMEN GLOBAL)'!L2733</f>
        <v>0</v>
      </c>
      <c r="B2733" s="6">
        <f>+'[1]VENTAS(RESUMEN GLOBAL)'!M2733</f>
        <v>0</v>
      </c>
      <c r="C2733">
        <f>+'[1]VENTAS(RESUMEN GLOBAL)'!B2733</f>
        <v>0</v>
      </c>
      <c r="D2733" t="e">
        <f>INDEX('[1]CÓDIGOS DE PRODUCTO'!$D$3:$D$1000,MATCH(C2733,'[1]CÓDIGOS DE PRODUCTO'!$A$3:$A$1000,0))</f>
        <v>#N/A</v>
      </c>
      <c r="E2733">
        <f>VLOOKUP(C2733,'[1]CÓDIGOS DE PRODUCTO'!$A$4:$B$156,2,FALSE)</f>
        <v>0</v>
      </c>
      <c r="F2733">
        <f>INDEX('[1]CÓDIGOS DE PRODUCTO'!$C$3:$C$1000,MATCH(C2733,'[1]CÓDIGOS DE PRODUCTO'!$A$3:$A$1000,0))</f>
        <v>0</v>
      </c>
      <c r="G2733">
        <f>+'[1]VENTAS(RESUMEN GLOBAL)'!D2733-'[1]VENTAS(RESUMEN GLOBAL)'!E2733</f>
        <v>0</v>
      </c>
      <c r="H2733" s="9">
        <f>+'[1]VENTAS(RESUMEN GLOBAL)'!K2733</f>
        <v>0</v>
      </c>
      <c r="I2733" s="8">
        <f>+G2733*'[1]VENTAS(RESUMEN GLOBAL)'!F2733</f>
        <v>0</v>
      </c>
      <c r="J2733" s="8">
        <f>'[1]VENTAS(RESUMEN GLOBAL)'!G2733*(1-'[1]VENTAS(RESUMEN GLOBAL)'!H2733)</f>
        <v>0</v>
      </c>
      <c r="K2733" s="8">
        <f t="shared" si="42"/>
        <v>0</v>
      </c>
      <c r="L2733" s="8">
        <f>+'[1]VENTAS(RESUMEN GLOBAL)'!J2733</f>
        <v>0</v>
      </c>
      <c r="M2733" s="8">
        <f>+Tabla1[[#This Row],[utilidad x dia]]*7</f>
        <v>0</v>
      </c>
    </row>
    <row r="2734" spans="1:13" x14ac:dyDescent="0.3">
      <c r="A2734" s="6">
        <f>+'[1]VENTAS(RESUMEN GLOBAL)'!L2734</f>
        <v>0</v>
      </c>
      <c r="B2734" s="6">
        <f>+'[1]VENTAS(RESUMEN GLOBAL)'!M2734</f>
        <v>0</v>
      </c>
      <c r="C2734">
        <f>+'[1]VENTAS(RESUMEN GLOBAL)'!B2734</f>
        <v>0</v>
      </c>
      <c r="D2734" t="e">
        <f>INDEX('[1]CÓDIGOS DE PRODUCTO'!$D$3:$D$1000,MATCH(C2734,'[1]CÓDIGOS DE PRODUCTO'!$A$3:$A$1000,0))</f>
        <v>#N/A</v>
      </c>
      <c r="E2734">
        <f>VLOOKUP(C2734,'[1]CÓDIGOS DE PRODUCTO'!$A$4:$B$156,2,FALSE)</f>
        <v>0</v>
      </c>
      <c r="F2734">
        <f>INDEX('[1]CÓDIGOS DE PRODUCTO'!$C$3:$C$1000,MATCH(C2734,'[1]CÓDIGOS DE PRODUCTO'!$A$3:$A$1000,0))</f>
        <v>0</v>
      </c>
      <c r="G2734">
        <f>+'[1]VENTAS(RESUMEN GLOBAL)'!D2734-'[1]VENTAS(RESUMEN GLOBAL)'!E2734</f>
        <v>0</v>
      </c>
      <c r="H2734" s="9">
        <f>+'[1]VENTAS(RESUMEN GLOBAL)'!K2734</f>
        <v>0</v>
      </c>
      <c r="I2734" s="8">
        <f>+G2734*'[1]VENTAS(RESUMEN GLOBAL)'!F2734</f>
        <v>0</v>
      </c>
      <c r="J2734" s="8">
        <f>'[1]VENTAS(RESUMEN GLOBAL)'!G2734*(1-'[1]VENTAS(RESUMEN GLOBAL)'!H2734)</f>
        <v>0</v>
      </c>
      <c r="K2734" s="8">
        <f t="shared" si="42"/>
        <v>0</v>
      </c>
      <c r="L2734" s="8">
        <f>+'[1]VENTAS(RESUMEN GLOBAL)'!J2734</f>
        <v>0</v>
      </c>
      <c r="M2734" s="8">
        <f>+Tabla1[[#This Row],[utilidad x dia]]*7</f>
        <v>0</v>
      </c>
    </row>
    <row r="2735" spans="1:13" x14ac:dyDescent="0.3">
      <c r="A2735" s="6">
        <f>+'[1]VENTAS(RESUMEN GLOBAL)'!L2735</f>
        <v>0</v>
      </c>
      <c r="B2735" s="6">
        <f>+'[1]VENTAS(RESUMEN GLOBAL)'!M2735</f>
        <v>0</v>
      </c>
      <c r="C2735">
        <f>+'[1]VENTAS(RESUMEN GLOBAL)'!B2735</f>
        <v>0</v>
      </c>
      <c r="D2735" t="e">
        <f>INDEX('[1]CÓDIGOS DE PRODUCTO'!$D$3:$D$1000,MATCH(C2735,'[1]CÓDIGOS DE PRODUCTO'!$A$3:$A$1000,0))</f>
        <v>#N/A</v>
      </c>
      <c r="E2735">
        <f>VLOOKUP(C2735,'[1]CÓDIGOS DE PRODUCTO'!$A$4:$B$156,2,FALSE)</f>
        <v>0</v>
      </c>
      <c r="F2735">
        <f>INDEX('[1]CÓDIGOS DE PRODUCTO'!$C$3:$C$1000,MATCH(C2735,'[1]CÓDIGOS DE PRODUCTO'!$A$3:$A$1000,0))</f>
        <v>0</v>
      </c>
      <c r="G2735">
        <f>+'[1]VENTAS(RESUMEN GLOBAL)'!D2735-'[1]VENTAS(RESUMEN GLOBAL)'!E2735</f>
        <v>0</v>
      </c>
      <c r="H2735" s="9">
        <f>+'[1]VENTAS(RESUMEN GLOBAL)'!K2735</f>
        <v>0</v>
      </c>
      <c r="I2735" s="8">
        <f>+G2735*'[1]VENTAS(RESUMEN GLOBAL)'!F2735</f>
        <v>0</v>
      </c>
      <c r="J2735" s="8">
        <f>'[1]VENTAS(RESUMEN GLOBAL)'!G2735*(1-'[1]VENTAS(RESUMEN GLOBAL)'!H2735)</f>
        <v>0</v>
      </c>
      <c r="K2735" s="8">
        <f t="shared" si="42"/>
        <v>0</v>
      </c>
      <c r="L2735" s="8">
        <f>+'[1]VENTAS(RESUMEN GLOBAL)'!J2735</f>
        <v>0</v>
      </c>
      <c r="M2735" s="8">
        <f>+Tabla1[[#This Row],[utilidad x dia]]*7</f>
        <v>0</v>
      </c>
    </row>
    <row r="2736" spans="1:13" x14ac:dyDescent="0.3">
      <c r="A2736" s="6">
        <f>+'[1]VENTAS(RESUMEN GLOBAL)'!L2736</f>
        <v>0</v>
      </c>
      <c r="B2736" s="6">
        <f>+'[1]VENTAS(RESUMEN GLOBAL)'!M2736</f>
        <v>0</v>
      </c>
      <c r="C2736">
        <f>+'[1]VENTAS(RESUMEN GLOBAL)'!B2736</f>
        <v>0</v>
      </c>
      <c r="D2736" t="e">
        <f>INDEX('[1]CÓDIGOS DE PRODUCTO'!$D$3:$D$1000,MATCH(C2736,'[1]CÓDIGOS DE PRODUCTO'!$A$3:$A$1000,0))</f>
        <v>#N/A</v>
      </c>
      <c r="E2736">
        <f>VLOOKUP(C2736,'[1]CÓDIGOS DE PRODUCTO'!$A$4:$B$156,2,FALSE)</f>
        <v>0</v>
      </c>
      <c r="F2736">
        <f>INDEX('[1]CÓDIGOS DE PRODUCTO'!$C$3:$C$1000,MATCH(C2736,'[1]CÓDIGOS DE PRODUCTO'!$A$3:$A$1000,0))</f>
        <v>0</v>
      </c>
      <c r="G2736">
        <f>+'[1]VENTAS(RESUMEN GLOBAL)'!D2736-'[1]VENTAS(RESUMEN GLOBAL)'!E2736</f>
        <v>0</v>
      </c>
      <c r="H2736" s="9">
        <f>+'[1]VENTAS(RESUMEN GLOBAL)'!K2736</f>
        <v>0</v>
      </c>
      <c r="I2736" s="8">
        <f>+G2736*'[1]VENTAS(RESUMEN GLOBAL)'!F2736</f>
        <v>0</v>
      </c>
      <c r="J2736" s="8">
        <f>'[1]VENTAS(RESUMEN GLOBAL)'!G2736*(1-'[1]VENTAS(RESUMEN GLOBAL)'!H2736)</f>
        <v>0</v>
      </c>
      <c r="K2736" s="8">
        <f t="shared" si="42"/>
        <v>0</v>
      </c>
      <c r="L2736" s="8">
        <f>+'[1]VENTAS(RESUMEN GLOBAL)'!J2736</f>
        <v>0</v>
      </c>
      <c r="M2736" s="8">
        <f>+Tabla1[[#This Row],[utilidad x dia]]*7</f>
        <v>0</v>
      </c>
    </row>
    <row r="2737" spans="1:13" x14ac:dyDescent="0.3">
      <c r="A2737" s="6">
        <f>+'[1]VENTAS(RESUMEN GLOBAL)'!L2737</f>
        <v>0</v>
      </c>
      <c r="B2737" s="6">
        <f>+'[1]VENTAS(RESUMEN GLOBAL)'!M2737</f>
        <v>0</v>
      </c>
      <c r="C2737">
        <f>+'[1]VENTAS(RESUMEN GLOBAL)'!B2737</f>
        <v>0</v>
      </c>
      <c r="D2737" t="e">
        <f>INDEX('[1]CÓDIGOS DE PRODUCTO'!$D$3:$D$1000,MATCH(C2737,'[1]CÓDIGOS DE PRODUCTO'!$A$3:$A$1000,0))</f>
        <v>#N/A</v>
      </c>
      <c r="E2737">
        <f>VLOOKUP(C2737,'[1]CÓDIGOS DE PRODUCTO'!$A$4:$B$156,2,FALSE)</f>
        <v>0</v>
      </c>
      <c r="F2737">
        <f>INDEX('[1]CÓDIGOS DE PRODUCTO'!$C$3:$C$1000,MATCH(C2737,'[1]CÓDIGOS DE PRODUCTO'!$A$3:$A$1000,0))</f>
        <v>0</v>
      </c>
      <c r="G2737">
        <f>+'[1]VENTAS(RESUMEN GLOBAL)'!D2737-'[1]VENTAS(RESUMEN GLOBAL)'!E2737</f>
        <v>0</v>
      </c>
      <c r="H2737" s="9">
        <f>+'[1]VENTAS(RESUMEN GLOBAL)'!K2737</f>
        <v>0</v>
      </c>
      <c r="I2737" s="8">
        <f>+G2737*'[1]VENTAS(RESUMEN GLOBAL)'!F2737</f>
        <v>0</v>
      </c>
      <c r="J2737" s="8">
        <f>'[1]VENTAS(RESUMEN GLOBAL)'!G2737*(1-'[1]VENTAS(RESUMEN GLOBAL)'!H2737)</f>
        <v>0</v>
      </c>
      <c r="K2737" s="8">
        <f t="shared" si="42"/>
        <v>0</v>
      </c>
      <c r="L2737" s="8">
        <f>+'[1]VENTAS(RESUMEN GLOBAL)'!J2737</f>
        <v>0</v>
      </c>
      <c r="M2737" s="8">
        <f>+Tabla1[[#This Row],[utilidad x dia]]*7</f>
        <v>0</v>
      </c>
    </row>
    <row r="2738" spans="1:13" x14ac:dyDescent="0.3">
      <c r="A2738" s="6">
        <f>+'[1]VENTAS(RESUMEN GLOBAL)'!L2738</f>
        <v>0</v>
      </c>
      <c r="B2738" s="6">
        <f>+'[1]VENTAS(RESUMEN GLOBAL)'!M2738</f>
        <v>0</v>
      </c>
      <c r="C2738">
        <f>+'[1]VENTAS(RESUMEN GLOBAL)'!B2738</f>
        <v>0</v>
      </c>
      <c r="D2738" t="e">
        <f>INDEX('[1]CÓDIGOS DE PRODUCTO'!$D$3:$D$1000,MATCH(C2738,'[1]CÓDIGOS DE PRODUCTO'!$A$3:$A$1000,0))</f>
        <v>#N/A</v>
      </c>
      <c r="E2738">
        <f>VLOOKUP(C2738,'[1]CÓDIGOS DE PRODUCTO'!$A$4:$B$156,2,FALSE)</f>
        <v>0</v>
      </c>
      <c r="F2738">
        <f>INDEX('[1]CÓDIGOS DE PRODUCTO'!$C$3:$C$1000,MATCH(C2738,'[1]CÓDIGOS DE PRODUCTO'!$A$3:$A$1000,0))</f>
        <v>0</v>
      </c>
      <c r="G2738">
        <f>+'[1]VENTAS(RESUMEN GLOBAL)'!D2738-'[1]VENTAS(RESUMEN GLOBAL)'!E2738</f>
        <v>0</v>
      </c>
      <c r="H2738" s="9">
        <f>+'[1]VENTAS(RESUMEN GLOBAL)'!K2738</f>
        <v>0</v>
      </c>
      <c r="I2738" s="8">
        <f>+G2738*'[1]VENTAS(RESUMEN GLOBAL)'!F2738</f>
        <v>0</v>
      </c>
      <c r="J2738" s="8">
        <f>'[1]VENTAS(RESUMEN GLOBAL)'!G2738*(1-'[1]VENTAS(RESUMEN GLOBAL)'!H2738)</f>
        <v>0</v>
      </c>
      <c r="K2738" s="8">
        <f t="shared" si="42"/>
        <v>0</v>
      </c>
      <c r="L2738" s="8">
        <f>+'[1]VENTAS(RESUMEN GLOBAL)'!J2738</f>
        <v>0</v>
      </c>
      <c r="M2738" s="8">
        <f>+Tabla1[[#This Row],[utilidad x dia]]*7</f>
        <v>0</v>
      </c>
    </row>
    <row r="2739" spans="1:13" x14ac:dyDescent="0.3">
      <c r="A2739" s="6">
        <f>+'[1]VENTAS(RESUMEN GLOBAL)'!L2739</f>
        <v>0</v>
      </c>
      <c r="B2739" s="6">
        <f>+'[1]VENTAS(RESUMEN GLOBAL)'!M2739</f>
        <v>0</v>
      </c>
      <c r="C2739">
        <f>+'[1]VENTAS(RESUMEN GLOBAL)'!B2739</f>
        <v>0</v>
      </c>
      <c r="D2739" t="e">
        <f>INDEX('[1]CÓDIGOS DE PRODUCTO'!$D$3:$D$1000,MATCH(C2739,'[1]CÓDIGOS DE PRODUCTO'!$A$3:$A$1000,0))</f>
        <v>#N/A</v>
      </c>
      <c r="E2739">
        <f>VLOOKUP(C2739,'[1]CÓDIGOS DE PRODUCTO'!$A$4:$B$156,2,FALSE)</f>
        <v>0</v>
      </c>
      <c r="F2739">
        <f>INDEX('[1]CÓDIGOS DE PRODUCTO'!$C$3:$C$1000,MATCH(C2739,'[1]CÓDIGOS DE PRODUCTO'!$A$3:$A$1000,0))</f>
        <v>0</v>
      </c>
      <c r="G2739">
        <f>+'[1]VENTAS(RESUMEN GLOBAL)'!D2739-'[1]VENTAS(RESUMEN GLOBAL)'!E2739</f>
        <v>0</v>
      </c>
      <c r="H2739" s="9">
        <f>+'[1]VENTAS(RESUMEN GLOBAL)'!K2739</f>
        <v>0</v>
      </c>
      <c r="I2739" s="8">
        <f>+G2739*'[1]VENTAS(RESUMEN GLOBAL)'!F2739</f>
        <v>0</v>
      </c>
      <c r="J2739" s="8">
        <f>'[1]VENTAS(RESUMEN GLOBAL)'!G2739*(1-'[1]VENTAS(RESUMEN GLOBAL)'!H2739)</f>
        <v>0</v>
      </c>
      <c r="K2739" s="8">
        <f t="shared" si="42"/>
        <v>0</v>
      </c>
      <c r="L2739" s="8">
        <f>+'[1]VENTAS(RESUMEN GLOBAL)'!J2739</f>
        <v>0</v>
      </c>
      <c r="M2739" s="8">
        <f>+Tabla1[[#This Row],[utilidad x dia]]*7</f>
        <v>0</v>
      </c>
    </row>
    <row r="2740" spans="1:13" x14ac:dyDescent="0.3">
      <c r="A2740" s="6">
        <f>+'[1]VENTAS(RESUMEN GLOBAL)'!L2740</f>
        <v>0</v>
      </c>
      <c r="B2740" s="6">
        <f>+'[1]VENTAS(RESUMEN GLOBAL)'!M2740</f>
        <v>0</v>
      </c>
      <c r="C2740">
        <f>+'[1]VENTAS(RESUMEN GLOBAL)'!B2740</f>
        <v>0</v>
      </c>
      <c r="D2740" t="e">
        <f>INDEX('[1]CÓDIGOS DE PRODUCTO'!$D$3:$D$1000,MATCH(C2740,'[1]CÓDIGOS DE PRODUCTO'!$A$3:$A$1000,0))</f>
        <v>#N/A</v>
      </c>
      <c r="E2740">
        <f>VLOOKUP(C2740,'[1]CÓDIGOS DE PRODUCTO'!$A$4:$B$156,2,FALSE)</f>
        <v>0</v>
      </c>
      <c r="F2740">
        <f>INDEX('[1]CÓDIGOS DE PRODUCTO'!$C$3:$C$1000,MATCH(C2740,'[1]CÓDIGOS DE PRODUCTO'!$A$3:$A$1000,0))</f>
        <v>0</v>
      </c>
      <c r="G2740">
        <f>+'[1]VENTAS(RESUMEN GLOBAL)'!D2740-'[1]VENTAS(RESUMEN GLOBAL)'!E2740</f>
        <v>0</v>
      </c>
      <c r="H2740" s="9">
        <f>+'[1]VENTAS(RESUMEN GLOBAL)'!K2740</f>
        <v>0</v>
      </c>
      <c r="I2740" s="8">
        <f>+G2740*'[1]VENTAS(RESUMEN GLOBAL)'!F2740</f>
        <v>0</v>
      </c>
      <c r="J2740" s="8">
        <f>'[1]VENTAS(RESUMEN GLOBAL)'!G2740*(1-'[1]VENTAS(RESUMEN GLOBAL)'!H2740)</f>
        <v>0</v>
      </c>
      <c r="K2740" s="8">
        <f t="shared" si="42"/>
        <v>0</v>
      </c>
      <c r="L2740" s="8">
        <f>+'[1]VENTAS(RESUMEN GLOBAL)'!J2740</f>
        <v>0</v>
      </c>
      <c r="M2740" s="8">
        <f>+Tabla1[[#This Row],[utilidad x dia]]*7</f>
        <v>0</v>
      </c>
    </row>
    <row r="2741" spans="1:13" x14ac:dyDescent="0.3">
      <c r="A2741" s="6">
        <f>+'[1]VENTAS(RESUMEN GLOBAL)'!L2741</f>
        <v>0</v>
      </c>
      <c r="B2741" s="6">
        <f>+'[1]VENTAS(RESUMEN GLOBAL)'!M2741</f>
        <v>0</v>
      </c>
      <c r="C2741">
        <f>+'[1]VENTAS(RESUMEN GLOBAL)'!B2741</f>
        <v>0</v>
      </c>
      <c r="D2741" t="e">
        <f>INDEX('[1]CÓDIGOS DE PRODUCTO'!$D$3:$D$1000,MATCH(C2741,'[1]CÓDIGOS DE PRODUCTO'!$A$3:$A$1000,0))</f>
        <v>#N/A</v>
      </c>
      <c r="E2741">
        <f>VLOOKUP(C2741,'[1]CÓDIGOS DE PRODUCTO'!$A$4:$B$156,2,FALSE)</f>
        <v>0</v>
      </c>
      <c r="F2741">
        <f>INDEX('[1]CÓDIGOS DE PRODUCTO'!$C$3:$C$1000,MATCH(C2741,'[1]CÓDIGOS DE PRODUCTO'!$A$3:$A$1000,0))</f>
        <v>0</v>
      </c>
      <c r="G2741">
        <f>+'[1]VENTAS(RESUMEN GLOBAL)'!D2741-'[1]VENTAS(RESUMEN GLOBAL)'!E2741</f>
        <v>0</v>
      </c>
      <c r="H2741" s="9">
        <f>+'[1]VENTAS(RESUMEN GLOBAL)'!K2741</f>
        <v>0</v>
      </c>
      <c r="I2741" s="8">
        <f>+G2741*'[1]VENTAS(RESUMEN GLOBAL)'!F2741</f>
        <v>0</v>
      </c>
      <c r="J2741" s="8">
        <f>'[1]VENTAS(RESUMEN GLOBAL)'!G2741*(1-'[1]VENTAS(RESUMEN GLOBAL)'!H2741)</f>
        <v>0</v>
      </c>
      <c r="K2741" s="8">
        <f t="shared" si="42"/>
        <v>0</v>
      </c>
      <c r="L2741" s="8">
        <f>+'[1]VENTAS(RESUMEN GLOBAL)'!J2741</f>
        <v>0</v>
      </c>
      <c r="M2741" s="8">
        <f>+Tabla1[[#This Row],[utilidad x dia]]*7</f>
        <v>0</v>
      </c>
    </row>
    <row r="2742" spans="1:13" x14ac:dyDescent="0.3">
      <c r="A2742" s="6">
        <f>+'[1]VENTAS(RESUMEN GLOBAL)'!L2742</f>
        <v>0</v>
      </c>
      <c r="B2742" s="6">
        <f>+'[1]VENTAS(RESUMEN GLOBAL)'!M2742</f>
        <v>0</v>
      </c>
      <c r="C2742">
        <f>+'[1]VENTAS(RESUMEN GLOBAL)'!B2742</f>
        <v>0</v>
      </c>
      <c r="D2742" t="e">
        <f>INDEX('[1]CÓDIGOS DE PRODUCTO'!$D$3:$D$1000,MATCH(C2742,'[1]CÓDIGOS DE PRODUCTO'!$A$3:$A$1000,0))</f>
        <v>#N/A</v>
      </c>
      <c r="E2742">
        <f>VLOOKUP(C2742,'[1]CÓDIGOS DE PRODUCTO'!$A$4:$B$156,2,FALSE)</f>
        <v>0</v>
      </c>
      <c r="F2742">
        <f>INDEX('[1]CÓDIGOS DE PRODUCTO'!$C$3:$C$1000,MATCH(C2742,'[1]CÓDIGOS DE PRODUCTO'!$A$3:$A$1000,0))</f>
        <v>0</v>
      </c>
      <c r="G2742">
        <f>+'[1]VENTAS(RESUMEN GLOBAL)'!D2742-'[1]VENTAS(RESUMEN GLOBAL)'!E2742</f>
        <v>0</v>
      </c>
      <c r="H2742" s="9">
        <f>+'[1]VENTAS(RESUMEN GLOBAL)'!K2742</f>
        <v>0</v>
      </c>
      <c r="I2742" s="8">
        <f>+G2742*'[1]VENTAS(RESUMEN GLOBAL)'!F2742</f>
        <v>0</v>
      </c>
      <c r="J2742" s="8">
        <f>'[1]VENTAS(RESUMEN GLOBAL)'!G2742*(1-'[1]VENTAS(RESUMEN GLOBAL)'!H2742)</f>
        <v>0</v>
      </c>
      <c r="K2742" s="8">
        <f t="shared" si="42"/>
        <v>0</v>
      </c>
      <c r="L2742" s="8">
        <f>+'[1]VENTAS(RESUMEN GLOBAL)'!J2742</f>
        <v>0</v>
      </c>
      <c r="M2742" s="8">
        <f>+Tabla1[[#This Row],[utilidad x dia]]*7</f>
        <v>0</v>
      </c>
    </row>
    <row r="2743" spans="1:13" x14ac:dyDescent="0.3">
      <c r="A2743" s="6">
        <f>+'[1]VENTAS(RESUMEN GLOBAL)'!L2743</f>
        <v>0</v>
      </c>
      <c r="B2743" s="6">
        <f>+'[1]VENTAS(RESUMEN GLOBAL)'!M2743</f>
        <v>0</v>
      </c>
      <c r="C2743">
        <f>+'[1]VENTAS(RESUMEN GLOBAL)'!B2743</f>
        <v>0</v>
      </c>
      <c r="D2743" t="e">
        <f>INDEX('[1]CÓDIGOS DE PRODUCTO'!$D$3:$D$1000,MATCH(C2743,'[1]CÓDIGOS DE PRODUCTO'!$A$3:$A$1000,0))</f>
        <v>#N/A</v>
      </c>
      <c r="E2743">
        <f>VLOOKUP(C2743,'[1]CÓDIGOS DE PRODUCTO'!$A$4:$B$156,2,FALSE)</f>
        <v>0</v>
      </c>
      <c r="F2743">
        <f>INDEX('[1]CÓDIGOS DE PRODUCTO'!$C$3:$C$1000,MATCH(C2743,'[1]CÓDIGOS DE PRODUCTO'!$A$3:$A$1000,0))</f>
        <v>0</v>
      </c>
      <c r="G2743">
        <f>+'[1]VENTAS(RESUMEN GLOBAL)'!D2743-'[1]VENTAS(RESUMEN GLOBAL)'!E2743</f>
        <v>0</v>
      </c>
      <c r="H2743" s="9">
        <f>+'[1]VENTAS(RESUMEN GLOBAL)'!K2743</f>
        <v>0</v>
      </c>
      <c r="I2743" s="8">
        <f>+G2743*'[1]VENTAS(RESUMEN GLOBAL)'!F2743</f>
        <v>0</v>
      </c>
      <c r="J2743" s="8">
        <f>'[1]VENTAS(RESUMEN GLOBAL)'!G2743*(1-'[1]VENTAS(RESUMEN GLOBAL)'!H2743)</f>
        <v>0</v>
      </c>
      <c r="K2743" s="8">
        <f t="shared" si="42"/>
        <v>0</v>
      </c>
      <c r="L2743" s="8">
        <f>+'[1]VENTAS(RESUMEN GLOBAL)'!J2743</f>
        <v>0</v>
      </c>
      <c r="M2743" s="8">
        <f>+Tabla1[[#This Row],[utilidad x dia]]*7</f>
        <v>0</v>
      </c>
    </row>
    <row r="2744" spans="1:13" x14ac:dyDescent="0.3">
      <c r="A2744" s="6">
        <f>+'[1]VENTAS(RESUMEN GLOBAL)'!L2744</f>
        <v>0</v>
      </c>
      <c r="B2744" s="6">
        <f>+'[1]VENTAS(RESUMEN GLOBAL)'!M2744</f>
        <v>0</v>
      </c>
      <c r="C2744">
        <f>+'[1]VENTAS(RESUMEN GLOBAL)'!B2744</f>
        <v>0</v>
      </c>
      <c r="D2744" t="e">
        <f>INDEX('[1]CÓDIGOS DE PRODUCTO'!$D$3:$D$1000,MATCH(C2744,'[1]CÓDIGOS DE PRODUCTO'!$A$3:$A$1000,0))</f>
        <v>#N/A</v>
      </c>
      <c r="E2744">
        <f>VLOOKUP(C2744,'[1]CÓDIGOS DE PRODUCTO'!$A$4:$B$156,2,FALSE)</f>
        <v>0</v>
      </c>
      <c r="F2744">
        <f>INDEX('[1]CÓDIGOS DE PRODUCTO'!$C$3:$C$1000,MATCH(C2744,'[1]CÓDIGOS DE PRODUCTO'!$A$3:$A$1000,0))</f>
        <v>0</v>
      </c>
      <c r="G2744">
        <f>+'[1]VENTAS(RESUMEN GLOBAL)'!D2744-'[1]VENTAS(RESUMEN GLOBAL)'!E2744</f>
        <v>0</v>
      </c>
      <c r="H2744" s="9">
        <f>+'[1]VENTAS(RESUMEN GLOBAL)'!K2744</f>
        <v>0</v>
      </c>
      <c r="I2744" s="8">
        <f>+G2744*'[1]VENTAS(RESUMEN GLOBAL)'!F2744</f>
        <v>0</v>
      </c>
      <c r="J2744" s="8">
        <f>'[1]VENTAS(RESUMEN GLOBAL)'!G2744*(1-'[1]VENTAS(RESUMEN GLOBAL)'!H2744)</f>
        <v>0</v>
      </c>
      <c r="K2744" s="8">
        <f t="shared" si="42"/>
        <v>0</v>
      </c>
      <c r="L2744" s="8">
        <f>+'[1]VENTAS(RESUMEN GLOBAL)'!J2744</f>
        <v>0</v>
      </c>
      <c r="M2744" s="8">
        <f>+Tabla1[[#This Row],[utilidad x dia]]*7</f>
        <v>0</v>
      </c>
    </row>
    <row r="2745" spans="1:13" x14ac:dyDescent="0.3">
      <c r="A2745" s="6">
        <f>+'[1]VENTAS(RESUMEN GLOBAL)'!L2745</f>
        <v>0</v>
      </c>
      <c r="B2745" s="6">
        <f>+'[1]VENTAS(RESUMEN GLOBAL)'!M2745</f>
        <v>0</v>
      </c>
      <c r="C2745">
        <f>+'[1]VENTAS(RESUMEN GLOBAL)'!B2745</f>
        <v>0</v>
      </c>
      <c r="D2745" t="e">
        <f>INDEX('[1]CÓDIGOS DE PRODUCTO'!$D$3:$D$1000,MATCH(C2745,'[1]CÓDIGOS DE PRODUCTO'!$A$3:$A$1000,0))</f>
        <v>#N/A</v>
      </c>
      <c r="E2745">
        <f>VLOOKUP(C2745,'[1]CÓDIGOS DE PRODUCTO'!$A$4:$B$156,2,FALSE)</f>
        <v>0</v>
      </c>
      <c r="F2745">
        <f>INDEX('[1]CÓDIGOS DE PRODUCTO'!$C$3:$C$1000,MATCH(C2745,'[1]CÓDIGOS DE PRODUCTO'!$A$3:$A$1000,0))</f>
        <v>0</v>
      </c>
      <c r="G2745">
        <f>+'[1]VENTAS(RESUMEN GLOBAL)'!D2745-'[1]VENTAS(RESUMEN GLOBAL)'!E2745</f>
        <v>0</v>
      </c>
      <c r="H2745" s="9">
        <f>+'[1]VENTAS(RESUMEN GLOBAL)'!K2745</f>
        <v>0</v>
      </c>
      <c r="I2745" s="8">
        <f>+G2745*'[1]VENTAS(RESUMEN GLOBAL)'!F2745</f>
        <v>0</v>
      </c>
      <c r="J2745" s="8">
        <f>'[1]VENTAS(RESUMEN GLOBAL)'!G2745*(1-'[1]VENTAS(RESUMEN GLOBAL)'!H2745)</f>
        <v>0</v>
      </c>
      <c r="K2745" s="8">
        <f t="shared" si="42"/>
        <v>0</v>
      </c>
      <c r="L2745" s="8">
        <f>+'[1]VENTAS(RESUMEN GLOBAL)'!J2745</f>
        <v>0</v>
      </c>
      <c r="M2745" s="8">
        <f>+Tabla1[[#This Row],[utilidad x dia]]*7</f>
        <v>0</v>
      </c>
    </row>
    <row r="2746" spans="1:13" x14ac:dyDescent="0.3">
      <c r="A2746" s="6">
        <f>+'[1]VENTAS(RESUMEN GLOBAL)'!L2746</f>
        <v>0</v>
      </c>
      <c r="B2746" s="6">
        <f>+'[1]VENTAS(RESUMEN GLOBAL)'!M2746</f>
        <v>0</v>
      </c>
      <c r="C2746">
        <f>+'[1]VENTAS(RESUMEN GLOBAL)'!B2746</f>
        <v>0</v>
      </c>
      <c r="D2746" t="e">
        <f>INDEX('[1]CÓDIGOS DE PRODUCTO'!$D$3:$D$1000,MATCH(C2746,'[1]CÓDIGOS DE PRODUCTO'!$A$3:$A$1000,0))</f>
        <v>#N/A</v>
      </c>
      <c r="E2746">
        <f>VLOOKUP(C2746,'[1]CÓDIGOS DE PRODUCTO'!$A$4:$B$156,2,FALSE)</f>
        <v>0</v>
      </c>
      <c r="F2746">
        <f>INDEX('[1]CÓDIGOS DE PRODUCTO'!$C$3:$C$1000,MATCH(C2746,'[1]CÓDIGOS DE PRODUCTO'!$A$3:$A$1000,0))</f>
        <v>0</v>
      </c>
      <c r="G2746">
        <f>+'[1]VENTAS(RESUMEN GLOBAL)'!D2746-'[1]VENTAS(RESUMEN GLOBAL)'!E2746</f>
        <v>0</v>
      </c>
      <c r="H2746" s="9">
        <f>+'[1]VENTAS(RESUMEN GLOBAL)'!K2746</f>
        <v>0</v>
      </c>
      <c r="I2746" s="8">
        <f>+G2746*'[1]VENTAS(RESUMEN GLOBAL)'!F2746</f>
        <v>0</v>
      </c>
      <c r="J2746" s="8">
        <f>'[1]VENTAS(RESUMEN GLOBAL)'!G2746*(1-'[1]VENTAS(RESUMEN GLOBAL)'!H2746)</f>
        <v>0</v>
      </c>
      <c r="K2746" s="8">
        <f t="shared" si="42"/>
        <v>0</v>
      </c>
      <c r="L2746" s="8">
        <f>+'[1]VENTAS(RESUMEN GLOBAL)'!J2746</f>
        <v>0</v>
      </c>
      <c r="M2746" s="8">
        <f>+Tabla1[[#This Row],[utilidad x dia]]*7</f>
        <v>0</v>
      </c>
    </row>
    <row r="2747" spans="1:13" x14ac:dyDescent="0.3">
      <c r="A2747" s="6">
        <f>+'[1]VENTAS(RESUMEN GLOBAL)'!L2747</f>
        <v>0</v>
      </c>
      <c r="B2747" s="6">
        <f>+'[1]VENTAS(RESUMEN GLOBAL)'!M2747</f>
        <v>0</v>
      </c>
      <c r="C2747">
        <f>+'[1]VENTAS(RESUMEN GLOBAL)'!B2747</f>
        <v>0</v>
      </c>
      <c r="D2747" t="e">
        <f>INDEX('[1]CÓDIGOS DE PRODUCTO'!$D$3:$D$1000,MATCH(C2747,'[1]CÓDIGOS DE PRODUCTO'!$A$3:$A$1000,0))</f>
        <v>#N/A</v>
      </c>
      <c r="E2747">
        <f>VLOOKUP(C2747,'[1]CÓDIGOS DE PRODUCTO'!$A$4:$B$156,2,FALSE)</f>
        <v>0</v>
      </c>
      <c r="F2747">
        <f>INDEX('[1]CÓDIGOS DE PRODUCTO'!$C$3:$C$1000,MATCH(C2747,'[1]CÓDIGOS DE PRODUCTO'!$A$3:$A$1000,0))</f>
        <v>0</v>
      </c>
      <c r="G2747">
        <f>+'[1]VENTAS(RESUMEN GLOBAL)'!D2747-'[1]VENTAS(RESUMEN GLOBAL)'!E2747</f>
        <v>0</v>
      </c>
      <c r="H2747" s="9">
        <f>+'[1]VENTAS(RESUMEN GLOBAL)'!K2747</f>
        <v>0</v>
      </c>
      <c r="I2747" s="8">
        <f>+G2747*'[1]VENTAS(RESUMEN GLOBAL)'!F2747</f>
        <v>0</v>
      </c>
      <c r="J2747" s="8">
        <f>'[1]VENTAS(RESUMEN GLOBAL)'!G2747*(1-'[1]VENTAS(RESUMEN GLOBAL)'!H2747)</f>
        <v>0</v>
      </c>
      <c r="K2747" s="8">
        <f t="shared" si="42"/>
        <v>0</v>
      </c>
      <c r="L2747" s="8">
        <f>+'[1]VENTAS(RESUMEN GLOBAL)'!J2747</f>
        <v>0</v>
      </c>
      <c r="M2747" s="8">
        <f>+Tabla1[[#This Row],[utilidad x dia]]*7</f>
        <v>0</v>
      </c>
    </row>
    <row r="2748" spans="1:13" x14ac:dyDescent="0.3">
      <c r="A2748" s="6">
        <f>+'[1]VENTAS(RESUMEN GLOBAL)'!L2748</f>
        <v>0</v>
      </c>
      <c r="B2748" s="6">
        <f>+'[1]VENTAS(RESUMEN GLOBAL)'!M2748</f>
        <v>0</v>
      </c>
      <c r="C2748">
        <f>+'[1]VENTAS(RESUMEN GLOBAL)'!B2748</f>
        <v>0</v>
      </c>
      <c r="D2748" t="e">
        <f>INDEX('[1]CÓDIGOS DE PRODUCTO'!$D$3:$D$1000,MATCH(C2748,'[1]CÓDIGOS DE PRODUCTO'!$A$3:$A$1000,0))</f>
        <v>#N/A</v>
      </c>
      <c r="E2748">
        <f>VLOOKUP(C2748,'[1]CÓDIGOS DE PRODUCTO'!$A$4:$B$156,2,FALSE)</f>
        <v>0</v>
      </c>
      <c r="F2748">
        <f>INDEX('[1]CÓDIGOS DE PRODUCTO'!$C$3:$C$1000,MATCH(C2748,'[1]CÓDIGOS DE PRODUCTO'!$A$3:$A$1000,0))</f>
        <v>0</v>
      </c>
      <c r="G2748">
        <f>+'[1]VENTAS(RESUMEN GLOBAL)'!D2748-'[1]VENTAS(RESUMEN GLOBAL)'!E2748</f>
        <v>0</v>
      </c>
      <c r="H2748" s="9">
        <f>+'[1]VENTAS(RESUMEN GLOBAL)'!K2748</f>
        <v>0</v>
      </c>
      <c r="I2748" s="8">
        <f>+G2748*'[1]VENTAS(RESUMEN GLOBAL)'!F2748</f>
        <v>0</v>
      </c>
      <c r="J2748" s="8">
        <f>'[1]VENTAS(RESUMEN GLOBAL)'!G2748*(1-'[1]VENTAS(RESUMEN GLOBAL)'!H2748)</f>
        <v>0</v>
      </c>
      <c r="K2748" s="8">
        <f t="shared" si="42"/>
        <v>0</v>
      </c>
      <c r="L2748" s="8">
        <f>+'[1]VENTAS(RESUMEN GLOBAL)'!J2748</f>
        <v>0</v>
      </c>
      <c r="M2748" s="8">
        <f>+Tabla1[[#This Row],[utilidad x dia]]*7</f>
        <v>0</v>
      </c>
    </row>
    <row r="2749" spans="1:13" x14ac:dyDescent="0.3">
      <c r="A2749" s="6">
        <f>+'[1]VENTAS(RESUMEN GLOBAL)'!L2749</f>
        <v>0</v>
      </c>
      <c r="B2749" s="6">
        <f>+'[1]VENTAS(RESUMEN GLOBAL)'!M2749</f>
        <v>0</v>
      </c>
      <c r="C2749">
        <f>+'[1]VENTAS(RESUMEN GLOBAL)'!B2749</f>
        <v>0</v>
      </c>
      <c r="D2749" t="e">
        <f>INDEX('[1]CÓDIGOS DE PRODUCTO'!$D$3:$D$1000,MATCH(C2749,'[1]CÓDIGOS DE PRODUCTO'!$A$3:$A$1000,0))</f>
        <v>#N/A</v>
      </c>
      <c r="E2749">
        <f>VLOOKUP(C2749,'[1]CÓDIGOS DE PRODUCTO'!$A$4:$B$156,2,FALSE)</f>
        <v>0</v>
      </c>
      <c r="F2749">
        <f>INDEX('[1]CÓDIGOS DE PRODUCTO'!$C$3:$C$1000,MATCH(C2749,'[1]CÓDIGOS DE PRODUCTO'!$A$3:$A$1000,0))</f>
        <v>0</v>
      </c>
      <c r="G2749">
        <f>+'[1]VENTAS(RESUMEN GLOBAL)'!D2749-'[1]VENTAS(RESUMEN GLOBAL)'!E2749</f>
        <v>0</v>
      </c>
      <c r="H2749" s="9">
        <f>+'[1]VENTAS(RESUMEN GLOBAL)'!K2749</f>
        <v>0</v>
      </c>
      <c r="I2749" s="8">
        <f>+G2749*'[1]VENTAS(RESUMEN GLOBAL)'!F2749</f>
        <v>0</v>
      </c>
      <c r="J2749" s="8">
        <f>'[1]VENTAS(RESUMEN GLOBAL)'!G2749*(1-'[1]VENTAS(RESUMEN GLOBAL)'!H2749)</f>
        <v>0</v>
      </c>
      <c r="K2749" s="8">
        <f t="shared" si="42"/>
        <v>0</v>
      </c>
      <c r="L2749" s="8">
        <f>+'[1]VENTAS(RESUMEN GLOBAL)'!J2749</f>
        <v>0</v>
      </c>
      <c r="M2749" s="8">
        <f>+Tabla1[[#This Row],[utilidad x dia]]*7</f>
        <v>0</v>
      </c>
    </row>
    <row r="2750" spans="1:13" x14ac:dyDescent="0.3">
      <c r="A2750" s="6">
        <f>+'[1]VENTAS(RESUMEN GLOBAL)'!L2750</f>
        <v>0</v>
      </c>
      <c r="B2750" s="6">
        <f>+'[1]VENTAS(RESUMEN GLOBAL)'!M2750</f>
        <v>0</v>
      </c>
      <c r="C2750">
        <f>+'[1]VENTAS(RESUMEN GLOBAL)'!B2750</f>
        <v>0</v>
      </c>
      <c r="D2750" t="e">
        <f>INDEX('[1]CÓDIGOS DE PRODUCTO'!$D$3:$D$1000,MATCH(C2750,'[1]CÓDIGOS DE PRODUCTO'!$A$3:$A$1000,0))</f>
        <v>#N/A</v>
      </c>
      <c r="E2750">
        <f>VLOOKUP(C2750,'[1]CÓDIGOS DE PRODUCTO'!$A$4:$B$156,2,FALSE)</f>
        <v>0</v>
      </c>
      <c r="F2750">
        <f>INDEX('[1]CÓDIGOS DE PRODUCTO'!$C$3:$C$1000,MATCH(C2750,'[1]CÓDIGOS DE PRODUCTO'!$A$3:$A$1000,0))</f>
        <v>0</v>
      </c>
      <c r="G2750">
        <f>+'[1]VENTAS(RESUMEN GLOBAL)'!D2750-'[1]VENTAS(RESUMEN GLOBAL)'!E2750</f>
        <v>0</v>
      </c>
      <c r="H2750" s="9">
        <f>+'[1]VENTAS(RESUMEN GLOBAL)'!K2750</f>
        <v>0</v>
      </c>
      <c r="I2750" s="8">
        <f>+G2750*'[1]VENTAS(RESUMEN GLOBAL)'!F2750</f>
        <v>0</v>
      </c>
      <c r="J2750" s="8">
        <f>'[1]VENTAS(RESUMEN GLOBAL)'!G2750*(1-'[1]VENTAS(RESUMEN GLOBAL)'!H2750)</f>
        <v>0</v>
      </c>
      <c r="K2750" s="8">
        <f t="shared" si="42"/>
        <v>0</v>
      </c>
      <c r="L2750" s="8">
        <f>+'[1]VENTAS(RESUMEN GLOBAL)'!J2750</f>
        <v>0</v>
      </c>
      <c r="M2750" s="8">
        <f>+Tabla1[[#This Row],[utilidad x dia]]*7</f>
        <v>0</v>
      </c>
    </row>
    <row r="2751" spans="1:13" x14ac:dyDescent="0.3">
      <c r="A2751" s="6">
        <f>+'[1]VENTAS(RESUMEN GLOBAL)'!L2751</f>
        <v>0</v>
      </c>
      <c r="B2751" s="6">
        <f>+'[1]VENTAS(RESUMEN GLOBAL)'!M2751</f>
        <v>0</v>
      </c>
      <c r="C2751">
        <f>+'[1]VENTAS(RESUMEN GLOBAL)'!B2751</f>
        <v>0</v>
      </c>
      <c r="D2751" t="e">
        <f>INDEX('[1]CÓDIGOS DE PRODUCTO'!$D$3:$D$1000,MATCH(C2751,'[1]CÓDIGOS DE PRODUCTO'!$A$3:$A$1000,0))</f>
        <v>#N/A</v>
      </c>
      <c r="E2751">
        <f>VLOOKUP(C2751,'[1]CÓDIGOS DE PRODUCTO'!$A$4:$B$156,2,FALSE)</f>
        <v>0</v>
      </c>
      <c r="F2751">
        <f>INDEX('[1]CÓDIGOS DE PRODUCTO'!$C$3:$C$1000,MATCH(C2751,'[1]CÓDIGOS DE PRODUCTO'!$A$3:$A$1000,0))</f>
        <v>0</v>
      </c>
      <c r="G2751">
        <f>+'[1]VENTAS(RESUMEN GLOBAL)'!D2751-'[1]VENTAS(RESUMEN GLOBAL)'!E2751</f>
        <v>0</v>
      </c>
      <c r="H2751" s="9">
        <f>+'[1]VENTAS(RESUMEN GLOBAL)'!K2751</f>
        <v>0</v>
      </c>
      <c r="I2751" s="8">
        <f>+G2751*'[1]VENTAS(RESUMEN GLOBAL)'!F2751</f>
        <v>0</v>
      </c>
      <c r="J2751" s="8">
        <f>'[1]VENTAS(RESUMEN GLOBAL)'!G2751*(1-'[1]VENTAS(RESUMEN GLOBAL)'!H2751)</f>
        <v>0</v>
      </c>
      <c r="K2751" s="8">
        <f t="shared" si="42"/>
        <v>0</v>
      </c>
      <c r="L2751" s="8">
        <f>+'[1]VENTAS(RESUMEN GLOBAL)'!J2751</f>
        <v>0</v>
      </c>
      <c r="M2751" s="8">
        <f>+Tabla1[[#This Row],[utilidad x dia]]*7</f>
        <v>0</v>
      </c>
    </row>
    <row r="2752" spans="1:13" x14ac:dyDescent="0.3">
      <c r="A2752" s="6">
        <f>+'[1]VENTAS(RESUMEN GLOBAL)'!L2752</f>
        <v>0</v>
      </c>
      <c r="B2752" s="6">
        <f>+'[1]VENTAS(RESUMEN GLOBAL)'!M2752</f>
        <v>0</v>
      </c>
      <c r="C2752">
        <f>+'[1]VENTAS(RESUMEN GLOBAL)'!B2752</f>
        <v>0</v>
      </c>
      <c r="D2752" t="e">
        <f>INDEX('[1]CÓDIGOS DE PRODUCTO'!$D$3:$D$1000,MATCH(C2752,'[1]CÓDIGOS DE PRODUCTO'!$A$3:$A$1000,0))</f>
        <v>#N/A</v>
      </c>
      <c r="E2752">
        <f>VLOOKUP(C2752,'[1]CÓDIGOS DE PRODUCTO'!$A$4:$B$156,2,FALSE)</f>
        <v>0</v>
      </c>
      <c r="F2752">
        <f>INDEX('[1]CÓDIGOS DE PRODUCTO'!$C$3:$C$1000,MATCH(C2752,'[1]CÓDIGOS DE PRODUCTO'!$A$3:$A$1000,0))</f>
        <v>0</v>
      </c>
      <c r="G2752">
        <f>+'[1]VENTAS(RESUMEN GLOBAL)'!D2752-'[1]VENTAS(RESUMEN GLOBAL)'!E2752</f>
        <v>0</v>
      </c>
      <c r="H2752" s="9">
        <f>+'[1]VENTAS(RESUMEN GLOBAL)'!K2752</f>
        <v>0</v>
      </c>
      <c r="I2752" s="8">
        <f>+G2752*'[1]VENTAS(RESUMEN GLOBAL)'!F2752</f>
        <v>0</v>
      </c>
      <c r="J2752" s="8">
        <f>'[1]VENTAS(RESUMEN GLOBAL)'!G2752*(1-'[1]VENTAS(RESUMEN GLOBAL)'!H2752)</f>
        <v>0</v>
      </c>
      <c r="K2752" s="8">
        <f t="shared" si="42"/>
        <v>0</v>
      </c>
      <c r="L2752" s="8">
        <f>+'[1]VENTAS(RESUMEN GLOBAL)'!J2752</f>
        <v>0</v>
      </c>
      <c r="M2752" s="8">
        <f>+Tabla1[[#This Row],[utilidad x dia]]*7</f>
        <v>0</v>
      </c>
    </row>
    <row r="2753" spans="1:13" x14ac:dyDescent="0.3">
      <c r="A2753" s="6">
        <f>+'[1]VENTAS(RESUMEN GLOBAL)'!L2753</f>
        <v>0</v>
      </c>
      <c r="B2753" s="6">
        <f>+'[1]VENTAS(RESUMEN GLOBAL)'!M2753</f>
        <v>0</v>
      </c>
      <c r="C2753">
        <f>+'[1]VENTAS(RESUMEN GLOBAL)'!B2753</f>
        <v>0</v>
      </c>
      <c r="D2753" t="e">
        <f>INDEX('[1]CÓDIGOS DE PRODUCTO'!$D$3:$D$1000,MATCH(C2753,'[1]CÓDIGOS DE PRODUCTO'!$A$3:$A$1000,0))</f>
        <v>#N/A</v>
      </c>
      <c r="E2753">
        <f>VLOOKUP(C2753,'[1]CÓDIGOS DE PRODUCTO'!$A$4:$B$156,2,FALSE)</f>
        <v>0</v>
      </c>
      <c r="F2753">
        <f>INDEX('[1]CÓDIGOS DE PRODUCTO'!$C$3:$C$1000,MATCH(C2753,'[1]CÓDIGOS DE PRODUCTO'!$A$3:$A$1000,0))</f>
        <v>0</v>
      </c>
      <c r="G2753">
        <f>+'[1]VENTAS(RESUMEN GLOBAL)'!D2753-'[1]VENTAS(RESUMEN GLOBAL)'!E2753</f>
        <v>0</v>
      </c>
      <c r="H2753" s="9">
        <f>+'[1]VENTAS(RESUMEN GLOBAL)'!K2753</f>
        <v>0</v>
      </c>
      <c r="I2753" s="8">
        <f>+G2753*'[1]VENTAS(RESUMEN GLOBAL)'!F2753</f>
        <v>0</v>
      </c>
      <c r="J2753" s="8">
        <f>'[1]VENTAS(RESUMEN GLOBAL)'!G2753*(1-'[1]VENTAS(RESUMEN GLOBAL)'!H2753)</f>
        <v>0</v>
      </c>
      <c r="K2753" s="8">
        <f t="shared" si="42"/>
        <v>0</v>
      </c>
      <c r="L2753" s="8">
        <f>+'[1]VENTAS(RESUMEN GLOBAL)'!J2753</f>
        <v>0</v>
      </c>
      <c r="M2753" s="8">
        <f>+Tabla1[[#This Row],[utilidad x dia]]*7</f>
        <v>0</v>
      </c>
    </row>
    <row r="2754" spans="1:13" x14ac:dyDescent="0.3">
      <c r="A2754" s="6">
        <f>+'[1]VENTAS(RESUMEN GLOBAL)'!L2754</f>
        <v>0</v>
      </c>
      <c r="B2754" s="6">
        <f>+'[1]VENTAS(RESUMEN GLOBAL)'!M2754</f>
        <v>0</v>
      </c>
      <c r="C2754">
        <f>+'[1]VENTAS(RESUMEN GLOBAL)'!B2754</f>
        <v>0</v>
      </c>
      <c r="D2754" t="e">
        <f>INDEX('[1]CÓDIGOS DE PRODUCTO'!$D$3:$D$1000,MATCH(C2754,'[1]CÓDIGOS DE PRODUCTO'!$A$3:$A$1000,0))</f>
        <v>#N/A</v>
      </c>
      <c r="E2754">
        <f>VLOOKUP(C2754,'[1]CÓDIGOS DE PRODUCTO'!$A$4:$B$156,2,FALSE)</f>
        <v>0</v>
      </c>
      <c r="F2754">
        <f>INDEX('[1]CÓDIGOS DE PRODUCTO'!$C$3:$C$1000,MATCH(C2754,'[1]CÓDIGOS DE PRODUCTO'!$A$3:$A$1000,0))</f>
        <v>0</v>
      </c>
      <c r="G2754">
        <f>+'[1]VENTAS(RESUMEN GLOBAL)'!D2754-'[1]VENTAS(RESUMEN GLOBAL)'!E2754</f>
        <v>0</v>
      </c>
      <c r="H2754" s="9">
        <f>+'[1]VENTAS(RESUMEN GLOBAL)'!K2754</f>
        <v>0</v>
      </c>
      <c r="I2754" s="8">
        <f>+G2754*'[1]VENTAS(RESUMEN GLOBAL)'!F2754</f>
        <v>0</v>
      </c>
      <c r="J2754" s="8">
        <f>'[1]VENTAS(RESUMEN GLOBAL)'!G2754*(1-'[1]VENTAS(RESUMEN GLOBAL)'!H2754)</f>
        <v>0</v>
      </c>
      <c r="K2754" s="8">
        <f t="shared" si="42"/>
        <v>0</v>
      </c>
      <c r="L2754" s="8">
        <f>+'[1]VENTAS(RESUMEN GLOBAL)'!J2754</f>
        <v>0</v>
      </c>
      <c r="M2754" s="8">
        <f>+Tabla1[[#This Row],[utilidad x dia]]*7</f>
        <v>0</v>
      </c>
    </row>
    <row r="2755" spans="1:13" x14ac:dyDescent="0.3">
      <c r="A2755" s="6">
        <f>+'[1]VENTAS(RESUMEN GLOBAL)'!L2755</f>
        <v>0</v>
      </c>
      <c r="B2755" s="6">
        <f>+'[1]VENTAS(RESUMEN GLOBAL)'!M2755</f>
        <v>0</v>
      </c>
      <c r="C2755">
        <f>+'[1]VENTAS(RESUMEN GLOBAL)'!B2755</f>
        <v>0</v>
      </c>
      <c r="D2755" t="e">
        <f>INDEX('[1]CÓDIGOS DE PRODUCTO'!$D$3:$D$1000,MATCH(C2755,'[1]CÓDIGOS DE PRODUCTO'!$A$3:$A$1000,0))</f>
        <v>#N/A</v>
      </c>
      <c r="E2755">
        <f>VLOOKUP(C2755,'[1]CÓDIGOS DE PRODUCTO'!$A$4:$B$156,2,FALSE)</f>
        <v>0</v>
      </c>
      <c r="F2755">
        <f>INDEX('[1]CÓDIGOS DE PRODUCTO'!$C$3:$C$1000,MATCH(C2755,'[1]CÓDIGOS DE PRODUCTO'!$A$3:$A$1000,0))</f>
        <v>0</v>
      </c>
      <c r="G2755">
        <f>+'[1]VENTAS(RESUMEN GLOBAL)'!D2755-'[1]VENTAS(RESUMEN GLOBAL)'!E2755</f>
        <v>0</v>
      </c>
      <c r="H2755" s="9">
        <f>+'[1]VENTAS(RESUMEN GLOBAL)'!K2755</f>
        <v>0</v>
      </c>
      <c r="I2755" s="8">
        <f>+G2755*'[1]VENTAS(RESUMEN GLOBAL)'!F2755</f>
        <v>0</v>
      </c>
      <c r="J2755" s="8">
        <f>'[1]VENTAS(RESUMEN GLOBAL)'!G2755*(1-'[1]VENTAS(RESUMEN GLOBAL)'!H2755)</f>
        <v>0</v>
      </c>
      <c r="K2755" s="8">
        <f t="shared" ref="K2755:K2818" si="43">+I2755-J2755</f>
        <v>0</v>
      </c>
      <c r="L2755" s="8">
        <f>+'[1]VENTAS(RESUMEN GLOBAL)'!J2755</f>
        <v>0</v>
      </c>
      <c r="M2755" s="8">
        <f>+Tabla1[[#This Row],[utilidad x dia]]*7</f>
        <v>0</v>
      </c>
    </row>
    <row r="2756" spans="1:13" x14ac:dyDescent="0.3">
      <c r="A2756" s="6">
        <f>+'[1]VENTAS(RESUMEN GLOBAL)'!L2756</f>
        <v>0</v>
      </c>
      <c r="B2756" s="6">
        <f>+'[1]VENTAS(RESUMEN GLOBAL)'!M2756</f>
        <v>0</v>
      </c>
      <c r="C2756">
        <f>+'[1]VENTAS(RESUMEN GLOBAL)'!B2756</f>
        <v>0</v>
      </c>
      <c r="D2756" t="e">
        <f>INDEX('[1]CÓDIGOS DE PRODUCTO'!$D$3:$D$1000,MATCH(C2756,'[1]CÓDIGOS DE PRODUCTO'!$A$3:$A$1000,0))</f>
        <v>#N/A</v>
      </c>
      <c r="E2756">
        <f>VLOOKUP(C2756,'[1]CÓDIGOS DE PRODUCTO'!$A$4:$B$156,2,FALSE)</f>
        <v>0</v>
      </c>
      <c r="F2756">
        <f>INDEX('[1]CÓDIGOS DE PRODUCTO'!$C$3:$C$1000,MATCH(C2756,'[1]CÓDIGOS DE PRODUCTO'!$A$3:$A$1000,0))</f>
        <v>0</v>
      </c>
      <c r="G2756">
        <f>+'[1]VENTAS(RESUMEN GLOBAL)'!D2756-'[1]VENTAS(RESUMEN GLOBAL)'!E2756</f>
        <v>0</v>
      </c>
      <c r="H2756" s="9">
        <f>+'[1]VENTAS(RESUMEN GLOBAL)'!K2756</f>
        <v>0</v>
      </c>
      <c r="I2756" s="8">
        <f>+G2756*'[1]VENTAS(RESUMEN GLOBAL)'!F2756</f>
        <v>0</v>
      </c>
      <c r="J2756" s="8">
        <f>'[1]VENTAS(RESUMEN GLOBAL)'!G2756*(1-'[1]VENTAS(RESUMEN GLOBAL)'!H2756)</f>
        <v>0</v>
      </c>
      <c r="K2756" s="8">
        <f t="shared" si="43"/>
        <v>0</v>
      </c>
      <c r="L2756" s="8">
        <f>+'[1]VENTAS(RESUMEN GLOBAL)'!J2756</f>
        <v>0</v>
      </c>
      <c r="M2756" s="8">
        <f>+Tabla1[[#This Row],[utilidad x dia]]*7</f>
        <v>0</v>
      </c>
    </row>
    <row r="2757" spans="1:13" x14ac:dyDescent="0.3">
      <c r="A2757" s="6">
        <f>+'[1]VENTAS(RESUMEN GLOBAL)'!L2757</f>
        <v>0</v>
      </c>
      <c r="B2757" s="6">
        <f>+'[1]VENTAS(RESUMEN GLOBAL)'!M2757</f>
        <v>0</v>
      </c>
      <c r="C2757">
        <f>+'[1]VENTAS(RESUMEN GLOBAL)'!B2757</f>
        <v>0</v>
      </c>
      <c r="D2757" t="e">
        <f>INDEX('[1]CÓDIGOS DE PRODUCTO'!$D$3:$D$1000,MATCH(C2757,'[1]CÓDIGOS DE PRODUCTO'!$A$3:$A$1000,0))</f>
        <v>#N/A</v>
      </c>
      <c r="E2757">
        <f>VLOOKUP(C2757,'[1]CÓDIGOS DE PRODUCTO'!$A$4:$B$156,2,FALSE)</f>
        <v>0</v>
      </c>
      <c r="F2757">
        <f>INDEX('[1]CÓDIGOS DE PRODUCTO'!$C$3:$C$1000,MATCH(C2757,'[1]CÓDIGOS DE PRODUCTO'!$A$3:$A$1000,0))</f>
        <v>0</v>
      </c>
      <c r="G2757">
        <f>+'[1]VENTAS(RESUMEN GLOBAL)'!D2757-'[1]VENTAS(RESUMEN GLOBAL)'!E2757</f>
        <v>0</v>
      </c>
      <c r="H2757" s="9">
        <f>+'[1]VENTAS(RESUMEN GLOBAL)'!K2757</f>
        <v>0</v>
      </c>
      <c r="I2757" s="8">
        <f>+G2757*'[1]VENTAS(RESUMEN GLOBAL)'!F2757</f>
        <v>0</v>
      </c>
      <c r="J2757" s="8">
        <f>'[1]VENTAS(RESUMEN GLOBAL)'!G2757*(1-'[1]VENTAS(RESUMEN GLOBAL)'!H2757)</f>
        <v>0</v>
      </c>
      <c r="K2757" s="8">
        <f t="shared" si="43"/>
        <v>0</v>
      </c>
      <c r="L2757" s="8">
        <f>+'[1]VENTAS(RESUMEN GLOBAL)'!J2757</f>
        <v>0</v>
      </c>
      <c r="M2757" s="8">
        <f>+Tabla1[[#This Row],[utilidad x dia]]*7</f>
        <v>0</v>
      </c>
    </row>
    <row r="2758" spans="1:13" x14ac:dyDescent="0.3">
      <c r="A2758" s="6">
        <f>+'[1]VENTAS(RESUMEN GLOBAL)'!L2758</f>
        <v>0</v>
      </c>
      <c r="B2758" s="6">
        <f>+'[1]VENTAS(RESUMEN GLOBAL)'!M2758</f>
        <v>0</v>
      </c>
      <c r="C2758">
        <f>+'[1]VENTAS(RESUMEN GLOBAL)'!B2758</f>
        <v>0</v>
      </c>
      <c r="D2758" t="e">
        <f>INDEX('[1]CÓDIGOS DE PRODUCTO'!$D$3:$D$1000,MATCH(C2758,'[1]CÓDIGOS DE PRODUCTO'!$A$3:$A$1000,0))</f>
        <v>#N/A</v>
      </c>
      <c r="E2758">
        <f>VLOOKUP(C2758,'[1]CÓDIGOS DE PRODUCTO'!$A$4:$B$156,2,FALSE)</f>
        <v>0</v>
      </c>
      <c r="F2758">
        <f>INDEX('[1]CÓDIGOS DE PRODUCTO'!$C$3:$C$1000,MATCH(C2758,'[1]CÓDIGOS DE PRODUCTO'!$A$3:$A$1000,0))</f>
        <v>0</v>
      </c>
      <c r="G2758">
        <f>+'[1]VENTAS(RESUMEN GLOBAL)'!D2758-'[1]VENTAS(RESUMEN GLOBAL)'!E2758</f>
        <v>0</v>
      </c>
      <c r="H2758" s="9">
        <f>+'[1]VENTAS(RESUMEN GLOBAL)'!K2758</f>
        <v>0</v>
      </c>
      <c r="I2758" s="8">
        <f>+G2758*'[1]VENTAS(RESUMEN GLOBAL)'!F2758</f>
        <v>0</v>
      </c>
      <c r="J2758" s="8">
        <f>'[1]VENTAS(RESUMEN GLOBAL)'!G2758*(1-'[1]VENTAS(RESUMEN GLOBAL)'!H2758)</f>
        <v>0</v>
      </c>
      <c r="K2758" s="8">
        <f t="shared" si="43"/>
        <v>0</v>
      </c>
      <c r="L2758" s="8">
        <f>+'[1]VENTAS(RESUMEN GLOBAL)'!J2758</f>
        <v>0</v>
      </c>
      <c r="M2758" s="8">
        <f>+Tabla1[[#This Row],[utilidad x dia]]*7</f>
        <v>0</v>
      </c>
    </row>
    <row r="2759" spans="1:13" x14ac:dyDescent="0.3">
      <c r="A2759" s="6">
        <f>+'[1]VENTAS(RESUMEN GLOBAL)'!L2759</f>
        <v>0</v>
      </c>
      <c r="B2759" s="6">
        <f>+'[1]VENTAS(RESUMEN GLOBAL)'!M2759</f>
        <v>0</v>
      </c>
      <c r="C2759">
        <f>+'[1]VENTAS(RESUMEN GLOBAL)'!B2759</f>
        <v>0</v>
      </c>
      <c r="D2759" t="e">
        <f>INDEX('[1]CÓDIGOS DE PRODUCTO'!$D$3:$D$1000,MATCH(C2759,'[1]CÓDIGOS DE PRODUCTO'!$A$3:$A$1000,0))</f>
        <v>#N/A</v>
      </c>
      <c r="E2759">
        <f>VLOOKUP(C2759,'[1]CÓDIGOS DE PRODUCTO'!$A$4:$B$156,2,FALSE)</f>
        <v>0</v>
      </c>
      <c r="F2759">
        <f>INDEX('[1]CÓDIGOS DE PRODUCTO'!$C$3:$C$1000,MATCH(C2759,'[1]CÓDIGOS DE PRODUCTO'!$A$3:$A$1000,0))</f>
        <v>0</v>
      </c>
      <c r="G2759">
        <f>+'[1]VENTAS(RESUMEN GLOBAL)'!D2759-'[1]VENTAS(RESUMEN GLOBAL)'!E2759</f>
        <v>0</v>
      </c>
      <c r="H2759" s="9">
        <f>+'[1]VENTAS(RESUMEN GLOBAL)'!K2759</f>
        <v>0</v>
      </c>
      <c r="I2759" s="8">
        <f>+G2759*'[1]VENTAS(RESUMEN GLOBAL)'!F2759</f>
        <v>0</v>
      </c>
      <c r="J2759" s="8">
        <f>'[1]VENTAS(RESUMEN GLOBAL)'!G2759*(1-'[1]VENTAS(RESUMEN GLOBAL)'!H2759)</f>
        <v>0</v>
      </c>
      <c r="K2759" s="8">
        <f t="shared" si="43"/>
        <v>0</v>
      </c>
      <c r="L2759" s="8">
        <f>+'[1]VENTAS(RESUMEN GLOBAL)'!J2759</f>
        <v>0</v>
      </c>
      <c r="M2759" s="8">
        <f>+Tabla1[[#This Row],[utilidad x dia]]*7</f>
        <v>0</v>
      </c>
    </row>
    <row r="2760" spans="1:13" x14ac:dyDescent="0.3">
      <c r="A2760" s="6">
        <f>+'[1]VENTAS(RESUMEN GLOBAL)'!L2760</f>
        <v>0</v>
      </c>
      <c r="B2760" s="6">
        <f>+'[1]VENTAS(RESUMEN GLOBAL)'!M2760</f>
        <v>0</v>
      </c>
      <c r="C2760">
        <f>+'[1]VENTAS(RESUMEN GLOBAL)'!B2760</f>
        <v>0</v>
      </c>
      <c r="D2760" t="e">
        <f>INDEX('[1]CÓDIGOS DE PRODUCTO'!$D$3:$D$1000,MATCH(C2760,'[1]CÓDIGOS DE PRODUCTO'!$A$3:$A$1000,0))</f>
        <v>#N/A</v>
      </c>
      <c r="E2760">
        <f>VLOOKUP(C2760,'[1]CÓDIGOS DE PRODUCTO'!$A$4:$B$156,2,FALSE)</f>
        <v>0</v>
      </c>
      <c r="F2760">
        <f>INDEX('[1]CÓDIGOS DE PRODUCTO'!$C$3:$C$1000,MATCH(C2760,'[1]CÓDIGOS DE PRODUCTO'!$A$3:$A$1000,0))</f>
        <v>0</v>
      </c>
      <c r="G2760">
        <f>+'[1]VENTAS(RESUMEN GLOBAL)'!D2760-'[1]VENTAS(RESUMEN GLOBAL)'!E2760</f>
        <v>0</v>
      </c>
      <c r="H2760" s="9">
        <f>+'[1]VENTAS(RESUMEN GLOBAL)'!K2760</f>
        <v>0</v>
      </c>
      <c r="I2760" s="8">
        <f>+G2760*'[1]VENTAS(RESUMEN GLOBAL)'!F2760</f>
        <v>0</v>
      </c>
      <c r="J2760" s="8">
        <f>'[1]VENTAS(RESUMEN GLOBAL)'!G2760*(1-'[1]VENTAS(RESUMEN GLOBAL)'!H2760)</f>
        <v>0</v>
      </c>
      <c r="K2760" s="8">
        <f t="shared" si="43"/>
        <v>0</v>
      </c>
      <c r="L2760" s="8">
        <f>+'[1]VENTAS(RESUMEN GLOBAL)'!J2760</f>
        <v>0</v>
      </c>
      <c r="M2760" s="8">
        <f>+Tabla1[[#This Row],[utilidad x dia]]*7</f>
        <v>0</v>
      </c>
    </row>
    <row r="2761" spans="1:13" x14ac:dyDescent="0.3">
      <c r="A2761" s="6">
        <f>+'[1]VENTAS(RESUMEN GLOBAL)'!L2761</f>
        <v>0</v>
      </c>
      <c r="B2761" s="6">
        <f>+'[1]VENTAS(RESUMEN GLOBAL)'!M2761</f>
        <v>0</v>
      </c>
      <c r="C2761">
        <f>+'[1]VENTAS(RESUMEN GLOBAL)'!B2761</f>
        <v>0</v>
      </c>
      <c r="D2761" t="e">
        <f>INDEX('[1]CÓDIGOS DE PRODUCTO'!$D$3:$D$1000,MATCH(C2761,'[1]CÓDIGOS DE PRODUCTO'!$A$3:$A$1000,0))</f>
        <v>#N/A</v>
      </c>
      <c r="E2761">
        <f>VLOOKUP(C2761,'[1]CÓDIGOS DE PRODUCTO'!$A$4:$B$156,2,FALSE)</f>
        <v>0</v>
      </c>
      <c r="F2761">
        <f>INDEX('[1]CÓDIGOS DE PRODUCTO'!$C$3:$C$1000,MATCH(C2761,'[1]CÓDIGOS DE PRODUCTO'!$A$3:$A$1000,0))</f>
        <v>0</v>
      </c>
      <c r="G2761">
        <f>+'[1]VENTAS(RESUMEN GLOBAL)'!D2761-'[1]VENTAS(RESUMEN GLOBAL)'!E2761</f>
        <v>0</v>
      </c>
      <c r="H2761" s="9">
        <f>+'[1]VENTAS(RESUMEN GLOBAL)'!K2761</f>
        <v>0</v>
      </c>
      <c r="I2761" s="8">
        <f>+G2761*'[1]VENTAS(RESUMEN GLOBAL)'!F2761</f>
        <v>0</v>
      </c>
      <c r="J2761" s="8">
        <f>'[1]VENTAS(RESUMEN GLOBAL)'!G2761*(1-'[1]VENTAS(RESUMEN GLOBAL)'!H2761)</f>
        <v>0</v>
      </c>
      <c r="K2761" s="8">
        <f t="shared" si="43"/>
        <v>0</v>
      </c>
      <c r="L2761" s="8">
        <f>+'[1]VENTAS(RESUMEN GLOBAL)'!J2761</f>
        <v>0</v>
      </c>
      <c r="M2761" s="8">
        <f>+Tabla1[[#This Row],[utilidad x dia]]*7</f>
        <v>0</v>
      </c>
    </row>
    <row r="2762" spans="1:13" x14ac:dyDescent="0.3">
      <c r="A2762" s="6">
        <f>+'[1]VENTAS(RESUMEN GLOBAL)'!L2762</f>
        <v>0</v>
      </c>
      <c r="B2762" s="6">
        <f>+'[1]VENTAS(RESUMEN GLOBAL)'!M2762</f>
        <v>0</v>
      </c>
      <c r="C2762">
        <f>+'[1]VENTAS(RESUMEN GLOBAL)'!B2762</f>
        <v>0</v>
      </c>
      <c r="D2762" t="e">
        <f>INDEX('[1]CÓDIGOS DE PRODUCTO'!$D$3:$D$1000,MATCH(C2762,'[1]CÓDIGOS DE PRODUCTO'!$A$3:$A$1000,0))</f>
        <v>#N/A</v>
      </c>
      <c r="E2762">
        <f>VLOOKUP(C2762,'[1]CÓDIGOS DE PRODUCTO'!$A$4:$B$156,2,FALSE)</f>
        <v>0</v>
      </c>
      <c r="F2762">
        <f>INDEX('[1]CÓDIGOS DE PRODUCTO'!$C$3:$C$1000,MATCH(C2762,'[1]CÓDIGOS DE PRODUCTO'!$A$3:$A$1000,0))</f>
        <v>0</v>
      </c>
      <c r="G2762">
        <f>+'[1]VENTAS(RESUMEN GLOBAL)'!D2762-'[1]VENTAS(RESUMEN GLOBAL)'!E2762</f>
        <v>0</v>
      </c>
      <c r="H2762" s="9">
        <f>+'[1]VENTAS(RESUMEN GLOBAL)'!K2762</f>
        <v>0</v>
      </c>
      <c r="I2762" s="8">
        <f>+G2762*'[1]VENTAS(RESUMEN GLOBAL)'!F2762</f>
        <v>0</v>
      </c>
      <c r="J2762" s="8">
        <f>'[1]VENTAS(RESUMEN GLOBAL)'!G2762*(1-'[1]VENTAS(RESUMEN GLOBAL)'!H2762)</f>
        <v>0</v>
      </c>
      <c r="K2762" s="8">
        <f t="shared" si="43"/>
        <v>0</v>
      </c>
      <c r="L2762" s="8">
        <f>+'[1]VENTAS(RESUMEN GLOBAL)'!J2762</f>
        <v>0</v>
      </c>
      <c r="M2762" s="8">
        <f>+Tabla1[[#This Row],[utilidad x dia]]*7</f>
        <v>0</v>
      </c>
    </row>
    <row r="2763" spans="1:13" x14ac:dyDescent="0.3">
      <c r="A2763" s="6">
        <f>+'[1]VENTAS(RESUMEN GLOBAL)'!L2763</f>
        <v>0</v>
      </c>
      <c r="B2763" s="6">
        <f>+'[1]VENTAS(RESUMEN GLOBAL)'!M2763</f>
        <v>0</v>
      </c>
      <c r="C2763">
        <f>+'[1]VENTAS(RESUMEN GLOBAL)'!B2763</f>
        <v>0</v>
      </c>
      <c r="D2763" t="e">
        <f>INDEX('[1]CÓDIGOS DE PRODUCTO'!$D$3:$D$1000,MATCH(C2763,'[1]CÓDIGOS DE PRODUCTO'!$A$3:$A$1000,0))</f>
        <v>#N/A</v>
      </c>
      <c r="E2763">
        <f>VLOOKUP(C2763,'[1]CÓDIGOS DE PRODUCTO'!$A$4:$B$156,2,FALSE)</f>
        <v>0</v>
      </c>
      <c r="F2763">
        <f>INDEX('[1]CÓDIGOS DE PRODUCTO'!$C$3:$C$1000,MATCH(C2763,'[1]CÓDIGOS DE PRODUCTO'!$A$3:$A$1000,0))</f>
        <v>0</v>
      </c>
      <c r="G2763">
        <f>+'[1]VENTAS(RESUMEN GLOBAL)'!D2763-'[1]VENTAS(RESUMEN GLOBAL)'!E2763</f>
        <v>0</v>
      </c>
      <c r="H2763" s="9">
        <f>+'[1]VENTAS(RESUMEN GLOBAL)'!K2763</f>
        <v>0</v>
      </c>
      <c r="I2763" s="8">
        <f>+G2763*'[1]VENTAS(RESUMEN GLOBAL)'!F2763</f>
        <v>0</v>
      </c>
      <c r="J2763" s="8">
        <f>'[1]VENTAS(RESUMEN GLOBAL)'!G2763*(1-'[1]VENTAS(RESUMEN GLOBAL)'!H2763)</f>
        <v>0</v>
      </c>
      <c r="K2763" s="8">
        <f t="shared" si="43"/>
        <v>0</v>
      </c>
      <c r="L2763" s="8">
        <f>+'[1]VENTAS(RESUMEN GLOBAL)'!J2763</f>
        <v>0</v>
      </c>
      <c r="M2763" s="8">
        <f>+Tabla1[[#This Row],[utilidad x dia]]*7</f>
        <v>0</v>
      </c>
    </row>
    <row r="2764" spans="1:13" x14ac:dyDescent="0.3">
      <c r="A2764" s="6">
        <f>+'[1]VENTAS(RESUMEN GLOBAL)'!L2764</f>
        <v>0</v>
      </c>
      <c r="B2764" s="6">
        <f>+'[1]VENTAS(RESUMEN GLOBAL)'!M2764</f>
        <v>0</v>
      </c>
      <c r="C2764">
        <f>+'[1]VENTAS(RESUMEN GLOBAL)'!B2764</f>
        <v>0</v>
      </c>
      <c r="D2764" t="e">
        <f>INDEX('[1]CÓDIGOS DE PRODUCTO'!$D$3:$D$1000,MATCH(C2764,'[1]CÓDIGOS DE PRODUCTO'!$A$3:$A$1000,0))</f>
        <v>#N/A</v>
      </c>
      <c r="E2764">
        <f>VLOOKUP(C2764,'[1]CÓDIGOS DE PRODUCTO'!$A$4:$B$156,2,FALSE)</f>
        <v>0</v>
      </c>
      <c r="F2764">
        <f>INDEX('[1]CÓDIGOS DE PRODUCTO'!$C$3:$C$1000,MATCH(C2764,'[1]CÓDIGOS DE PRODUCTO'!$A$3:$A$1000,0))</f>
        <v>0</v>
      </c>
      <c r="G2764">
        <f>+'[1]VENTAS(RESUMEN GLOBAL)'!D2764-'[1]VENTAS(RESUMEN GLOBAL)'!E2764</f>
        <v>0</v>
      </c>
      <c r="H2764" s="9">
        <f>+'[1]VENTAS(RESUMEN GLOBAL)'!K2764</f>
        <v>0</v>
      </c>
      <c r="I2764" s="8">
        <f>+G2764*'[1]VENTAS(RESUMEN GLOBAL)'!F2764</f>
        <v>0</v>
      </c>
      <c r="J2764" s="8">
        <f>'[1]VENTAS(RESUMEN GLOBAL)'!G2764*(1-'[1]VENTAS(RESUMEN GLOBAL)'!H2764)</f>
        <v>0</v>
      </c>
      <c r="K2764" s="8">
        <f t="shared" si="43"/>
        <v>0</v>
      </c>
      <c r="L2764" s="8">
        <f>+'[1]VENTAS(RESUMEN GLOBAL)'!J2764</f>
        <v>0</v>
      </c>
      <c r="M2764" s="8">
        <f>+Tabla1[[#This Row],[utilidad x dia]]*7</f>
        <v>0</v>
      </c>
    </row>
    <row r="2765" spans="1:13" x14ac:dyDescent="0.3">
      <c r="A2765" s="6">
        <f>+'[1]VENTAS(RESUMEN GLOBAL)'!L2765</f>
        <v>0</v>
      </c>
      <c r="B2765" s="6">
        <f>+'[1]VENTAS(RESUMEN GLOBAL)'!M2765</f>
        <v>0</v>
      </c>
      <c r="C2765">
        <f>+'[1]VENTAS(RESUMEN GLOBAL)'!B2765</f>
        <v>0</v>
      </c>
      <c r="D2765" t="e">
        <f>INDEX('[1]CÓDIGOS DE PRODUCTO'!$D$3:$D$1000,MATCH(C2765,'[1]CÓDIGOS DE PRODUCTO'!$A$3:$A$1000,0))</f>
        <v>#N/A</v>
      </c>
      <c r="E2765">
        <f>VLOOKUP(C2765,'[1]CÓDIGOS DE PRODUCTO'!$A$4:$B$156,2,FALSE)</f>
        <v>0</v>
      </c>
      <c r="F2765">
        <f>INDEX('[1]CÓDIGOS DE PRODUCTO'!$C$3:$C$1000,MATCH(C2765,'[1]CÓDIGOS DE PRODUCTO'!$A$3:$A$1000,0))</f>
        <v>0</v>
      </c>
      <c r="G2765">
        <f>+'[1]VENTAS(RESUMEN GLOBAL)'!D2765-'[1]VENTAS(RESUMEN GLOBAL)'!E2765</f>
        <v>0</v>
      </c>
      <c r="H2765" s="9">
        <f>+'[1]VENTAS(RESUMEN GLOBAL)'!K2765</f>
        <v>0</v>
      </c>
      <c r="I2765" s="8">
        <f>+G2765*'[1]VENTAS(RESUMEN GLOBAL)'!F2765</f>
        <v>0</v>
      </c>
      <c r="J2765" s="8">
        <f>'[1]VENTAS(RESUMEN GLOBAL)'!G2765*(1-'[1]VENTAS(RESUMEN GLOBAL)'!H2765)</f>
        <v>0</v>
      </c>
      <c r="K2765" s="8">
        <f t="shared" si="43"/>
        <v>0</v>
      </c>
      <c r="L2765" s="8">
        <f>+'[1]VENTAS(RESUMEN GLOBAL)'!J2765</f>
        <v>0</v>
      </c>
      <c r="M2765" s="8">
        <f>+Tabla1[[#This Row],[utilidad x dia]]*7</f>
        <v>0</v>
      </c>
    </row>
    <row r="2766" spans="1:13" x14ac:dyDescent="0.3">
      <c r="A2766" s="6">
        <f>+'[1]VENTAS(RESUMEN GLOBAL)'!L2766</f>
        <v>0</v>
      </c>
      <c r="B2766" s="6">
        <f>+'[1]VENTAS(RESUMEN GLOBAL)'!M2766</f>
        <v>0</v>
      </c>
      <c r="C2766">
        <f>+'[1]VENTAS(RESUMEN GLOBAL)'!B2766</f>
        <v>0</v>
      </c>
      <c r="D2766" t="e">
        <f>INDEX('[1]CÓDIGOS DE PRODUCTO'!$D$3:$D$1000,MATCH(C2766,'[1]CÓDIGOS DE PRODUCTO'!$A$3:$A$1000,0))</f>
        <v>#N/A</v>
      </c>
      <c r="E2766">
        <f>VLOOKUP(C2766,'[1]CÓDIGOS DE PRODUCTO'!$A$4:$B$156,2,FALSE)</f>
        <v>0</v>
      </c>
      <c r="F2766">
        <f>INDEX('[1]CÓDIGOS DE PRODUCTO'!$C$3:$C$1000,MATCH(C2766,'[1]CÓDIGOS DE PRODUCTO'!$A$3:$A$1000,0))</f>
        <v>0</v>
      </c>
      <c r="G2766">
        <f>+'[1]VENTAS(RESUMEN GLOBAL)'!D2766-'[1]VENTAS(RESUMEN GLOBAL)'!E2766</f>
        <v>0</v>
      </c>
      <c r="H2766" s="9">
        <f>+'[1]VENTAS(RESUMEN GLOBAL)'!K2766</f>
        <v>0</v>
      </c>
      <c r="I2766" s="8">
        <f>+G2766*'[1]VENTAS(RESUMEN GLOBAL)'!F2766</f>
        <v>0</v>
      </c>
      <c r="J2766" s="8">
        <f>'[1]VENTAS(RESUMEN GLOBAL)'!G2766*(1-'[1]VENTAS(RESUMEN GLOBAL)'!H2766)</f>
        <v>0</v>
      </c>
      <c r="K2766" s="8">
        <f t="shared" si="43"/>
        <v>0</v>
      </c>
      <c r="L2766" s="8">
        <f>+'[1]VENTAS(RESUMEN GLOBAL)'!J2766</f>
        <v>0</v>
      </c>
      <c r="M2766" s="8">
        <f>+Tabla1[[#This Row],[utilidad x dia]]*7</f>
        <v>0</v>
      </c>
    </row>
    <row r="2767" spans="1:13" x14ac:dyDescent="0.3">
      <c r="A2767" s="6">
        <f>+'[1]VENTAS(RESUMEN GLOBAL)'!L2767</f>
        <v>0</v>
      </c>
      <c r="B2767" s="6">
        <f>+'[1]VENTAS(RESUMEN GLOBAL)'!M2767</f>
        <v>0</v>
      </c>
      <c r="C2767">
        <f>+'[1]VENTAS(RESUMEN GLOBAL)'!B2767</f>
        <v>0</v>
      </c>
      <c r="D2767" t="e">
        <f>INDEX('[1]CÓDIGOS DE PRODUCTO'!$D$3:$D$1000,MATCH(C2767,'[1]CÓDIGOS DE PRODUCTO'!$A$3:$A$1000,0))</f>
        <v>#N/A</v>
      </c>
      <c r="E2767">
        <f>VLOOKUP(C2767,'[1]CÓDIGOS DE PRODUCTO'!$A$4:$B$156,2,FALSE)</f>
        <v>0</v>
      </c>
      <c r="F2767">
        <f>INDEX('[1]CÓDIGOS DE PRODUCTO'!$C$3:$C$1000,MATCH(C2767,'[1]CÓDIGOS DE PRODUCTO'!$A$3:$A$1000,0))</f>
        <v>0</v>
      </c>
      <c r="G2767">
        <f>+'[1]VENTAS(RESUMEN GLOBAL)'!D2767-'[1]VENTAS(RESUMEN GLOBAL)'!E2767</f>
        <v>0</v>
      </c>
      <c r="H2767" s="9">
        <f>+'[1]VENTAS(RESUMEN GLOBAL)'!K2767</f>
        <v>0</v>
      </c>
      <c r="I2767" s="8">
        <f>+G2767*'[1]VENTAS(RESUMEN GLOBAL)'!F2767</f>
        <v>0</v>
      </c>
      <c r="J2767" s="8">
        <f>'[1]VENTAS(RESUMEN GLOBAL)'!G2767*(1-'[1]VENTAS(RESUMEN GLOBAL)'!H2767)</f>
        <v>0</v>
      </c>
      <c r="K2767" s="8">
        <f t="shared" si="43"/>
        <v>0</v>
      </c>
      <c r="L2767" s="8">
        <f>+'[1]VENTAS(RESUMEN GLOBAL)'!J2767</f>
        <v>0</v>
      </c>
      <c r="M2767" s="8">
        <f>+Tabla1[[#This Row],[utilidad x dia]]*7</f>
        <v>0</v>
      </c>
    </row>
    <row r="2768" spans="1:13" x14ac:dyDescent="0.3">
      <c r="A2768" s="6">
        <f>+'[1]VENTAS(RESUMEN GLOBAL)'!L2768</f>
        <v>0</v>
      </c>
      <c r="B2768" s="6">
        <f>+'[1]VENTAS(RESUMEN GLOBAL)'!M2768</f>
        <v>0</v>
      </c>
      <c r="C2768">
        <f>+'[1]VENTAS(RESUMEN GLOBAL)'!B2768</f>
        <v>0</v>
      </c>
      <c r="D2768" t="e">
        <f>INDEX('[1]CÓDIGOS DE PRODUCTO'!$D$3:$D$1000,MATCH(C2768,'[1]CÓDIGOS DE PRODUCTO'!$A$3:$A$1000,0))</f>
        <v>#N/A</v>
      </c>
      <c r="E2768">
        <f>VLOOKUP(C2768,'[1]CÓDIGOS DE PRODUCTO'!$A$4:$B$156,2,FALSE)</f>
        <v>0</v>
      </c>
      <c r="F2768">
        <f>INDEX('[1]CÓDIGOS DE PRODUCTO'!$C$3:$C$1000,MATCH(C2768,'[1]CÓDIGOS DE PRODUCTO'!$A$3:$A$1000,0))</f>
        <v>0</v>
      </c>
      <c r="G2768">
        <f>+'[1]VENTAS(RESUMEN GLOBAL)'!D2768-'[1]VENTAS(RESUMEN GLOBAL)'!E2768</f>
        <v>0</v>
      </c>
      <c r="H2768" s="9">
        <f>+'[1]VENTAS(RESUMEN GLOBAL)'!K2768</f>
        <v>0</v>
      </c>
      <c r="I2768" s="8">
        <f>+G2768*'[1]VENTAS(RESUMEN GLOBAL)'!F2768</f>
        <v>0</v>
      </c>
      <c r="J2768" s="8">
        <f>'[1]VENTAS(RESUMEN GLOBAL)'!G2768*(1-'[1]VENTAS(RESUMEN GLOBAL)'!H2768)</f>
        <v>0</v>
      </c>
      <c r="K2768" s="8">
        <f t="shared" si="43"/>
        <v>0</v>
      </c>
      <c r="L2768" s="8">
        <f>+'[1]VENTAS(RESUMEN GLOBAL)'!J2768</f>
        <v>0</v>
      </c>
      <c r="M2768" s="8">
        <f>+Tabla1[[#This Row],[utilidad x dia]]*7</f>
        <v>0</v>
      </c>
    </row>
    <row r="2769" spans="1:13" x14ac:dyDescent="0.3">
      <c r="A2769" s="6">
        <f>+'[1]VENTAS(RESUMEN GLOBAL)'!L2769</f>
        <v>0</v>
      </c>
      <c r="B2769" s="6">
        <f>+'[1]VENTAS(RESUMEN GLOBAL)'!M2769</f>
        <v>0</v>
      </c>
      <c r="C2769">
        <f>+'[1]VENTAS(RESUMEN GLOBAL)'!B2769</f>
        <v>0</v>
      </c>
      <c r="D2769" t="e">
        <f>INDEX('[1]CÓDIGOS DE PRODUCTO'!$D$3:$D$1000,MATCH(C2769,'[1]CÓDIGOS DE PRODUCTO'!$A$3:$A$1000,0))</f>
        <v>#N/A</v>
      </c>
      <c r="E2769">
        <f>VLOOKUP(C2769,'[1]CÓDIGOS DE PRODUCTO'!$A$4:$B$156,2,FALSE)</f>
        <v>0</v>
      </c>
      <c r="F2769">
        <f>INDEX('[1]CÓDIGOS DE PRODUCTO'!$C$3:$C$1000,MATCH(C2769,'[1]CÓDIGOS DE PRODUCTO'!$A$3:$A$1000,0))</f>
        <v>0</v>
      </c>
      <c r="G2769">
        <f>+'[1]VENTAS(RESUMEN GLOBAL)'!D2769-'[1]VENTAS(RESUMEN GLOBAL)'!E2769</f>
        <v>0</v>
      </c>
      <c r="H2769" s="9">
        <f>+'[1]VENTAS(RESUMEN GLOBAL)'!K2769</f>
        <v>0</v>
      </c>
      <c r="I2769" s="8">
        <f>+G2769*'[1]VENTAS(RESUMEN GLOBAL)'!F2769</f>
        <v>0</v>
      </c>
      <c r="J2769" s="8">
        <f>'[1]VENTAS(RESUMEN GLOBAL)'!G2769*(1-'[1]VENTAS(RESUMEN GLOBAL)'!H2769)</f>
        <v>0</v>
      </c>
      <c r="K2769" s="8">
        <f t="shared" si="43"/>
        <v>0</v>
      </c>
      <c r="L2769" s="8">
        <f>+'[1]VENTAS(RESUMEN GLOBAL)'!J2769</f>
        <v>0</v>
      </c>
      <c r="M2769" s="8">
        <f>+Tabla1[[#This Row],[utilidad x dia]]*7</f>
        <v>0</v>
      </c>
    </row>
    <row r="2770" spans="1:13" x14ac:dyDescent="0.3">
      <c r="A2770" s="6">
        <f>+'[1]VENTAS(RESUMEN GLOBAL)'!L2770</f>
        <v>0</v>
      </c>
      <c r="B2770" s="6">
        <f>+'[1]VENTAS(RESUMEN GLOBAL)'!M2770</f>
        <v>0</v>
      </c>
      <c r="C2770">
        <f>+'[1]VENTAS(RESUMEN GLOBAL)'!B2770</f>
        <v>0</v>
      </c>
      <c r="D2770" t="e">
        <f>INDEX('[1]CÓDIGOS DE PRODUCTO'!$D$3:$D$1000,MATCH(C2770,'[1]CÓDIGOS DE PRODUCTO'!$A$3:$A$1000,0))</f>
        <v>#N/A</v>
      </c>
      <c r="E2770">
        <f>VLOOKUP(C2770,'[1]CÓDIGOS DE PRODUCTO'!$A$4:$B$156,2,FALSE)</f>
        <v>0</v>
      </c>
      <c r="F2770">
        <f>INDEX('[1]CÓDIGOS DE PRODUCTO'!$C$3:$C$1000,MATCH(C2770,'[1]CÓDIGOS DE PRODUCTO'!$A$3:$A$1000,0))</f>
        <v>0</v>
      </c>
      <c r="G2770">
        <f>+'[1]VENTAS(RESUMEN GLOBAL)'!D2770-'[1]VENTAS(RESUMEN GLOBAL)'!E2770</f>
        <v>0</v>
      </c>
      <c r="H2770" s="9">
        <f>+'[1]VENTAS(RESUMEN GLOBAL)'!K2770</f>
        <v>0</v>
      </c>
      <c r="I2770" s="8">
        <f>+G2770*'[1]VENTAS(RESUMEN GLOBAL)'!F2770</f>
        <v>0</v>
      </c>
      <c r="J2770" s="8">
        <f>'[1]VENTAS(RESUMEN GLOBAL)'!G2770*(1-'[1]VENTAS(RESUMEN GLOBAL)'!H2770)</f>
        <v>0</v>
      </c>
      <c r="K2770" s="8">
        <f t="shared" si="43"/>
        <v>0</v>
      </c>
      <c r="L2770" s="8">
        <f>+'[1]VENTAS(RESUMEN GLOBAL)'!J2770</f>
        <v>0</v>
      </c>
      <c r="M2770" s="8">
        <f>+Tabla1[[#This Row],[utilidad x dia]]*7</f>
        <v>0</v>
      </c>
    </row>
    <row r="2771" spans="1:13" x14ac:dyDescent="0.3">
      <c r="A2771" s="6">
        <f>+'[1]VENTAS(RESUMEN GLOBAL)'!L2771</f>
        <v>0</v>
      </c>
      <c r="B2771" s="6">
        <f>+'[1]VENTAS(RESUMEN GLOBAL)'!M2771</f>
        <v>0</v>
      </c>
      <c r="C2771">
        <f>+'[1]VENTAS(RESUMEN GLOBAL)'!B2771</f>
        <v>0</v>
      </c>
      <c r="D2771" t="e">
        <f>INDEX('[1]CÓDIGOS DE PRODUCTO'!$D$3:$D$1000,MATCH(C2771,'[1]CÓDIGOS DE PRODUCTO'!$A$3:$A$1000,0))</f>
        <v>#N/A</v>
      </c>
      <c r="E2771">
        <f>VLOOKUP(C2771,'[1]CÓDIGOS DE PRODUCTO'!$A$4:$B$156,2,FALSE)</f>
        <v>0</v>
      </c>
      <c r="F2771">
        <f>INDEX('[1]CÓDIGOS DE PRODUCTO'!$C$3:$C$1000,MATCH(C2771,'[1]CÓDIGOS DE PRODUCTO'!$A$3:$A$1000,0))</f>
        <v>0</v>
      </c>
      <c r="G2771">
        <f>+'[1]VENTAS(RESUMEN GLOBAL)'!D2771-'[1]VENTAS(RESUMEN GLOBAL)'!E2771</f>
        <v>0</v>
      </c>
      <c r="H2771" s="9">
        <f>+'[1]VENTAS(RESUMEN GLOBAL)'!K2771</f>
        <v>0</v>
      </c>
      <c r="I2771" s="8">
        <f>+G2771*'[1]VENTAS(RESUMEN GLOBAL)'!F2771</f>
        <v>0</v>
      </c>
      <c r="J2771" s="8">
        <f>'[1]VENTAS(RESUMEN GLOBAL)'!G2771*(1-'[1]VENTAS(RESUMEN GLOBAL)'!H2771)</f>
        <v>0</v>
      </c>
      <c r="K2771" s="8">
        <f t="shared" si="43"/>
        <v>0</v>
      </c>
      <c r="L2771" s="8">
        <f>+'[1]VENTAS(RESUMEN GLOBAL)'!J2771</f>
        <v>0</v>
      </c>
      <c r="M2771" s="8">
        <f>+Tabla1[[#This Row],[utilidad x dia]]*7</f>
        <v>0</v>
      </c>
    </row>
    <row r="2772" spans="1:13" x14ac:dyDescent="0.3">
      <c r="A2772" s="6">
        <f>+'[1]VENTAS(RESUMEN GLOBAL)'!L2772</f>
        <v>0</v>
      </c>
      <c r="B2772" s="6">
        <f>+'[1]VENTAS(RESUMEN GLOBAL)'!M2772</f>
        <v>0</v>
      </c>
      <c r="C2772">
        <f>+'[1]VENTAS(RESUMEN GLOBAL)'!B2772</f>
        <v>0</v>
      </c>
      <c r="D2772" t="e">
        <f>INDEX('[1]CÓDIGOS DE PRODUCTO'!$D$3:$D$1000,MATCH(C2772,'[1]CÓDIGOS DE PRODUCTO'!$A$3:$A$1000,0))</f>
        <v>#N/A</v>
      </c>
      <c r="E2772">
        <f>VLOOKUP(C2772,'[1]CÓDIGOS DE PRODUCTO'!$A$4:$B$156,2,FALSE)</f>
        <v>0</v>
      </c>
      <c r="F2772">
        <f>INDEX('[1]CÓDIGOS DE PRODUCTO'!$C$3:$C$1000,MATCH(C2772,'[1]CÓDIGOS DE PRODUCTO'!$A$3:$A$1000,0))</f>
        <v>0</v>
      </c>
      <c r="G2772">
        <f>+'[1]VENTAS(RESUMEN GLOBAL)'!D2772-'[1]VENTAS(RESUMEN GLOBAL)'!E2772</f>
        <v>0</v>
      </c>
      <c r="H2772" s="9">
        <f>+'[1]VENTAS(RESUMEN GLOBAL)'!K2772</f>
        <v>0</v>
      </c>
      <c r="I2772" s="8">
        <f>+G2772*'[1]VENTAS(RESUMEN GLOBAL)'!F2772</f>
        <v>0</v>
      </c>
      <c r="J2772" s="8">
        <f>'[1]VENTAS(RESUMEN GLOBAL)'!G2772*(1-'[1]VENTAS(RESUMEN GLOBAL)'!H2772)</f>
        <v>0</v>
      </c>
      <c r="K2772" s="8">
        <f t="shared" si="43"/>
        <v>0</v>
      </c>
      <c r="L2772" s="8">
        <f>+'[1]VENTAS(RESUMEN GLOBAL)'!J2772</f>
        <v>0</v>
      </c>
      <c r="M2772" s="8">
        <f>+Tabla1[[#This Row],[utilidad x dia]]*7</f>
        <v>0</v>
      </c>
    </row>
    <row r="2773" spans="1:13" x14ac:dyDescent="0.3">
      <c r="A2773" s="6">
        <f>+'[1]VENTAS(RESUMEN GLOBAL)'!L2773</f>
        <v>0</v>
      </c>
      <c r="B2773" s="6">
        <f>+'[1]VENTAS(RESUMEN GLOBAL)'!M2773</f>
        <v>0</v>
      </c>
      <c r="C2773">
        <f>+'[1]VENTAS(RESUMEN GLOBAL)'!B2773</f>
        <v>0</v>
      </c>
      <c r="D2773" t="e">
        <f>INDEX('[1]CÓDIGOS DE PRODUCTO'!$D$3:$D$1000,MATCH(C2773,'[1]CÓDIGOS DE PRODUCTO'!$A$3:$A$1000,0))</f>
        <v>#N/A</v>
      </c>
      <c r="E2773">
        <f>VLOOKUP(C2773,'[1]CÓDIGOS DE PRODUCTO'!$A$4:$B$156,2,FALSE)</f>
        <v>0</v>
      </c>
      <c r="F2773">
        <f>INDEX('[1]CÓDIGOS DE PRODUCTO'!$C$3:$C$1000,MATCH(C2773,'[1]CÓDIGOS DE PRODUCTO'!$A$3:$A$1000,0))</f>
        <v>0</v>
      </c>
      <c r="G2773">
        <f>+'[1]VENTAS(RESUMEN GLOBAL)'!D2773-'[1]VENTAS(RESUMEN GLOBAL)'!E2773</f>
        <v>0</v>
      </c>
      <c r="H2773" s="9">
        <f>+'[1]VENTAS(RESUMEN GLOBAL)'!K2773</f>
        <v>0</v>
      </c>
      <c r="I2773" s="8">
        <f>+G2773*'[1]VENTAS(RESUMEN GLOBAL)'!F2773</f>
        <v>0</v>
      </c>
      <c r="J2773" s="8">
        <f>'[1]VENTAS(RESUMEN GLOBAL)'!G2773*(1-'[1]VENTAS(RESUMEN GLOBAL)'!H2773)</f>
        <v>0</v>
      </c>
      <c r="K2773" s="8">
        <f t="shared" si="43"/>
        <v>0</v>
      </c>
      <c r="L2773" s="8">
        <f>+'[1]VENTAS(RESUMEN GLOBAL)'!J2773</f>
        <v>0</v>
      </c>
      <c r="M2773" s="8">
        <f>+Tabla1[[#This Row],[utilidad x dia]]*7</f>
        <v>0</v>
      </c>
    </row>
    <row r="2774" spans="1:13" x14ac:dyDescent="0.3">
      <c r="A2774" s="6">
        <f>+'[1]VENTAS(RESUMEN GLOBAL)'!L2774</f>
        <v>0</v>
      </c>
      <c r="B2774" s="6">
        <f>+'[1]VENTAS(RESUMEN GLOBAL)'!M2774</f>
        <v>0</v>
      </c>
      <c r="C2774">
        <f>+'[1]VENTAS(RESUMEN GLOBAL)'!B2774</f>
        <v>0</v>
      </c>
      <c r="D2774" t="e">
        <f>INDEX('[1]CÓDIGOS DE PRODUCTO'!$D$3:$D$1000,MATCH(C2774,'[1]CÓDIGOS DE PRODUCTO'!$A$3:$A$1000,0))</f>
        <v>#N/A</v>
      </c>
      <c r="E2774">
        <f>VLOOKUP(C2774,'[1]CÓDIGOS DE PRODUCTO'!$A$4:$B$156,2,FALSE)</f>
        <v>0</v>
      </c>
      <c r="F2774">
        <f>INDEX('[1]CÓDIGOS DE PRODUCTO'!$C$3:$C$1000,MATCH(C2774,'[1]CÓDIGOS DE PRODUCTO'!$A$3:$A$1000,0))</f>
        <v>0</v>
      </c>
      <c r="G2774">
        <f>+'[1]VENTAS(RESUMEN GLOBAL)'!D2774-'[1]VENTAS(RESUMEN GLOBAL)'!E2774</f>
        <v>0</v>
      </c>
      <c r="H2774" s="9">
        <f>+'[1]VENTAS(RESUMEN GLOBAL)'!K2774</f>
        <v>0</v>
      </c>
      <c r="I2774" s="8">
        <f>+G2774*'[1]VENTAS(RESUMEN GLOBAL)'!F2774</f>
        <v>0</v>
      </c>
      <c r="J2774" s="8">
        <f>'[1]VENTAS(RESUMEN GLOBAL)'!G2774*(1-'[1]VENTAS(RESUMEN GLOBAL)'!H2774)</f>
        <v>0</v>
      </c>
      <c r="K2774" s="8">
        <f t="shared" si="43"/>
        <v>0</v>
      </c>
      <c r="L2774" s="8">
        <f>+'[1]VENTAS(RESUMEN GLOBAL)'!J2774</f>
        <v>0</v>
      </c>
      <c r="M2774" s="8">
        <f>+Tabla1[[#This Row],[utilidad x dia]]*7</f>
        <v>0</v>
      </c>
    </row>
    <row r="2775" spans="1:13" x14ac:dyDescent="0.3">
      <c r="A2775" s="6">
        <f>+'[1]VENTAS(RESUMEN GLOBAL)'!L2775</f>
        <v>0</v>
      </c>
      <c r="B2775" s="6">
        <f>+'[1]VENTAS(RESUMEN GLOBAL)'!M2775</f>
        <v>0</v>
      </c>
      <c r="C2775">
        <f>+'[1]VENTAS(RESUMEN GLOBAL)'!B2775</f>
        <v>0</v>
      </c>
      <c r="D2775" t="e">
        <f>INDEX('[1]CÓDIGOS DE PRODUCTO'!$D$3:$D$1000,MATCH(C2775,'[1]CÓDIGOS DE PRODUCTO'!$A$3:$A$1000,0))</f>
        <v>#N/A</v>
      </c>
      <c r="E2775">
        <f>VLOOKUP(C2775,'[1]CÓDIGOS DE PRODUCTO'!$A$4:$B$156,2,FALSE)</f>
        <v>0</v>
      </c>
      <c r="F2775">
        <f>INDEX('[1]CÓDIGOS DE PRODUCTO'!$C$3:$C$1000,MATCH(C2775,'[1]CÓDIGOS DE PRODUCTO'!$A$3:$A$1000,0))</f>
        <v>0</v>
      </c>
      <c r="G2775">
        <f>+'[1]VENTAS(RESUMEN GLOBAL)'!D2775-'[1]VENTAS(RESUMEN GLOBAL)'!E2775</f>
        <v>0</v>
      </c>
      <c r="H2775" s="9">
        <f>+'[1]VENTAS(RESUMEN GLOBAL)'!K2775</f>
        <v>0</v>
      </c>
      <c r="I2775" s="8">
        <f>+G2775*'[1]VENTAS(RESUMEN GLOBAL)'!F2775</f>
        <v>0</v>
      </c>
      <c r="J2775" s="8">
        <f>'[1]VENTAS(RESUMEN GLOBAL)'!G2775*(1-'[1]VENTAS(RESUMEN GLOBAL)'!H2775)</f>
        <v>0</v>
      </c>
      <c r="K2775" s="8">
        <f t="shared" si="43"/>
        <v>0</v>
      </c>
      <c r="L2775" s="8">
        <f>+'[1]VENTAS(RESUMEN GLOBAL)'!J2775</f>
        <v>0</v>
      </c>
      <c r="M2775" s="8">
        <f>+Tabla1[[#This Row],[utilidad x dia]]*7</f>
        <v>0</v>
      </c>
    </row>
    <row r="2776" spans="1:13" x14ac:dyDescent="0.3">
      <c r="A2776" s="6">
        <f>+'[1]VENTAS(RESUMEN GLOBAL)'!L2776</f>
        <v>0</v>
      </c>
      <c r="B2776" s="6">
        <f>+'[1]VENTAS(RESUMEN GLOBAL)'!M2776</f>
        <v>0</v>
      </c>
      <c r="C2776">
        <f>+'[1]VENTAS(RESUMEN GLOBAL)'!B2776</f>
        <v>0</v>
      </c>
      <c r="D2776" t="e">
        <f>INDEX('[1]CÓDIGOS DE PRODUCTO'!$D$3:$D$1000,MATCH(C2776,'[1]CÓDIGOS DE PRODUCTO'!$A$3:$A$1000,0))</f>
        <v>#N/A</v>
      </c>
      <c r="E2776">
        <f>VLOOKUP(C2776,'[1]CÓDIGOS DE PRODUCTO'!$A$4:$B$156,2,FALSE)</f>
        <v>0</v>
      </c>
      <c r="F2776">
        <f>INDEX('[1]CÓDIGOS DE PRODUCTO'!$C$3:$C$1000,MATCH(C2776,'[1]CÓDIGOS DE PRODUCTO'!$A$3:$A$1000,0))</f>
        <v>0</v>
      </c>
      <c r="G2776">
        <f>+'[1]VENTAS(RESUMEN GLOBAL)'!D2776-'[1]VENTAS(RESUMEN GLOBAL)'!E2776</f>
        <v>0</v>
      </c>
      <c r="H2776" s="9">
        <f>+'[1]VENTAS(RESUMEN GLOBAL)'!K2776</f>
        <v>0</v>
      </c>
      <c r="I2776" s="8">
        <f>+G2776*'[1]VENTAS(RESUMEN GLOBAL)'!F2776</f>
        <v>0</v>
      </c>
      <c r="J2776" s="8">
        <f>'[1]VENTAS(RESUMEN GLOBAL)'!G2776*(1-'[1]VENTAS(RESUMEN GLOBAL)'!H2776)</f>
        <v>0</v>
      </c>
      <c r="K2776" s="8">
        <f t="shared" si="43"/>
        <v>0</v>
      </c>
      <c r="L2776" s="8">
        <f>+'[1]VENTAS(RESUMEN GLOBAL)'!J2776</f>
        <v>0</v>
      </c>
      <c r="M2776" s="8">
        <f>+Tabla1[[#This Row],[utilidad x dia]]*7</f>
        <v>0</v>
      </c>
    </row>
    <row r="2777" spans="1:13" x14ac:dyDescent="0.3">
      <c r="A2777" s="6">
        <f>+'[1]VENTAS(RESUMEN GLOBAL)'!L2777</f>
        <v>0</v>
      </c>
      <c r="B2777" s="6">
        <f>+'[1]VENTAS(RESUMEN GLOBAL)'!M2777</f>
        <v>0</v>
      </c>
      <c r="C2777">
        <f>+'[1]VENTAS(RESUMEN GLOBAL)'!B2777</f>
        <v>0</v>
      </c>
      <c r="D2777" t="e">
        <f>INDEX('[1]CÓDIGOS DE PRODUCTO'!$D$3:$D$1000,MATCH(C2777,'[1]CÓDIGOS DE PRODUCTO'!$A$3:$A$1000,0))</f>
        <v>#N/A</v>
      </c>
      <c r="E2777">
        <f>VLOOKUP(C2777,'[1]CÓDIGOS DE PRODUCTO'!$A$4:$B$156,2,FALSE)</f>
        <v>0</v>
      </c>
      <c r="F2777">
        <f>INDEX('[1]CÓDIGOS DE PRODUCTO'!$C$3:$C$1000,MATCH(C2777,'[1]CÓDIGOS DE PRODUCTO'!$A$3:$A$1000,0))</f>
        <v>0</v>
      </c>
      <c r="G2777">
        <f>+'[1]VENTAS(RESUMEN GLOBAL)'!D2777-'[1]VENTAS(RESUMEN GLOBAL)'!E2777</f>
        <v>0</v>
      </c>
      <c r="H2777" s="9">
        <f>+'[1]VENTAS(RESUMEN GLOBAL)'!K2777</f>
        <v>0</v>
      </c>
      <c r="I2777" s="8">
        <f>+G2777*'[1]VENTAS(RESUMEN GLOBAL)'!F2777</f>
        <v>0</v>
      </c>
      <c r="J2777" s="8">
        <f>'[1]VENTAS(RESUMEN GLOBAL)'!G2777*(1-'[1]VENTAS(RESUMEN GLOBAL)'!H2777)</f>
        <v>0</v>
      </c>
      <c r="K2777" s="8">
        <f t="shared" si="43"/>
        <v>0</v>
      </c>
      <c r="L2777" s="8">
        <f>+'[1]VENTAS(RESUMEN GLOBAL)'!J2777</f>
        <v>0</v>
      </c>
      <c r="M2777" s="8">
        <f>+Tabla1[[#This Row],[utilidad x dia]]*7</f>
        <v>0</v>
      </c>
    </row>
    <row r="2778" spans="1:13" x14ac:dyDescent="0.3">
      <c r="A2778" s="6">
        <f>+'[1]VENTAS(RESUMEN GLOBAL)'!L2778</f>
        <v>0</v>
      </c>
      <c r="B2778" s="6">
        <f>+'[1]VENTAS(RESUMEN GLOBAL)'!M2778</f>
        <v>0</v>
      </c>
      <c r="C2778">
        <f>+'[1]VENTAS(RESUMEN GLOBAL)'!B2778</f>
        <v>0</v>
      </c>
      <c r="D2778" t="e">
        <f>INDEX('[1]CÓDIGOS DE PRODUCTO'!$D$3:$D$1000,MATCH(C2778,'[1]CÓDIGOS DE PRODUCTO'!$A$3:$A$1000,0))</f>
        <v>#N/A</v>
      </c>
      <c r="E2778">
        <f>VLOOKUP(C2778,'[1]CÓDIGOS DE PRODUCTO'!$A$4:$B$156,2,FALSE)</f>
        <v>0</v>
      </c>
      <c r="F2778">
        <f>INDEX('[1]CÓDIGOS DE PRODUCTO'!$C$3:$C$1000,MATCH(C2778,'[1]CÓDIGOS DE PRODUCTO'!$A$3:$A$1000,0))</f>
        <v>0</v>
      </c>
      <c r="G2778">
        <f>+'[1]VENTAS(RESUMEN GLOBAL)'!D2778-'[1]VENTAS(RESUMEN GLOBAL)'!E2778</f>
        <v>0</v>
      </c>
      <c r="H2778" s="9">
        <f>+'[1]VENTAS(RESUMEN GLOBAL)'!K2778</f>
        <v>0</v>
      </c>
      <c r="I2778" s="8">
        <f>+G2778*'[1]VENTAS(RESUMEN GLOBAL)'!F2778</f>
        <v>0</v>
      </c>
      <c r="J2778" s="8">
        <f>'[1]VENTAS(RESUMEN GLOBAL)'!G2778*(1-'[1]VENTAS(RESUMEN GLOBAL)'!H2778)</f>
        <v>0</v>
      </c>
      <c r="K2778" s="8">
        <f t="shared" si="43"/>
        <v>0</v>
      </c>
      <c r="L2778" s="8">
        <f>+'[1]VENTAS(RESUMEN GLOBAL)'!J2778</f>
        <v>0</v>
      </c>
      <c r="M2778" s="8">
        <f>+Tabla1[[#This Row],[utilidad x dia]]*7</f>
        <v>0</v>
      </c>
    </row>
    <row r="2779" spans="1:13" x14ac:dyDescent="0.3">
      <c r="A2779" s="6">
        <f>+'[1]VENTAS(RESUMEN GLOBAL)'!L2779</f>
        <v>0</v>
      </c>
      <c r="B2779" s="6">
        <f>+'[1]VENTAS(RESUMEN GLOBAL)'!M2779</f>
        <v>0</v>
      </c>
      <c r="C2779">
        <f>+'[1]VENTAS(RESUMEN GLOBAL)'!B2779</f>
        <v>0</v>
      </c>
      <c r="D2779" t="e">
        <f>INDEX('[1]CÓDIGOS DE PRODUCTO'!$D$3:$D$1000,MATCH(C2779,'[1]CÓDIGOS DE PRODUCTO'!$A$3:$A$1000,0))</f>
        <v>#N/A</v>
      </c>
      <c r="E2779">
        <f>VLOOKUP(C2779,'[1]CÓDIGOS DE PRODUCTO'!$A$4:$B$156,2,FALSE)</f>
        <v>0</v>
      </c>
      <c r="F2779">
        <f>INDEX('[1]CÓDIGOS DE PRODUCTO'!$C$3:$C$1000,MATCH(C2779,'[1]CÓDIGOS DE PRODUCTO'!$A$3:$A$1000,0))</f>
        <v>0</v>
      </c>
      <c r="G2779">
        <f>+'[1]VENTAS(RESUMEN GLOBAL)'!D2779-'[1]VENTAS(RESUMEN GLOBAL)'!E2779</f>
        <v>0</v>
      </c>
      <c r="H2779" s="9">
        <f>+'[1]VENTAS(RESUMEN GLOBAL)'!K2779</f>
        <v>0</v>
      </c>
      <c r="I2779" s="8">
        <f>+G2779*'[1]VENTAS(RESUMEN GLOBAL)'!F2779</f>
        <v>0</v>
      </c>
      <c r="J2779" s="8">
        <f>'[1]VENTAS(RESUMEN GLOBAL)'!G2779*(1-'[1]VENTAS(RESUMEN GLOBAL)'!H2779)</f>
        <v>0</v>
      </c>
      <c r="K2779" s="8">
        <f t="shared" si="43"/>
        <v>0</v>
      </c>
      <c r="L2779" s="8">
        <f>+'[1]VENTAS(RESUMEN GLOBAL)'!J2779</f>
        <v>0</v>
      </c>
      <c r="M2779" s="8">
        <f>+Tabla1[[#This Row],[utilidad x dia]]*7</f>
        <v>0</v>
      </c>
    </row>
    <row r="2780" spans="1:13" x14ac:dyDescent="0.3">
      <c r="A2780" s="6">
        <f>+'[1]VENTAS(RESUMEN GLOBAL)'!L2780</f>
        <v>0</v>
      </c>
      <c r="B2780" s="6">
        <f>+'[1]VENTAS(RESUMEN GLOBAL)'!M2780</f>
        <v>0</v>
      </c>
      <c r="C2780">
        <f>+'[1]VENTAS(RESUMEN GLOBAL)'!B2780</f>
        <v>0</v>
      </c>
      <c r="D2780" t="e">
        <f>INDEX('[1]CÓDIGOS DE PRODUCTO'!$D$3:$D$1000,MATCH(C2780,'[1]CÓDIGOS DE PRODUCTO'!$A$3:$A$1000,0))</f>
        <v>#N/A</v>
      </c>
      <c r="E2780">
        <f>VLOOKUP(C2780,'[1]CÓDIGOS DE PRODUCTO'!$A$4:$B$156,2,FALSE)</f>
        <v>0</v>
      </c>
      <c r="F2780">
        <f>INDEX('[1]CÓDIGOS DE PRODUCTO'!$C$3:$C$1000,MATCH(C2780,'[1]CÓDIGOS DE PRODUCTO'!$A$3:$A$1000,0))</f>
        <v>0</v>
      </c>
      <c r="G2780">
        <f>+'[1]VENTAS(RESUMEN GLOBAL)'!D2780-'[1]VENTAS(RESUMEN GLOBAL)'!E2780</f>
        <v>0</v>
      </c>
      <c r="H2780" s="9">
        <f>+'[1]VENTAS(RESUMEN GLOBAL)'!K2780</f>
        <v>0</v>
      </c>
      <c r="I2780" s="8">
        <f>+G2780*'[1]VENTAS(RESUMEN GLOBAL)'!F2780</f>
        <v>0</v>
      </c>
      <c r="J2780" s="8">
        <f>'[1]VENTAS(RESUMEN GLOBAL)'!G2780*(1-'[1]VENTAS(RESUMEN GLOBAL)'!H2780)</f>
        <v>0</v>
      </c>
      <c r="K2780" s="8">
        <f t="shared" si="43"/>
        <v>0</v>
      </c>
      <c r="L2780" s="8">
        <f>+'[1]VENTAS(RESUMEN GLOBAL)'!J2780</f>
        <v>0</v>
      </c>
      <c r="M2780" s="8">
        <f>+Tabla1[[#This Row],[utilidad x dia]]*7</f>
        <v>0</v>
      </c>
    </row>
    <row r="2781" spans="1:13" x14ac:dyDescent="0.3">
      <c r="A2781" s="6">
        <f>+'[1]VENTAS(RESUMEN GLOBAL)'!L2781</f>
        <v>0</v>
      </c>
      <c r="B2781" s="6">
        <f>+'[1]VENTAS(RESUMEN GLOBAL)'!M2781</f>
        <v>0</v>
      </c>
      <c r="C2781">
        <f>+'[1]VENTAS(RESUMEN GLOBAL)'!B2781</f>
        <v>0</v>
      </c>
      <c r="D2781" t="e">
        <f>INDEX('[1]CÓDIGOS DE PRODUCTO'!$D$3:$D$1000,MATCH(C2781,'[1]CÓDIGOS DE PRODUCTO'!$A$3:$A$1000,0))</f>
        <v>#N/A</v>
      </c>
      <c r="E2781">
        <f>VLOOKUP(C2781,'[1]CÓDIGOS DE PRODUCTO'!$A$4:$B$156,2,FALSE)</f>
        <v>0</v>
      </c>
      <c r="F2781">
        <f>INDEX('[1]CÓDIGOS DE PRODUCTO'!$C$3:$C$1000,MATCH(C2781,'[1]CÓDIGOS DE PRODUCTO'!$A$3:$A$1000,0))</f>
        <v>0</v>
      </c>
      <c r="G2781">
        <f>+'[1]VENTAS(RESUMEN GLOBAL)'!D2781-'[1]VENTAS(RESUMEN GLOBAL)'!E2781</f>
        <v>0</v>
      </c>
      <c r="H2781" s="9">
        <f>+'[1]VENTAS(RESUMEN GLOBAL)'!K2781</f>
        <v>0</v>
      </c>
      <c r="I2781" s="8">
        <f>+G2781*'[1]VENTAS(RESUMEN GLOBAL)'!F2781</f>
        <v>0</v>
      </c>
      <c r="J2781" s="8">
        <f>'[1]VENTAS(RESUMEN GLOBAL)'!G2781*(1-'[1]VENTAS(RESUMEN GLOBAL)'!H2781)</f>
        <v>0</v>
      </c>
      <c r="K2781" s="8">
        <f t="shared" si="43"/>
        <v>0</v>
      </c>
      <c r="L2781" s="8">
        <f>+'[1]VENTAS(RESUMEN GLOBAL)'!J2781</f>
        <v>0</v>
      </c>
      <c r="M2781" s="8">
        <f>+Tabla1[[#This Row],[utilidad x dia]]*7</f>
        <v>0</v>
      </c>
    </row>
    <row r="2782" spans="1:13" x14ac:dyDescent="0.3">
      <c r="A2782" s="6">
        <f>+'[1]VENTAS(RESUMEN GLOBAL)'!L2782</f>
        <v>0</v>
      </c>
      <c r="B2782" s="6">
        <f>+'[1]VENTAS(RESUMEN GLOBAL)'!M2782</f>
        <v>0</v>
      </c>
      <c r="C2782">
        <f>+'[1]VENTAS(RESUMEN GLOBAL)'!B2782</f>
        <v>0</v>
      </c>
      <c r="D2782" t="e">
        <f>INDEX('[1]CÓDIGOS DE PRODUCTO'!$D$3:$D$1000,MATCH(C2782,'[1]CÓDIGOS DE PRODUCTO'!$A$3:$A$1000,0))</f>
        <v>#N/A</v>
      </c>
      <c r="E2782">
        <f>VLOOKUP(C2782,'[1]CÓDIGOS DE PRODUCTO'!$A$4:$B$156,2,FALSE)</f>
        <v>0</v>
      </c>
      <c r="F2782">
        <f>INDEX('[1]CÓDIGOS DE PRODUCTO'!$C$3:$C$1000,MATCH(C2782,'[1]CÓDIGOS DE PRODUCTO'!$A$3:$A$1000,0))</f>
        <v>0</v>
      </c>
      <c r="G2782">
        <f>+'[1]VENTAS(RESUMEN GLOBAL)'!D2782-'[1]VENTAS(RESUMEN GLOBAL)'!E2782</f>
        <v>0</v>
      </c>
      <c r="H2782" s="9">
        <f>+'[1]VENTAS(RESUMEN GLOBAL)'!K2782</f>
        <v>0</v>
      </c>
      <c r="I2782" s="8">
        <f>+G2782*'[1]VENTAS(RESUMEN GLOBAL)'!F2782</f>
        <v>0</v>
      </c>
      <c r="J2782" s="8">
        <f>'[1]VENTAS(RESUMEN GLOBAL)'!G2782*(1-'[1]VENTAS(RESUMEN GLOBAL)'!H2782)</f>
        <v>0</v>
      </c>
      <c r="K2782" s="8">
        <f t="shared" si="43"/>
        <v>0</v>
      </c>
      <c r="L2782" s="8">
        <f>+'[1]VENTAS(RESUMEN GLOBAL)'!J2782</f>
        <v>0</v>
      </c>
      <c r="M2782" s="8">
        <f>+Tabla1[[#This Row],[utilidad x dia]]*7</f>
        <v>0</v>
      </c>
    </row>
    <row r="2783" spans="1:13" x14ac:dyDescent="0.3">
      <c r="A2783" s="6">
        <f>+'[1]VENTAS(RESUMEN GLOBAL)'!L2783</f>
        <v>0</v>
      </c>
      <c r="B2783" s="6">
        <f>+'[1]VENTAS(RESUMEN GLOBAL)'!M2783</f>
        <v>0</v>
      </c>
      <c r="C2783">
        <f>+'[1]VENTAS(RESUMEN GLOBAL)'!B2783</f>
        <v>0</v>
      </c>
      <c r="D2783" t="e">
        <f>INDEX('[1]CÓDIGOS DE PRODUCTO'!$D$3:$D$1000,MATCH(C2783,'[1]CÓDIGOS DE PRODUCTO'!$A$3:$A$1000,0))</f>
        <v>#N/A</v>
      </c>
      <c r="E2783">
        <f>VLOOKUP(C2783,'[1]CÓDIGOS DE PRODUCTO'!$A$4:$B$156,2,FALSE)</f>
        <v>0</v>
      </c>
      <c r="F2783">
        <f>INDEX('[1]CÓDIGOS DE PRODUCTO'!$C$3:$C$1000,MATCH(C2783,'[1]CÓDIGOS DE PRODUCTO'!$A$3:$A$1000,0))</f>
        <v>0</v>
      </c>
      <c r="G2783">
        <f>+'[1]VENTAS(RESUMEN GLOBAL)'!D2783-'[1]VENTAS(RESUMEN GLOBAL)'!E2783</f>
        <v>0</v>
      </c>
      <c r="H2783" s="9">
        <f>+'[1]VENTAS(RESUMEN GLOBAL)'!K2783</f>
        <v>0</v>
      </c>
      <c r="I2783" s="8">
        <f>+G2783*'[1]VENTAS(RESUMEN GLOBAL)'!F2783</f>
        <v>0</v>
      </c>
      <c r="J2783" s="8">
        <f>'[1]VENTAS(RESUMEN GLOBAL)'!G2783*(1-'[1]VENTAS(RESUMEN GLOBAL)'!H2783)</f>
        <v>0</v>
      </c>
      <c r="K2783" s="8">
        <f t="shared" si="43"/>
        <v>0</v>
      </c>
      <c r="L2783" s="8">
        <f>+'[1]VENTAS(RESUMEN GLOBAL)'!J2783</f>
        <v>0</v>
      </c>
      <c r="M2783" s="8">
        <f>+Tabla1[[#This Row],[utilidad x dia]]*7</f>
        <v>0</v>
      </c>
    </row>
    <row r="2784" spans="1:13" x14ac:dyDescent="0.3">
      <c r="A2784" s="6">
        <f>+'[1]VENTAS(RESUMEN GLOBAL)'!L2784</f>
        <v>0</v>
      </c>
      <c r="B2784" s="6">
        <f>+'[1]VENTAS(RESUMEN GLOBAL)'!M2784</f>
        <v>0</v>
      </c>
      <c r="C2784">
        <f>+'[1]VENTAS(RESUMEN GLOBAL)'!B2784</f>
        <v>0</v>
      </c>
      <c r="D2784" t="e">
        <f>INDEX('[1]CÓDIGOS DE PRODUCTO'!$D$3:$D$1000,MATCH(C2784,'[1]CÓDIGOS DE PRODUCTO'!$A$3:$A$1000,0))</f>
        <v>#N/A</v>
      </c>
      <c r="E2784">
        <f>VLOOKUP(C2784,'[1]CÓDIGOS DE PRODUCTO'!$A$4:$B$156,2,FALSE)</f>
        <v>0</v>
      </c>
      <c r="F2784">
        <f>INDEX('[1]CÓDIGOS DE PRODUCTO'!$C$3:$C$1000,MATCH(C2784,'[1]CÓDIGOS DE PRODUCTO'!$A$3:$A$1000,0))</f>
        <v>0</v>
      </c>
      <c r="G2784">
        <f>+'[1]VENTAS(RESUMEN GLOBAL)'!D2784-'[1]VENTAS(RESUMEN GLOBAL)'!E2784</f>
        <v>0</v>
      </c>
      <c r="H2784" s="9">
        <f>+'[1]VENTAS(RESUMEN GLOBAL)'!K2784</f>
        <v>0</v>
      </c>
      <c r="I2784" s="8">
        <f>+G2784*'[1]VENTAS(RESUMEN GLOBAL)'!F2784</f>
        <v>0</v>
      </c>
      <c r="J2784" s="8">
        <f>'[1]VENTAS(RESUMEN GLOBAL)'!G2784*(1-'[1]VENTAS(RESUMEN GLOBAL)'!H2784)</f>
        <v>0</v>
      </c>
      <c r="K2784" s="8">
        <f t="shared" si="43"/>
        <v>0</v>
      </c>
      <c r="L2784" s="8">
        <f>+'[1]VENTAS(RESUMEN GLOBAL)'!J2784</f>
        <v>0</v>
      </c>
      <c r="M2784" s="8">
        <f>+Tabla1[[#This Row],[utilidad x dia]]*7</f>
        <v>0</v>
      </c>
    </row>
    <row r="2785" spans="1:13" x14ac:dyDescent="0.3">
      <c r="A2785" s="6">
        <f>+'[1]VENTAS(RESUMEN GLOBAL)'!L2785</f>
        <v>0</v>
      </c>
      <c r="B2785" s="6">
        <f>+'[1]VENTAS(RESUMEN GLOBAL)'!M2785</f>
        <v>0</v>
      </c>
      <c r="C2785">
        <f>+'[1]VENTAS(RESUMEN GLOBAL)'!B2785</f>
        <v>0</v>
      </c>
      <c r="D2785" t="e">
        <f>INDEX('[1]CÓDIGOS DE PRODUCTO'!$D$3:$D$1000,MATCH(C2785,'[1]CÓDIGOS DE PRODUCTO'!$A$3:$A$1000,0))</f>
        <v>#N/A</v>
      </c>
      <c r="E2785">
        <f>VLOOKUP(C2785,'[1]CÓDIGOS DE PRODUCTO'!$A$4:$B$156,2,FALSE)</f>
        <v>0</v>
      </c>
      <c r="F2785">
        <f>INDEX('[1]CÓDIGOS DE PRODUCTO'!$C$3:$C$1000,MATCH(C2785,'[1]CÓDIGOS DE PRODUCTO'!$A$3:$A$1000,0))</f>
        <v>0</v>
      </c>
      <c r="G2785">
        <f>+'[1]VENTAS(RESUMEN GLOBAL)'!D2785-'[1]VENTAS(RESUMEN GLOBAL)'!E2785</f>
        <v>0</v>
      </c>
      <c r="H2785" s="9">
        <f>+'[1]VENTAS(RESUMEN GLOBAL)'!K2785</f>
        <v>0</v>
      </c>
      <c r="I2785" s="8">
        <f>+G2785*'[1]VENTAS(RESUMEN GLOBAL)'!F2785</f>
        <v>0</v>
      </c>
      <c r="J2785" s="8">
        <f>'[1]VENTAS(RESUMEN GLOBAL)'!G2785*(1-'[1]VENTAS(RESUMEN GLOBAL)'!H2785)</f>
        <v>0</v>
      </c>
      <c r="K2785" s="8">
        <f t="shared" si="43"/>
        <v>0</v>
      </c>
      <c r="L2785" s="8">
        <f>+'[1]VENTAS(RESUMEN GLOBAL)'!J2785</f>
        <v>0</v>
      </c>
      <c r="M2785" s="8">
        <f>+Tabla1[[#This Row],[utilidad x dia]]*7</f>
        <v>0</v>
      </c>
    </row>
    <row r="2786" spans="1:13" x14ac:dyDescent="0.3">
      <c r="A2786" s="6">
        <f>+'[1]VENTAS(RESUMEN GLOBAL)'!L2786</f>
        <v>0</v>
      </c>
      <c r="B2786" s="6">
        <f>+'[1]VENTAS(RESUMEN GLOBAL)'!M2786</f>
        <v>0</v>
      </c>
      <c r="C2786">
        <f>+'[1]VENTAS(RESUMEN GLOBAL)'!B2786</f>
        <v>0</v>
      </c>
      <c r="D2786" t="e">
        <f>INDEX('[1]CÓDIGOS DE PRODUCTO'!$D$3:$D$1000,MATCH(C2786,'[1]CÓDIGOS DE PRODUCTO'!$A$3:$A$1000,0))</f>
        <v>#N/A</v>
      </c>
      <c r="E2786">
        <f>VLOOKUP(C2786,'[1]CÓDIGOS DE PRODUCTO'!$A$4:$B$156,2,FALSE)</f>
        <v>0</v>
      </c>
      <c r="F2786">
        <f>INDEX('[1]CÓDIGOS DE PRODUCTO'!$C$3:$C$1000,MATCH(C2786,'[1]CÓDIGOS DE PRODUCTO'!$A$3:$A$1000,0))</f>
        <v>0</v>
      </c>
      <c r="G2786">
        <f>+'[1]VENTAS(RESUMEN GLOBAL)'!D2786-'[1]VENTAS(RESUMEN GLOBAL)'!E2786</f>
        <v>0</v>
      </c>
      <c r="H2786" s="9">
        <f>+'[1]VENTAS(RESUMEN GLOBAL)'!K2786</f>
        <v>0</v>
      </c>
      <c r="I2786" s="8">
        <f>+G2786*'[1]VENTAS(RESUMEN GLOBAL)'!F2786</f>
        <v>0</v>
      </c>
      <c r="J2786" s="8">
        <f>'[1]VENTAS(RESUMEN GLOBAL)'!G2786*(1-'[1]VENTAS(RESUMEN GLOBAL)'!H2786)</f>
        <v>0</v>
      </c>
      <c r="K2786" s="8">
        <f t="shared" si="43"/>
        <v>0</v>
      </c>
      <c r="L2786" s="8">
        <f>+'[1]VENTAS(RESUMEN GLOBAL)'!J2786</f>
        <v>0</v>
      </c>
      <c r="M2786" s="8">
        <f>+Tabla1[[#This Row],[utilidad x dia]]*7</f>
        <v>0</v>
      </c>
    </row>
    <row r="2787" spans="1:13" x14ac:dyDescent="0.3">
      <c r="A2787" s="6">
        <f>+'[1]VENTAS(RESUMEN GLOBAL)'!L2787</f>
        <v>0</v>
      </c>
      <c r="B2787" s="6">
        <f>+'[1]VENTAS(RESUMEN GLOBAL)'!M2787</f>
        <v>0</v>
      </c>
      <c r="C2787">
        <f>+'[1]VENTAS(RESUMEN GLOBAL)'!B2787</f>
        <v>0</v>
      </c>
      <c r="D2787" t="e">
        <f>INDEX('[1]CÓDIGOS DE PRODUCTO'!$D$3:$D$1000,MATCH(C2787,'[1]CÓDIGOS DE PRODUCTO'!$A$3:$A$1000,0))</f>
        <v>#N/A</v>
      </c>
      <c r="E2787">
        <f>VLOOKUP(C2787,'[1]CÓDIGOS DE PRODUCTO'!$A$4:$B$156,2,FALSE)</f>
        <v>0</v>
      </c>
      <c r="F2787">
        <f>INDEX('[1]CÓDIGOS DE PRODUCTO'!$C$3:$C$1000,MATCH(C2787,'[1]CÓDIGOS DE PRODUCTO'!$A$3:$A$1000,0))</f>
        <v>0</v>
      </c>
      <c r="G2787">
        <f>+'[1]VENTAS(RESUMEN GLOBAL)'!D2787-'[1]VENTAS(RESUMEN GLOBAL)'!E2787</f>
        <v>0</v>
      </c>
      <c r="H2787" s="9">
        <f>+'[1]VENTAS(RESUMEN GLOBAL)'!K2787</f>
        <v>0</v>
      </c>
      <c r="I2787" s="8">
        <f>+G2787*'[1]VENTAS(RESUMEN GLOBAL)'!F2787</f>
        <v>0</v>
      </c>
      <c r="J2787" s="8">
        <f>'[1]VENTAS(RESUMEN GLOBAL)'!G2787*(1-'[1]VENTAS(RESUMEN GLOBAL)'!H2787)</f>
        <v>0</v>
      </c>
      <c r="K2787" s="8">
        <f t="shared" si="43"/>
        <v>0</v>
      </c>
      <c r="L2787" s="8">
        <f>+'[1]VENTAS(RESUMEN GLOBAL)'!J2787</f>
        <v>0</v>
      </c>
      <c r="M2787" s="8">
        <f>+Tabla1[[#This Row],[utilidad x dia]]*7</f>
        <v>0</v>
      </c>
    </row>
    <row r="2788" spans="1:13" x14ac:dyDescent="0.3">
      <c r="A2788" s="6">
        <f>+'[1]VENTAS(RESUMEN GLOBAL)'!L2788</f>
        <v>0</v>
      </c>
      <c r="B2788" s="6">
        <f>+'[1]VENTAS(RESUMEN GLOBAL)'!M2788</f>
        <v>0</v>
      </c>
      <c r="C2788">
        <f>+'[1]VENTAS(RESUMEN GLOBAL)'!B2788</f>
        <v>0</v>
      </c>
      <c r="D2788" t="e">
        <f>INDEX('[1]CÓDIGOS DE PRODUCTO'!$D$3:$D$1000,MATCH(C2788,'[1]CÓDIGOS DE PRODUCTO'!$A$3:$A$1000,0))</f>
        <v>#N/A</v>
      </c>
      <c r="E2788">
        <f>VLOOKUP(C2788,'[1]CÓDIGOS DE PRODUCTO'!$A$4:$B$156,2,FALSE)</f>
        <v>0</v>
      </c>
      <c r="F2788">
        <f>INDEX('[1]CÓDIGOS DE PRODUCTO'!$C$3:$C$1000,MATCH(C2788,'[1]CÓDIGOS DE PRODUCTO'!$A$3:$A$1000,0))</f>
        <v>0</v>
      </c>
      <c r="G2788">
        <f>+'[1]VENTAS(RESUMEN GLOBAL)'!D2788-'[1]VENTAS(RESUMEN GLOBAL)'!E2788</f>
        <v>0</v>
      </c>
      <c r="H2788" s="9">
        <f>+'[1]VENTAS(RESUMEN GLOBAL)'!K2788</f>
        <v>0</v>
      </c>
      <c r="I2788" s="8">
        <f>+G2788*'[1]VENTAS(RESUMEN GLOBAL)'!F2788</f>
        <v>0</v>
      </c>
      <c r="J2788" s="8">
        <f>'[1]VENTAS(RESUMEN GLOBAL)'!G2788*(1-'[1]VENTAS(RESUMEN GLOBAL)'!H2788)</f>
        <v>0</v>
      </c>
      <c r="K2788" s="8">
        <f t="shared" si="43"/>
        <v>0</v>
      </c>
      <c r="L2788" s="8">
        <f>+'[1]VENTAS(RESUMEN GLOBAL)'!J2788</f>
        <v>0</v>
      </c>
      <c r="M2788" s="8">
        <f>+Tabla1[[#This Row],[utilidad x dia]]*7</f>
        <v>0</v>
      </c>
    </row>
    <row r="2789" spans="1:13" x14ac:dyDescent="0.3">
      <c r="A2789" s="6">
        <f>+'[1]VENTAS(RESUMEN GLOBAL)'!L2789</f>
        <v>0</v>
      </c>
      <c r="B2789" s="6">
        <f>+'[1]VENTAS(RESUMEN GLOBAL)'!M2789</f>
        <v>0</v>
      </c>
      <c r="C2789">
        <f>+'[1]VENTAS(RESUMEN GLOBAL)'!B2789</f>
        <v>0</v>
      </c>
      <c r="D2789" t="e">
        <f>INDEX('[1]CÓDIGOS DE PRODUCTO'!$D$3:$D$1000,MATCH(C2789,'[1]CÓDIGOS DE PRODUCTO'!$A$3:$A$1000,0))</f>
        <v>#N/A</v>
      </c>
      <c r="E2789">
        <f>VLOOKUP(C2789,'[1]CÓDIGOS DE PRODUCTO'!$A$4:$B$156,2,FALSE)</f>
        <v>0</v>
      </c>
      <c r="F2789">
        <f>INDEX('[1]CÓDIGOS DE PRODUCTO'!$C$3:$C$1000,MATCH(C2789,'[1]CÓDIGOS DE PRODUCTO'!$A$3:$A$1000,0))</f>
        <v>0</v>
      </c>
      <c r="G2789">
        <f>+'[1]VENTAS(RESUMEN GLOBAL)'!D2789-'[1]VENTAS(RESUMEN GLOBAL)'!E2789</f>
        <v>0</v>
      </c>
      <c r="H2789" s="9">
        <f>+'[1]VENTAS(RESUMEN GLOBAL)'!K2789</f>
        <v>0</v>
      </c>
      <c r="I2789" s="8">
        <f>+G2789*'[1]VENTAS(RESUMEN GLOBAL)'!F2789</f>
        <v>0</v>
      </c>
      <c r="J2789" s="8">
        <f>'[1]VENTAS(RESUMEN GLOBAL)'!G2789*(1-'[1]VENTAS(RESUMEN GLOBAL)'!H2789)</f>
        <v>0</v>
      </c>
      <c r="K2789" s="8">
        <f t="shared" si="43"/>
        <v>0</v>
      </c>
      <c r="L2789" s="8">
        <f>+'[1]VENTAS(RESUMEN GLOBAL)'!J2789</f>
        <v>0</v>
      </c>
      <c r="M2789" s="8">
        <f>+Tabla1[[#This Row],[utilidad x dia]]*7</f>
        <v>0</v>
      </c>
    </row>
    <row r="2790" spans="1:13" x14ac:dyDescent="0.3">
      <c r="A2790" s="6">
        <f>+'[1]VENTAS(RESUMEN GLOBAL)'!L2790</f>
        <v>0</v>
      </c>
      <c r="B2790" s="6">
        <f>+'[1]VENTAS(RESUMEN GLOBAL)'!M2790</f>
        <v>0</v>
      </c>
      <c r="C2790">
        <f>+'[1]VENTAS(RESUMEN GLOBAL)'!B2790</f>
        <v>0</v>
      </c>
      <c r="D2790" t="e">
        <f>INDEX('[1]CÓDIGOS DE PRODUCTO'!$D$3:$D$1000,MATCH(C2790,'[1]CÓDIGOS DE PRODUCTO'!$A$3:$A$1000,0))</f>
        <v>#N/A</v>
      </c>
      <c r="E2790">
        <f>VLOOKUP(C2790,'[1]CÓDIGOS DE PRODUCTO'!$A$4:$B$156,2,FALSE)</f>
        <v>0</v>
      </c>
      <c r="F2790">
        <f>INDEX('[1]CÓDIGOS DE PRODUCTO'!$C$3:$C$1000,MATCH(C2790,'[1]CÓDIGOS DE PRODUCTO'!$A$3:$A$1000,0))</f>
        <v>0</v>
      </c>
      <c r="G2790">
        <f>+'[1]VENTAS(RESUMEN GLOBAL)'!D2790-'[1]VENTAS(RESUMEN GLOBAL)'!E2790</f>
        <v>0</v>
      </c>
      <c r="H2790" s="9">
        <f>+'[1]VENTAS(RESUMEN GLOBAL)'!K2790</f>
        <v>0</v>
      </c>
      <c r="I2790" s="8">
        <f>+G2790*'[1]VENTAS(RESUMEN GLOBAL)'!F2790</f>
        <v>0</v>
      </c>
      <c r="J2790" s="8">
        <f>'[1]VENTAS(RESUMEN GLOBAL)'!G2790*(1-'[1]VENTAS(RESUMEN GLOBAL)'!H2790)</f>
        <v>0</v>
      </c>
      <c r="K2790" s="8">
        <f t="shared" si="43"/>
        <v>0</v>
      </c>
      <c r="L2790" s="8">
        <f>+'[1]VENTAS(RESUMEN GLOBAL)'!J2790</f>
        <v>0</v>
      </c>
      <c r="M2790" s="8">
        <f>+Tabla1[[#This Row],[utilidad x dia]]*7</f>
        <v>0</v>
      </c>
    </row>
    <row r="2791" spans="1:13" x14ac:dyDescent="0.3">
      <c r="A2791" s="6">
        <f>+'[1]VENTAS(RESUMEN GLOBAL)'!L2791</f>
        <v>0</v>
      </c>
      <c r="B2791" s="6">
        <f>+'[1]VENTAS(RESUMEN GLOBAL)'!M2791</f>
        <v>0</v>
      </c>
      <c r="C2791">
        <f>+'[1]VENTAS(RESUMEN GLOBAL)'!B2791</f>
        <v>0</v>
      </c>
      <c r="D2791" t="e">
        <f>INDEX('[1]CÓDIGOS DE PRODUCTO'!$D$3:$D$1000,MATCH(C2791,'[1]CÓDIGOS DE PRODUCTO'!$A$3:$A$1000,0))</f>
        <v>#N/A</v>
      </c>
      <c r="E2791">
        <f>VLOOKUP(C2791,'[1]CÓDIGOS DE PRODUCTO'!$A$4:$B$156,2,FALSE)</f>
        <v>0</v>
      </c>
      <c r="F2791">
        <f>INDEX('[1]CÓDIGOS DE PRODUCTO'!$C$3:$C$1000,MATCH(C2791,'[1]CÓDIGOS DE PRODUCTO'!$A$3:$A$1000,0))</f>
        <v>0</v>
      </c>
      <c r="G2791">
        <f>+'[1]VENTAS(RESUMEN GLOBAL)'!D2791-'[1]VENTAS(RESUMEN GLOBAL)'!E2791</f>
        <v>0</v>
      </c>
      <c r="H2791" s="9">
        <f>+'[1]VENTAS(RESUMEN GLOBAL)'!K2791</f>
        <v>0</v>
      </c>
      <c r="I2791" s="8">
        <f>+G2791*'[1]VENTAS(RESUMEN GLOBAL)'!F2791</f>
        <v>0</v>
      </c>
      <c r="J2791" s="8">
        <f>'[1]VENTAS(RESUMEN GLOBAL)'!G2791*(1-'[1]VENTAS(RESUMEN GLOBAL)'!H2791)</f>
        <v>0</v>
      </c>
      <c r="K2791" s="8">
        <f t="shared" si="43"/>
        <v>0</v>
      </c>
      <c r="L2791" s="8">
        <f>+'[1]VENTAS(RESUMEN GLOBAL)'!J2791</f>
        <v>0</v>
      </c>
      <c r="M2791" s="8">
        <f>+Tabla1[[#This Row],[utilidad x dia]]*7</f>
        <v>0</v>
      </c>
    </row>
    <row r="2792" spans="1:13" x14ac:dyDescent="0.3">
      <c r="A2792" s="6">
        <f>+'[1]VENTAS(RESUMEN GLOBAL)'!L2792</f>
        <v>0</v>
      </c>
      <c r="B2792" s="6">
        <f>+'[1]VENTAS(RESUMEN GLOBAL)'!M2792</f>
        <v>0</v>
      </c>
      <c r="C2792">
        <f>+'[1]VENTAS(RESUMEN GLOBAL)'!B2792</f>
        <v>0</v>
      </c>
      <c r="D2792" t="e">
        <f>INDEX('[1]CÓDIGOS DE PRODUCTO'!$D$3:$D$1000,MATCH(C2792,'[1]CÓDIGOS DE PRODUCTO'!$A$3:$A$1000,0))</f>
        <v>#N/A</v>
      </c>
      <c r="E2792">
        <f>VLOOKUP(C2792,'[1]CÓDIGOS DE PRODUCTO'!$A$4:$B$156,2,FALSE)</f>
        <v>0</v>
      </c>
      <c r="F2792">
        <f>INDEX('[1]CÓDIGOS DE PRODUCTO'!$C$3:$C$1000,MATCH(C2792,'[1]CÓDIGOS DE PRODUCTO'!$A$3:$A$1000,0))</f>
        <v>0</v>
      </c>
      <c r="G2792">
        <f>+'[1]VENTAS(RESUMEN GLOBAL)'!D2792-'[1]VENTAS(RESUMEN GLOBAL)'!E2792</f>
        <v>0</v>
      </c>
      <c r="H2792" s="9">
        <f>+'[1]VENTAS(RESUMEN GLOBAL)'!K2792</f>
        <v>0</v>
      </c>
      <c r="I2792" s="8">
        <f>+G2792*'[1]VENTAS(RESUMEN GLOBAL)'!F2792</f>
        <v>0</v>
      </c>
      <c r="J2792" s="8">
        <f>'[1]VENTAS(RESUMEN GLOBAL)'!G2792*(1-'[1]VENTAS(RESUMEN GLOBAL)'!H2792)</f>
        <v>0</v>
      </c>
      <c r="K2792" s="8">
        <f t="shared" si="43"/>
        <v>0</v>
      </c>
      <c r="L2792" s="8">
        <f>+'[1]VENTAS(RESUMEN GLOBAL)'!J2792</f>
        <v>0</v>
      </c>
      <c r="M2792" s="8">
        <f>+Tabla1[[#This Row],[utilidad x dia]]*7</f>
        <v>0</v>
      </c>
    </row>
    <row r="2793" spans="1:13" x14ac:dyDescent="0.3">
      <c r="A2793" s="6">
        <f>+'[1]VENTAS(RESUMEN GLOBAL)'!L2793</f>
        <v>0</v>
      </c>
      <c r="B2793" s="6">
        <f>+'[1]VENTAS(RESUMEN GLOBAL)'!M2793</f>
        <v>0</v>
      </c>
      <c r="C2793">
        <f>+'[1]VENTAS(RESUMEN GLOBAL)'!B2793</f>
        <v>0</v>
      </c>
      <c r="D2793" t="e">
        <f>INDEX('[1]CÓDIGOS DE PRODUCTO'!$D$3:$D$1000,MATCH(C2793,'[1]CÓDIGOS DE PRODUCTO'!$A$3:$A$1000,0))</f>
        <v>#N/A</v>
      </c>
      <c r="E2793">
        <f>VLOOKUP(C2793,'[1]CÓDIGOS DE PRODUCTO'!$A$4:$B$156,2,FALSE)</f>
        <v>0</v>
      </c>
      <c r="F2793">
        <f>INDEX('[1]CÓDIGOS DE PRODUCTO'!$C$3:$C$1000,MATCH(C2793,'[1]CÓDIGOS DE PRODUCTO'!$A$3:$A$1000,0))</f>
        <v>0</v>
      </c>
      <c r="G2793">
        <f>+'[1]VENTAS(RESUMEN GLOBAL)'!D2793-'[1]VENTAS(RESUMEN GLOBAL)'!E2793</f>
        <v>0</v>
      </c>
      <c r="H2793" s="9">
        <f>+'[1]VENTAS(RESUMEN GLOBAL)'!K2793</f>
        <v>0</v>
      </c>
      <c r="I2793" s="8">
        <f>+G2793*'[1]VENTAS(RESUMEN GLOBAL)'!F2793</f>
        <v>0</v>
      </c>
      <c r="J2793" s="8">
        <f>'[1]VENTAS(RESUMEN GLOBAL)'!G2793*(1-'[1]VENTAS(RESUMEN GLOBAL)'!H2793)</f>
        <v>0</v>
      </c>
      <c r="K2793" s="8">
        <f t="shared" si="43"/>
        <v>0</v>
      </c>
      <c r="L2793" s="8">
        <f>+'[1]VENTAS(RESUMEN GLOBAL)'!J2793</f>
        <v>0</v>
      </c>
      <c r="M2793" s="8">
        <f>+Tabla1[[#This Row],[utilidad x dia]]*7</f>
        <v>0</v>
      </c>
    </row>
    <row r="2794" spans="1:13" x14ac:dyDescent="0.3">
      <c r="A2794" s="6">
        <f>+'[1]VENTAS(RESUMEN GLOBAL)'!L2794</f>
        <v>0</v>
      </c>
      <c r="B2794" s="6">
        <f>+'[1]VENTAS(RESUMEN GLOBAL)'!M2794</f>
        <v>0</v>
      </c>
      <c r="C2794">
        <f>+'[1]VENTAS(RESUMEN GLOBAL)'!B2794</f>
        <v>0</v>
      </c>
      <c r="D2794" t="e">
        <f>INDEX('[1]CÓDIGOS DE PRODUCTO'!$D$3:$D$1000,MATCH(C2794,'[1]CÓDIGOS DE PRODUCTO'!$A$3:$A$1000,0))</f>
        <v>#N/A</v>
      </c>
      <c r="E2794">
        <f>VLOOKUP(C2794,'[1]CÓDIGOS DE PRODUCTO'!$A$4:$B$156,2,FALSE)</f>
        <v>0</v>
      </c>
      <c r="F2794">
        <f>INDEX('[1]CÓDIGOS DE PRODUCTO'!$C$3:$C$1000,MATCH(C2794,'[1]CÓDIGOS DE PRODUCTO'!$A$3:$A$1000,0))</f>
        <v>0</v>
      </c>
      <c r="G2794">
        <f>+'[1]VENTAS(RESUMEN GLOBAL)'!D2794-'[1]VENTAS(RESUMEN GLOBAL)'!E2794</f>
        <v>0</v>
      </c>
      <c r="H2794" s="9">
        <f>+'[1]VENTAS(RESUMEN GLOBAL)'!K2794</f>
        <v>0</v>
      </c>
      <c r="I2794" s="8">
        <f>+G2794*'[1]VENTAS(RESUMEN GLOBAL)'!F2794</f>
        <v>0</v>
      </c>
      <c r="J2794" s="8">
        <f>'[1]VENTAS(RESUMEN GLOBAL)'!G2794*(1-'[1]VENTAS(RESUMEN GLOBAL)'!H2794)</f>
        <v>0</v>
      </c>
      <c r="K2794" s="8">
        <f t="shared" si="43"/>
        <v>0</v>
      </c>
      <c r="L2794" s="8">
        <f>+'[1]VENTAS(RESUMEN GLOBAL)'!J2794</f>
        <v>0</v>
      </c>
      <c r="M2794" s="8">
        <f>+Tabla1[[#This Row],[utilidad x dia]]*7</f>
        <v>0</v>
      </c>
    </row>
    <row r="2795" spans="1:13" x14ac:dyDescent="0.3">
      <c r="A2795" s="6">
        <f>+'[1]VENTAS(RESUMEN GLOBAL)'!L2795</f>
        <v>0</v>
      </c>
      <c r="B2795" s="6">
        <f>+'[1]VENTAS(RESUMEN GLOBAL)'!M2795</f>
        <v>0</v>
      </c>
      <c r="C2795">
        <f>+'[1]VENTAS(RESUMEN GLOBAL)'!B2795</f>
        <v>0</v>
      </c>
      <c r="D2795" t="e">
        <f>INDEX('[1]CÓDIGOS DE PRODUCTO'!$D$3:$D$1000,MATCH(C2795,'[1]CÓDIGOS DE PRODUCTO'!$A$3:$A$1000,0))</f>
        <v>#N/A</v>
      </c>
      <c r="E2795">
        <f>VLOOKUP(C2795,'[1]CÓDIGOS DE PRODUCTO'!$A$4:$B$156,2,FALSE)</f>
        <v>0</v>
      </c>
      <c r="F2795">
        <f>INDEX('[1]CÓDIGOS DE PRODUCTO'!$C$3:$C$1000,MATCH(C2795,'[1]CÓDIGOS DE PRODUCTO'!$A$3:$A$1000,0))</f>
        <v>0</v>
      </c>
      <c r="G2795">
        <f>+'[1]VENTAS(RESUMEN GLOBAL)'!D2795-'[1]VENTAS(RESUMEN GLOBAL)'!E2795</f>
        <v>0</v>
      </c>
      <c r="H2795" s="9">
        <f>+'[1]VENTAS(RESUMEN GLOBAL)'!K2795</f>
        <v>0</v>
      </c>
      <c r="I2795" s="8">
        <f>+G2795*'[1]VENTAS(RESUMEN GLOBAL)'!F2795</f>
        <v>0</v>
      </c>
      <c r="J2795" s="8">
        <f>'[1]VENTAS(RESUMEN GLOBAL)'!G2795*(1-'[1]VENTAS(RESUMEN GLOBAL)'!H2795)</f>
        <v>0</v>
      </c>
      <c r="K2795" s="8">
        <f t="shared" si="43"/>
        <v>0</v>
      </c>
      <c r="L2795" s="8">
        <f>+'[1]VENTAS(RESUMEN GLOBAL)'!J2795</f>
        <v>0</v>
      </c>
      <c r="M2795" s="8">
        <f>+Tabla1[[#This Row],[utilidad x dia]]*7</f>
        <v>0</v>
      </c>
    </row>
    <row r="2796" spans="1:13" x14ac:dyDescent="0.3">
      <c r="A2796" s="6">
        <f>+'[1]VENTAS(RESUMEN GLOBAL)'!L2796</f>
        <v>0</v>
      </c>
      <c r="B2796" s="6">
        <f>+'[1]VENTAS(RESUMEN GLOBAL)'!M2796</f>
        <v>0</v>
      </c>
      <c r="C2796">
        <f>+'[1]VENTAS(RESUMEN GLOBAL)'!B2796</f>
        <v>0</v>
      </c>
      <c r="D2796" t="e">
        <f>INDEX('[1]CÓDIGOS DE PRODUCTO'!$D$3:$D$1000,MATCH(C2796,'[1]CÓDIGOS DE PRODUCTO'!$A$3:$A$1000,0))</f>
        <v>#N/A</v>
      </c>
      <c r="E2796">
        <f>VLOOKUP(C2796,'[1]CÓDIGOS DE PRODUCTO'!$A$4:$B$156,2,FALSE)</f>
        <v>0</v>
      </c>
      <c r="F2796">
        <f>INDEX('[1]CÓDIGOS DE PRODUCTO'!$C$3:$C$1000,MATCH(C2796,'[1]CÓDIGOS DE PRODUCTO'!$A$3:$A$1000,0))</f>
        <v>0</v>
      </c>
      <c r="G2796">
        <f>+'[1]VENTAS(RESUMEN GLOBAL)'!D2796-'[1]VENTAS(RESUMEN GLOBAL)'!E2796</f>
        <v>0</v>
      </c>
      <c r="H2796" s="9">
        <f>+'[1]VENTAS(RESUMEN GLOBAL)'!K2796</f>
        <v>0</v>
      </c>
      <c r="I2796" s="8">
        <f>+G2796*'[1]VENTAS(RESUMEN GLOBAL)'!F2796</f>
        <v>0</v>
      </c>
      <c r="J2796" s="8">
        <f>'[1]VENTAS(RESUMEN GLOBAL)'!G2796*(1-'[1]VENTAS(RESUMEN GLOBAL)'!H2796)</f>
        <v>0</v>
      </c>
      <c r="K2796" s="8">
        <f t="shared" si="43"/>
        <v>0</v>
      </c>
      <c r="L2796" s="8">
        <f>+'[1]VENTAS(RESUMEN GLOBAL)'!J2796</f>
        <v>0</v>
      </c>
      <c r="M2796" s="8">
        <f>+Tabla1[[#This Row],[utilidad x dia]]*7</f>
        <v>0</v>
      </c>
    </row>
    <row r="2797" spans="1:13" x14ac:dyDescent="0.3">
      <c r="A2797" s="6">
        <f>+'[1]VENTAS(RESUMEN GLOBAL)'!L2797</f>
        <v>0</v>
      </c>
      <c r="B2797" s="6">
        <f>+'[1]VENTAS(RESUMEN GLOBAL)'!M2797</f>
        <v>0</v>
      </c>
      <c r="C2797">
        <f>+'[1]VENTAS(RESUMEN GLOBAL)'!B2797</f>
        <v>0</v>
      </c>
      <c r="D2797" t="e">
        <f>INDEX('[1]CÓDIGOS DE PRODUCTO'!$D$3:$D$1000,MATCH(C2797,'[1]CÓDIGOS DE PRODUCTO'!$A$3:$A$1000,0))</f>
        <v>#N/A</v>
      </c>
      <c r="E2797">
        <f>VLOOKUP(C2797,'[1]CÓDIGOS DE PRODUCTO'!$A$4:$B$156,2,FALSE)</f>
        <v>0</v>
      </c>
      <c r="F2797">
        <f>INDEX('[1]CÓDIGOS DE PRODUCTO'!$C$3:$C$1000,MATCH(C2797,'[1]CÓDIGOS DE PRODUCTO'!$A$3:$A$1000,0))</f>
        <v>0</v>
      </c>
      <c r="G2797">
        <f>+'[1]VENTAS(RESUMEN GLOBAL)'!D2797-'[1]VENTAS(RESUMEN GLOBAL)'!E2797</f>
        <v>0</v>
      </c>
      <c r="H2797" s="9">
        <f>+'[1]VENTAS(RESUMEN GLOBAL)'!K2797</f>
        <v>0</v>
      </c>
      <c r="I2797" s="8">
        <f>+G2797*'[1]VENTAS(RESUMEN GLOBAL)'!F2797</f>
        <v>0</v>
      </c>
      <c r="J2797" s="8">
        <f>'[1]VENTAS(RESUMEN GLOBAL)'!G2797*(1-'[1]VENTAS(RESUMEN GLOBAL)'!H2797)</f>
        <v>0</v>
      </c>
      <c r="K2797" s="8">
        <f t="shared" si="43"/>
        <v>0</v>
      </c>
      <c r="L2797" s="8">
        <f>+'[1]VENTAS(RESUMEN GLOBAL)'!J2797</f>
        <v>0</v>
      </c>
      <c r="M2797" s="8">
        <f>+Tabla1[[#This Row],[utilidad x dia]]*7</f>
        <v>0</v>
      </c>
    </row>
    <row r="2798" spans="1:13" x14ac:dyDescent="0.3">
      <c r="A2798" s="6">
        <f>+'[1]VENTAS(RESUMEN GLOBAL)'!L2798</f>
        <v>0</v>
      </c>
      <c r="B2798" s="6">
        <f>+'[1]VENTAS(RESUMEN GLOBAL)'!M2798</f>
        <v>0</v>
      </c>
      <c r="C2798">
        <f>+'[1]VENTAS(RESUMEN GLOBAL)'!B2798</f>
        <v>0</v>
      </c>
      <c r="D2798" t="e">
        <f>INDEX('[1]CÓDIGOS DE PRODUCTO'!$D$3:$D$1000,MATCH(C2798,'[1]CÓDIGOS DE PRODUCTO'!$A$3:$A$1000,0))</f>
        <v>#N/A</v>
      </c>
      <c r="E2798">
        <f>VLOOKUP(C2798,'[1]CÓDIGOS DE PRODUCTO'!$A$4:$B$156,2,FALSE)</f>
        <v>0</v>
      </c>
      <c r="F2798">
        <f>INDEX('[1]CÓDIGOS DE PRODUCTO'!$C$3:$C$1000,MATCH(C2798,'[1]CÓDIGOS DE PRODUCTO'!$A$3:$A$1000,0))</f>
        <v>0</v>
      </c>
      <c r="G2798">
        <f>+'[1]VENTAS(RESUMEN GLOBAL)'!D2798-'[1]VENTAS(RESUMEN GLOBAL)'!E2798</f>
        <v>0</v>
      </c>
      <c r="H2798" s="9">
        <f>+'[1]VENTAS(RESUMEN GLOBAL)'!K2798</f>
        <v>0</v>
      </c>
      <c r="I2798" s="8">
        <f>+G2798*'[1]VENTAS(RESUMEN GLOBAL)'!F2798</f>
        <v>0</v>
      </c>
      <c r="J2798" s="8">
        <f>'[1]VENTAS(RESUMEN GLOBAL)'!G2798*(1-'[1]VENTAS(RESUMEN GLOBAL)'!H2798)</f>
        <v>0</v>
      </c>
      <c r="K2798" s="8">
        <f t="shared" si="43"/>
        <v>0</v>
      </c>
      <c r="L2798" s="8">
        <f>+'[1]VENTAS(RESUMEN GLOBAL)'!J2798</f>
        <v>0</v>
      </c>
      <c r="M2798" s="8">
        <f>+Tabla1[[#This Row],[utilidad x dia]]*7</f>
        <v>0</v>
      </c>
    </row>
    <row r="2799" spans="1:13" x14ac:dyDescent="0.3">
      <c r="A2799" s="6">
        <f>+'[1]VENTAS(RESUMEN GLOBAL)'!L2799</f>
        <v>0</v>
      </c>
      <c r="B2799" s="6">
        <f>+'[1]VENTAS(RESUMEN GLOBAL)'!M2799</f>
        <v>0</v>
      </c>
      <c r="C2799">
        <f>+'[1]VENTAS(RESUMEN GLOBAL)'!B2799</f>
        <v>0</v>
      </c>
      <c r="D2799" t="e">
        <f>INDEX('[1]CÓDIGOS DE PRODUCTO'!$D$3:$D$1000,MATCH(C2799,'[1]CÓDIGOS DE PRODUCTO'!$A$3:$A$1000,0))</f>
        <v>#N/A</v>
      </c>
      <c r="E2799">
        <f>VLOOKUP(C2799,'[1]CÓDIGOS DE PRODUCTO'!$A$4:$B$156,2,FALSE)</f>
        <v>0</v>
      </c>
      <c r="F2799">
        <f>INDEX('[1]CÓDIGOS DE PRODUCTO'!$C$3:$C$1000,MATCH(C2799,'[1]CÓDIGOS DE PRODUCTO'!$A$3:$A$1000,0))</f>
        <v>0</v>
      </c>
      <c r="G2799">
        <f>+'[1]VENTAS(RESUMEN GLOBAL)'!D2799-'[1]VENTAS(RESUMEN GLOBAL)'!E2799</f>
        <v>0</v>
      </c>
      <c r="H2799" s="9">
        <f>+'[1]VENTAS(RESUMEN GLOBAL)'!K2799</f>
        <v>0</v>
      </c>
      <c r="I2799" s="8">
        <f>+G2799*'[1]VENTAS(RESUMEN GLOBAL)'!F2799</f>
        <v>0</v>
      </c>
      <c r="J2799" s="8">
        <f>'[1]VENTAS(RESUMEN GLOBAL)'!G2799*(1-'[1]VENTAS(RESUMEN GLOBAL)'!H2799)</f>
        <v>0</v>
      </c>
      <c r="K2799" s="8">
        <f t="shared" si="43"/>
        <v>0</v>
      </c>
      <c r="L2799" s="8">
        <f>+'[1]VENTAS(RESUMEN GLOBAL)'!J2799</f>
        <v>0</v>
      </c>
      <c r="M2799" s="8">
        <f>+Tabla1[[#This Row],[utilidad x dia]]*7</f>
        <v>0</v>
      </c>
    </row>
    <row r="2800" spans="1:13" x14ac:dyDescent="0.3">
      <c r="A2800" s="6">
        <f>+'[1]VENTAS(RESUMEN GLOBAL)'!L2800</f>
        <v>0</v>
      </c>
      <c r="B2800" s="6">
        <f>+'[1]VENTAS(RESUMEN GLOBAL)'!M2800</f>
        <v>0</v>
      </c>
      <c r="C2800">
        <f>+'[1]VENTAS(RESUMEN GLOBAL)'!B2800</f>
        <v>0</v>
      </c>
      <c r="D2800" t="e">
        <f>INDEX('[1]CÓDIGOS DE PRODUCTO'!$D$3:$D$1000,MATCH(C2800,'[1]CÓDIGOS DE PRODUCTO'!$A$3:$A$1000,0))</f>
        <v>#N/A</v>
      </c>
      <c r="E2800">
        <f>VLOOKUP(C2800,'[1]CÓDIGOS DE PRODUCTO'!$A$4:$B$156,2,FALSE)</f>
        <v>0</v>
      </c>
      <c r="F2800">
        <f>INDEX('[1]CÓDIGOS DE PRODUCTO'!$C$3:$C$1000,MATCH(C2800,'[1]CÓDIGOS DE PRODUCTO'!$A$3:$A$1000,0))</f>
        <v>0</v>
      </c>
      <c r="G2800">
        <f>+'[1]VENTAS(RESUMEN GLOBAL)'!D2800-'[1]VENTAS(RESUMEN GLOBAL)'!E2800</f>
        <v>0</v>
      </c>
      <c r="H2800" s="9">
        <f>+'[1]VENTAS(RESUMEN GLOBAL)'!K2800</f>
        <v>0</v>
      </c>
      <c r="I2800" s="8">
        <f>+G2800*'[1]VENTAS(RESUMEN GLOBAL)'!F2800</f>
        <v>0</v>
      </c>
      <c r="J2800" s="8">
        <f>'[1]VENTAS(RESUMEN GLOBAL)'!G2800*(1-'[1]VENTAS(RESUMEN GLOBAL)'!H2800)</f>
        <v>0</v>
      </c>
      <c r="K2800" s="8">
        <f t="shared" si="43"/>
        <v>0</v>
      </c>
      <c r="L2800" s="8">
        <f>+'[1]VENTAS(RESUMEN GLOBAL)'!J2800</f>
        <v>0</v>
      </c>
      <c r="M2800" s="8">
        <f>+Tabla1[[#This Row],[utilidad x dia]]*7</f>
        <v>0</v>
      </c>
    </row>
    <row r="2801" spans="1:13" x14ac:dyDescent="0.3">
      <c r="A2801" s="6">
        <f>+'[1]VENTAS(RESUMEN GLOBAL)'!L2801</f>
        <v>0</v>
      </c>
      <c r="B2801" s="6">
        <f>+'[1]VENTAS(RESUMEN GLOBAL)'!M2801</f>
        <v>0</v>
      </c>
      <c r="C2801">
        <f>+'[1]VENTAS(RESUMEN GLOBAL)'!B2801</f>
        <v>0</v>
      </c>
      <c r="D2801" t="e">
        <f>INDEX('[1]CÓDIGOS DE PRODUCTO'!$D$3:$D$1000,MATCH(C2801,'[1]CÓDIGOS DE PRODUCTO'!$A$3:$A$1000,0))</f>
        <v>#N/A</v>
      </c>
      <c r="E2801">
        <f>VLOOKUP(C2801,'[1]CÓDIGOS DE PRODUCTO'!$A$4:$B$156,2,FALSE)</f>
        <v>0</v>
      </c>
      <c r="F2801">
        <f>INDEX('[1]CÓDIGOS DE PRODUCTO'!$C$3:$C$1000,MATCH(C2801,'[1]CÓDIGOS DE PRODUCTO'!$A$3:$A$1000,0))</f>
        <v>0</v>
      </c>
      <c r="G2801">
        <f>+'[1]VENTAS(RESUMEN GLOBAL)'!D2801-'[1]VENTAS(RESUMEN GLOBAL)'!E2801</f>
        <v>0</v>
      </c>
      <c r="H2801" s="9">
        <f>+'[1]VENTAS(RESUMEN GLOBAL)'!K2801</f>
        <v>0</v>
      </c>
      <c r="I2801" s="8">
        <f>+G2801*'[1]VENTAS(RESUMEN GLOBAL)'!F2801</f>
        <v>0</v>
      </c>
      <c r="J2801" s="8">
        <f>'[1]VENTAS(RESUMEN GLOBAL)'!G2801*(1-'[1]VENTAS(RESUMEN GLOBAL)'!H2801)</f>
        <v>0</v>
      </c>
      <c r="K2801" s="8">
        <f t="shared" si="43"/>
        <v>0</v>
      </c>
      <c r="L2801" s="8">
        <f>+'[1]VENTAS(RESUMEN GLOBAL)'!J2801</f>
        <v>0</v>
      </c>
      <c r="M2801" s="8">
        <f>+Tabla1[[#This Row],[utilidad x dia]]*7</f>
        <v>0</v>
      </c>
    </row>
    <row r="2802" spans="1:13" x14ac:dyDescent="0.3">
      <c r="A2802" s="6">
        <f>+'[1]VENTAS(RESUMEN GLOBAL)'!L2802</f>
        <v>0</v>
      </c>
      <c r="B2802" s="6">
        <f>+'[1]VENTAS(RESUMEN GLOBAL)'!M2802</f>
        <v>0</v>
      </c>
      <c r="C2802">
        <f>+'[1]VENTAS(RESUMEN GLOBAL)'!B2802</f>
        <v>0</v>
      </c>
      <c r="D2802" t="e">
        <f>INDEX('[1]CÓDIGOS DE PRODUCTO'!$D$3:$D$1000,MATCH(C2802,'[1]CÓDIGOS DE PRODUCTO'!$A$3:$A$1000,0))</f>
        <v>#N/A</v>
      </c>
      <c r="E2802">
        <f>VLOOKUP(C2802,'[1]CÓDIGOS DE PRODUCTO'!$A$4:$B$156,2,FALSE)</f>
        <v>0</v>
      </c>
      <c r="F2802">
        <f>INDEX('[1]CÓDIGOS DE PRODUCTO'!$C$3:$C$1000,MATCH(C2802,'[1]CÓDIGOS DE PRODUCTO'!$A$3:$A$1000,0))</f>
        <v>0</v>
      </c>
      <c r="G2802">
        <f>+'[1]VENTAS(RESUMEN GLOBAL)'!D2802-'[1]VENTAS(RESUMEN GLOBAL)'!E2802</f>
        <v>0</v>
      </c>
      <c r="H2802" s="9">
        <f>+'[1]VENTAS(RESUMEN GLOBAL)'!K2802</f>
        <v>0</v>
      </c>
      <c r="I2802" s="8">
        <f>+G2802*'[1]VENTAS(RESUMEN GLOBAL)'!F2802</f>
        <v>0</v>
      </c>
      <c r="J2802" s="8">
        <f>'[1]VENTAS(RESUMEN GLOBAL)'!G2802*(1-'[1]VENTAS(RESUMEN GLOBAL)'!H2802)</f>
        <v>0</v>
      </c>
      <c r="K2802" s="8">
        <f t="shared" si="43"/>
        <v>0</v>
      </c>
      <c r="L2802" s="8">
        <f>+'[1]VENTAS(RESUMEN GLOBAL)'!J2802</f>
        <v>0</v>
      </c>
      <c r="M2802" s="8">
        <f>+Tabla1[[#This Row],[utilidad x dia]]*7</f>
        <v>0</v>
      </c>
    </row>
    <row r="2803" spans="1:13" x14ac:dyDescent="0.3">
      <c r="A2803" s="6">
        <f>+'[1]VENTAS(RESUMEN GLOBAL)'!L2803</f>
        <v>0</v>
      </c>
      <c r="B2803" s="6">
        <f>+'[1]VENTAS(RESUMEN GLOBAL)'!M2803</f>
        <v>0</v>
      </c>
      <c r="C2803">
        <f>+'[1]VENTAS(RESUMEN GLOBAL)'!B2803</f>
        <v>0</v>
      </c>
      <c r="D2803" t="e">
        <f>INDEX('[1]CÓDIGOS DE PRODUCTO'!$D$3:$D$1000,MATCH(C2803,'[1]CÓDIGOS DE PRODUCTO'!$A$3:$A$1000,0))</f>
        <v>#N/A</v>
      </c>
      <c r="E2803">
        <f>VLOOKUP(C2803,'[1]CÓDIGOS DE PRODUCTO'!$A$4:$B$156,2,FALSE)</f>
        <v>0</v>
      </c>
      <c r="F2803">
        <f>INDEX('[1]CÓDIGOS DE PRODUCTO'!$C$3:$C$1000,MATCH(C2803,'[1]CÓDIGOS DE PRODUCTO'!$A$3:$A$1000,0))</f>
        <v>0</v>
      </c>
      <c r="G2803">
        <f>+'[1]VENTAS(RESUMEN GLOBAL)'!D2803-'[1]VENTAS(RESUMEN GLOBAL)'!E2803</f>
        <v>0</v>
      </c>
      <c r="H2803" s="9">
        <f>+'[1]VENTAS(RESUMEN GLOBAL)'!K2803</f>
        <v>0</v>
      </c>
      <c r="I2803" s="8">
        <f>+G2803*'[1]VENTAS(RESUMEN GLOBAL)'!F2803</f>
        <v>0</v>
      </c>
      <c r="J2803" s="8">
        <f>'[1]VENTAS(RESUMEN GLOBAL)'!G2803*(1-'[1]VENTAS(RESUMEN GLOBAL)'!H2803)</f>
        <v>0</v>
      </c>
      <c r="K2803" s="8">
        <f t="shared" si="43"/>
        <v>0</v>
      </c>
      <c r="L2803" s="8">
        <f>+'[1]VENTAS(RESUMEN GLOBAL)'!J2803</f>
        <v>0</v>
      </c>
      <c r="M2803" s="8">
        <f>+Tabla1[[#This Row],[utilidad x dia]]*7</f>
        <v>0</v>
      </c>
    </row>
    <row r="2804" spans="1:13" x14ac:dyDescent="0.3">
      <c r="A2804" s="6">
        <f>+'[1]VENTAS(RESUMEN GLOBAL)'!L2804</f>
        <v>0</v>
      </c>
      <c r="B2804" s="6">
        <f>+'[1]VENTAS(RESUMEN GLOBAL)'!M2804</f>
        <v>0</v>
      </c>
      <c r="C2804">
        <f>+'[1]VENTAS(RESUMEN GLOBAL)'!B2804</f>
        <v>0</v>
      </c>
      <c r="D2804" t="e">
        <f>INDEX('[1]CÓDIGOS DE PRODUCTO'!$D$3:$D$1000,MATCH(C2804,'[1]CÓDIGOS DE PRODUCTO'!$A$3:$A$1000,0))</f>
        <v>#N/A</v>
      </c>
      <c r="E2804">
        <f>VLOOKUP(C2804,'[1]CÓDIGOS DE PRODUCTO'!$A$4:$B$156,2,FALSE)</f>
        <v>0</v>
      </c>
      <c r="F2804">
        <f>INDEX('[1]CÓDIGOS DE PRODUCTO'!$C$3:$C$1000,MATCH(C2804,'[1]CÓDIGOS DE PRODUCTO'!$A$3:$A$1000,0))</f>
        <v>0</v>
      </c>
      <c r="G2804">
        <f>+'[1]VENTAS(RESUMEN GLOBAL)'!D2804-'[1]VENTAS(RESUMEN GLOBAL)'!E2804</f>
        <v>0</v>
      </c>
      <c r="H2804" s="9">
        <f>+'[1]VENTAS(RESUMEN GLOBAL)'!K2804</f>
        <v>0</v>
      </c>
      <c r="I2804" s="8">
        <f>+G2804*'[1]VENTAS(RESUMEN GLOBAL)'!F2804</f>
        <v>0</v>
      </c>
      <c r="J2804" s="8">
        <f>'[1]VENTAS(RESUMEN GLOBAL)'!G2804*(1-'[1]VENTAS(RESUMEN GLOBAL)'!H2804)</f>
        <v>0</v>
      </c>
      <c r="K2804" s="8">
        <f t="shared" si="43"/>
        <v>0</v>
      </c>
      <c r="L2804" s="8">
        <f>+'[1]VENTAS(RESUMEN GLOBAL)'!J2804</f>
        <v>0</v>
      </c>
      <c r="M2804" s="8">
        <f>+Tabla1[[#This Row],[utilidad x dia]]*7</f>
        <v>0</v>
      </c>
    </row>
    <row r="2805" spans="1:13" x14ac:dyDescent="0.3">
      <c r="A2805" s="6">
        <f>+'[1]VENTAS(RESUMEN GLOBAL)'!L2805</f>
        <v>0</v>
      </c>
      <c r="B2805" s="6">
        <f>+'[1]VENTAS(RESUMEN GLOBAL)'!M2805</f>
        <v>0</v>
      </c>
      <c r="C2805">
        <f>+'[1]VENTAS(RESUMEN GLOBAL)'!B2805</f>
        <v>0</v>
      </c>
      <c r="D2805" t="e">
        <f>INDEX('[1]CÓDIGOS DE PRODUCTO'!$D$3:$D$1000,MATCH(C2805,'[1]CÓDIGOS DE PRODUCTO'!$A$3:$A$1000,0))</f>
        <v>#N/A</v>
      </c>
      <c r="E2805">
        <f>VLOOKUP(C2805,'[1]CÓDIGOS DE PRODUCTO'!$A$4:$B$156,2,FALSE)</f>
        <v>0</v>
      </c>
      <c r="F2805">
        <f>INDEX('[1]CÓDIGOS DE PRODUCTO'!$C$3:$C$1000,MATCH(C2805,'[1]CÓDIGOS DE PRODUCTO'!$A$3:$A$1000,0))</f>
        <v>0</v>
      </c>
      <c r="G2805">
        <f>+'[1]VENTAS(RESUMEN GLOBAL)'!D2805-'[1]VENTAS(RESUMEN GLOBAL)'!E2805</f>
        <v>0</v>
      </c>
      <c r="H2805" s="9">
        <f>+'[1]VENTAS(RESUMEN GLOBAL)'!K2805</f>
        <v>0</v>
      </c>
      <c r="I2805" s="8">
        <f>+G2805*'[1]VENTAS(RESUMEN GLOBAL)'!F2805</f>
        <v>0</v>
      </c>
      <c r="J2805" s="8">
        <f>'[1]VENTAS(RESUMEN GLOBAL)'!G2805*(1-'[1]VENTAS(RESUMEN GLOBAL)'!H2805)</f>
        <v>0</v>
      </c>
      <c r="K2805" s="8">
        <f t="shared" si="43"/>
        <v>0</v>
      </c>
      <c r="L2805" s="8">
        <f>+'[1]VENTAS(RESUMEN GLOBAL)'!J2805</f>
        <v>0</v>
      </c>
      <c r="M2805" s="8">
        <f>+Tabla1[[#This Row],[utilidad x dia]]*7</f>
        <v>0</v>
      </c>
    </row>
    <row r="2806" spans="1:13" x14ac:dyDescent="0.3">
      <c r="A2806" s="6">
        <f>+'[1]VENTAS(RESUMEN GLOBAL)'!L2806</f>
        <v>0</v>
      </c>
      <c r="B2806" s="6">
        <f>+'[1]VENTAS(RESUMEN GLOBAL)'!M2806</f>
        <v>0</v>
      </c>
      <c r="C2806">
        <f>+'[1]VENTAS(RESUMEN GLOBAL)'!B2806</f>
        <v>0</v>
      </c>
      <c r="D2806" t="e">
        <f>INDEX('[1]CÓDIGOS DE PRODUCTO'!$D$3:$D$1000,MATCH(C2806,'[1]CÓDIGOS DE PRODUCTO'!$A$3:$A$1000,0))</f>
        <v>#N/A</v>
      </c>
      <c r="E2806">
        <f>VLOOKUP(C2806,'[1]CÓDIGOS DE PRODUCTO'!$A$4:$B$156,2,FALSE)</f>
        <v>0</v>
      </c>
      <c r="F2806">
        <f>INDEX('[1]CÓDIGOS DE PRODUCTO'!$C$3:$C$1000,MATCH(C2806,'[1]CÓDIGOS DE PRODUCTO'!$A$3:$A$1000,0))</f>
        <v>0</v>
      </c>
      <c r="G2806">
        <f>+'[1]VENTAS(RESUMEN GLOBAL)'!D2806-'[1]VENTAS(RESUMEN GLOBAL)'!E2806</f>
        <v>0</v>
      </c>
      <c r="H2806" s="9">
        <f>+'[1]VENTAS(RESUMEN GLOBAL)'!K2806</f>
        <v>0</v>
      </c>
      <c r="I2806" s="8">
        <f>+G2806*'[1]VENTAS(RESUMEN GLOBAL)'!F2806</f>
        <v>0</v>
      </c>
      <c r="J2806" s="8">
        <f>'[1]VENTAS(RESUMEN GLOBAL)'!G2806*(1-'[1]VENTAS(RESUMEN GLOBAL)'!H2806)</f>
        <v>0</v>
      </c>
      <c r="K2806" s="8">
        <f t="shared" si="43"/>
        <v>0</v>
      </c>
      <c r="L2806" s="8">
        <f>+'[1]VENTAS(RESUMEN GLOBAL)'!J2806</f>
        <v>0</v>
      </c>
      <c r="M2806" s="8">
        <f>+Tabla1[[#This Row],[utilidad x dia]]*7</f>
        <v>0</v>
      </c>
    </row>
    <row r="2807" spans="1:13" x14ac:dyDescent="0.3">
      <c r="A2807" s="6">
        <f>+'[1]VENTAS(RESUMEN GLOBAL)'!L2807</f>
        <v>0</v>
      </c>
      <c r="B2807" s="6">
        <f>+'[1]VENTAS(RESUMEN GLOBAL)'!M2807</f>
        <v>0</v>
      </c>
      <c r="C2807">
        <f>+'[1]VENTAS(RESUMEN GLOBAL)'!B2807</f>
        <v>0</v>
      </c>
      <c r="D2807" t="e">
        <f>INDEX('[1]CÓDIGOS DE PRODUCTO'!$D$3:$D$1000,MATCH(C2807,'[1]CÓDIGOS DE PRODUCTO'!$A$3:$A$1000,0))</f>
        <v>#N/A</v>
      </c>
      <c r="E2807">
        <f>VLOOKUP(C2807,'[1]CÓDIGOS DE PRODUCTO'!$A$4:$B$156,2,FALSE)</f>
        <v>0</v>
      </c>
      <c r="F2807">
        <f>INDEX('[1]CÓDIGOS DE PRODUCTO'!$C$3:$C$1000,MATCH(C2807,'[1]CÓDIGOS DE PRODUCTO'!$A$3:$A$1000,0))</f>
        <v>0</v>
      </c>
      <c r="G2807">
        <f>+'[1]VENTAS(RESUMEN GLOBAL)'!D2807-'[1]VENTAS(RESUMEN GLOBAL)'!E2807</f>
        <v>0</v>
      </c>
      <c r="H2807" s="9">
        <f>+'[1]VENTAS(RESUMEN GLOBAL)'!K2807</f>
        <v>0</v>
      </c>
      <c r="I2807" s="8">
        <f>+G2807*'[1]VENTAS(RESUMEN GLOBAL)'!F2807</f>
        <v>0</v>
      </c>
      <c r="J2807" s="8">
        <f>'[1]VENTAS(RESUMEN GLOBAL)'!G2807*(1-'[1]VENTAS(RESUMEN GLOBAL)'!H2807)</f>
        <v>0</v>
      </c>
      <c r="K2807" s="8">
        <f t="shared" si="43"/>
        <v>0</v>
      </c>
      <c r="L2807" s="8">
        <f>+'[1]VENTAS(RESUMEN GLOBAL)'!J2807</f>
        <v>0</v>
      </c>
      <c r="M2807" s="8">
        <f>+Tabla1[[#This Row],[utilidad x dia]]*7</f>
        <v>0</v>
      </c>
    </row>
    <row r="2808" spans="1:13" x14ac:dyDescent="0.3">
      <c r="A2808" s="6">
        <f>+'[1]VENTAS(RESUMEN GLOBAL)'!L2808</f>
        <v>0</v>
      </c>
      <c r="B2808" s="6">
        <f>+'[1]VENTAS(RESUMEN GLOBAL)'!M2808</f>
        <v>0</v>
      </c>
      <c r="C2808">
        <f>+'[1]VENTAS(RESUMEN GLOBAL)'!B2808</f>
        <v>0</v>
      </c>
      <c r="D2808" t="e">
        <f>INDEX('[1]CÓDIGOS DE PRODUCTO'!$D$3:$D$1000,MATCH(C2808,'[1]CÓDIGOS DE PRODUCTO'!$A$3:$A$1000,0))</f>
        <v>#N/A</v>
      </c>
      <c r="E2808">
        <f>VLOOKUP(C2808,'[1]CÓDIGOS DE PRODUCTO'!$A$4:$B$156,2,FALSE)</f>
        <v>0</v>
      </c>
      <c r="F2808">
        <f>INDEX('[1]CÓDIGOS DE PRODUCTO'!$C$3:$C$1000,MATCH(C2808,'[1]CÓDIGOS DE PRODUCTO'!$A$3:$A$1000,0))</f>
        <v>0</v>
      </c>
      <c r="G2808">
        <f>+'[1]VENTAS(RESUMEN GLOBAL)'!D2808-'[1]VENTAS(RESUMEN GLOBAL)'!E2808</f>
        <v>0</v>
      </c>
      <c r="H2808" s="9">
        <f>+'[1]VENTAS(RESUMEN GLOBAL)'!K2808</f>
        <v>0</v>
      </c>
      <c r="I2808" s="8">
        <f>+G2808*'[1]VENTAS(RESUMEN GLOBAL)'!F2808</f>
        <v>0</v>
      </c>
      <c r="J2808" s="8">
        <f>'[1]VENTAS(RESUMEN GLOBAL)'!G2808*(1-'[1]VENTAS(RESUMEN GLOBAL)'!H2808)</f>
        <v>0</v>
      </c>
      <c r="K2808" s="8">
        <f t="shared" si="43"/>
        <v>0</v>
      </c>
      <c r="L2808" s="8">
        <f>+'[1]VENTAS(RESUMEN GLOBAL)'!J2808</f>
        <v>0</v>
      </c>
      <c r="M2808" s="8">
        <f>+Tabla1[[#This Row],[utilidad x dia]]*7</f>
        <v>0</v>
      </c>
    </row>
    <row r="2809" spans="1:13" x14ac:dyDescent="0.3">
      <c r="A2809" s="6">
        <f>+'[1]VENTAS(RESUMEN GLOBAL)'!L2809</f>
        <v>0</v>
      </c>
      <c r="B2809" s="6">
        <f>+'[1]VENTAS(RESUMEN GLOBAL)'!M2809</f>
        <v>0</v>
      </c>
      <c r="C2809">
        <f>+'[1]VENTAS(RESUMEN GLOBAL)'!B2809</f>
        <v>0</v>
      </c>
      <c r="D2809" t="e">
        <f>INDEX('[1]CÓDIGOS DE PRODUCTO'!$D$3:$D$1000,MATCH(C2809,'[1]CÓDIGOS DE PRODUCTO'!$A$3:$A$1000,0))</f>
        <v>#N/A</v>
      </c>
      <c r="E2809">
        <f>VLOOKUP(C2809,'[1]CÓDIGOS DE PRODUCTO'!$A$4:$B$156,2,FALSE)</f>
        <v>0</v>
      </c>
      <c r="F2809">
        <f>INDEX('[1]CÓDIGOS DE PRODUCTO'!$C$3:$C$1000,MATCH(C2809,'[1]CÓDIGOS DE PRODUCTO'!$A$3:$A$1000,0))</f>
        <v>0</v>
      </c>
      <c r="G2809">
        <f>+'[1]VENTAS(RESUMEN GLOBAL)'!D2809-'[1]VENTAS(RESUMEN GLOBAL)'!E2809</f>
        <v>0</v>
      </c>
      <c r="H2809" s="9">
        <f>+'[1]VENTAS(RESUMEN GLOBAL)'!K2809</f>
        <v>0</v>
      </c>
      <c r="I2809" s="8">
        <f>+G2809*'[1]VENTAS(RESUMEN GLOBAL)'!F2809</f>
        <v>0</v>
      </c>
      <c r="J2809" s="8">
        <f>'[1]VENTAS(RESUMEN GLOBAL)'!G2809*(1-'[1]VENTAS(RESUMEN GLOBAL)'!H2809)</f>
        <v>0</v>
      </c>
      <c r="K2809" s="8">
        <f t="shared" si="43"/>
        <v>0</v>
      </c>
      <c r="L2809" s="8">
        <f>+'[1]VENTAS(RESUMEN GLOBAL)'!J2809</f>
        <v>0</v>
      </c>
      <c r="M2809" s="8">
        <f>+Tabla1[[#This Row],[utilidad x dia]]*7</f>
        <v>0</v>
      </c>
    </row>
    <row r="2810" spans="1:13" x14ac:dyDescent="0.3">
      <c r="A2810" s="6">
        <f>+'[1]VENTAS(RESUMEN GLOBAL)'!L2810</f>
        <v>0</v>
      </c>
      <c r="B2810" s="6">
        <f>+'[1]VENTAS(RESUMEN GLOBAL)'!M2810</f>
        <v>0</v>
      </c>
      <c r="C2810">
        <f>+'[1]VENTAS(RESUMEN GLOBAL)'!B2810</f>
        <v>0</v>
      </c>
      <c r="D2810" t="e">
        <f>INDEX('[1]CÓDIGOS DE PRODUCTO'!$D$3:$D$1000,MATCH(C2810,'[1]CÓDIGOS DE PRODUCTO'!$A$3:$A$1000,0))</f>
        <v>#N/A</v>
      </c>
      <c r="E2810">
        <f>VLOOKUP(C2810,'[1]CÓDIGOS DE PRODUCTO'!$A$4:$B$156,2,FALSE)</f>
        <v>0</v>
      </c>
      <c r="F2810">
        <f>INDEX('[1]CÓDIGOS DE PRODUCTO'!$C$3:$C$1000,MATCH(C2810,'[1]CÓDIGOS DE PRODUCTO'!$A$3:$A$1000,0))</f>
        <v>0</v>
      </c>
      <c r="G2810">
        <f>+'[1]VENTAS(RESUMEN GLOBAL)'!D2810-'[1]VENTAS(RESUMEN GLOBAL)'!E2810</f>
        <v>0</v>
      </c>
      <c r="H2810" s="9">
        <f>+'[1]VENTAS(RESUMEN GLOBAL)'!K2810</f>
        <v>0</v>
      </c>
      <c r="I2810" s="8">
        <f>+G2810*'[1]VENTAS(RESUMEN GLOBAL)'!F2810</f>
        <v>0</v>
      </c>
      <c r="J2810" s="8">
        <f>'[1]VENTAS(RESUMEN GLOBAL)'!G2810*(1-'[1]VENTAS(RESUMEN GLOBAL)'!H2810)</f>
        <v>0</v>
      </c>
      <c r="K2810" s="8">
        <f t="shared" si="43"/>
        <v>0</v>
      </c>
      <c r="L2810" s="8">
        <f>+'[1]VENTAS(RESUMEN GLOBAL)'!J2810</f>
        <v>0</v>
      </c>
      <c r="M2810" s="8">
        <f>+Tabla1[[#This Row],[utilidad x dia]]*7</f>
        <v>0</v>
      </c>
    </row>
    <row r="2811" spans="1:13" x14ac:dyDescent="0.3">
      <c r="A2811" s="6">
        <f>+'[1]VENTAS(RESUMEN GLOBAL)'!L2811</f>
        <v>0</v>
      </c>
      <c r="B2811" s="6">
        <f>+'[1]VENTAS(RESUMEN GLOBAL)'!M2811</f>
        <v>0</v>
      </c>
      <c r="C2811">
        <f>+'[1]VENTAS(RESUMEN GLOBAL)'!B2811</f>
        <v>0</v>
      </c>
      <c r="D2811" t="e">
        <f>INDEX('[1]CÓDIGOS DE PRODUCTO'!$D$3:$D$1000,MATCH(C2811,'[1]CÓDIGOS DE PRODUCTO'!$A$3:$A$1000,0))</f>
        <v>#N/A</v>
      </c>
      <c r="E2811">
        <f>VLOOKUP(C2811,'[1]CÓDIGOS DE PRODUCTO'!$A$4:$B$156,2,FALSE)</f>
        <v>0</v>
      </c>
      <c r="F2811">
        <f>INDEX('[1]CÓDIGOS DE PRODUCTO'!$C$3:$C$1000,MATCH(C2811,'[1]CÓDIGOS DE PRODUCTO'!$A$3:$A$1000,0))</f>
        <v>0</v>
      </c>
      <c r="G2811">
        <f>+'[1]VENTAS(RESUMEN GLOBAL)'!D2811-'[1]VENTAS(RESUMEN GLOBAL)'!E2811</f>
        <v>0</v>
      </c>
      <c r="H2811" s="9">
        <f>+'[1]VENTAS(RESUMEN GLOBAL)'!K2811</f>
        <v>0</v>
      </c>
      <c r="I2811" s="8">
        <f>+G2811*'[1]VENTAS(RESUMEN GLOBAL)'!F2811</f>
        <v>0</v>
      </c>
      <c r="J2811" s="8">
        <f>'[1]VENTAS(RESUMEN GLOBAL)'!G2811*(1-'[1]VENTAS(RESUMEN GLOBAL)'!H2811)</f>
        <v>0</v>
      </c>
      <c r="K2811" s="8">
        <f t="shared" si="43"/>
        <v>0</v>
      </c>
      <c r="L2811" s="8">
        <f>+'[1]VENTAS(RESUMEN GLOBAL)'!J2811</f>
        <v>0</v>
      </c>
      <c r="M2811" s="8">
        <f>+Tabla1[[#This Row],[utilidad x dia]]*7</f>
        <v>0</v>
      </c>
    </row>
    <row r="2812" spans="1:13" x14ac:dyDescent="0.3">
      <c r="A2812" s="6">
        <f>+'[1]VENTAS(RESUMEN GLOBAL)'!L2812</f>
        <v>0</v>
      </c>
      <c r="B2812" s="6">
        <f>+'[1]VENTAS(RESUMEN GLOBAL)'!M2812</f>
        <v>0</v>
      </c>
      <c r="C2812">
        <f>+'[1]VENTAS(RESUMEN GLOBAL)'!B2812</f>
        <v>0</v>
      </c>
      <c r="D2812" t="e">
        <f>INDEX('[1]CÓDIGOS DE PRODUCTO'!$D$3:$D$1000,MATCH(C2812,'[1]CÓDIGOS DE PRODUCTO'!$A$3:$A$1000,0))</f>
        <v>#N/A</v>
      </c>
      <c r="E2812">
        <f>VLOOKUP(C2812,'[1]CÓDIGOS DE PRODUCTO'!$A$4:$B$156,2,FALSE)</f>
        <v>0</v>
      </c>
      <c r="F2812">
        <f>INDEX('[1]CÓDIGOS DE PRODUCTO'!$C$3:$C$1000,MATCH(C2812,'[1]CÓDIGOS DE PRODUCTO'!$A$3:$A$1000,0))</f>
        <v>0</v>
      </c>
      <c r="G2812">
        <f>+'[1]VENTAS(RESUMEN GLOBAL)'!D2812-'[1]VENTAS(RESUMEN GLOBAL)'!E2812</f>
        <v>0</v>
      </c>
      <c r="H2812" s="9">
        <f>+'[1]VENTAS(RESUMEN GLOBAL)'!K2812</f>
        <v>0</v>
      </c>
      <c r="I2812" s="8">
        <f>+G2812*'[1]VENTAS(RESUMEN GLOBAL)'!F2812</f>
        <v>0</v>
      </c>
      <c r="J2812" s="8">
        <f>'[1]VENTAS(RESUMEN GLOBAL)'!G2812*(1-'[1]VENTAS(RESUMEN GLOBAL)'!H2812)</f>
        <v>0</v>
      </c>
      <c r="K2812" s="8">
        <f t="shared" si="43"/>
        <v>0</v>
      </c>
      <c r="L2812" s="8">
        <f>+'[1]VENTAS(RESUMEN GLOBAL)'!J2812</f>
        <v>0</v>
      </c>
      <c r="M2812" s="8">
        <f>+Tabla1[[#This Row],[utilidad x dia]]*7</f>
        <v>0</v>
      </c>
    </row>
    <row r="2813" spans="1:13" x14ac:dyDescent="0.3">
      <c r="A2813" s="6">
        <f>+'[1]VENTAS(RESUMEN GLOBAL)'!L2813</f>
        <v>0</v>
      </c>
      <c r="B2813" s="6">
        <f>+'[1]VENTAS(RESUMEN GLOBAL)'!M2813</f>
        <v>0</v>
      </c>
      <c r="C2813">
        <f>+'[1]VENTAS(RESUMEN GLOBAL)'!B2813</f>
        <v>0</v>
      </c>
      <c r="D2813" t="e">
        <f>INDEX('[1]CÓDIGOS DE PRODUCTO'!$D$3:$D$1000,MATCH(C2813,'[1]CÓDIGOS DE PRODUCTO'!$A$3:$A$1000,0))</f>
        <v>#N/A</v>
      </c>
      <c r="E2813">
        <f>VLOOKUP(C2813,'[1]CÓDIGOS DE PRODUCTO'!$A$4:$B$156,2,FALSE)</f>
        <v>0</v>
      </c>
      <c r="F2813">
        <f>INDEX('[1]CÓDIGOS DE PRODUCTO'!$C$3:$C$1000,MATCH(C2813,'[1]CÓDIGOS DE PRODUCTO'!$A$3:$A$1000,0))</f>
        <v>0</v>
      </c>
      <c r="G2813">
        <f>+'[1]VENTAS(RESUMEN GLOBAL)'!D2813-'[1]VENTAS(RESUMEN GLOBAL)'!E2813</f>
        <v>0</v>
      </c>
      <c r="H2813" s="9">
        <f>+'[1]VENTAS(RESUMEN GLOBAL)'!K2813</f>
        <v>0</v>
      </c>
      <c r="I2813" s="8">
        <f>+G2813*'[1]VENTAS(RESUMEN GLOBAL)'!F2813</f>
        <v>0</v>
      </c>
      <c r="J2813" s="8">
        <f>'[1]VENTAS(RESUMEN GLOBAL)'!G2813*(1-'[1]VENTAS(RESUMEN GLOBAL)'!H2813)</f>
        <v>0</v>
      </c>
      <c r="K2813" s="8">
        <f t="shared" si="43"/>
        <v>0</v>
      </c>
      <c r="L2813" s="8">
        <f>+'[1]VENTAS(RESUMEN GLOBAL)'!J2813</f>
        <v>0</v>
      </c>
      <c r="M2813" s="8">
        <f>+Tabla1[[#This Row],[utilidad x dia]]*7</f>
        <v>0</v>
      </c>
    </row>
    <row r="2814" spans="1:13" x14ac:dyDescent="0.3">
      <c r="A2814" s="6">
        <f>+'[1]VENTAS(RESUMEN GLOBAL)'!L2814</f>
        <v>0</v>
      </c>
      <c r="B2814" s="6">
        <f>+'[1]VENTAS(RESUMEN GLOBAL)'!M2814</f>
        <v>0</v>
      </c>
      <c r="C2814">
        <f>+'[1]VENTAS(RESUMEN GLOBAL)'!B2814</f>
        <v>0</v>
      </c>
      <c r="D2814" t="e">
        <f>INDEX('[1]CÓDIGOS DE PRODUCTO'!$D$3:$D$1000,MATCH(C2814,'[1]CÓDIGOS DE PRODUCTO'!$A$3:$A$1000,0))</f>
        <v>#N/A</v>
      </c>
      <c r="E2814">
        <f>VLOOKUP(C2814,'[1]CÓDIGOS DE PRODUCTO'!$A$4:$B$156,2,FALSE)</f>
        <v>0</v>
      </c>
      <c r="F2814">
        <f>INDEX('[1]CÓDIGOS DE PRODUCTO'!$C$3:$C$1000,MATCH(C2814,'[1]CÓDIGOS DE PRODUCTO'!$A$3:$A$1000,0))</f>
        <v>0</v>
      </c>
      <c r="G2814">
        <f>+'[1]VENTAS(RESUMEN GLOBAL)'!D2814-'[1]VENTAS(RESUMEN GLOBAL)'!E2814</f>
        <v>0</v>
      </c>
      <c r="H2814" s="9">
        <f>+'[1]VENTAS(RESUMEN GLOBAL)'!K2814</f>
        <v>0</v>
      </c>
      <c r="I2814" s="8">
        <f>+G2814*'[1]VENTAS(RESUMEN GLOBAL)'!F2814</f>
        <v>0</v>
      </c>
      <c r="J2814" s="8">
        <f>'[1]VENTAS(RESUMEN GLOBAL)'!G2814*(1-'[1]VENTAS(RESUMEN GLOBAL)'!H2814)</f>
        <v>0</v>
      </c>
      <c r="K2814" s="8">
        <f t="shared" si="43"/>
        <v>0</v>
      </c>
      <c r="L2814" s="8">
        <f>+'[1]VENTAS(RESUMEN GLOBAL)'!J2814</f>
        <v>0</v>
      </c>
      <c r="M2814" s="8">
        <f>+Tabla1[[#This Row],[utilidad x dia]]*7</f>
        <v>0</v>
      </c>
    </row>
    <row r="2815" spans="1:13" x14ac:dyDescent="0.3">
      <c r="A2815" s="6">
        <f>+'[1]VENTAS(RESUMEN GLOBAL)'!L2815</f>
        <v>0</v>
      </c>
      <c r="B2815" s="6">
        <f>+'[1]VENTAS(RESUMEN GLOBAL)'!M2815</f>
        <v>0</v>
      </c>
      <c r="C2815">
        <f>+'[1]VENTAS(RESUMEN GLOBAL)'!B2815</f>
        <v>0</v>
      </c>
      <c r="D2815" t="e">
        <f>INDEX('[1]CÓDIGOS DE PRODUCTO'!$D$3:$D$1000,MATCH(C2815,'[1]CÓDIGOS DE PRODUCTO'!$A$3:$A$1000,0))</f>
        <v>#N/A</v>
      </c>
      <c r="E2815">
        <f>VLOOKUP(C2815,'[1]CÓDIGOS DE PRODUCTO'!$A$4:$B$156,2,FALSE)</f>
        <v>0</v>
      </c>
      <c r="F2815">
        <f>INDEX('[1]CÓDIGOS DE PRODUCTO'!$C$3:$C$1000,MATCH(C2815,'[1]CÓDIGOS DE PRODUCTO'!$A$3:$A$1000,0))</f>
        <v>0</v>
      </c>
      <c r="G2815">
        <f>+'[1]VENTAS(RESUMEN GLOBAL)'!D2815-'[1]VENTAS(RESUMEN GLOBAL)'!E2815</f>
        <v>0</v>
      </c>
      <c r="H2815" s="9">
        <f>+'[1]VENTAS(RESUMEN GLOBAL)'!K2815</f>
        <v>0</v>
      </c>
      <c r="I2815" s="8">
        <f>+G2815*'[1]VENTAS(RESUMEN GLOBAL)'!F2815</f>
        <v>0</v>
      </c>
      <c r="J2815" s="8">
        <f>'[1]VENTAS(RESUMEN GLOBAL)'!G2815*(1-'[1]VENTAS(RESUMEN GLOBAL)'!H2815)</f>
        <v>0</v>
      </c>
      <c r="K2815" s="8">
        <f t="shared" si="43"/>
        <v>0</v>
      </c>
      <c r="L2815" s="8">
        <f>+'[1]VENTAS(RESUMEN GLOBAL)'!J2815</f>
        <v>0</v>
      </c>
      <c r="M2815" s="8">
        <f>+Tabla1[[#This Row],[utilidad x dia]]*7</f>
        <v>0</v>
      </c>
    </row>
    <row r="2816" spans="1:13" x14ac:dyDescent="0.3">
      <c r="A2816" s="6">
        <f>+'[1]VENTAS(RESUMEN GLOBAL)'!L2816</f>
        <v>0</v>
      </c>
      <c r="B2816" s="6">
        <f>+'[1]VENTAS(RESUMEN GLOBAL)'!M2816</f>
        <v>0</v>
      </c>
      <c r="C2816">
        <f>+'[1]VENTAS(RESUMEN GLOBAL)'!B2816</f>
        <v>0</v>
      </c>
      <c r="D2816" t="e">
        <f>INDEX('[1]CÓDIGOS DE PRODUCTO'!$D$3:$D$1000,MATCH(C2816,'[1]CÓDIGOS DE PRODUCTO'!$A$3:$A$1000,0))</f>
        <v>#N/A</v>
      </c>
      <c r="E2816">
        <f>VLOOKUP(C2816,'[1]CÓDIGOS DE PRODUCTO'!$A$4:$B$156,2,FALSE)</f>
        <v>0</v>
      </c>
      <c r="F2816">
        <f>INDEX('[1]CÓDIGOS DE PRODUCTO'!$C$3:$C$1000,MATCH(C2816,'[1]CÓDIGOS DE PRODUCTO'!$A$3:$A$1000,0))</f>
        <v>0</v>
      </c>
      <c r="G2816">
        <f>+'[1]VENTAS(RESUMEN GLOBAL)'!D2816-'[1]VENTAS(RESUMEN GLOBAL)'!E2816</f>
        <v>0</v>
      </c>
      <c r="H2816" s="9">
        <f>+'[1]VENTAS(RESUMEN GLOBAL)'!K2816</f>
        <v>0</v>
      </c>
      <c r="I2816" s="8">
        <f>+G2816*'[1]VENTAS(RESUMEN GLOBAL)'!F2816</f>
        <v>0</v>
      </c>
      <c r="J2816" s="8">
        <f>'[1]VENTAS(RESUMEN GLOBAL)'!G2816*(1-'[1]VENTAS(RESUMEN GLOBAL)'!H2816)</f>
        <v>0</v>
      </c>
      <c r="K2816" s="8">
        <f t="shared" si="43"/>
        <v>0</v>
      </c>
      <c r="L2816" s="8">
        <f>+'[1]VENTAS(RESUMEN GLOBAL)'!J2816</f>
        <v>0</v>
      </c>
      <c r="M2816" s="8">
        <f>+Tabla1[[#This Row],[utilidad x dia]]*7</f>
        <v>0</v>
      </c>
    </row>
    <row r="2817" spans="1:13" x14ac:dyDescent="0.3">
      <c r="A2817" s="6">
        <f>+'[1]VENTAS(RESUMEN GLOBAL)'!L2817</f>
        <v>0</v>
      </c>
      <c r="B2817" s="6">
        <f>+'[1]VENTAS(RESUMEN GLOBAL)'!M2817</f>
        <v>0</v>
      </c>
      <c r="C2817">
        <f>+'[1]VENTAS(RESUMEN GLOBAL)'!B2817</f>
        <v>0</v>
      </c>
      <c r="D2817" t="e">
        <f>INDEX('[1]CÓDIGOS DE PRODUCTO'!$D$3:$D$1000,MATCH(C2817,'[1]CÓDIGOS DE PRODUCTO'!$A$3:$A$1000,0))</f>
        <v>#N/A</v>
      </c>
      <c r="E2817">
        <f>VLOOKUP(C2817,'[1]CÓDIGOS DE PRODUCTO'!$A$4:$B$156,2,FALSE)</f>
        <v>0</v>
      </c>
      <c r="F2817">
        <f>INDEX('[1]CÓDIGOS DE PRODUCTO'!$C$3:$C$1000,MATCH(C2817,'[1]CÓDIGOS DE PRODUCTO'!$A$3:$A$1000,0))</f>
        <v>0</v>
      </c>
      <c r="G2817">
        <f>+'[1]VENTAS(RESUMEN GLOBAL)'!D2817-'[1]VENTAS(RESUMEN GLOBAL)'!E2817</f>
        <v>0</v>
      </c>
      <c r="H2817" s="9">
        <f>+'[1]VENTAS(RESUMEN GLOBAL)'!K2817</f>
        <v>0</v>
      </c>
      <c r="I2817" s="8">
        <f>+G2817*'[1]VENTAS(RESUMEN GLOBAL)'!F2817</f>
        <v>0</v>
      </c>
      <c r="J2817" s="8">
        <f>'[1]VENTAS(RESUMEN GLOBAL)'!G2817*(1-'[1]VENTAS(RESUMEN GLOBAL)'!H2817)</f>
        <v>0</v>
      </c>
      <c r="K2817" s="8">
        <f t="shared" si="43"/>
        <v>0</v>
      </c>
      <c r="L2817" s="8">
        <f>+'[1]VENTAS(RESUMEN GLOBAL)'!J2817</f>
        <v>0</v>
      </c>
      <c r="M2817" s="8">
        <f>+Tabla1[[#This Row],[utilidad x dia]]*7</f>
        <v>0</v>
      </c>
    </row>
    <row r="2818" spans="1:13" x14ac:dyDescent="0.3">
      <c r="A2818" s="6">
        <f>+'[1]VENTAS(RESUMEN GLOBAL)'!L2818</f>
        <v>0</v>
      </c>
      <c r="B2818" s="6">
        <f>+'[1]VENTAS(RESUMEN GLOBAL)'!M2818</f>
        <v>0</v>
      </c>
      <c r="C2818">
        <f>+'[1]VENTAS(RESUMEN GLOBAL)'!B2818</f>
        <v>0</v>
      </c>
      <c r="D2818" t="e">
        <f>INDEX('[1]CÓDIGOS DE PRODUCTO'!$D$3:$D$1000,MATCH(C2818,'[1]CÓDIGOS DE PRODUCTO'!$A$3:$A$1000,0))</f>
        <v>#N/A</v>
      </c>
      <c r="E2818">
        <f>VLOOKUP(C2818,'[1]CÓDIGOS DE PRODUCTO'!$A$4:$B$156,2,FALSE)</f>
        <v>0</v>
      </c>
      <c r="F2818">
        <f>INDEX('[1]CÓDIGOS DE PRODUCTO'!$C$3:$C$1000,MATCH(C2818,'[1]CÓDIGOS DE PRODUCTO'!$A$3:$A$1000,0))</f>
        <v>0</v>
      </c>
      <c r="G2818">
        <f>+'[1]VENTAS(RESUMEN GLOBAL)'!D2818-'[1]VENTAS(RESUMEN GLOBAL)'!E2818</f>
        <v>0</v>
      </c>
      <c r="H2818" s="9">
        <f>+'[1]VENTAS(RESUMEN GLOBAL)'!K2818</f>
        <v>0</v>
      </c>
      <c r="I2818" s="8">
        <f>+G2818*'[1]VENTAS(RESUMEN GLOBAL)'!F2818</f>
        <v>0</v>
      </c>
      <c r="J2818" s="8">
        <f>'[1]VENTAS(RESUMEN GLOBAL)'!G2818*(1-'[1]VENTAS(RESUMEN GLOBAL)'!H2818)</f>
        <v>0</v>
      </c>
      <c r="K2818" s="8">
        <f t="shared" si="43"/>
        <v>0</v>
      </c>
      <c r="L2818" s="8">
        <f>+'[1]VENTAS(RESUMEN GLOBAL)'!J2818</f>
        <v>0</v>
      </c>
      <c r="M2818" s="8">
        <f>+Tabla1[[#This Row],[utilidad x dia]]*7</f>
        <v>0</v>
      </c>
    </row>
    <row r="2819" spans="1:13" x14ac:dyDescent="0.3">
      <c r="A2819" s="6">
        <f>+'[1]VENTAS(RESUMEN GLOBAL)'!L2819</f>
        <v>0</v>
      </c>
      <c r="B2819" s="6">
        <f>+'[1]VENTAS(RESUMEN GLOBAL)'!M2819</f>
        <v>0</v>
      </c>
      <c r="C2819">
        <f>+'[1]VENTAS(RESUMEN GLOBAL)'!B2819</f>
        <v>0</v>
      </c>
      <c r="D2819" t="e">
        <f>INDEX('[1]CÓDIGOS DE PRODUCTO'!$D$3:$D$1000,MATCH(C2819,'[1]CÓDIGOS DE PRODUCTO'!$A$3:$A$1000,0))</f>
        <v>#N/A</v>
      </c>
      <c r="E2819">
        <f>VLOOKUP(C2819,'[1]CÓDIGOS DE PRODUCTO'!$A$4:$B$156,2,FALSE)</f>
        <v>0</v>
      </c>
      <c r="F2819">
        <f>INDEX('[1]CÓDIGOS DE PRODUCTO'!$C$3:$C$1000,MATCH(C2819,'[1]CÓDIGOS DE PRODUCTO'!$A$3:$A$1000,0))</f>
        <v>0</v>
      </c>
      <c r="G2819">
        <f>+'[1]VENTAS(RESUMEN GLOBAL)'!D2819-'[1]VENTAS(RESUMEN GLOBAL)'!E2819</f>
        <v>0</v>
      </c>
      <c r="H2819" s="9">
        <f>+'[1]VENTAS(RESUMEN GLOBAL)'!K2819</f>
        <v>0</v>
      </c>
      <c r="I2819" s="8">
        <f>+G2819*'[1]VENTAS(RESUMEN GLOBAL)'!F2819</f>
        <v>0</v>
      </c>
      <c r="J2819" s="8">
        <f>'[1]VENTAS(RESUMEN GLOBAL)'!G2819*(1-'[1]VENTAS(RESUMEN GLOBAL)'!H2819)</f>
        <v>0</v>
      </c>
      <c r="K2819" s="8">
        <f t="shared" ref="K2819:K2882" si="44">+I2819-J2819</f>
        <v>0</v>
      </c>
      <c r="L2819" s="8">
        <f>+'[1]VENTAS(RESUMEN GLOBAL)'!J2819</f>
        <v>0</v>
      </c>
      <c r="M2819" s="8">
        <f>+Tabla1[[#This Row],[utilidad x dia]]*7</f>
        <v>0</v>
      </c>
    </row>
    <row r="2820" spans="1:13" x14ac:dyDescent="0.3">
      <c r="A2820" s="6">
        <f>+'[1]VENTAS(RESUMEN GLOBAL)'!L2820</f>
        <v>0</v>
      </c>
      <c r="B2820" s="6">
        <f>+'[1]VENTAS(RESUMEN GLOBAL)'!M2820</f>
        <v>0</v>
      </c>
      <c r="C2820">
        <f>+'[1]VENTAS(RESUMEN GLOBAL)'!B2820</f>
        <v>0</v>
      </c>
      <c r="D2820" t="e">
        <f>INDEX('[1]CÓDIGOS DE PRODUCTO'!$D$3:$D$1000,MATCH(C2820,'[1]CÓDIGOS DE PRODUCTO'!$A$3:$A$1000,0))</f>
        <v>#N/A</v>
      </c>
      <c r="E2820">
        <f>VLOOKUP(C2820,'[1]CÓDIGOS DE PRODUCTO'!$A$4:$B$156,2,FALSE)</f>
        <v>0</v>
      </c>
      <c r="F2820">
        <f>INDEX('[1]CÓDIGOS DE PRODUCTO'!$C$3:$C$1000,MATCH(C2820,'[1]CÓDIGOS DE PRODUCTO'!$A$3:$A$1000,0))</f>
        <v>0</v>
      </c>
      <c r="G2820">
        <f>+'[1]VENTAS(RESUMEN GLOBAL)'!D2820-'[1]VENTAS(RESUMEN GLOBAL)'!E2820</f>
        <v>0</v>
      </c>
      <c r="H2820" s="9">
        <f>+'[1]VENTAS(RESUMEN GLOBAL)'!K2820</f>
        <v>0</v>
      </c>
      <c r="I2820" s="8">
        <f>+G2820*'[1]VENTAS(RESUMEN GLOBAL)'!F2820</f>
        <v>0</v>
      </c>
      <c r="J2820" s="8">
        <f>'[1]VENTAS(RESUMEN GLOBAL)'!G2820*(1-'[1]VENTAS(RESUMEN GLOBAL)'!H2820)</f>
        <v>0</v>
      </c>
      <c r="K2820" s="8">
        <f t="shared" si="44"/>
        <v>0</v>
      </c>
      <c r="L2820" s="8">
        <f>+'[1]VENTAS(RESUMEN GLOBAL)'!J2820</f>
        <v>0</v>
      </c>
      <c r="M2820" s="8">
        <f>+Tabla1[[#This Row],[utilidad x dia]]*7</f>
        <v>0</v>
      </c>
    </row>
    <row r="2821" spans="1:13" x14ac:dyDescent="0.3">
      <c r="A2821" s="6">
        <f>+'[1]VENTAS(RESUMEN GLOBAL)'!L2821</f>
        <v>0</v>
      </c>
      <c r="B2821" s="6">
        <f>+'[1]VENTAS(RESUMEN GLOBAL)'!M2821</f>
        <v>0</v>
      </c>
      <c r="C2821">
        <f>+'[1]VENTAS(RESUMEN GLOBAL)'!B2821</f>
        <v>0</v>
      </c>
      <c r="D2821" t="e">
        <f>INDEX('[1]CÓDIGOS DE PRODUCTO'!$D$3:$D$1000,MATCH(C2821,'[1]CÓDIGOS DE PRODUCTO'!$A$3:$A$1000,0))</f>
        <v>#N/A</v>
      </c>
      <c r="E2821">
        <f>VLOOKUP(C2821,'[1]CÓDIGOS DE PRODUCTO'!$A$4:$B$156,2,FALSE)</f>
        <v>0</v>
      </c>
      <c r="F2821">
        <f>INDEX('[1]CÓDIGOS DE PRODUCTO'!$C$3:$C$1000,MATCH(C2821,'[1]CÓDIGOS DE PRODUCTO'!$A$3:$A$1000,0))</f>
        <v>0</v>
      </c>
      <c r="G2821">
        <f>+'[1]VENTAS(RESUMEN GLOBAL)'!D2821-'[1]VENTAS(RESUMEN GLOBAL)'!E2821</f>
        <v>0</v>
      </c>
      <c r="H2821" s="9">
        <f>+'[1]VENTAS(RESUMEN GLOBAL)'!K2821</f>
        <v>0</v>
      </c>
      <c r="I2821" s="8">
        <f>+G2821*'[1]VENTAS(RESUMEN GLOBAL)'!F2821</f>
        <v>0</v>
      </c>
      <c r="J2821" s="8">
        <f>'[1]VENTAS(RESUMEN GLOBAL)'!G2821*(1-'[1]VENTAS(RESUMEN GLOBAL)'!H2821)</f>
        <v>0</v>
      </c>
      <c r="K2821" s="8">
        <f t="shared" si="44"/>
        <v>0</v>
      </c>
      <c r="L2821" s="8">
        <f>+'[1]VENTAS(RESUMEN GLOBAL)'!J2821</f>
        <v>0</v>
      </c>
      <c r="M2821" s="8">
        <f>+Tabla1[[#This Row],[utilidad x dia]]*7</f>
        <v>0</v>
      </c>
    </row>
    <row r="2822" spans="1:13" x14ac:dyDescent="0.3">
      <c r="A2822" s="6">
        <f>+'[1]VENTAS(RESUMEN GLOBAL)'!L2822</f>
        <v>0</v>
      </c>
      <c r="B2822" s="6">
        <f>+'[1]VENTAS(RESUMEN GLOBAL)'!M2822</f>
        <v>0</v>
      </c>
      <c r="C2822">
        <f>+'[1]VENTAS(RESUMEN GLOBAL)'!B2822</f>
        <v>0</v>
      </c>
      <c r="D2822" t="e">
        <f>INDEX('[1]CÓDIGOS DE PRODUCTO'!$D$3:$D$1000,MATCH(C2822,'[1]CÓDIGOS DE PRODUCTO'!$A$3:$A$1000,0))</f>
        <v>#N/A</v>
      </c>
      <c r="E2822">
        <f>VLOOKUP(C2822,'[1]CÓDIGOS DE PRODUCTO'!$A$4:$B$156,2,FALSE)</f>
        <v>0</v>
      </c>
      <c r="F2822">
        <f>INDEX('[1]CÓDIGOS DE PRODUCTO'!$C$3:$C$1000,MATCH(C2822,'[1]CÓDIGOS DE PRODUCTO'!$A$3:$A$1000,0))</f>
        <v>0</v>
      </c>
      <c r="G2822">
        <f>+'[1]VENTAS(RESUMEN GLOBAL)'!D2822-'[1]VENTAS(RESUMEN GLOBAL)'!E2822</f>
        <v>0</v>
      </c>
      <c r="H2822" s="9">
        <f>+'[1]VENTAS(RESUMEN GLOBAL)'!K2822</f>
        <v>0</v>
      </c>
      <c r="I2822" s="8">
        <f>+G2822*'[1]VENTAS(RESUMEN GLOBAL)'!F2822</f>
        <v>0</v>
      </c>
      <c r="J2822" s="8">
        <f>'[1]VENTAS(RESUMEN GLOBAL)'!G2822*(1-'[1]VENTAS(RESUMEN GLOBAL)'!H2822)</f>
        <v>0</v>
      </c>
      <c r="K2822" s="8">
        <f t="shared" si="44"/>
        <v>0</v>
      </c>
      <c r="L2822" s="8">
        <f>+'[1]VENTAS(RESUMEN GLOBAL)'!J2822</f>
        <v>0</v>
      </c>
      <c r="M2822" s="8">
        <f>+Tabla1[[#This Row],[utilidad x dia]]*7</f>
        <v>0</v>
      </c>
    </row>
    <row r="2823" spans="1:13" x14ac:dyDescent="0.3">
      <c r="A2823" s="6">
        <f>+'[1]VENTAS(RESUMEN GLOBAL)'!L2823</f>
        <v>0</v>
      </c>
      <c r="B2823" s="6">
        <f>+'[1]VENTAS(RESUMEN GLOBAL)'!M2823</f>
        <v>0</v>
      </c>
      <c r="C2823">
        <f>+'[1]VENTAS(RESUMEN GLOBAL)'!B2823</f>
        <v>0</v>
      </c>
      <c r="D2823" t="e">
        <f>INDEX('[1]CÓDIGOS DE PRODUCTO'!$D$3:$D$1000,MATCH(C2823,'[1]CÓDIGOS DE PRODUCTO'!$A$3:$A$1000,0))</f>
        <v>#N/A</v>
      </c>
      <c r="E2823">
        <f>VLOOKUP(C2823,'[1]CÓDIGOS DE PRODUCTO'!$A$4:$B$156,2,FALSE)</f>
        <v>0</v>
      </c>
      <c r="F2823">
        <f>INDEX('[1]CÓDIGOS DE PRODUCTO'!$C$3:$C$1000,MATCH(C2823,'[1]CÓDIGOS DE PRODUCTO'!$A$3:$A$1000,0))</f>
        <v>0</v>
      </c>
      <c r="G2823">
        <f>+'[1]VENTAS(RESUMEN GLOBAL)'!D2823-'[1]VENTAS(RESUMEN GLOBAL)'!E2823</f>
        <v>0</v>
      </c>
      <c r="H2823" s="9">
        <f>+'[1]VENTAS(RESUMEN GLOBAL)'!K2823</f>
        <v>0</v>
      </c>
      <c r="I2823" s="8">
        <f>+G2823*'[1]VENTAS(RESUMEN GLOBAL)'!F2823</f>
        <v>0</v>
      </c>
      <c r="J2823" s="8">
        <f>'[1]VENTAS(RESUMEN GLOBAL)'!G2823*(1-'[1]VENTAS(RESUMEN GLOBAL)'!H2823)</f>
        <v>0</v>
      </c>
      <c r="K2823" s="8">
        <f t="shared" si="44"/>
        <v>0</v>
      </c>
      <c r="L2823" s="8">
        <f>+'[1]VENTAS(RESUMEN GLOBAL)'!J2823</f>
        <v>0</v>
      </c>
      <c r="M2823" s="8">
        <f>+Tabla1[[#This Row],[utilidad x dia]]*7</f>
        <v>0</v>
      </c>
    </row>
    <row r="2824" spans="1:13" x14ac:dyDescent="0.3">
      <c r="A2824" s="6">
        <f>+'[1]VENTAS(RESUMEN GLOBAL)'!L2824</f>
        <v>0</v>
      </c>
      <c r="B2824" s="6">
        <f>+'[1]VENTAS(RESUMEN GLOBAL)'!M2824</f>
        <v>0</v>
      </c>
      <c r="C2824">
        <f>+'[1]VENTAS(RESUMEN GLOBAL)'!B2824</f>
        <v>0</v>
      </c>
      <c r="D2824" t="e">
        <f>INDEX('[1]CÓDIGOS DE PRODUCTO'!$D$3:$D$1000,MATCH(C2824,'[1]CÓDIGOS DE PRODUCTO'!$A$3:$A$1000,0))</f>
        <v>#N/A</v>
      </c>
      <c r="E2824">
        <f>VLOOKUP(C2824,'[1]CÓDIGOS DE PRODUCTO'!$A$4:$B$156,2,FALSE)</f>
        <v>0</v>
      </c>
      <c r="F2824">
        <f>INDEX('[1]CÓDIGOS DE PRODUCTO'!$C$3:$C$1000,MATCH(C2824,'[1]CÓDIGOS DE PRODUCTO'!$A$3:$A$1000,0))</f>
        <v>0</v>
      </c>
      <c r="G2824">
        <f>+'[1]VENTAS(RESUMEN GLOBAL)'!D2824-'[1]VENTAS(RESUMEN GLOBAL)'!E2824</f>
        <v>0</v>
      </c>
      <c r="H2824" s="9">
        <f>+'[1]VENTAS(RESUMEN GLOBAL)'!K2824</f>
        <v>0</v>
      </c>
      <c r="I2824" s="8">
        <f>+G2824*'[1]VENTAS(RESUMEN GLOBAL)'!F2824</f>
        <v>0</v>
      </c>
      <c r="J2824" s="8">
        <f>'[1]VENTAS(RESUMEN GLOBAL)'!G2824*(1-'[1]VENTAS(RESUMEN GLOBAL)'!H2824)</f>
        <v>0</v>
      </c>
      <c r="K2824" s="8">
        <f t="shared" si="44"/>
        <v>0</v>
      </c>
      <c r="L2824" s="8">
        <f>+'[1]VENTAS(RESUMEN GLOBAL)'!J2824</f>
        <v>0</v>
      </c>
      <c r="M2824" s="8">
        <f>+Tabla1[[#This Row],[utilidad x dia]]*7</f>
        <v>0</v>
      </c>
    </row>
    <row r="2825" spans="1:13" x14ac:dyDescent="0.3">
      <c r="A2825" s="6">
        <f>+'[1]VENTAS(RESUMEN GLOBAL)'!L2825</f>
        <v>0</v>
      </c>
      <c r="B2825" s="6">
        <f>+'[1]VENTAS(RESUMEN GLOBAL)'!M2825</f>
        <v>0</v>
      </c>
      <c r="C2825">
        <f>+'[1]VENTAS(RESUMEN GLOBAL)'!B2825</f>
        <v>0</v>
      </c>
      <c r="D2825" t="e">
        <f>INDEX('[1]CÓDIGOS DE PRODUCTO'!$D$3:$D$1000,MATCH(C2825,'[1]CÓDIGOS DE PRODUCTO'!$A$3:$A$1000,0))</f>
        <v>#N/A</v>
      </c>
      <c r="E2825">
        <f>VLOOKUP(C2825,'[1]CÓDIGOS DE PRODUCTO'!$A$4:$B$156,2,FALSE)</f>
        <v>0</v>
      </c>
      <c r="F2825">
        <f>INDEX('[1]CÓDIGOS DE PRODUCTO'!$C$3:$C$1000,MATCH(C2825,'[1]CÓDIGOS DE PRODUCTO'!$A$3:$A$1000,0))</f>
        <v>0</v>
      </c>
      <c r="G2825">
        <f>+'[1]VENTAS(RESUMEN GLOBAL)'!D2825-'[1]VENTAS(RESUMEN GLOBAL)'!E2825</f>
        <v>0</v>
      </c>
      <c r="H2825" s="9">
        <f>+'[1]VENTAS(RESUMEN GLOBAL)'!K2825</f>
        <v>0</v>
      </c>
      <c r="I2825" s="8">
        <f>+G2825*'[1]VENTAS(RESUMEN GLOBAL)'!F2825</f>
        <v>0</v>
      </c>
      <c r="J2825" s="8">
        <f>'[1]VENTAS(RESUMEN GLOBAL)'!G2825*(1-'[1]VENTAS(RESUMEN GLOBAL)'!H2825)</f>
        <v>0</v>
      </c>
      <c r="K2825" s="8">
        <f t="shared" si="44"/>
        <v>0</v>
      </c>
      <c r="L2825" s="8">
        <f>+'[1]VENTAS(RESUMEN GLOBAL)'!J2825</f>
        <v>0</v>
      </c>
      <c r="M2825" s="8">
        <f>+Tabla1[[#This Row],[utilidad x dia]]*7</f>
        <v>0</v>
      </c>
    </row>
    <row r="2826" spans="1:13" x14ac:dyDescent="0.3">
      <c r="A2826" s="6">
        <f>+'[1]VENTAS(RESUMEN GLOBAL)'!L2826</f>
        <v>0</v>
      </c>
      <c r="B2826" s="6">
        <f>+'[1]VENTAS(RESUMEN GLOBAL)'!M2826</f>
        <v>0</v>
      </c>
      <c r="C2826">
        <f>+'[1]VENTAS(RESUMEN GLOBAL)'!B2826</f>
        <v>0</v>
      </c>
      <c r="D2826" t="e">
        <f>INDEX('[1]CÓDIGOS DE PRODUCTO'!$D$3:$D$1000,MATCH(C2826,'[1]CÓDIGOS DE PRODUCTO'!$A$3:$A$1000,0))</f>
        <v>#N/A</v>
      </c>
      <c r="E2826">
        <f>VLOOKUP(C2826,'[1]CÓDIGOS DE PRODUCTO'!$A$4:$B$156,2,FALSE)</f>
        <v>0</v>
      </c>
      <c r="F2826">
        <f>INDEX('[1]CÓDIGOS DE PRODUCTO'!$C$3:$C$1000,MATCH(C2826,'[1]CÓDIGOS DE PRODUCTO'!$A$3:$A$1000,0))</f>
        <v>0</v>
      </c>
      <c r="G2826">
        <f>+'[1]VENTAS(RESUMEN GLOBAL)'!D2826-'[1]VENTAS(RESUMEN GLOBAL)'!E2826</f>
        <v>0</v>
      </c>
      <c r="H2826" s="9">
        <f>+'[1]VENTAS(RESUMEN GLOBAL)'!K2826</f>
        <v>0</v>
      </c>
      <c r="I2826" s="8">
        <f>+G2826*'[1]VENTAS(RESUMEN GLOBAL)'!F2826</f>
        <v>0</v>
      </c>
      <c r="J2826" s="8">
        <f>'[1]VENTAS(RESUMEN GLOBAL)'!G2826*(1-'[1]VENTAS(RESUMEN GLOBAL)'!H2826)</f>
        <v>0</v>
      </c>
      <c r="K2826" s="8">
        <f t="shared" si="44"/>
        <v>0</v>
      </c>
      <c r="L2826" s="8">
        <f>+'[1]VENTAS(RESUMEN GLOBAL)'!J2826</f>
        <v>0</v>
      </c>
      <c r="M2826" s="8">
        <f>+Tabla1[[#This Row],[utilidad x dia]]*7</f>
        <v>0</v>
      </c>
    </row>
    <row r="2827" spans="1:13" x14ac:dyDescent="0.3">
      <c r="A2827" s="6">
        <f>+'[1]VENTAS(RESUMEN GLOBAL)'!L2827</f>
        <v>0</v>
      </c>
      <c r="B2827" s="6">
        <f>+'[1]VENTAS(RESUMEN GLOBAL)'!M2827</f>
        <v>0</v>
      </c>
      <c r="C2827">
        <f>+'[1]VENTAS(RESUMEN GLOBAL)'!B2827</f>
        <v>0</v>
      </c>
      <c r="D2827" t="e">
        <f>INDEX('[1]CÓDIGOS DE PRODUCTO'!$D$3:$D$1000,MATCH(C2827,'[1]CÓDIGOS DE PRODUCTO'!$A$3:$A$1000,0))</f>
        <v>#N/A</v>
      </c>
      <c r="E2827">
        <f>VLOOKUP(C2827,'[1]CÓDIGOS DE PRODUCTO'!$A$4:$B$156,2,FALSE)</f>
        <v>0</v>
      </c>
      <c r="F2827">
        <f>INDEX('[1]CÓDIGOS DE PRODUCTO'!$C$3:$C$1000,MATCH(C2827,'[1]CÓDIGOS DE PRODUCTO'!$A$3:$A$1000,0))</f>
        <v>0</v>
      </c>
      <c r="G2827">
        <f>+'[1]VENTAS(RESUMEN GLOBAL)'!D2827-'[1]VENTAS(RESUMEN GLOBAL)'!E2827</f>
        <v>0</v>
      </c>
      <c r="H2827" s="9">
        <f>+'[1]VENTAS(RESUMEN GLOBAL)'!K2827</f>
        <v>0</v>
      </c>
      <c r="I2827" s="8">
        <f>+G2827*'[1]VENTAS(RESUMEN GLOBAL)'!F2827</f>
        <v>0</v>
      </c>
      <c r="J2827" s="8">
        <f>'[1]VENTAS(RESUMEN GLOBAL)'!G2827*(1-'[1]VENTAS(RESUMEN GLOBAL)'!H2827)</f>
        <v>0</v>
      </c>
      <c r="K2827" s="8">
        <f t="shared" si="44"/>
        <v>0</v>
      </c>
      <c r="L2827" s="8">
        <f>+'[1]VENTAS(RESUMEN GLOBAL)'!J2827</f>
        <v>0</v>
      </c>
      <c r="M2827" s="8">
        <f>+Tabla1[[#This Row],[utilidad x dia]]*7</f>
        <v>0</v>
      </c>
    </row>
    <row r="2828" spans="1:13" x14ac:dyDescent="0.3">
      <c r="A2828" s="6">
        <f>+'[1]VENTAS(RESUMEN GLOBAL)'!L2828</f>
        <v>0</v>
      </c>
      <c r="B2828" s="6">
        <f>+'[1]VENTAS(RESUMEN GLOBAL)'!M2828</f>
        <v>0</v>
      </c>
      <c r="C2828">
        <f>+'[1]VENTAS(RESUMEN GLOBAL)'!B2828</f>
        <v>0</v>
      </c>
      <c r="D2828" t="e">
        <f>INDEX('[1]CÓDIGOS DE PRODUCTO'!$D$3:$D$1000,MATCH(C2828,'[1]CÓDIGOS DE PRODUCTO'!$A$3:$A$1000,0))</f>
        <v>#N/A</v>
      </c>
      <c r="E2828">
        <f>VLOOKUP(C2828,'[1]CÓDIGOS DE PRODUCTO'!$A$4:$B$156,2,FALSE)</f>
        <v>0</v>
      </c>
      <c r="F2828">
        <f>INDEX('[1]CÓDIGOS DE PRODUCTO'!$C$3:$C$1000,MATCH(C2828,'[1]CÓDIGOS DE PRODUCTO'!$A$3:$A$1000,0))</f>
        <v>0</v>
      </c>
      <c r="G2828">
        <f>+'[1]VENTAS(RESUMEN GLOBAL)'!D2828-'[1]VENTAS(RESUMEN GLOBAL)'!E2828</f>
        <v>0</v>
      </c>
      <c r="H2828" s="9">
        <f>+'[1]VENTAS(RESUMEN GLOBAL)'!K2828</f>
        <v>0</v>
      </c>
      <c r="I2828" s="8">
        <f>+G2828*'[1]VENTAS(RESUMEN GLOBAL)'!F2828</f>
        <v>0</v>
      </c>
      <c r="J2828" s="8">
        <f>'[1]VENTAS(RESUMEN GLOBAL)'!G2828*(1-'[1]VENTAS(RESUMEN GLOBAL)'!H2828)</f>
        <v>0</v>
      </c>
      <c r="K2828" s="8">
        <f t="shared" si="44"/>
        <v>0</v>
      </c>
      <c r="L2828" s="8">
        <f>+'[1]VENTAS(RESUMEN GLOBAL)'!J2828</f>
        <v>0</v>
      </c>
      <c r="M2828" s="8">
        <f>+Tabla1[[#This Row],[utilidad x dia]]*7</f>
        <v>0</v>
      </c>
    </row>
    <row r="2829" spans="1:13" x14ac:dyDescent="0.3">
      <c r="A2829" s="6">
        <f>+'[1]VENTAS(RESUMEN GLOBAL)'!L2829</f>
        <v>0</v>
      </c>
      <c r="B2829" s="6">
        <f>+'[1]VENTAS(RESUMEN GLOBAL)'!M2829</f>
        <v>0</v>
      </c>
      <c r="C2829">
        <f>+'[1]VENTAS(RESUMEN GLOBAL)'!B2829</f>
        <v>0</v>
      </c>
      <c r="D2829" t="e">
        <f>INDEX('[1]CÓDIGOS DE PRODUCTO'!$D$3:$D$1000,MATCH(C2829,'[1]CÓDIGOS DE PRODUCTO'!$A$3:$A$1000,0))</f>
        <v>#N/A</v>
      </c>
      <c r="E2829">
        <f>VLOOKUP(C2829,'[1]CÓDIGOS DE PRODUCTO'!$A$4:$B$156,2,FALSE)</f>
        <v>0</v>
      </c>
      <c r="F2829">
        <f>INDEX('[1]CÓDIGOS DE PRODUCTO'!$C$3:$C$1000,MATCH(C2829,'[1]CÓDIGOS DE PRODUCTO'!$A$3:$A$1000,0))</f>
        <v>0</v>
      </c>
      <c r="G2829">
        <f>+'[1]VENTAS(RESUMEN GLOBAL)'!D2829-'[1]VENTAS(RESUMEN GLOBAL)'!E2829</f>
        <v>0</v>
      </c>
      <c r="H2829" s="9">
        <f>+'[1]VENTAS(RESUMEN GLOBAL)'!K2829</f>
        <v>0</v>
      </c>
      <c r="I2829" s="8">
        <f>+G2829*'[1]VENTAS(RESUMEN GLOBAL)'!F2829</f>
        <v>0</v>
      </c>
      <c r="J2829" s="8">
        <f>'[1]VENTAS(RESUMEN GLOBAL)'!G2829*(1-'[1]VENTAS(RESUMEN GLOBAL)'!H2829)</f>
        <v>0</v>
      </c>
      <c r="K2829" s="8">
        <f t="shared" si="44"/>
        <v>0</v>
      </c>
      <c r="L2829" s="8">
        <f>+'[1]VENTAS(RESUMEN GLOBAL)'!J2829</f>
        <v>0</v>
      </c>
      <c r="M2829" s="8">
        <f>+Tabla1[[#This Row],[utilidad x dia]]*7</f>
        <v>0</v>
      </c>
    </row>
    <row r="2830" spans="1:13" x14ac:dyDescent="0.3">
      <c r="A2830" s="6">
        <f>+'[1]VENTAS(RESUMEN GLOBAL)'!L2830</f>
        <v>0</v>
      </c>
      <c r="B2830" s="6">
        <f>+'[1]VENTAS(RESUMEN GLOBAL)'!M2830</f>
        <v>0</v>
      </c>
      <c r="C2830">
        <f>+'[1]VENTAS(RESUMEN GLOBAL)'!B2830</f>
        <v>0</v>
      </c>
      <c r="D2830" t="e">
        <f>INDEX('[1]CÓDIGOS DE PRODUCTO'!$D$3:$D$1000,MATCH(C2830,'[1]CÓDIGOS DE PRODUCTO'!$A$3:$A$1000,0))</f>
        <v>#N/A</v>
      </c>
      <c r="E2830">
        <f>VLOOKUP(C2830,'[1]CÓDIGOS DE PRODUCTO'!$A$4:$B$156,2,FALSE)</f>
        <v>0</v>
      </c>
      <c r="F2830">
        <f>INDEX('[1]CÓDIGOS DE PRODUCTO'!$C$3:$C$1000,MATCH(C2830,'[1]CÓDIGOS DE PRODUCTO'!$A$3:$A$1000,0))</f>
        <v>0</v>
      </c>
      <c r="G2830">
        <f>+'[1]VENTAS(RESUMEN GLOBAL)'!D2830-'[1]VENTAS(RESUMEN GLOBAL)'!E2830</f>
        <v>0</v>
      </c>
      <c r="H2830" s="9">
        <f>+'[1]VENTAS(RESUMEN GLOBAL)'!K2830</f>
        <v>0</v>
      </c>
      <c r="I2830" s="8">
        <f>+G2830*'[1]VENTAS(RESUMEN GLOBAL)'!F2830</f>
        <v>0</v>
      </c>
      <c r="J2830" s="8">
        <f>'[1]VENTAS(RESUMEN GLOBAL)'!G2830*(1-'[1]VENTAS(RESUMEN GLOBAL)'!H2830)</f>
        <v>0</v>
      </c>
      <c r="K2830" s="8">
        <f t="shared" si="44"/>
        <v>0</v>
      </c>
      <c r="L2830" s="8">
        <f>+'[1]VENTAS(RESUMEN GLOBAL)'!J2830</f>
        <v>0</v>
      </c>
      <c r="M2830" s="8">
        <f>+Tabla1[[#This Row],[utilidad x dia]]*7</f>
        <v>0</v>
      </c>
    </row>
    <row r="2831" spans="1:13" x14ac:dyDescent="0.3">
      <c r="A2831" s="6">
        <f>+'[1]VENTAS(RESUMEN GLOBAL)'!L2831</f>
        <v>0</v>
      </c>
      <c r="B2831" s="6">
        <f>+'[1]VENTAS(RESUMEN GLOBAL)'!M2831</f>
        <v>0</v>
      </c>
      <c r="C2831">
        <f>+'[1]VENTAS(RESUMEN GLOBAL)'!B2831</f>
        <v>0</v>
      </c>
      <c r="D2831" t="e">
        <f>INDEX('[1]CÓDIGOS DE PRODUCTO'!$D$3:$D$1000,MATCH(C2831,'[1]CÓDIGOS DE PRODUCTO'!$A$3:$A$1000,0))</f>
        <v>#N/A</v>
      </c>
      <c r="E2831">
        <f>VLOOKUP(C2831,'[1]CÓDIGOS DE PRODUCTO'!$A$4:$B$156,2,FALSE)</f>
        <v>0</v>
      </c>
      <c r="F2831">
        <f>INDEX('[1]CÓDIGOS DE PRODUCTO'!$C$3:$C$1000,MATCH(C2831,'[1]CÓDIGOS DE PRODUCTO'!$A$3:$A$1000,0))</f>
        <v>0</v>
      </c>
      <c r="G2831">
        <f>+'[1]VENTAS(RESUMEN GLOBAL)'!D2831-'[1]VENTAS(RESUMEN GLOBAL)'!E2831</f>
        <v>0</v>
      </c>
      <c r="H2831" s="9">
        <f>+'[1]VENTAS(RESUMEN GLOBAL)'!K2831</f>
        <v>0</v>
      </c>
      <c r="I2831" s="8">
        <f>+G2831*'[1]VENTAS(RESUMEN GLOBAL)'!F2831</f>
        <v>0</v>
      </c>
      <c r="J2831" s="8">
        <f>'[1]VENTAS(RESUMEN GLOBAL)'!G2831*(1-'[1]VENTAS(RESUMEN GLOBAL)'!H2831)</f>
        <v>0</v>
      </c>
      <c r="K2831" s="8">
        <f t="shared" si="44"/>
        <v>0</v>
      </c>
      <c r="L2831" s="8">
        <f>+'[1]VENTAS(RESUMEN GLOBAL)'!J2831</f>
        <v>0</v>
      </c>
      <c r="M2831" s="8">
        <f>+Tabla1[[#This Row],[utilidad x dia]]*7</f>
        <v>0</v>
      </c>
    </row>
    <row r="2832" spans="1:13" x14ac:dyDescent="0.3">
      <c r="A2832" s="6">
        <f>+'[1]VENTAS(RESUMEN GLOBAL)'!L2832</f>
        <v>0</v>
      </c>
      <c r="B2832" s="6">
        <f>+'[1]VENTAS(RESUMEN GLOBAL)'!M2832</f>
        <v>0</v>
      </c>
      <c r="C2832">
        <f>+'[1]VENTAS(RESUMEN GLOBAL)'!B2832</f>
        <v>0</v>
      </c>
      <c r="D2832" t="e">
        <f>INDEX('[1]CÓDIGOS DE PRODUCTO'!$D$3:$D$1000,MATCH(C2832,'[1]CÓDIGOS DE PRODUCTO'!$A$3:$A$1000,0))</f>
        <v>#N/A</v>
      </c>
      <c r="E2832">
        <f>VLOOKUP(C2832,'[1]CÓDIGOS DE PRODUCTO'!$A$4:$B$156,2,FALSE)</f>
        <v>0</v>
      </c>
      <c r="F2832">
        <f>INDEX('[1]CÓDIGOS DE PRODUCTO'!$C$3:$C$1000,MATCH(C2832,'[1]CÓDIGOS DE PRODUCTO'!$A$3:$A$1000,0))</f>
        <v>0</v>
      </c>
      <c r="G2832">
        <f>+'[1]VENTAS(RESUMEN GLOBAL)'!D2832-'[1]VENTAS(RESUMEN GLOBAL)'!E2832</f>
        <v>0</v>
      </c>
      <c r="H2832" s="9">
        <f>+'[1]VENTAS(RESUMEN GLOBAL)'!K2832</f>
        <v>0</v>
      </c>
      <c r="I2832" s="8">
        <f>+G2832*'[1]VENTAS(RESUMEN GLOBAL)'!F2832</f>
        <v>0</v>
      </c>
      <c r="J2832" s="8">
        <f>'[1]VENTAS(RESUMEN GLOBAL)'!G2832*(1-'[1]VENTAS(RESUMEN GLOBAL)'!H2832)</f>
        <v>0</v>
      </c>
      <c r="K2832" s="8">
        <f t="shared" si="44"/>
        <v>0</v>
      </c>
      <c r="L2832" s="8">
        <f>+'[1]VENTAS(RESUMEN GLOBAL)'!J2832</f>
        <v>0</v>
      </c>
      <c r="M2832" s="8">
        <f>+Tabla1[[#This Row],[utilidad x dia]]*7</f>
        <v>0</v>
      </c>
    </row>
    <row r="2833" spans="1:13" x14ac:dyDescent="0.3">
      <c r="A2833" s="6">
        <f>+'[1]VENTAS(RESUMEN GLOBAL)'!L2833</f>
        <v>0</v>
      </c>
      <c r="B2833" s="6">
        <f>+'[1]VENTAS(RESUMEN GLOBAL)'!M2833</f>
        <v>0</v>
      </c>
      <c r="C2833">
        <f>+'[1]VENTAS(RESUMEN GLOBAL)'!B2833</f>
        <v>0</v>
      </c>
      <c r="D2833" t="e">
        <f>INDEX('[1]CÓDIGOS DE PRODUCTO'!$D$3:$D$1000,MATCH(C2833,'[1]CÓDIGOS DE PRODUCTO'!$A$3:$A$1000,0))</f>
        <v>#N/A</v>
      </c>
      <c r="E2833">
        <f>VLOOKUP(C2833,'[1]CÓDIGOS DE PRODUCTO'!$A$4:$B$156,2,FALSE)</f>
        <v>0</v>
      </c>
      <c r="F2833">
        <f>INDEX('[1]CÓDIGOS DE PRODUCTO'!$C$3:$C$1000,MATCH(C2833,'[1]CÓDIGOS DE PRODUCTO'!$A$3:$A$1000,0))</f>
        <v>0</v>
      </c>
      <c r="G2833">
        <f>+'[1]VENTAS(RESUMEN GLOBAL)'!D2833-'[1]VENTAS(RESUMEN GLOBAL)'!E2833</f>
        <v>0</v>
      </c>
      <c r="H2833" s="9">
        <f>+'[1]VENTAS(RESUMEN GLOBAL)'!K2833</f>
        <v>0</v>
      </c>
      <c r="I2833" s="8">
        <f>+G2833*'[1]VENTAS(RESUMEN GLOBAL)'!F2833</f>
        <v>0</v>
      </c>
      <c r="J2833" s="8">
        <f>'[1]VENTAS(RESUMEN GLOBAL)'!G2833*(1-'[1]VENTAS(RESUMEN GLOBAL)'!H2833)</f>
        <v>0</v>
      </c>
      <c r="K2833" s="8">
        <f t="shared" si="44"/>
        <v>0</v>
      </c>
      <c r="L2833" s="8">
        <f>+'[1]VENTAS(RESUMEN GLOBAL)'!J2833</f>
        <v>0</v>
      </c>
      <c r="M2833" s="8">
        <f>+Tabla1[[#This Row],[utilidad x dia]]*7</f>
        <v>0</v>
      </c>
    </row>
    <row r="2834" spans="1:13" x14ac:dyDescent="0.3">
      <c r="A2834" s="6">
        <f>+'[1]VENTAS(RESUMEN GLOBAL)'!L2834</f>
        <v>0</v>
      </c>
      <c r="B2834" s="6">
        <f>+'[1]VENTAS(RESUMEN GLOBAL)'!M2834</f>
        <v>0</v>
      </c>
      <c r="C2834">
        <f>+'[1]VENTAS(RESUMEN GLOBAL)'!B2834</f>
        <v>0</v>
      </c>
      <c r="D2834" t="e">
        <f>INDEX('[1]CÓDIGOS DE PRODUCTO'!$D$3:$D$1000,MATCH(C2834,'[1]CÓDIGOS DE PRODUCTO'!$A$3:$A$1000,0))</f>
        <v>#N/A</v>
      </c>
      <c r="E2834">
        <f>VLOOKUP(C2834,'[1]CÓDIGOS DE PRODUCTO'!$A$4:$B$156,2,FALSE)</f>
        <v>0</v>
      </c>
      <c r="F2834">
        <f>INDEX('[1]CÓDIGOS DE PRODUCTO'!$C$3:$C$1000,MATCH(C2834,'[1]CÓDIGOS DE PRODUCTO'!$A$3:$A$1000,0))</f>
        <v>0</v>
      </c>
      <c r="G2834">
        <f>+'[1]VENTAS(RESUMEN GLOBAL)'!D2834-'[1]VENTAS(RESUMEN GLOBAL)'!E2834</f>
        <v>0</v>
      </c>
      <c r="H2834" s="9">
        <f>+'[1]VENTAS(RESUMEN GLOBAL)'!K2834</f>
        <v>0</v>
      </c>
      <c r="I2834" s="8">
        <f>+G2834*'[1]VENTAS(RESUMEN GLOBAL)'!F2834</f>
        <v>0</v>
      </c>
      <c r="J2834" s="8">
        <f>'[1]VENTAS(RESUMEN GLOBAL)'!G2834*(1-'[1]VENTAS(RESUMEN GLOBAL)'!H2834)</f>
        <v>0</v>
      </c>
      <c r="K2834" s="8">
        <f t="shared" si="44"/>
        <v>0</v>
      </c>
      <c r="L2834" s="8">
        <f>+'[1]VENTAS(RESUMEN GLOBAL)'!J2834</f>
        <v>0</v>
      </c>
      <c r="M2834" s="8">
        <f>+Tabla1[[#This Row],[utilidad x dia]]*7</f>
        <v>0</v>
      </c>
    </row>
    <row r="2835" spans="1:13" x14ac:dyDescent="0.3">
      <c r="A2835" s="6">
        <f>+'[1]VENTAS(RESUMEN GLOBAL)'!L2835</f>
        <v>0</v>
      </c>
      <c r="B2835" s="6">
        <f>+'[1]VENTAS(RESUMEN GLOBAL)'!M2835</f>
        <v>0</v>
      </c>
      <c r="C2835">
        <f>+'[1]VENTAS(RESUMEN GLOBAL)'!B2835</f>
        <v>0</v>
      </c>
      <c r="D2835" t="e">
        <f>INDEX('[1]CÓDIGOS DE PRODUCTO'!$D$3:$D$1000,MATCH(C2835,'[1]CÓDIGOS DE PRODUCTO'!$A$3:$A$1000,0))</f>
        <v>#N/A</v>
      </c>
      <c r="E2835">
        <f>VLOOKUP(C2835,'[1]CÓDIGOS DE PRODUCTO'!$A$4:$B$156,2,FALSE)</f>
        <v>0</v>
      </c>
      <c r="F2835">
        <f>INDEX('[1]CÓDIGOS DE PRODUCTO'!$C$3:$C$1000,MATCH(C2835,'[1]CÓDIGOS DE PRODUCTO'!$A$3:$A$1000,0))</f>
        <v>0</v>
      </c>
      <c r="G2835">
        <f>+'[1]VENTAS(RESUMEN GLOBAL)'!D2835-'[1]VENTAS(RESUMEN GLOBAL)'!E2835</f>
        <v>0</v>
      </c>
      <c r="H2835" s="9">
        <f>+'[1]VENTAS(RESUMEN GLOBAL)'!K2835</f>
        <v>0</v>
      </c>
      <c r="I2835" s="8">
        <f>+G2835*'[1]VENTAS(RESUMEN GLOBAL)'!F2835</f>
        <v>0</v>
      </c>
      <c r="J2835" s="8">
        <f>'[1]VENTAS(RESUMEN GLOBAL)'!G2835*(1-'[1]VENTAS(RESUMEN GLOBAL)'!H2835)</f>
        <v>0</v>
      </c>
      <c r="K2835" s="8">
        <f t="shared" si="44"/>
        <v>0</v>
      </c>
      <c r="L2835" s="8">
        <f>+'[1]VENTAS(RESUMEN GLOBAL)'!J2835</f>
        <v>0</v>
      </c>
      <c r="M2835" s="8">
        <f>+Tabla1[[#This Row],[utilidad x dia]]*7</f>
        <v>0</v>
      </c>
    </row>
    <row r="2836" spans="1:13" x14ac:dyDescent="0.3">
      <c r="A2836" s="6">
        <f>+'[1]VENTAS(RESUMEN GLOBAL)'!L2836</f>
        <v>0</v>
      </c>
      <c r="B2836" s="6">
        <f>+'[1]VENTAS(RESUMEN GLOBAL)'!M2836</f>
        <v>0</v>
      </c>
      <c r="C2836">
        <f>+'[1]VENTAS(RESUMEN GLOBAL)'!B2836</f>
        <v>0</v>
      </c>
      <c r="D2836" t="e">
        <f>INDEX('[1]CÓDIGOS DE PRODUCTO'!$D$3:$D$1000,MATCH(C2836,'[1]CÓDIGOS DE PRODUCTO'!$A$3:$A$1000,0))</f>
        <v>#N/A</v>
      </c>
      <c r="E2836">
        <f>VLOOKUP(C2836,'[1]CÓDIGOS DE PRODUCTO'!$A$4:$B$156,2,FALSE)</f>
        <v>0</v>
      </c>
      <c r="F2836">
        <f>INDEX('[1]CÓDIGOS DE PRODUCTO'!$C$3:$C$1000,MATCH(C2836,'[1]CÓDIGOS DE PRODUCTO'!$A$3:$A$1000,0))</f>
        <v>0</v>
      </c>
      <c r="G2836">
        <f>+'[1]VENTAS(RESUMEN GLOBAL)'!D2836-'[1]VENTAS(RESUMEN GLOBAL)'!E2836</f>
        <v>0</v>
      </c>
      <c r="H2836" s="9">
        <f>+'[1]VENTAS(RESUMEN GLOBAL)'!K2836</f>
        <v>0</v>
      </c>
      <c r="I2836" s="8">
        <f>+G2836*'[1]VENTAS(RESUMEN GLOBAL)'!F2836</f>
        <v>0</v>
      </c>
      <c r="J2836" s="8">
        <f>'[1]VENTAS(RESUMEN GLOBAL)'!G2836*(1-'[1]VENTAS(RESUMEN GLOBAL)'!H2836)</f>
        <v>0</v>
      </c>
      <c r="K2836" s="8">
        <f t="shared" si="44"/>
        <v>0</v>
      </c>
      <c r="L2836" s="8">
        <f>+'[1]VENTAS(RESUMEN GLOBAL)'!J2836</f>
        <v>0</v>
      </c>
      <c r="M2836" s="8">
        <f>+Tabla1[[#This Row],[utilidad x dia]]*7</f>
        <v>0</v>
      </c>
    </row>
    <row r="2837" spans="1:13" x14ac:dyDescent="0.3">
      <c r="A2837" s="6">
        <f>+'[1]VENTAS(RESUMEN GLOBAL)'!L2837</f>
        <v>0</v>
      </c>
      <c r="B2837" s="6">
        <f>+'[1]VENTAS(RESUMEN GLOBAL)'!M2837</f>
        <v>0</v>
      </c>
      <c r="C2837">
        <f>+'[1]VENTAS(RESUMEN GLOBAL)'!B2837</f>
        <v>0</v>
      </c>
      <c r="D2837" t="e">
        <f>INDEX('[1]CÓDIGOS DE PRODUCTO'!$D$3:$D$1000,MATCH(C2837,'[1]CÓDIGOS DE PRODUCTO'!$A$3:$A$1000,0))</f>
        <v>#N/A</v>
      </c>
      <c r="E2837">
        <f>VLOOKUP(C2837,'[1]CÓDIGOS DE PRODUCTO'!$A$4:$B$156,2,FALSE)</f>
        <v>0</v>
      </c>
      <c r="F2837">
        <f>INDEX('[1]CÓDIGOS DE PRODUCTO'!$C$3:$C$1000,MATCH(C2837,'[1]CÓDIGOS DE PRODUCTO'!$A$3:$A$1000,0))</f>
        <v>0</v>
      </c>
      <c r="G2837">
        <f>+'[1]VENTAS(RESUMEN GLOBAL)'!D2837-'[1]VENTAS(RESUMEN GLOBAL)'!E2837</f>
        <v>0</v>
      </c>
      <c r="H2837" s="9">
        <f>+'[1]VENTAS(RESUMEN GLOBAL)'!K2837</f>
        <v>0</v>
      </c>
      <c r="I2837" s="8">
        <f>+G2837*'[1]VENTAS(RESUMEN GLOBAL)'!F2837</f>
        <v>0</v>
      </c>
      <c r="J2837" s="8">
        <f>'[1]VENTAS(RESUMEN GLOBAL)'!G2837*(1-'[1]VENTAS(RESUMEN GLOBAL)'!H2837)</f>
        <v>0</v>
      </c>
      <c r="K2837" s="8">
        <f t="shared" si="44"/>
        <v>0</v>
      </c>
      <c r="L2837" s="8">
        <f>+'[1]VENTAS(RESUMEN GLOBAL)'!J2837</f>
        <v>0</v>
      </c>
      <c r="M2837" s="8">
        <f>+Tabla1[[#This Row],[utilidad x dia]]*7</f>
        <v>0</v>
      </c>
    </row>
    <row r="2838" spans="1:13" x14ac:dyDescent="0.3">
      <c r="A2838" s="6">
        <f>+'[1]VENTAS(RESUMEN GLOBAL)'!L2838</f>
        <v>0</v>
      </c>
      <c r="B2838" s="6">
        <f>+'[1]VENTAS(RESUMEN GLOBAL)'!M2838</f>
        <v>0</v>
      </c>
      <c r="C2838">
        <f>+'[1]VENTAS(RESUMEN GLOBAL)'!B2838</f>
        <v>0</v>
      </c>
      <c r="D2838" t="e">
        <f>INDEX('[1]CÓDIGOS DE PRODUCTO'!$D$3:$D$1000,MATCH(C2838,'[1]CÓDIGOS DE PRODUCTO'!$A$3:$A$1000,0))</f>
        <v>#N/A</v>
      </c>
      <c r="E2838">
        <f>VLOOKUP(C2838,'[1]CÓDIGOS DE PRODUCTO'!$A$4:$B$156,2,FALSE)</f>
        <v>0</v>
      </c>
      <c r="F2838">
        <f>INDEX('[1]CÓDIGOS DE PRODUCTO'!$C$3:$C$1000,MATCH(C2838,'[1]CÓDIGOS DE PRODUCTO'!$A$3:$A$1000,0))</f>
        <v>0</v>
      </c>
      <c r="G2838">
        <f>+'[1]VENTAS(RESUMEN GLOBAL)'!D2838-'[1]VENTAS(RESUMEN GLOBAL)'!E2838</f>
        <v>0</v>
      </c>
      <c r="H2838" s="9">
        <f>+'[1]VENTAS(RESUMEN GLOBAL)'!K2838</f>
        <v>0</v>
      </c>
      <c r="I2838" s="8">
        <f>+G2838*'[1]VENTAS(RESUMEN GLOBAL)'!F2838</f>
        <v>0</v>
      </c>
      <c r="J2838" s="8">
        <f>'[1]VENTAS(RESUMEN GLOBAL)'!G2838*(1-'[1]VENTAS(RESUMEN GLOBAL)'!H2838)</f>
        <v>0</v>
      </c>
      <c r="K2838" s="8">
        <f t="shared" si="44"/>
        <v>0</v>
      </c>
      <c r="L2838" s="8">
        <f>+'[1]VENTAS(RESUMEN GLOBAL)'!J2838</f>
        <v>0</v>
      </c>
      <c r="M2838" s="8">
        <f>+Tabla1[[#This Row],[utilidad x dia]]*7</f>
        <v>0</v>
      </c>
    </row>
    <row r="2839" spans="1:13" x14ac:dyDescent="0.3">
      <c r="A2839" s="6">
        <f>+'[1]VENTAS(RESUMEN GLOBAL)'!L2839</f>
        <v>0</v>
      </c>
      <c r="B2839" s="6">
        <f>+'[1]VENTAS(RESUMEN GLOBAL)'!M2839</f>
        <v>0</v>
      </c>
      <c r="C2839">
        <f>+'[1]VENTAS(RESUMEN GLOBAL)'!B2839</f>
        <v>0</v>
      </c>
      <c r="D2839" t="e">
        <f>INDEX('[1]CÓDIGOS DE PRODUCTO'!$D$3:$D$1000,MATCH(C2839,'[1]CÓDIGOS DE PRODUCTO'!$A$3:$A$1000,0))</f>
        <v>#N/A</v>
      </c>
      <c r="E2839">
        <f>VLOOKUP(C2839,'[1]CÓDIGOS DE PRODUCTO'!$A$4:$B$156,2,FALSE)</f>
        <v>0</v>
      </c>
      <c r="F2839">
        <f>INDEX('[1]CÓDIGOS DE PRODUCTO'!$C$3:$C$1000,MATCH(C2839,'[1]CÓDIGOS DE PRODUCTO'!$A$3:$A$1000,0))</f>
        <v>0</v>
      </c>
      <c r="G2839">
        <f>+'[1]VENTAS(RESUMEN GLOBAL)'!D2839-'[1]VENTAS(RESUMEN GLOBAL)'!E2839</f>
        <v>0</v>
      </c>
      <c r="H2839" s="9">
        <f>+'[1]VENTAS(RESUMEN GLOBAL)'!K2839</f>
        <v>0</v>
      </c>
      <c r="I2839" s="8">
        <f>+G2839*'[1]VENTAS(RESUMEN GLOBAL)'!F2839</f>
        <v>0</v>
      </c>
      <c r="J2839" s="8">
        <f>'[1]VENTAS(RESUMEN GLOBAL)'!G2839*(1-'[1]VENTAS(RESUMEN GLOBAL)'!H2839)</f>
        <v>0</v>
      </c>
      <c r="K2839" s="8">
        <f t="shared" si="44"/>
        <v>0</v>
      </c>
      <c r="L2839" s="8">
        <f>+'[1]VENTAS(RESUMEN GLOBAL)'!J2839</f>
        <v>0</v>
      </c>
      <c r="M2839" s="8">
        <f>+Tabla1[[#This Row],[utilidad x dia]]*7</f>
        <v>0</v>
      </c>
    </row>
    <row r="2840" spans="1:13" x14ac:dyDescent="0.3">
      <c r="A2840" s="6">
        <f>+'[1]VENTAS(RESUMEN GLOBAL)'!L2840</f>
        <v>0</v>
      </c>
      <c r="B2840" s="6">
        <f>+'[1]VENTAS(RESUMEN GLOBAL)'!M2840</f>
        <v>0</v>
      </c>
      <c r="C2840">
        <f>+'[1]VENTAS(RESUMEN GLOBAL)'!B2840</f>
        <v>0</v>
      </c>
      <c r="D2840" t="e">
        <f>INDEX('[1]CÓDIGOS DE PRODUCTO'!$D$3:$D$1000,MATCH(C2840,'[1]CÓDIGOS DE PRODUCTO'!$A$3:$A$1000,0))</f>
        <v>#N/A</v>
      </c>
      <c r="E2840">
        <f>VLOOKUP(C2840,'[1]CÓDIGOS DE PRODUCTO'!$A$4:$B$156,2,FALSE)</f>
        <v>0</v>
      </c>
      <c r="F2840">
        <f>INDEX('[1]CÓDIGOS DE PRODUCTO'!$C$3:$C$1000,MATCH(C2840,'[1]CÓDIGOS DE PRODUCTO'!$A$3:$A$1000,0))</f>
        <v>0</v>
      </c>
      <c r="G2840">
        <f>+'[1]VENTAS(RESUMEN GLOBAL)'!D2840-'[1]VENTAS(RESUMEN GLOBAL)'!E2840</f>
        <v>0</v>
      </c>
      <c r="H2840" s="9">
        <f>+'[1]VENTAS(RESUMEN GLOBAL)'!K2840</f>
        <v>0</v>
      </c>
      <c r="I2840" s="8">
        <f>+G2840*'[1]VENTAS(RESUMEN GLOBAL)'!F2840</f>
        <v>0</v>
      </c>
      <c r="J2840" s="8">
        <f>'[1]VENTAS(RESUMEN GLOBAL)'!G2840*(1-'[1]VENTAS(RESUMEN GLOBAL)'!H2840)</f>
        <v>0</v>
      </c>
      <c r="K2840" s="8">
        <f t="shared" si="44"/>
        <v>0</v>
      </c>
      <c r="L2840" s="8">
        <f>+'[1]VENTAS(RESUMEN GLOBAL)'!J2840</f>
        <v>0</v>
      </c>
      <c r="M2840" s="8">
        <f>+Tabla1[[#This Row],[utilidad x dia]]*7</f>
        <v>0</v>
      </c>
    </row>
    <row r="2841" spans="1:13" x14ac:dyDescent="0.3">
      <c r="A2841" s="6">
        <f>+'[1]VENTAS(RESUMEN GLOBAL)'!L2841</f>
        <v>0</v>
      </c>
      <c r="B2841" s="6">
        <f>+'[1]VENTAS(RESUMEN GLOBAL)'!M2841</f>
        <v>0</v>
      </c>
      <c r="C2841">
        <f>+'[1]VENTAS(RESUMEN GLOBAL)'!B2841</f>
        <v>0</v>
      </c>
      <c r="D2841" t="e">
        <f>INDEX('[1]CÓDIGOS DE PRODUCTO'!$D$3:$D$1000,MATCH(C2841,'[1]CÓDIGOS DE PRODUCTO'!$A$3:$A$1000,0))</f>
        <v>#N/A</v>
      </c>
      <c r="E2841">
        <f>VLOOKUP(C2841,'[1]CÓDIGOS DE PRODUCTO'!$A$4:$B$156,2,FALSE)</f>
        <v>0</v>
      </c>
      <c r="F2841">
        <f>INDEX('[1]CÓDIGOS DE PRODUCTO'!$C$3:$C$1000,MATCH(C2841,'[1]CÓDIGOS DE PRODUCTO'!$A$3:$A$1000,0))</f>
        <v>0</v>
      </c>
      <c r="G2841">
        <f>+'[1]VENTAS(RESUMEN GLOBAL)'!D2841-'[1]VENTAS(RESUMEN GLOBAL)'!E2841</f>
        <v>0</v>
      </c>
      <c r="H2841" s="9">
        <f>+'[1]VENTAS(RESUMEN GLOBAL)'!K2841</f>
        <v>0</v>
      </c>
      <c r="I2841" s="8">
        <f>+G2841*'[1]VENTAS(RESUMEN GLOBAL)'!F2841</f>
        <v>0</v>
      </c>
      <c r="J2841" s="8">
        <f>'[1]VENTAS(RESUMEN GLOBAL)'!G2841*(1-'[1]VENTAS(RESUMEN GLOBAL)'!H2841)</f>
        <v>0</v>
      </c>
      <c r="K2841" s="8">
        <f t="shared" si="44"/>
        <v>0</v>
      </c>
      <c r="L2841" s="8">
        <f>+'[1]VENTAS(RESUMEN GLOBAL)'!J2841</f>
        <v>0</v>
      </c>
      <c r="M2841" s="8">
        <f>+Tabla1[[#This Row],[utilidad x dia]]*7</f>
        <v>0</v>
      </c>
    </row>
    <row r="2842" spans="1:13" x14ac:dyDescent="0.3">
      <c r="A2842" s="6">
        <f>+'[1]VENTAS(RESUMEN GLOBAL)'!L2842</f>
        <v>0</v>
      </c>
      <c r="B2842" s="6">
        <f>+'[1]VENTAS(RESUMEN GLOBAL)'!M2842</f>
        <v>0</v>
      </c>
      <c r="C2842">
        <f>+'[1]VENTAS(RESUMEN GLOBAL)'!B2842</f>
        <v>0</v>
      </c>
      <c r="D2842" t="e">
        <f>INDEX('[1]CÓDIGOS DE PRODUCTO'!$D$3:$D$1000,MATCH(C2842,'[1]CÓDIGOS DE PRODUCTO'!$A$3:$A$1000,0))</f>
        <v>#N/A</v>
      </c>
      <c r="E2842">
        <f>VLOOKUP(C2842,'[1]CÓDIGOS DE PRODUCTO'!$A$4:$B$156,2,FALSE)</f>
        <v>0</v>
      </c>
      <c r="F2842">
        <f>INDEX('[1]CÓDIGOS DE PRODUCTO'!$C$3:$C$1000,MATCH(C2842,'[1]CÓDIGOS DE PRODUCTO'!$A$3:$A$1000,0))</f>
        <v>0</v>
      </c>
      <c r="G2842">
        <f>+'[1]VENTAS(RESUMEN GLOBAL)'!D2842-'[1]VENTAS(RESUMEN GLOBAL)'!E2842</f>
        <v>0</v>
      </c>
      <c r="H2842" s="9">
        <f>+'[1]VENTAS(RESUMEN GLOBAL)'!K2842</f>
        <v>0</v>
      </c>
      <c r="I2842" s="8">
        <f>+G2842*'[1]VENTAS(RESUMEN GLOBAL)'!F2842</f>
        <v>0</v>
      </c>
      <c r="J2842" s="8">
        <f>'[1]VENTAS(RESUMEN GLOBAL)'!G2842*(1-'[1]VENTAS(RESUMEN GLOBAL)'!H2842)</f>
        <v>0</v>
      </c>
      <c r="K2842" s="8">
        <f t="shared" si="44"/>
        <v>0</v>
      </c>
      <c r="L2842" s="8">
        <f>+'[1]VENTAS(RESUMEN GLOBAL)'!J2842</f>
        <v>0</v>
      </c>
      <c r="M2842" s="8">
        <f>+Tabla1[[#This Row],[utilidad x dia]]*7</f>
        <v>0</v>
      </c>
    </row>
    <row r="2843" spans="1:13" x14ac:dyDescent="0.3">
      <c r="A2843" s="6">
        <f>+'[1]VENTAS(RESUMEN GLOBAL)'!L2843</f>
        <v>0</v>
      </c>
      <c r="B2843" s="6">
        <f>+'[1]VENTAS(RESUMEN GLOBAL)'!M2843</f>
        <v>0</v>
      </c>
      <c r="C2843">
        <f>+'[1]VENTAS(RESUMEN GLOBAL)'!B2843</f>
        <v>0</v>
      </c>
      <c r="D2843" t="e">
        <f>INDEX('[1]CÓDIGOS DE PRODUCTO'!$D$3:$D$1000,MATCH(C2843,'[1]CÓDIGOS DE PRODUCTO'!$A$3:$A$1000,0))</f>
        <v>#N/A</v>
      </c>
      <c r="E2843">
        <f>VLOOKUP(C2843,'[1]CÓDIGOS DE PRODUCTO'!$A$4:$B$156,2,FALSE)</f>
        <v>0</v>
      </c>
      <c r="F2843">
        <f>INDEX('[1]CÓDIGOS DE PRODUCTO'!$C$3:$C$1000,MATCH(C2843,'[1]CÓDIGOS DE PRODUCTO'!$A$3:$A$1000,0))</f>
        <v>0</v>
      </c>
      <c r="G2843">
        <f>+'[1]VENTAS(RESUMEN GLOBAL)'!D2843-'[1]VENTAS(RESUMEN GLOBAL)'!E2843</f>
        <v>0</v>
      </c>
      <c r="H2843" s="9">
        <f>+'[1]VENTAS(RESUMEN GLOBAL)'!K2843</f>
        <v>0</v>
      </c>
      <c r="I2843" s="8">
        <f>+G2843*'[1]VENTAS(RESUMEN GLOBAL)'!F2843</f>
        <v>0</v>
      </c>
      <c r="J2843" s="8">
        <f>'[1]VENTAS(RESUMEN GLOBAL)'!G2843*(1-'[1]VENTAS(RESUMEN GLOBAL)'!H2843)</f>
        <v>0</v>
      </c>
      <c r="K2843" s="8">
        <f t="shared" si="44"/>
        <v>0</v>
      </c>
      <c r="L2843" s="8">
        <f>+'[1]VENTAS(RESUMEN GLOBAL)'!J2843</f>
        <v>0</v>
      </c>
      <c r="M2843" s="8">
        <f>+Tabla1[[#This Row],[utilidad x dia]]*7</f>
        <v>0</v>
      </c>
    </row>
    <row r="2844" spans="1:13" x14ac:dyDescent="0.3">
      <c r="A2844" s="6">
        <f>+'[1]VENTAS(RESUMEN GLOBAL)'!L2844</f>
        <v>0</v>
      </c>
      <c r="B2844" s="6">
        <f>+'[1]VENTAS(RESUMEN GLOBAL)'!M2844</f>
        <v>0</v>
      </c>
      <c r="C2844">
        <f>+'[1]VENTAS(RESUMEN GLOBAL)'!B2844</f>
        <v>0</v>
      </c>
      <c r="D2844" t="e">
        <f>INDEX('[1]CÓDIGOS DE PRODUCTO'!$D$3:$D$1000,MATCH(C2844,'[1]CÓDIGOS DE PRODUCTO'!$A$3:$A$1000,0))</f>
        <v>#N/A</v>
      </c>
      <c r="E2844">
        <f>VLOOKUP(C2844,'[1]CÓDIGOS DE PRODUCTO'!$A$4:$B$156,2,FALSE)</f>
        <v>0</v>
      </c>
      <c r="F2844">
        <f>INDEX('[1]CÓDIGOS DE PRODUCTO'!$C$3:$C$1000,MATCH(C2844,'[1]CÓDIGOS DE PRODUCTO'!$A$3:$A$1000,0))</f>
        <v>0</v>
      </c>
      <c r="G2844">
        <f>+'[1]VENTAS(RESUMEN GLOBAL)'!D2844-'[1]VENTAS(RESUMEN GLOBAL)'!E2844</f>
        <v>0</v>
      </c>
      <c r="H2844" s="9">
        <f>+'[1]VENTAS(RESUMEN GLOBAL)'!K2844</f>
        <v>0</v>
      </c>
      <c r="I2844" s="8">
        <f>+G2844*'[1]VENTAS(RESUMEN GLOBAL)'!F2844</f>
        <v>0</v>
      </c>
      <c r="J2844" s="8">
        <f>'[1]VENTAS(RESUMEN GLOBAL)'!G2844*(1-'[1]VENTAS(RESUMEN GLOBAL)'!H2844)</f>
        <v>0</v>
      </c>
      <c r="K2844" s="8">
        <f t="shared" si="44"/>
        <v>0</v>
      </c>
      <c r="L2844" s="8">
        <f>+'[1]VENTAS(RESUMEN GLOBAL)'!J2844</f>
        <v>0</v>
      </c>
      <c r="M2844" s="8">
        <f>+Tabla1[[#This Row],[utilidad x dia]]*7</f>
        <v>0</v>
      </c>
    </row>
    <row r="2845" spans="1:13" x14ac:dyDescent="0.3">
      <c r="A2845" s="6">
        <f>+'[1]VENTAS(RESUMEN GLOBAL)'!L2845</f>
        <v>0</v>
      </c>
      <c r="B2845" s="6">
        <f>+'[1]VENTAS(RESUMEN GLOBAL)'!M2845</f>
        <v>0</v>
      </c>
      <c r="C2845">
        <f>+'[1]VENTAS(RESUMEN GLOBAL)'!B2845</f>
        <v>0</v>
      </c>
      <c r="D2845" t="e">
        <f>INDEX('[1]CÓDIGOS DE PRODUCTO'!$D$3:$D$1000,MATCH(C2845,'[1]CÓDIGOS DE PRODUCTO'!$A$3:$A$1000,0))</f>
        <v>#N/A</v>
      </c>
      <c r="E2845">
        <f>VLOOKUP(C2845,'[1]CÓDIGOS DE PRODUCTO'!$A$4:$B$156,2,FALSE)</f>
        <v>0</v>
      </c>
      <c r="F2845">
        <f>INDEX('[1]CÓDIGOS DE PRODUCTO'!$C$3:$C$1000,MATCH(C2845,'[1]CÓDIGOS DE PRODUCTO'!$A$3:$A$1000,0))</f>
        <v>0</v>
      </c>
      <c r="G2845">
        <f>+'[1]VENTAS(RESUMEN GLOBAL)'!D2845-'[1]VENTAS(RESUMEN GLOBAL)'!E2845</f>
        <v>0</v>
      </c>
      <c r="H2845" s="9">
        <f>+'[1]VENTAS(RESUMEN GLOBAL)'!K2845</f>
        <v>0</v>
      </c>
      <c r="I2845" s="8">
        <f>+G2845*'[1]VENTAS(RESUMEN GLOBAL)'!F2845</f>
        <v>0</v>
      </c>
      <c r="J2845" s="8">
        <f>'[1]VENTAS(RESUMEN GLOBAL)'!G2845*(1-'[1]VENTAS(RESUMEN GLOBAL)'!H2845)</f>
        <v>0</v>
      </c>
      <c r="K2845" s="8">
        <f t="shared" si="44"/>
        <v>0</v>
      </c>
      <c r="L2845" s="8">
        <f>+'[1]VENTAS(RESUMEN GLOBAL)'!J2845</f>
        <v>0</v>
      </c>
      <c r="M2845" s="8">
        <f>+Tabla1[[#This Row],[utilidad x dia]]*7</f>
        <v>0</v>
      </c>
    </row>
    <row r="2846" spans="1:13" x14ac:dyDescent="0.3">
      <c r="A2846" s="6">
        <f>+'[1]VENTAS(RESUMEN GLOBAL)'!L2846</f>
        <v>0</v>
      </c>
      <c r="B2846" s="6">
        <f>+'[1]VENTAS(RESUMEN GLOBAL)'!M2846</f>
        <v>0</v>
      </c>
      <c r="C2846">
        <f>+'[1]VENTAS(RESUMEN GLOBAL)'!B2846</f>
        <v>0</v>
      </c>
      <c r="D2846" t="e">
        <f>INDEX('[1]CÓDIGOS DE PRODUCTO'!$D$3:$D$1000,MATCH(C2846,'[1]CÓDIGOS DE PRODUCTO'!$A$3:$A$1000,0))</f>
        <v>#N/A</v>
      </c>
      <c r="E2846">
        <f>VLOOKUP(C2846,'[1]CÓDIGOS DE PRODUCTO'!$A$4:$B$156,2,FALSE)</f>
        <v>0</v>
      </c>
      <c r="F2846">
        <f>INDEX('[1]CÓDIGOS DE PRODUCTO'!$C$3:$C$1000,MATCH(C2846,'[1]CÓDIGOS DE PRODUCTO'!$A$3:$A$1000,0))</f>
        <v>0</v>
      </c>
      <c r="G2846">
        <f>+'[1]VENTAS(RESUMEN GLOBAL)'!D2846-'[1]VENTAS(RESUMEN GLOBAL)'!E2846</f>
        <v>0</v>
      </c>
      <c r="H2846" s="9">
        <f>+'[1]VENTAS(RESUMEN GLOBAL)'!K2846</f>
        <v>0</v>
      </c>
      <c r="I2846" s="8">
        <f>+G2846*'[1]VENTAS(RESUMEN GLOBAL)'!F2846</f>
        <v>0</v>
      </c>
      <c r="J2846" s="8">
        <f>'[1]VENTAS(RESUMEN GLOBAL)'!G2846*(1-'[1]VENTAS(RESUMEN GLOBAL)'!H2846)</f>
        <v>0</v>
      </c>
      <c r="K2846" s="8">
        <f t="shared" si="44"/>
        <v>0</v>
      </c>
      <c r="L2846" s="8">
        <f>+'[1]VENTAS(RESUMEN GLOBAL)'!J2846</f>
        <v>0</v>
      </c>
      <c r="M2846" s="8">
        <f>+Tabla1[[#This Row],[utilidad x dia]]*7</f>
        <v>0</v>
      </c>
    </row>
    <row r="2847" spans="1:13" x14ac:dyDescent="0.3">
      <c r="A2847" s="6">
        <f>+'[1]VENTAS(RESUMEN GLOBAL)'!L2847</f>
        <v>0</v>
      </c>
      <c r="B2847" s="6">
        <f>+'[1]VENTAS(RESUMEN GLOBAL)'!M2847</f>
        <v>0</v>
      </c>
      <c r="C2847">
        <f>+'[1]VENTAS(RESUMEN GLOBAL)'!B2847</f>
        <v>0</v>
      </c>
      <c r="D2847" t="e">
        <f>INDEX('[1]CÓDIGOS DE PRODUCTO'!$D$3:$D$1000,MATCH(C2847,'[1]CÓDIGOS DE PRODUCTO'!$A$3:$A$1000,0))</f>
        <v>#N/A</v>
      </c>
      <c r="E2847">
        <f>VLOOKUP(C2847,'[1]CÓDIGOS DE PRODUCTO'!$A$4:$B$156,2,FALSE)</f>
        <v>0</v>
      </c>
      <c r="F2847">
        <f>INDEX('[1]CÓDIGOS DE PRODUCTO'!$C$3:$C$1000,MATCH(C2847,'[1]CÓDIGOS DE PRODUCTO'!$A$3:$A$1000,0))</f>
        <v>0</v>
      </c>
      <c r="G2847">
        <f>+'[1]VENTAS(RESUMEN GLOBAL)'!D2847-'[1]VENTAS(RESUMEN GLOBAL)'!E2847</f>
        <v>0</v>
      </c>
      <c r="H2847" s="9">
        <f>+'[1]VENTAS(RESUMEN GLOBAL)'!K2847</f>
        <v>0</v>
      </c>
      <c r="I2847" s="8">
        <f>+G2847*'[1]VENTAS(RESUMEN GLOBAL)'!F2847</f>
        <v>0</v>
      </c>
      <c r="J2847" s="8">
        <f>'[1]VENTAS(RESUMEN GLOBAL)'!G2847*(1-'[1]VENTAS(RESUMEN GLOBAL)'!H2847)</f>
        <v>0</v>
      </c>
      <c r="K2847" s="8">
        <f t="shared" si="44"/>
        <v>0</v>
      </c>
      <c r="L2847" s="8">
        <f>+'[1]VENTAS(RESUMEN GLOBAL)'!J2847</f>
        <v>0</v>
      </c>
      <c r="M2847" s="8">
        <f>+Tabla1[[#This Row],[utilidad x dia]]*7</f>
        <v>0</v>
      </c>
    </row>
    <row r="2848" spans="1:13" x14ac:dyDescent="0.3">
      <c r="A2848" s="6">
        <f>+'[1]VENTAS(RESUMEN GLOBAL)'!L2848</f>
        <v>0</v>
      </c>
      <c r="B2848" s="6">
        <f>+'[1]VENTAS(RESUMEN GLOBAL)'!M2848</f>
        <v>0</v>
      </c>
      <c r="C2848">
        <f>+'[1]VENTAS(RESUMEN GLOBAL)'!B2848</f>
        <v>0</v>
      </c>
      <c r="D2848" t="e">
        <f>INDEX('[1]CÓDIGOS DE PRODUCTO'!$D$3:$D$1000,MATCH(C2848,'[1]CÓDIGOS DE PRODUCTO'!$A$3:$A$1000,0))</f>
        <v>#N/A</v>
      </c>
      <c r="E2848">
        <f>VLOOKUP(C2848,'[1]CÓDIGOS DE PRODUCTO'!$A$4:$B$156,2,FALSE)</f>
        <v>0</v>
      </c>
      <c r="F2848">
        <f>INDEX('[1]CÓDIGOS DE PRODUCTO'!$C$3:$C$1000,MATCH(C2848,'[1]CÓDIGOS DE PRODUCTO'!$A$3:$A$1000,0))</f>
        <v>0</v>
      </c>
      <c r="G2848">
        <f>+'[1]VENTAS(RESUMEN GLOBAL)'!D2848-'[1]VENTAS(RESUMEN GLOBAL)'!E2848</f>
        <v>0</v>
      </c>
      <c r="H2848" s="9">
        <f>+'[1]VENTAS(RESUMEN GLOBAL)'!K2848</f>
        <v>0</v>
      </c>
      <c r="I2848" s="8">
        <f>+G2848*'[1]VENTAS(RESUMEN GLOBAL)'!F2848</f>
        <v>0</v>
      </c>
      <c r="J2848" s="8">
        <f>'[1]VENTAS(RESUMEN GLOBAL)'!G2848*(1-'[1]VENTAS(RESUMEN GLOBAL)'!H2848)</f>
        <v>0</v>
      </c>
      <c r="K2848" s="8">
        <f t="shared" si="44"/>
        <v>0</v>
      </c>
      <c r="L2848" s="8">
        <f>+'[1]VENTAS(RESUMEN GLOBAL)'!J2848</f>
        <v>0</v>
      </c>
      <c r="M2848" s="8">
        <f>+Tabla1[[#This Row],[utilidad x dia]]*7</f>
        <v>0</v>
      </c>
    </row>
    <row r="2849" spans="1:13" x14ac:dyDescent="0.3">
      <c r="A2849" s="6">
        <f>+'[1]VENTAS(RESUMEN GLOBAL)'!L2849</f>
        <v>0</v>
      </c>
      <c r="B2849" s="6">
        <f>+'[1]VENTAS(RESUMEN GLOBAL)'!M2849</f>
        <v>0</v>
      </c>
      <c r="C2849">
        <f>+'[1]VENTAS(RESUMEN GLOBAL)'!B2849</f>
        <v>0</v>
      </c>
      <c r="D2849" t="e">
        <f>INDEX('[1]CÓDIGOS DE PRODUCTO'!$D$3:$D$1000,MATCH(C2849,'[1]CÓDIGOS DE PRODUCTO'!$A$3:$A$1000,0))</f>
        <v>#N/A</v>
      </c>
      <c r="E2849">
        <f>VLOOKUP(C2849,'[1]CÓDIGOS DE PRODUCTO'!$A$4:$B$156,2,FALSE)</f>
        <v>0</v>
      </c>
      <c r="F2849">
        <f>INDEX('[1]CÓDIGOS DE PRODUCTO'!$C$3:$C$1000,MATCH(C2849,'[1]CÓDIGOS DE PRODUCTO'!$A$3:$A$1000,0))</f>
        <v>0</v>
      </c>
      <c r="G2849">
        <f>+'[1]VENTAS(RESUMEN GLOBAL)'!D2849-'[1]VENTAS(RESUMEN GLOBAL)'!E2849</f>
        <v>0</v>
      </c>
      <c r="H2849" s="9">
        <f>+'[1]VENTAS(RESUMEN GLOBAL)'!K2849</f>
        <v>0</v>
      </c>
      <c r="I2849" s="8">
        <f>+G2849*'[1]VENTAS(RESUMEN GLOBAL)'!F2849</f>
        <v>0</v>
      </c>
      <c r="J2849" s="8">
        <f>'[1]VENTAS(RESUMEN GLOBAL)'!G2849*(1-'[1]VENTAS(RESUMEN GLOBAL)'!H2849)</f>
        <v>0</v>
      </c>
      <c r="K2849" s="8">
        <f t="shared" si="44"/>
        <v>0</v>
      </c>
      <c r="L2849" s="8">
        <f>+'[1]VENTAS(RESUMEN GLOBAL)'!J2849</f>
        <v>0</v>
      </c>
      <c r="M2849" s="8">
        <f>+Tabla1[[#This Row],[utilidad x dia]]*7</f>
        <v>0</v>
      </c>
    </row>
    <row r="2850" spans="1:13" x14ac:dyDescent="0.3">
      <c r="A2850" s="6">
        <f>+'[1]VENTAS(RESUMEN GLOBAL)'!L2850</f>
        <v>0</v>
      </c>
      <c r="B2850" s="6">
        <f>+'[1]VENTAS(RESUMEN GLOBAL)'!M2850</f>
        <v>0</v>
      </c>
      <c r="C2850">
        <f>+'[1]VENTAS(RESUMEN GLOBAL)'!B2850</f>
        <v>0</v>
      </c>
      <c r="D2850" t="e">
        <f>INDEX('[1]CÓDIGOS DE PRODUCTO'!$D$3:$D$1000,MATCH(C2850,'[1]CÓDIGOS DE PRODUCTO'!$A$3:$A$1000,0))</f>
        <v>#N/A</v>
      </c>
      <c r="E2850">
        <f>VLOOKUP(C2850,'[1]CÓDIGOS DE PRODUCTO'!$A$4:$B$156,2,FALSE)</f>
        <v>0</v>
      </c>
      <c r="F2850">
        <f>INDEX('[1]CÓDIGOS DE PRODUCTO'!$C$3:$C$1000,MATCH(C2850,'[1]CÓDIGOS DE PRODUCTO'!$A$3:$A$1000,0))</f>
        <v>0</v>
      </c>
      <c r="G2850">
        <f>+'[1]VENTAS(RESUMEN GLOBAL)'!D2850-'[1]VENTAS(RESUMEN GLOBAL)'!E2850</f>
        <v>0</v>
      </c>
      <c r="H2850" s="9">
        <f>+'[1]VENTAS(RESUMEN GLOBAL)'!K2850</f>
        <v>0</v>
      </c>
      <c r="I2850" s="8">
        <f>+G2850*'[1]VENTAS(RESUMEN GLOBAL)'!F2850</f>
        <v>0</v>
      </c>
      <c r="J2850" s="8">
        <f>'[1]VENTAS(RESUMEN GLOBAL)'!G2850*(1-'[1]VENTAS(RESUMEN GLOBAL)'!H2850)</f>
        <v>0</v>
      </c>
      <c r="K2850" s="8">
        <f t="shared" si="44"/>
        <v>0</v>
      </c>
      <c r="L2850" s="8">
        <f>+'[1]VENTAS(RESUMEN GLOBAL)'!J2850</f>
        <v>0</v>
      </c>
      <c r="M2850" s="8">
        <f>+Tabla1[[#This Row],[utilidad x dia]]*7</f>
        <v>0</v>
      </c>
    </row>
    <row r="2851" spans="1:13" x14ac:dyDescent="0.3">
      <c r="A2851" s="6">
        <f>+'[1]VENTAS(RESUMEN GLOBAL)'!L2851</f>
        <v>0</v>
      </c>
      <c r="B2851" s="6">
        <f>+'[1]VENTAS(RESUMEN GLOBAL)'!M2851</f>
        <v>0</v>
      </c>
      <c r="C2851">
        <f>+'[1]VENTAS(RESUMEN GLOBAL)'!B2851</f>
        <v>0</v>
      </c>
      <c r="D2851" t="e">
        <f>INDEX('[1]CÓDIGOS DE PRODUCTO'!$D$3:$D$1000,MATCH(C2851,'[1]CÓDIGOS DE PRODUCTO'!$A$3:$A$1000,0))</f>
        <v>#N/A</v>
      </c>
      <c r="E2851">
        <f>VLOOKUP(C2851,'[1]CÓDIGOS DE PRODUCTO'!$A$4:$B$156,2,FALSE)</f>
        <v>0</v>
      </c>
      <c r="F2851">
        <f>INDEX('[1]CÓDIGOS DE PRODUCTO'!$C$3:$C$1000,MATCH(C2851,'[1]CÓDIGOS DE PRODUCTO'!$A$3:$A$1000,0))</f>
        <v>0</v>
      </c>
      <c r="G2851">
        <f>+'[1]VENTAS(RESUMEN GLOBAL)'!D2851-'[1]VENTAS(RESUMEN GLOBAL)'!E2851</f>
        <v>0</v>
      </c>
      <c r="H2851" s="9">
        <f>+'[1]VENTAS(RESUMEN GLOBAL)'!K2851</f>
        <v>0</v>
      </c>
      <c r="I2851" s="8">
        <f>+G2851*'[1]VENTAS(RESUMEN GLOBAL)'!F2851</f>
        <v>0</v>
      </c>
      <c r="J2851" s="8">
        <f>'[1]VENTAS(RESUMEN GLOBAL)'!G2851*(1-'[1]VENTAS(RESUMEN GLOBAL)'!H2851)</f>
        <v>0</v>
      </c>
      <c r="K2851" s="8">
        <f t="shared" si="44"/>
        <v>0</v>
      </c>
      <c r="L2851" s="8">
        <f>+'[1]VENTAS(RESUMEN GLOBAL)'!J2851</f>
        <v>0</v>
      </c>
      <c r="M2851" s="8">
        <f>+Tabla1[[#This Row],[utilidad x dia]]*7</f>
        <v>0</v>
      </c>
    </row>
    <row r="2852" spans="1:13" x14ac:dyDescent="0.3">
      <c r="A2852" s="6">
        <f>+'[1]VENTAS(RESUMEN GLOBAL)'!L2852</f>
        <v>0</v>
      </c>
      <c r="B2852" s="6">
        <f>+'[1]VENTAS(RESUMEN GLOBAL)'!M2852</f>
        <v>0</v>
      </c>
      <c r="C2852">
        <f>+'[1]VENTAS(RESUMEN GLOBAL)'!B2852</f>
        <v>0</v>
      </c>
      <c r="D2852" t="e">
        <f>INDEX('[1]CÓDIGOS DE PRODUCTO'!$D$3:$D$1000,MATCH(C2852,'[1]CÓDIGOS DE PRODUCTO'!$A$3:$A$1000,0))</f>
        <v>#N/A</v>
      </c>
      <c r="E2852">
        <f>VLOOKUP(C2852,'[1]CÓDIGOS DE PRODUCTO'!$A$4:$B$156,2,FALSE)</f>
        <v>0</v>
      </c>
      <c r="F2852">
        <f>INDEX('[1]CÓDIGOS DE PRODUCTO'!$C$3:$C$1000,MATCH(C2852,'[1]CÓDIGOS DE PRODUCTO'!$A$3:$A$1000,0))</f>
        <v>0</v>
      </c>
      <c r="G2852">
        <f>+'[1]VENTAS(RESUMEN GLOBAL)'!D2852-'[1]VENTAS(RESUMEN GLOBAL)'!E2852</f>
        <v>0</v>
      </c>
      <c r="H2852" s="9">
        <f>+'[1]VENTAS(RESUMEN GLOBAL)'!K2852</f>
        <v>0</v>
      </c>
      <c r="I2852" s="8">
        <f>+G2852*'[1]VENTAS(RESUMEN GLOBAL)'!F2852</f>
        <v>0</v>
      </c>
      <c r="J2852" s="8">
        <f>'[1]VENTAS(RESUMEN GLOBAL)'!G2852*(1-'[1]VENTAS(RESUMEN GLOBAL)'!H2852)</f>
        <v>0</v>
      </c>
      <c r="K2852" s="8">
        <f t="shared" si="44"/>
        <v>0</v>
      </c>
      <c r="L2852" s="8">
        <f>+'[1]VENTAS(RESUMEN GLOBAL)'!J2852</f>
        <v>0</v>
      </c>
      <c r="M2852" s="8">
        <f>+Tabla1[[#This Row],[utilidad x dia]]*7</f>
        <v>0</v>
      </c>
    </row>
    <row r="2853" spans="1:13" x14ac:dyDescent="0.3">
      <c r="A2853" s="6">
        <f>+'[1]VENTAS(RESUMEN GLOBAL)'!L2853</f>
        <v>0</v>
      </c>
      <c r="B2853" s="6">
        <f>+'[1]VENTAS(RESUMEN GLOBAL)'!M2853</f>
        <v>0</v>
      </c>
      <c r="C2853">
        <f>+'[1]VENTAS(RESUMEN GLOBAL)'!B2853</f>
        <v>0</v>
      </c>
      <c r="D2853" t="e">
        <f>INDEX('[1]CÓDIGOS DE PRODUCTO'!$D$3:$D$1000,MATCH(C2853,'[1]CÓDIGOS DE PRODUCTO'!$A$3:$A$1000,0))</f>
        <v>#N/A</v>
      </c>
      <c r="E2853">
        <f>VLOOKUP(C2853,'[1]CÓDIGOS DE PRODUCTO'!$A$4:$B$156,2,FALSE)</f>
        <v>0</v>
      </c>
      <c r="F2853">
        <f>INDEX('[1]CÓDIGOS DE PRODUCTO'!$C$3:$C$1000,MATCH(C2853,'[1]CÓDIGOS DE PRODUCTO'!$A$3:$A$1000,0))</f>
        <v>0</v>
      </c>
      <c r="G2853">
        <f>+'[1]VENTAS(RESUMEN GLOBAL)'!D2853-'[1]VENTAS(RESUMEN GLOBAL)'!E2853</f>
        <v>0</v>
      </c>
      <c r="H2853" s="9">
        <f>+'[1]VENTAS(RESUMEN GLOBAL)'!K2853</f>
        <v>0</v>
      </c>
      <c r="I2853" s="8">
        <f>+G2853*'[1]VENTAS(RESUMEN GLOBAL)'!F2853</f>
        <v>0</v>
      </c>
      <c r="J2853" s="8">
        <f>'[1]VENTAS(RESUMEN GLOBAL)'!G2853*(1-'[1]VENTAS(RESUMEN GLOBAL)'!H2853)</f>
        <v>0</v>
      </c>
      <c r="K2853" s="8">
        <f t="shared" si="44"/>
        <v>0</v>
      </c>
      <c r="L2853" s="8">
        <f>+'[1]VENTAS(RESUMEN GLOBAL)'!J2853</f>
        <v>0</v>
      </c>
      <c r="M2853" s="8">
        <f>+Tabla1[[#This Row],[utilidad x dia]]*7</f>
        <v>0</v>
      </c>
    </row>
    <row r="2854" spans="1:13" x14ac:dyDescent="0.3">
      <c r="A2854" s="6">
        <f>+'[1]VENTAS(RESUMEN GLOBAL)'!L2854</f>
        <v>0</v>
      </c>
      <c r="B2854" s="6">
        <f>+'[1]VENTAS(RESUMEN GLOBAL)'!M2854</f>
        <v>0</v>
      </c>
      <c r="C2854">
        <f>+'[1]VENTAS(RESUMEN GLOBAL)'!B2854</f>
        <v>0</v>
      </c>
      <c r="D2854" t="e">
        <f>INDEX('[1]CÓDIGOS DE PRODUCTO'!$D$3:$D$1000,MATCH(C2854,'[1]CÓDIGOS DE PRODUCTO'!$A$3:$A$1000,0))</f>
        <v>#N/A</v>
      </c>
      <c r="E2854">
        <f>VLOOKUP(C2854,'[1]CÓDIGOS DE PRODUCTO'!$A$4:$B$156,2,FALSE)</f>
        <v>0</v>
      </c>
      <c r="F2854">
        <f>INDEX('[1]CÓDIGOS DE PRODUCTO'!$C$3:$C$1000,MATCH(C2854,'[1]CÓDIGOS DE PRODUCTO'!$A$3:$A$1000,0))</f>
        <v>0</v>
      </c>
      <c r="G2854">
        <f>+'[1]VENTAS(RESUMEN GLOBAL)'!D2854-'[1]VENTAS(RESUMEN GLOBAL)'!E2854</f>
        <v>0</v>
      </c>
      <c r="H2854" s="9">
        <f>+'[1]VENTAS(RESUMEN GLOBAL)'!K2854</f>
        <v>0</v>
      </c>
      <c r="I2854" s="8">
        <f>+G2854*'[1]VENTAS(RESUMEN GLOBAL)'!F2854</f>
        <v>0</v>
      </c>
      <c r="J2854" s="8">
        <f>'[1]VENTAS(RESUMEN GLOBAL)'!G2854*(1-'[1]VENTAS(RESUMEN GLOBAL)'!H2854)</f>
        <v>0</v>
      </c>
      <c r="K2854" s="8">
        <f t="shared" si="44"/>
        <v>0</v>
      </c>
      <c r="L2854" s="8">
        <f>+'[1]VENTAS(RESUMEN GLOBAL)'!J2854</f>
        <v>0</v>
      </c>
      <c r="M2854" s="8">
        <f>+Tabla1[[#This Row],[utilidad x dia]]*7</f>
        <v>0</v>
      </c>
    </row>
    <row r="2855" spans="1:13" x14ac:dyDescent="0.3">
      <c r="A2855" s="6">
        <f>+'[1]VENTAS(RESUMEN GLOBAL)'!L2855</f>
        <v>0</v>
      </c>
      <c r="B2855" s="6">
        <f>+'[1]VENTAS(RESUMEN GLOBAL)'!M2855</f>
        <v>0</v>
      </c>
      <c r="C2855">
        <f>+'[1]VENTAS(RESUMEN GLOBAL)'!B2855</f>
        <v>0</v>
      </c>
      <c r="D2855" t="e">
        <f>INDEX('[1]CÓDIGOS DE PRODUCTO'!$D$3:$D$1000,MATCH(C2855,'[1]CÓDIGOS DE PRODUCTO'!$A$3:$A$1000,0))</f>
        <v>#N/A</v>
      </c>
      <c r="E2855">
        <f>VLOOKUP(C2855,'[1]CÓDIGOS DE PRODUCTO'!$A$4:$B$156,2,FALSE)</f>
        <v>0</v>
      </c>
      <c r="F2855">
        <f>INDEX('[1]CÓDIGOS DE PRODUCTO'!$C$3:$C$1000,MATCH(C2855,'[1]CÓDIGOS DE PRODUCTO'!$A$3:$A$1000,0))</f>
        <v>0</v>
      </c>
      <c r="G2855">
        <f>+'[1]VENTAS(RESUMEN GLOBAL)'!D2855-'[1]VENTAS(RESUMEN GLOBAL)'!E2855</f>
        <v>0</v>
      </c>
      <c r="H2855" s="9">
        <f>+'[1]VENTAS(RESUMEN GLOBAL)'!K2855</f>
        <v>0</v>
      </c>
      <c r="I2855" s="8">
        <f>+G2855*'[1]VENTAS(RESUMEN GLOBAL)'!F2855</f>
        <v>0</v>
      </c>
      <c r="J2855" s="8">
        <f>'[1]VENTAS(RESUMEN GLOBAL)'!G2855*(1-'[1]VENTAS(RESUMEN GLOBAL)'!H2855)</f>
        <v>0</v>
      </c>
      <c r="K2855" s="8">
        <f t="shared" si="44"/>
        <v>0</v>
      </c>
      <c r="L2855" s="8">
        <f>+'[1]VENTAS(RESUMEN GLOBAL)'!J2855</f>
        <v>0</v>
      </c>
      <c r="M2855" s="8">
        <f>+Tabla1[[#This Row],[utilidad x dia]]*7</f>
        <v>0</v>
      </c>
    </row>
    <row r="2856" spans="1:13" x14ac:dyDescent="0.3">
      <c r="A2856" s="6">
        <f>+'[1]VENTAS(RESUMEN GLOBAL)'!L2856</f>
        <v>0</v>
      </c>
      <c r="B2856" s="6">
        <f>+'[1]VENTAS(RESUMEN GLOBAL)'!M2856</f>
        <v>0</v>
      </c>
      <c r="C2856">
        <f>+'[1]VENTAS(RESUMEN GLOBAL)'!B2856</f>
        <v>0</v>
      </c>
      <c r="D2856" t="e">
        <f>INDEX('[1]CÓDIGOS DE PRODUCTO'!$D$3:$D$1000,MATCH(C2856,'[1]CÓDIGOS DE PRODUCTO'!$A$3:$A$1000,0))</f>
        <v>#N/A</v>
      </c>
      <c r="E2856">
        <f>VLOOKUP(C2856,'[1]CÓDIGOS DE PRODUCTO'!$A$4:$B$156,2,FALSE)</f>
        <v>0</v>
      </c>
      <c r="F2856">
        <f>INDEX('[1]CÓDIGOS DE PRODUCTO'!$C$3:$C$1000,MATCH(C2856,'[1]CÓDIGOS DE PRODUCTO'!$A$3:$A$1000,0))</f>
        <v>0</v>
      </c>
      <c r="G2856">
        <f>+'[1]VENTAS(RESUMEN GLOBAL)'!D2856-'[1]VENTAS(RESUMEN GLOBAL)'!E2856</f>
        <v>0</v>
      </c>
      <c r="H2856" s="9">
        <f>+'[1]VENTAS(RESUMEN GLOBAL)'!K2856</f>
        <v>0</v>
      </c>
      <c r="I2856" s="8">
        <f>+G2856*'[1]VENTAS(RESUMEN GLOBAL)'!F2856</f>
        <v>0</v>
      </c>
      <c r="J2856" s="8">
        <f>'[1]VENTAS(RESUMEN GLOBAL)'!G2856*(1-'[1]VENTAS(RESUMEN GLOBAL)'!H2856)</f>
        <v>0</v>
      </c>
      <c r="K2856" s="8">
        <f t="shared" si="44"/>
        <v>0</v>
      </c>
      <c r="L2856" s="8">
        <f>+'[1]VENTAS(RESUMEN GLOBAL)'!J2856</f>
        <v>0</v>
      </c>
      <c r="M2856" s="8">
        <f>+Tabla1[[#This Row],[utilidad x dia]]*7</f>
        <v>0</v>
      </c>
    </row>
    <row r="2857" spans="1:13" x14ac:dyDescent="0.3">
      <c r="A2857" s="6">
        <f>+'[1]VENTAS(RESUMEN GLOBAL)'!L2857</f>
        <v>0</v>
      </c>
      <c r="B2857" s="6">
        <f>+'[1]VENTAS(RESUMEN GLOBAL)'!M2857</f>
        <v>0</v>
      </c>
      <c r="C2857">
        <f>+'[1]VENTAS(RESUMEN GLOBAL)'!B2857</f>
        <v>0</v>
      </c>
      <c r="D2857" t="e">
        <f>INDEX('[1]CÓDIGOS DE PRODUCTO'!$D$3:$D$1000,MATCH(C2857,'[1]CÓDIGOS DE PRODUCTO'!$A$3:$A$1000,0))</f>
        <v>#N/A</v>
      </c>
      <c r="E2857">
        <f>VLOOKUP(C2857,'[1]CÓDIGOS DE PRODUCTO'!$A$4:$B$156,2,FALSE)</f>
        <v>0</v>
      </c>
      <c r="F2857">
        <f>INDEX('[1]CÓDIGOS DE PRODUCTO'!$C$3:$C$1000,MATCH(C2857,'[1]CÓDIGOS DE PRODUCTO'!$A$3:$A$1000,0))</f>
        <v>0</v>
      </c>
      <c r="G2857">
        <f>+'[1]VENTAS(RESUMEN GLOBAL)'!D2857-'[1]VENTAS(RESUMEN GLOBAL)'!E2857</f>
        <v>0</v>
      </c>
      <c r="H2857" s="9">
        <f>+'[1]VENTAS(RESUMEN GLOBAL)'!K2857</f>
        <v>0</v>
      </c>
      <c r="I2857" s="8">
        <f>+G2857*'[1]VENTAS(RESUMEN GLOBAL)'!F2857</f>
        <v>0</v>
      </c>
      <c r="J2857" s="8">
        <f>'[1]VENTAS(RESUMEN GLOBAL)'!G2857*(1-'[1]VENTAS(RESUMEN GLOBAL)'!H2857)</f>
        <v>0</v>
      </c>
      <c r="K2857" s="8">
        <f t="shared" si="44"/>
        <v>0</v>
      </c>
      <c r="L2857" s="8">
        <f>+'[1]VENTAS(RESUMEN GLOBAL)'!J2857</f>
        <v>0</v>
      </c>
      <c r="M2857" s="8">
        <f>+Tabla1[[#This Row],[utilidad x dia]]*7</f>
        <v>0</v>
      </c>
    </row>
    <row r="2858" spans="1:13" x14ac:dyDescent="0.3">
      <c r="A2858" s="6">
        <f>+'[1]VENTAS(RESUMEN GLOBAL)'!L2858</f>
        <v>0</v>
      </c>
      <c r="B2858" s="6">
        <f>+'[1]VENTAS(RESUMEN GLOBAL)'!M2858</f>
        <v>0</v>
      </c>
      <c r="C2858">
        <f>+'[1]VENTAS(RESUMEN GLOBAL)'!B2858</f>
        <v>0</v>
      </c>
      <c r="D2858" t="e">
        <f>INDEX('[1]CÓDIGOS DE PRODUCTO'!$D$3:$D$1000,MATCH(C2858,'[1]CÓDIGOS DE PRODUCTO'!$A$3:$A$1000,0))</f>
        <v>#N/A</v>
      </c>
      <c r="E2858">
        <f>VLOOKUP(C2858,'[1]CÓDIGOS DE PRODUCTO'!$A$4:$B$156,2,FALSE)</f>
        <v>0</v>
      </c>
      <c r="F2858">
        <f>INDEX('[1]CÓDIGOS DE PRODUCTO'!$C$3:$C$1000,MATCH(C2858,'[1]CÓDIGOS DE PRODUCTO'!$A$3:$A$1000,0))</f>
        <v>0</v>
      </c>
      <c r="G2858">
        <f>+'[1]VENTAS(RESUMEN GLOBAL)'!D2858-'[1]VENTAS(RESUMEN GLOBAL)'!E2858</f>
        <v>0</v>
      </c>
      <c r="H2858" s="9">
        <f>+'[1]VENTAS(RESUMEN GLOBAL)'!K2858</f>
        <v>0</v>
      </c>
      <c r="I2858" s="8">
        <f>+G2858*'[1]VENTAS(RESUMEN GLOBAL)'!F2858</f>
        <v>0</v>
      </c>
      <c r="J2858" s="8">
        <f>'[1]VENTAS(RESUMEN GLOBAL)'!G2858*(1-'[1]VENTAS(RESUMEN GLOBAL)'!H2858)</f>
        <v>0</v>
      </c>
      <c r="K2858" s="8">
        <f t="shared" si="44"/>
        <v>0</v>
      </c>
      <c r="L2858" s="8">
        <f>+'[1]VENTAS(RESUMEN GLOBAL)'!J2858</f>
        <v>0</v>
      </c>
      <c r="M2858" s="8">
        <f>+Tabla1[[#This Row],[utilidad x dia]]*7</f>
        <v>0</v>
      </c>
    </row>
    <row r="2859" spans="1:13" x14ac:dyDescent="0.3">
      <c r="A2859" s="6">
        <f>+'[1]VENTAS(RESUMEN GLOBAL)'!L2859</f>
        <v>0</v>
      </c>
      <c r="B2859" s="6">
        <f>+'[1]VENTAS(RESUMEN GLOBAL)'!M2859</f>
        <v>0</v>
      </c>
      <c r="C2859">
        <f>+'[1]VENTAS(RESUMEN GLOBAL)'!B2859</f>
        <v>0</v>
      </c>
      <c r="D2859" t="e">
        <f>INDEX('[1]CÓDIGOS DE PRODUCTO'!$D$3:$D$1000,MATCH(C2859,'[1]CÓDIGOS DE PRODUCTO'!$A$3:$A$1000,0))</f>
        <v>#N/A</v>
      </c>
      <c r="E2859">
        <f>VLOOKUP(C2859,'[1]CÓDIGOS DE PRODUCTO'!$A$4:$B$156,2,FALSE)</f>
        <v>0</v>
      </c>
      <c r="F2859">
        <f>INDEX('[1]CÓDIGOS DE PRODUCTO'!$C$3:$C$1000,MATCH(C2859,'[1]CÓDIGOS DE PRODUCTO'!$A$3:$A$1000,0))</f>
        <v>0</v>
      </c>
      <c r="G2859">
        <f>+'[1]VENTAS(RESUMEN GLOBAL)'!D2859-'[1]VENTAS(RESUMEN GLOBAL)'!E2859</f>
        <v>0</v>
      </c>
      <c r="H2859" s="9">
        <f>+'[1]VENTAS(RESUMEN GLOBAL)'!K2859</f>
        <v>0</v>
      </c>
      <c r="I2859" s="8">
        <f>+G2859*'[1]VENTAS(RESUMEN GLOBAL)'!F2859</f>
        <v>0</v>
      </c>
      <c r="J2859" s="8">
        <f>'[1]VENTAS(RESUMEN GLOBAL)'!G2859*(1-'[1]VENTAS(RESUMEN GLOBAL)'!H2859)</f>
        <v>0</v>
      </c>
      <c r="K2859" s="8">
        <f t="shared" si="44"/>
        <v>0</v>
      </c>
      <c r="L2859" s="8">
        <f>+'[1]VENTAS(RESUMEN GLOBAL)'!J2859</f>
        <v>0</v>
      </c>
      <c r="M2859" s="8">
        <f>+Tabla1[[#This Row],[utilidad x dia]]*7</f>
        <v>0</v>
      </c>
    </row>
    <row r="2860" spans="1:13" x14ac:dyDescent="0.3">
      <c r="A2860" s="6">
        <f>+'[1]VENTAS(RESUMEN GLOBAL)'!L2860</f>
        <v>0</v>
      </c>
      <c r="B2860" s="6">
        <f>+'[1]VENTAS(RESUMEN GLOBAL)'!M2860</f>
        <v>0</v>
      </c>
      <c r="C2860">
        <f>+'[1]VENTAS(RESUMEN GLOBAL)'!B2860</f>
        <v>0</v>
      </c>
      <c r="D2860" t="e">
        <f>INDEX('[1]CÓDIGOS DE PRODUCTO'!$D$3:$D$1000,MATCH(C2860,'[1]CÓDIGOS DE PRODUCTO'!$A$3:$A$1000,0))</f>
        <v>#N/A</v>
      </c>
      <c r="E2860">
        <f>VLOOKUP(C2860,'[1]CÓDIGOS DE PRODUCTO'!$A$4:$B$156,2,FALSE)</f>
        <v>0</v>
      </c>
      <c r="F2860">
        <f>INDEX('[1]CÓDIGOS DE PRODUCTO'!$C$3:$C$1000,MATCH(C2860,'[1]CÓDIGOS DE PRODUCTO'!$A$3:$A$1000,0))</f>
        <v>0</v>
      </c>
      <c r="G2860">
        <f>+'[1]VENTAS(RESUMEN GLOBAL)'!D2860-'[1]VENTAS(RESUMEN GLOBAL)'!E2860</f>
        <v>0</v>
      </c>
      <c r="H2860" s="9">
        <f>+'[1]VENTAS(RESUMEN GLOBAL)'!K2860</f>
        <v>0</v>
      </c>
      <c r="I2860" s="8">
        <f>+G2860*'[1]VENTAS(RESUMEN GLOBAL)'!F2860</f>
        <v>0</v>
      </c>
      <c r="J2860" s="8">
        <f>'[1]VENTAS(RESUMEN GLOBAL)'!G2860*(1-'[1]VENTAS(RESUMEN GLOBAL)'!H2860)</f>
        <v>0</v>
      </c>
      <c r="K2860" s="8">
        <f t="shared" si="44"/>
        <v>0</v>
      </c>
      <c r="L2860" s="8">
        <f>+'[1]VENTAS(RESUMEN GLOBAL)'!J2860</f>
        <v>0</v>
      </c>
      <c r="M2860" s="8">
        <f>+Tabla1[[#This Row],[utilidad x dia]]*7</f>
        <v>0</v>
      </c>
    </row>
    <row r="2861" spans="1:13" x14ac:dyDescent="0.3">
      <c r="A2861" s="6">
        <f>+'[1]VENTAS(RESUMEN GLOBAL)'!L2861</f>
        <v>0</v>
      </c>
      <c r="B2861" s="6">
        <f>+'[1]VENTAS(RESUMEN GLOBAL)'!M2861</f>
        <v>0</v>
      </c>
      <c r="C2861">
        <f>+'[1]VENTAS(RESUMEN GLOBAL)'!B2861</f>
        <v>0</v>
      </c>
      <c r="D2861" t="e">
        <f>INDEX('[1]CÓDIGOS DE PRODUCTO'!$D$3:$D$1000,MATCH(C2861,'[1]CÓDIGOS DE PRODUCTO'!$A$3:$A$1000,0))</f>
        <v>#N/A</v>
      </c>
      <c r="E2861">
        <f>VLOOKUP(C2861,'[1]CÓDIGOS DE PRODUCTO'!$A$4:$B$156,2,FALSE)</f>
        <v>0</v>
      </c>
      <c r="F2861">
        <f>INDEX('[1]CÓDIGOS DE PRODUCTO'!$C$3:$C$1000,MATCH(C2861,'[1]CÓDIGOS DE PRODUCTO'!$A$3:$A$1000,0))</f>
        <v>0</v>
      </c>
      <c r="G2861">
        <f>+'[1]VENTAS(RESUMEN GLOBAL)'!D2861-'[1]VENTAS(RESUMEN GLOBAL)'!E2861</f>
        <v>0</v>
      </c>
      <c r="H2861" s="9">
        <f>+'[1]VENTAS(RESUMEN GLOBAL)'!K2861</f>
        <v>0</v>
      </c>
      <c r="I2861" s="8">
        <f>+G2861*'[1]VENTAS(RESUMEN GLOBAL)'!F2861</f>
        <v>0</v>
      </c>
      <c r="J2861" s="8">
        <f>'[1]VENTAS(RESUMEN GLOBAL)'!G2861*(1-'[1]VENTAS(RESUMEN GLOBAL)'!H2861)</f>
        <v>0</v>
      </c>
      <c r="K2861" s="8">
        <f t="shared" si="44"/>
        <v>0</v>
      </c>
      <c r="L2861" s="8">
        <f>+'[1]VENTAS(RESUMEN GLOBAL)'!J2861</f>
        <v>0</v>
      </c>
      <c r="M2861" s="8">
        <f>+Tabla1[[#This Row],[utilidad x dia]]*7</f>
        <v>0</v>
      </c>
    </row>
    <row r="2862" spans="1:13" x14ac:dyDescent="0.3">
      <c r="A2862" s="6">
        <f>+'[1]VENTAS(RESUMEN GLOBAL)'!L2862</f>
        <v>0</v>
      </c>
      <c r="B2862" s="6">
        <f>+'[1]VENTAS(RESUMEN GLOBAL)'!M2862</f>
        <v>0</v>
      </c>
      <c r="C2862">
        <f>+'[1]VENTAS(RESUMEN GLOBAL)'!B2862</f>
        <v>0</v>
      </c>
      <c r="D2862" t="e">
        <f>INDEX('[1]CÓDIGOS DE PRODUCTO'!$D$3:$D$1000,MATCH(C2862,'[1]CÓDIGOS DE PRODUCTO'!$A$3:$A$1000,0))</f>
        <v>#N/A</v>
      </c>
      <c r="E2862">
        <f>VLOOKUP(C2862,'[1]CÓDIGOS DE PRODUCTO'!$A$4:$B$156,2,FALSE)</f>
        <v>0</v>
      </c>
      <c r="F2862">
        <f>INDEX('[1]CÓDIGOS DE PRODUCTO'!$C$3:$C$1000,MATCH(C2862,'[1]CÓDIGOS DE PRODUCTO'!$A$3:$A$1000,0))</f>
        <v>0</v>
      </c>
      <c r="G2862">
        <f>+'[1]VENTAS(RESUMEN GLOBAL)'!D2862-'[1]VENTAS(RESUMEN GLOBAL)'!E2862</f>
        <v>0</v>
      </c>
      <c r="H2862" s="9">
        <f>+'[1]VENTAS(RESUMEN GLOBAL)'!K2862</f>
        <v>0</v>
      </c>
      <c r="I2862" s="8">
        <f>+G2862*'[1]VENTAS(RESUMEN GLOBAL)'!F2862</f>
        <v>0</v>
      </c>
      <c r="J2862" s="8">
        <f>'[1]VENTAS(RESUMEN GLOBAL)'!G2862*(1-'[1]VENTAS(RESUMEN GLOBAL)'!H2862)</f>
        <v>0</v>
      </c>
      <c r="K2862" s="8">
        <f t="shared" si="44"/>
        <v>0</v>
      </c>
      <c r="L2862" s="8">
        <f>+'[1]VENTAS(RESUMEN GLOBAL)'!J2862</f>
        <v>0</v>
      </c>
      <c r="M2862" s="8">
        <f>+Tabla1[[#This Row],[utilidad x dia]]*7</f>
        <v>0</v>
      </c>
    </row>
    <row r="2863" spans="1:13" x14ac:dyDescent="0.3">
      <c r="A2863" s="6">
        <f>+'[1]VENTAS(RESUMEN GLOBAL)'!L2863</f>
        <v>0</v>
      </c>
      <c r="B2863" s="6">
        <f>+'[1]VENTAS(RESUMEN GLOBAL)'!M2863</f>
        <v>0</v>
      </c>
      <c r="C2863">
        <f>+'[1]VENTAS(RESUMEN GLOBAL)'!B2863</f>
        <v>0</v>
      </c>
      <c r="D2863" t="e">
        <f>INDEX('[1]CÓDIGOS DE PRODUCTO'!$D$3:$D$1000,MATCH(C2863,'[1]CÓDIGOS DE PRODUCTO'!$A$3:$A$1000,0))</f>
        <v>#N/A</v>
      </c>
      <c r="E2863">
        <f>VLOOKUP(C2863,'[1]CÓDIGOS DE PRODUCTO'!$A$4:$B$156,2,FALSE)</f>
        <v>0</v>
      </c>
      <c r="F2863">
        <f>INDEX('[1]CÓDIGOS DE PRODUCTO'!$C$3:$C$1000,MATCH(C2863,'[1]CÓDIGOS DE PRODUCTO'!$A$3:$A$1000,0))</f>
        <v>0</v>
      </c>
      <c r="G2863">
        <f>+'[1]VENTAS(RESUMEN GLOBAL)'!D2863-'[1]VENTAS(RESUMEN GLOBAL)'!E2863</f>
        <v>0</v>
      </c>
      <c r="H2863" s="9">
        <f>+'[1]VENTAS(RESUMEN GLOBAL)'!K2863</f>
        <v>0</v>
      </c>
      <c r="I2863" s="8">
        <f>+G2863*'[1]VENTAS(RESUMEN GLOBAL)'!F2863</f>
        <v>0</v>
      </c>
      <c r="J2863" s="8">
        <f>'[1]VENTAS(RESUMEN GLOBAL)'!G2863*(1-'[1]VENTAS(RESUMEN GLOBAL)'!H2863)</f>
        <v>0</v>
      </c>
      <c r="K2863" s="8">
        <f t="shared" si="44"/>
        <v>0</v>
      </c>
      <c r="L2863" s="8">
        <f>+'[1]VENTAS(RESUMEN GLOBAL)'!J2863</f>
        <v>0</v>
      </c>
      <c r="M2863" s="8">
        <f>+Tabla1[[#This Row],[utilidad x dia]]*7</f>
        <v>0</v>
      </c>
    </row>
    <row r="2864" spans="1:13" x14ac:dyDescent="0.3">
      <c r="A2864" s="6">
        <f>+'[1]VENTAS(RESUMEN GLOBAL)'!L2864</f>
        <v>0</v>
      </c>
      <c r="B2864" s="6">
        <f>+'[1]VENTAS(RESUMEN GLOBAL)'!M2864</f>
        <v>0</v>
      </c>
      <c r="C2864">
        <f>+'[1]VENTAS(RESUMEN GLOBAL)'!B2864</f>
        <v>0</v>
      </c>
      <c r="D2864" t="e">
        <f>INDEX('[1]CÓDIGOS DE PRODUCTO'!$D$3:$D$1000,MATCH(C2864,'[1]CÓDIGOS DE PRODUCTO'!$A$3:$A$1000,0))</f>
        <v>#N/A</v>
      </c>
      <c r="E2864">
        <f>VLOOKUP(C2864,'[1]CÓDIGOS DE PRODUCTO'!$A$4:$B$156,2,FALSE)</f>
        <v>0</v>
      </c>
      <c r="F2864">
        <f>INDEX('[1]CÓDIGOS DE PRODUCTO'!$C$3:$C$1000,MATCH(C2864,'[1]CÓDIGOS DE PRODUCTO'!$A$3:$A$1000,0))</f>
        <v>0</v>
      </c>
      <c r="G2864">
        <f>+'[1]VENTAS(RESUMEN GLOBAL)'!D2864-'[1]VENTAS(RESUMEN GLOBAL)'!E2864</f>
        <v>0</v>
      </c>
      <c r="H2864" s="9">
        <f>+'[1]VENTAS(RESUMEN GLOBAL)'!K2864</f>
        <v>0</v>
      </c>
      <c r="I2864" s="8">
        <f>+G2864*'[1]VENTAS(RESUMEN GLOBAL)'!F2864</f>
        <v>0</v>
      </c>
      <c r="J2864" s="8">
        <f>'[1]VENTAS(RESUMEN GLOBAL)'!G2864*(1-'[1]VENTAS(RESUMEN GLOBAL)'!H2864)</f>
        <v>0</v>
      </c>
      <c r="K2864" s="8">
        <f t="shared" si="44"/>
        <v>0</v>
      </c>
      <c r="L2864" s="8">
        <f>+'[1]VENTAS(RESUMEN GLOBAL)'!J2864</f>
        <v>0</v>
      </c>
      <c r="M2864" s="8">
        <f>+Tabla1[[#This Row],[utilidad x dia]]*7</f>
        <v>0</v>
      </c>
    </row>
    <row r="2865" spans="1:13" x14ac:dyDescent="0.3">
      <c r="A2865" s="6">
        <f>+'[1]VENTAS(RESUMEN GLOBAL)'!L2865</f>
        <v>0</v>
      </c>
      <c r="B2865" s="6">
        <f>+'[1]VENTAS(RESUMEN GLOBAL)'!M2865</f>
        <v>0</v>
      </c>
      <c r="C2865">
        <f>+'[1]VENTAS(RESUMEN GLOBAL)'!B2865</f>
        <v>0</v>
      </c>
      <c r="D2865" t="e">
        <f>INDEX('[1]CÓDIGOS DE PRODUCTO'!$D$3:$D$1000,MATCH(C2865,'[1]CÓDIGOS DE PRODUCTO'!$A$3:$A$1000,0))</f>
        <v>#N/A</v>
      </c>
      <c r="E2865">
        <f>VLOOKUP(C2865,'[1]CÓDIGOS DE PRODUCTO'!$A$4:$B$156,2,FALSE)</f>
        <v>0</v>
      </c>
      <c r="F2865">
        <f>INDEX('[1]CÓDIGOS DE PRODUCTO'!$C$3:$C$1000,MATCH(C2865,'[1]CÓDIGOS DE PRODUCTO'!$A$3:$A$1000,0))</f>
        <v>0</v>
      </c>
      <c r="G2865">
        <f>+'[1]VENTAS(RESUMEN GLOBAL)'!D2865-'[1]VENTAS(RESUMEN GLOBAL)'!E2865</f>
        <v>0</v>
      </c>
      <c r="H2865" s="9">
        <f>+'[1]VENTAS(RESUMEN GLOBAL)'!K2865</f>
        <v>0</v>
      </c>
      <c r="I2865" s="8">
        <f>+G2865*'[1]VENTAS(RESUMEN GLOBAL)'!F2865</f>
        <v>0</v>
      </c>
      <c r="J2865" s="8">
        <f>'[1]VENTAS(RESUMEN GLOBAL)'!G2865*(1-'[1]VENTAS(RESUMEN GLOBAL)'!H2865)</f>
        <v>0</v>
      </c>
      <c r="K2865" s="8">
        <f t="shared" si="44"/>
        <v>0</v>
      </c>
      <c r="L2865" s="8">
        <f>+'[1]VENTAS(RESUMEN GLOBAL)'!J2865</f>
        <v>0</v>
      </c>
      <c r="M2865" s="8">
        <f>+Tabla1[[#This Row],[utilidad x dia]]*7</f>
        <v>0</v>
      </c>
    </row>
    <row r="2866" spans="1:13" x14ac:dyDescent="0.3">
      <c r="A2866" s="6">
        <f>+'[1]VENTAS(RESUMEN GLOBAL)'!L2866</f>
        <v>0</v>
      </c>
      <c r="B2866" s="6">
        <f>+'[1]VENTAS(RESUMEN GLOBAL)'!M2866</f>
        <v>0</v>
      </c>
      <c r="C2866">
        <f>+'[1]VENTAS(RESUMEN GLOBAL)'!B2866</f>
        <v>0</v>
      </c>
      <c r="D2866" t="e">
        <f>INDEX('[1]CÓDIGOS DE PRODUCTO'!$D$3:$D$1000,MATCH(C2866,'[1]CÓDIGOS DE PRODUCTO'!$A$3:$A$1000,0))</f>
        <v>#N/A</v>
      </c>
      <c r="E2866">
        <f>VLOOKUP(C2866,'[1]CÓDIGOS DE PRODUCTO'!$A$4:$B$156,2,FALSE)</f>
        <v>0</v>
      </c>
      <c r="F2866">
        <f>INDEX('[1]CÓDIGOS DE PRODUCTO'!$C$3:$C$1000,MATCH(C2866,'[1]CÓDIGOS DE PRODUCTO'!$A$3:$A$1000,0))</f>
        <v>0</v>
      </c>
      <c r="G2866">
        <f>+'[1]VENTAS(RESUMEN GLOBAL)'!D2866-'[1]VENTAS(RESUMEN GLOBAL)'!E2866</f>
        <v>0</v>
      </c>
      <c r="H2866" s="9">
        <f>+'[1]VENTAS(RESUMEN GLOBAL)'!K2866</f>
        <v>0</v>
      </c>
      <c r="I2866" s="8">
        <f>+G2866*'[1]VENTAS(RESUMEN GLOBAL)'!F2866</f>
        <v>0</v>
      </c>
      <c r="J2866" s="8">
        <f>'[1]VENTAS(RESUMEN GLOBAL)'!G2866*(1-'[1]VENTAS(RESUMEN GLOBAL)'!H2866)</f>
        <v>0</v>
      </c>
      <c r="K2866" s="8">
        <f t="shared" si="44"/>
        <v>0</v>
      </c>
      <c r="L2866" s="8">
        <f>+'[1]VENTAS(RESUMEN GLOBAL)'!J2866</f>
        <v>0</v>
      </c>
      <c r="M2866" s="8">
        <f>+Tabla1[[#This Row],[utilidad x dia]]*7</f>
        <v>0</v>
      </c>
    </row>
    <row r="2867" spans="1:13" x14ac:dyDescent="0.3">
      <c r="A2867" s="6">
        <f>+'[1]VENTAS(RESUMEN GLOBAL)'!L2867</f>
        <v>0</v>
      </c>
      <c r="B2867" s="6">
        <f>+'[1]VENTAS(RESUMEN GLOBAL)'!M2867</f>
        <v>0</v>
      </c>
      <c r="C2867">
        <f>+'[1]VENTAS(RESUMEN GLOBAL)'!B2867</f>
        <v>0</v>
      </c>
      <c r="D2867" t="e">
        <f>INDEX('[1]CÓDIGOS DE PRODUCTO'!$D$3:$D$1000,MATCH(C2867,'[1]CÓDIGOS DE PRODUCTO'!$A$3:$A$1000,0))</f>
        <v>#N/A</v>
      </c>
      <c r="E2867">
        <f>VLOOKUP(C2867,'[1]CÓDIGOS DE PRODUCTO'!$A$4:$B$156,2,FALSE)</f>
        <v>0</v>
      </c>
      <c r="F2867">
        <f>INDEX('[1]CÓDIGOS DE PRODUCTO'!$C$3:$C$1000,MATCH(C2867,'[1]CÓDIGOS DE PRODUCTO'!$A$3:$A$1000,0))</f>
        <v>0</v>
      </c>
      <c r="G2867">
        <f>+'[1]VENTAS(RESUMEN GLOBAL)'!D2867-'[1]VENTAS(RESUMEN GLOBAL)'!E2867</f>
        <v>0</v>
      </c>
      <c r="H2867" s="9">
        <f>+'[1]VENTAS(RESUMEN GLOBAL)'!K2867</f>
        <v>0</v>
      </c>
      <c r="I2867" s="8">
        <f>+G2867*'[1]VENTAS(RESUMEN GLOBAL)'!F2867</f>
        <v>0</v>
      </c>
      <c r="J2867" s="8">
        <f>'[1]VENTAS(RESUMEN GLOBAL)'!G2867*(1-'[1]VENTAS(RESUMEN GLOBAL)'!H2867)</f>
        <v>0</v>
      </c>
      <c r="K2867" s="8">
        <f t="shared" si="44"/>
        <v>0</v>
      </c>
      <c r="L2867" s="8">
        <f>+'[1]VENTAS(RESUMEN GLOBAL)'!J2867</f>
        <v>0</v>
      </c>
      <c r="M2867" s="8">
        <f>+Tabla1[[#This Row],[utilidad x dia]]*7</f>
        <v>0</v>
      </c>
    </row>
    <row r="2868" spans="1:13" x14ac:dyDescent="0.3">
      <c r="A2868" s="6">
        <f>+'[1]VENTAS(RESUMEN GLOBAL)'!L2868</f>
        <v>0</v>
      </c>
      <c r="B2868" s="6">
        <f>+'[1]VENTAS(RESUMEN GLOBAL)'!M2868</f>
        <v>0</v>
      </c>
      <c r="C2868">
        <f>+'[1]VENTAS(RESUMEN GLOBAL)'!B2868</f>
        <v>0</v>
      </c>
      <c r="D2868" t="e">
        <f>INDEX('[1]CÓDIGOS DE PRODUCTO'!$D$3:$D$1000,MATCH(C2868,'[1]CÓDIGOS DE PRODUCTO'!$A$3:$A$1000,0))</f>
        <v>#N/A</v>
      </c>
      <c r="E2868">
        <f>VLOOKUP(C2868,'[1]CÓDIGOS DE PRODUCTO'!$A$4:$B$156,2,FALSE)</f>
        <v>0</v>
      </c>
      <c r="F2868">
        <f>INDEX('[1]CÓDIGOS DE PRODUCTO'!$C$3:$C$1000,MATCH(C2868,'[1]CÓDIGOS DE PRODUCTO'!$A$3:$A$1000,0))</f>
        <v>0</v>
      </c>
      <c r="G2868">
        <f>+'[1]VENTAS(RESUMEN GLOBAL)'!D2868-'[1]VENTAS(RESUMEN GLOBAL)'!E2868</f>
        <v>0</v>
      </c>
      <c r="H2868" s="9">
        <f>+'[1]VENTAS(RESUMEN GLOBAL)'!K2868</f>
        <v>0</v>
      </c>
      <c r="I2868" s="8">
        <f>+G2868*'[1]VENTAS(RESUMEN GLOBAL)'!F2868</f>
        <v>0</v>
      </c>
      <c r="J2868" s="8">
        <f>'[1]VENTAS(RESUMEN GLOBAL)'!G2868*(1-'[1]VENTAS(RESUMEN GLOBAL)'!H2868)</f>
        <v>0</v>
      </c>
      <c r="K2868" s="8">
        <f t="shared" si="44"/>
        <v>0</v>
      </c>
      <c r="L2868" s="8">
        <f>+'[1]VENTAS(RESUMEN GLOBAL)'!J2868</f>
        <v>0</v>
      </c>
      <c r="M2868" s="8">
        <f>+Tabla1[[#This Row],[utilidad x dia]]*7</f>
        <v>0</v>
      </c>
    </row>
    <row r="2869" spans="1:13" x14ac:dyDescent="0.3">
      <c r="A2869" s="6">
        <f>+'[1]VENTAS(RESUMEN GLOBAL)'!L2869</f>
        <v>0</v>
      </c>
      <c r="B2869" s="6">
        <f>+'[1]VENTAS(RESUMEN GLOBAL)'!M2869</f>
        <v>0</v>
      </c>
      <c r="C2869">
        <f>+'[1]VENTAS(RESUMEN GLOBAL)'!B2869</f>
        <v>0</v>
      </c>
      <c r="D2869" t="e">
        <f>INDEX('[1]CÓDIGOS DE PRODUCTO'!$D$3:$D$1000,MATCH(C2869,'[1]CÓDIGOS DE PRODUCTO'!$A$3:$A$1000,0))</f>
        <v>#N/A</v>
      </c>
      <c r="E2869">
        <f>VLOOKUP(C2869,'[1]CÓDIGOS DE PRODUCTO'!$A$4:$B$156,2,FALSE)</f>
        <v>0</v>
      </c>
      <c r="F2869">
        <f>INDEX('[1]CÓDIGOS DE PRODUCTO'!$C$3:$C$1000,MATCH(C2869,'[1]CÓDIGOS DE PRODUCTO'!$A$3:$A$1000,0))</f>
        <v>0</v>
      </c>
      <c r="G2869">
        <f>+'[1]VENTAS(RESUMEN GLOBAL)'!D2869-'[1]VENTAS(RESUMEN GLOBAL)'!E2869</f>
        <v>0</v>
      </c>
      <c r="H2869" s="9">
        <f>+'[1]VENTAS(RESUMEN GLOBAL)'!K2869</f>
        <v>0</v>
      </c>
      <c r="I2869" s="8">
        <f>+G2869*'[1]VENTAS(RESUMEN GLOBAL)'!F2869</f>
        <v>0</v>
      </c>
      <c r="J2869" s="8">
        <f>'[1]VENTAS(RESUMEN GLOBAL)'!G2869*(1-'[1]VENTAS(RESUMEN GLOBAL)'!H2869)</f>
        <v>0</v>
      </c>
      <c r="K2869" s="8">
        <f t="shared" si="44"/>
        <v>0</v>
      </c>
      <c r="L2869" s="8">
        <f>+'[1]VENTAS(RESUMEN GLOBAL)'!J2869</f>
        <v>0</v>
      </c>
      <c r="M2869" s="8">
        <f>+Tabla1[[#This Row],[utilidad x dia]]*7</f>
        <v>0</v>
      </c>
    </row>
    <row r="2870" spans="1:13" x14ac:dyDescent="0.3">
      <c r="A2870" s="6">
        <f>+'[1]VENTAS(RESUMEN GLOBAL)'!L2870</f>
        <v>0</v>
      </c>
      <c r="B2870" s="6">
        <f>+'[1]VENTAS(RESUMEN GLOBAL)'!M2870</f>
        <v>0</v>
      </c>
      <c r="C2870">
        <f>+'[1]VENTAS(RESUMEN GLOBAL)'!B2870</f>
        <v>0</v>
      </c>
      <c r="D2870" t="e">
        <f>INDEX('[1]CÓDIGOS DE PRODUCTO'!$D$3:$D$1000,MATCH(C2870,'[1]CÓDIGOS DE PRODUCTO'!$A$3:$A$1000,0))</f>
        <v>#N/A</v>
      </c>
      <c r="E2870">
        <f>VLOOKUP(C2870,'[1]CÓDIGOS DE PRODUCTO'!$A$4:$B$156,2,FALSE)</f>
        <v>0</v>
      </c>
      <c r="F2870">
        <f>INDEX('[1]CÓDIGOS DE PRODUCTO'!$C$3:$C$1000,MATCH(C2870,'[1]CÓDIGOS DE PRODUCTO'!$A$3:$A$1000,0))</f>
        <v>0</v>
      </c>
      <c r="G2870">
        <f>+'[1]VENTAS(RESUMEN GLOBAL)'!D2870-'[1]VENTAS(RESUMEN GLOBAL)'!E2870</f>
        <v>0</v>
      </c>
      <c r="H2870" s="9">
        <f>+'[1]VENTAS(RESUMEN GLOBAL)'!K2870</f>
        <v>0</v>
      </c>
      <c r="I2870" s="8">
        <f>+G2870*'[1]VENTAS(RESUMEN GLOBAL)'!F2870</f>
        <v>0</v>
      </c>
      <c r="J2870" s="8">
        <f>'[1]VENTAS(RESUMEN GLOBAL)'!G2870*(1-'[1]VENTAS(RESUMEN GLOBAL)'!H2870)</f>
        <v>0</v>
      </c>
      <c r="K2870" s="8">
        <f t="shared" si="44"/>
        <v>0</v>
      </c>
      <c r="L2870" s="8">
        <f>+'[1]VENTAS(RESUMEN GLOBAL)'!J2870</f>
        <v>0</v>
      </c>
      <c r="M2870" s="8">
        <f>+Tabla1[[#This Row],[utilidad x dia]]*7</f>
        <v>0</v>
      </c>
    </row>
    <row r="2871" spans="1:13" x14ac:dyDescent="0.3">
      <c r="A2871" s="6">
        <f>+'[1]VENTAS(RESUMEN GLOBAL)'!L2871</f>
        <v>0</v>
      </c>
      <c r="B2871" s="6">
        <f>+'[1]VENTAS(RESUMEN GLOBAL)'!M2871</f>
        <v>0</v>
      </c>
      <c r="C2871">
        <f>+'[1]VENTAS(RESUMEN GLOBAL)'!B2871</f>
        <v>0</v>
      </c>
      <c r="D2871" t="e">
        <f>INDEX('[1]CÓDIGOS DE PRODUCTO'!$D$3:$D$1000,MATCH(C2871,'[1]CÓDIGOS DE PRODUCTO'!$A$3:$A$1000,0))</f>
        <v>#N/A</v>
      </c>
      <c r="E2871">
        <f>VLOOKUP(C2871,'[1]CÓDIGOS DE PRODUCTO'!$A$4:$B$156,2,FALSE)</f>
        <v>0</v>
      </c>
      <c r="F2871">
        <f>INDEX('[1]CÓDIGOS DE PRODUCTO'!$C$3:$C$1000,MATCH(C2871,'[1]CÓDIGOS DE PRODUCTO'!$A$3:$A$1000,0))</f>
        <v>0</v>
      </c>
      <c r="G2871">
        <f>+'[1]VENTAS(RESUMEN GLOBAL)'!D2871-'[1]VENTAS(RESUMEN GLOBAL)'!E2871</f>
        <v>0</v>
      </c>
      <c r="H2871" s="9">
        <f>+'[1]VENTAS(RESUMEN GLOBAL)'!K2871</f>
        <v>0</v>
      </c>
      <c r="I2871" s="8">
        <f>+G2871*'[1]VENTAS(RESUMEN GLOBAL)'!F2871</f>
        <v>0</v>
      </c>
      <c r="J2871" s="8">
        <f>'[1]VENTAS(RESUMEN GLOBAL)'!G2871*(1-'[1]VENTAS(RESUMEN GLOBAL)'!H2871)</f>
        <v>0</v>
      </c>
      <c r="K2871" s="8">
        <f t="shared" si="44"/>
        <v>0</v>
      </c>
      <c r="L2871" s="8">
        <f>+'[1]VENTAS(RESUMEN GLOBAL)'!J2871</f>
        <v>0</v>
      </c>
      <c r="M2871" s="8">
        <f>+Tabla1[[#This Row],[utilidad x dia]]*7</f>
        <v>0</v>
      </c>
    </row>
    <row r="2872" spans="1:13" x14ac:dyDescent="0.3">
      <c r="A2872" s="6">
        <f>+'[1]VENTAS(RESUMEN GLOBAL)'!L2872</f>
        <v>0</v>
      </c>
      <c r="B2872" s="6">
        <f>+'[1]VENTAS(RESUMEN GLOBAL)'!M2872</f>
        <v>0</v>
      </c>
      <c r="C2872">
        <f>+'[1]VENTAS(RESUMEN GLOBAL)'!B2872</f>
        <v>0</v>
      </c>
      <c r="D2872" t="e">
        <f>INDEX('[1]CÓDIGOS DE PRODUCTO'!$D$3:$D$1000,MATCH(C2872,'[1]CÓDIGOS DE PRODUCTO'!$A$3:$A$1000,0))</f>
        <v>#N/A</v>
      </c>
      <c r="E2872">
        <f>VLOOKUP(C2872,'[1]CÓDIGOS DE PRODUCTO'!$A$4:$B$156,2,FALSE)</f>
        <v>0</v>
      </c>
      <c r="F2872">
        <f>INDEX('[1]CÓDIGOS DE PRODUCTO'!$C$3:$C$1000,MATCH(C2872,'[1]CÓDIGOS DE PRODUCTO'!$A$3:$A$1000,0))</f>
        <v>0</v>
      </c>
      <c r="G2872">
        <f>+'[1]VENTAS(RESUMEN GLOBAL)'!D2872-'[1]VENTAS(RESUMEN GLOBAL)'!E2872</f>
        <v>0</v>
      </c>
      <c r="H2872" s="9">
        <f>+'[1]VENTAS(RESUMEN GLOBAL)'!K2872</f>
        <v>0</v>
      </c>
      <c r="I2872" s="8">
        <f>+G2872*'[1]VENTAS(RESUMEN GLOBAL)'!F2872</f>
        <v>0</v>
      </c>
      <c r="J2872" s="8">
        <f>'[1]VENTAS(RESUMEN GLOBAL)'!G2872*(1-'[1]VENTAS(RESUMEN GLOBAL)'!H2872)</f>
        <v>0</v>
      </c>
      <c r="K2872" s="8">
        <f t="shared" si="44"/>
        <v>0</v>
      </c>
      <c r="L2872" s="8">
        <f>+'[1]VENTAS(RESUMEN GLOBAL)'!J2872</f>
        <v>0</v>
      </c>
      <c r="M2872" s="8">
        <f>+Tabla1[[#This Row],[utilidad x dia]]*7</f>
        <v>0</v>
      </c>
    </row>
    <row r="2873" spans="1:13" x14ac:dyDescent="0.3">
      <c r="A2873" s="6">
        <f>+'[1]VENTAS(RESUMEN GLOBAL)'!L2873</f>
        <v>0</v>
      </c>
      <c r="B2873" s="6">
        <f>+'[1]VENTAS(RESUMEN GLOBAL)'!M2873</f>
        <v>0</v>
      </c>
      <c r="C2873">
        <f>+'[1]VENTAS(RESUMEN GLOBAL)'!B2873</f>
        <v>0</v>
      </c>
      <c r="D2873" t="e">
        <f>INDEX('[1]CÓDIGOS DE PRODUCTO'!$D$3:$D$1000,MATCH(C2873,'[1]CÓDIGOS DE PRODUCTO'!$A$3:$A$1000,0))</f>
        <v>#N/A</v>
      </c>
      <c r="E2873">
        <f>VLOOKUP(C2873,'[1]CÓDIGOS DE PRODUCTO'!$A$4:$B$156,2,FALSE)</f>
        <v>0</v>
      </c>
      <c r="F2873">
        <f>INDEX('[1]CÓDIGOS DE PRODUCTO'!$C$3:$C$1000,MATCH(C2873,'[1]CÓDIGOS DE PRODUCTO'!$A$3:$A$1000,0))</f>
        <v>0</v>
      </c>
      <c r="G2873">
        <f>+'[1]VENTAS(RESUMEN GLOBAL)'!D2873-'[1]VENTAS(RESUMEN GLOBAL)'!E2873</f>
        <v>0</v>
      </c>
      <c r="H2873" s="9">
        <f>+'[1]VENTAS(RESUMEN GLOBAL)'!K2873</f>
        <v>0</v>
      </c>
      <c r="I2873" s="8">
        <f>+G2873*'[1]VENTAS(RESUMEN GLOBAL)'!F2873</f>
        <v>0</v>
      </c>
      <c r="J2873" s="8">
        <f>'[1]VENTAS(RESUMEN GLOBAL)'!G2873*(1-'[1]VENTAS(RESUMEN GLOBAL)'!H2873)</f>
        <v>0</v>
      </c>
      <c r="K2873" s="8">
        <f t="shared" si="44"/>
        <v>0</v>
      </c>
      <c r="L2873" s="8">
        <f>+'[1]VENTAS(RESUMEN GLOBAL)'!J2873</f>
        <v>0</v>
      </c>
      <c r="M2873" s="8">
        <f>+Tabla1[[#This Row],[utilidad x dia]]*7</f>
        <v>0</v>
      </c>
    </row>
    <row r="2874" spans="1:13" x14ac:dyDescent="0.3">
      <c r="A2874" s="6">
        <f>+'[1]VENTAS(RESUMEN GLOBAL)'!L2874</f>
        <v>0</v>
      </c>
      <c r="B2874" s="6">
        <f>+'[1]VENTAS(RESUMEN GLOBAL)'!M2874</f>
        <v>0</v>
      </c>
      <c r="C2874">
        <f>+'[1]VENTAS(RESUMEN GLOBAL)'!B2874</f>
        <v>0</v>
      </c>
      <c r="D2874" t="e">
        <f>INDEX('[1]CÓDIGOS DE PRODUCTO'!$D$3:$D$1000,MATCH(C2874,'[1]CÓDIGOS DE PRODUCTO'!$A$3:$A$1000,0))</f>
        <v>#N/A</v>
      </c>
      <c r="E2874">
        <f>VLOOKUP(C2874,'[1]CÓDIGOS DE PRODUCTO'!$A$4:$B$156,2,FALSE)</f>
        <v>0</v>
      </c>
      <c r="F2874">
        <f>INDEX('[1]CÓDIGOS DE PRODUCTO'!$C$3:$C$1000,MATCH(C2874,'[1]CÓDIGOS DE PRODUCTO'!$A$3:$A$1000,0))</f>
        <v>0</v>
      </c>
      <c r="G2874">
        <f>+'[1]VENTAS(RESUMEN GLOBAL)'!D2874-'[1]VENTAS(RESUMEN GLOBAL)'!E2874</f>
        <v>0</v>
      </c>
      <c r="H2874" s="9">
        <f>+'[1]VENTAS(RESUMEN GLOBAL)'!K2874</f>
        <v>0</v>
      </c>
      <c r="I2874" s="8">
        <f>+G2874*'[1]VENTAS(RESUMEN GLOBAL)'!F2874</f>
        <v>0</v>
      </c>
      <c r="J2874" s="8">
        <f>'[1]VENTAS(RESUMEN GLOBAL)'!G2874*(1-'[1]VENTAS(RESUMEN GLOBAL)'!H2874)</f>
        <v>0</v>
      </c>
      <c r="K2874" s="8">
        <f t="shared" si="44"/>
        <v>0</v>
      </c>
      <c r="L2874" s="8">
        <f>+'[1]VENTAS(RESUMEN GLOBAL)'!J2874</f>
        <v>0</v>
      </c>
      <c r="M2874" s="8">
        <f>+Tabla1[[#This Row],[utilidad x dia]]*7</f>
        <v>0</v>
      </c>
    </row>
    <row r="2875" spans="1:13" x14ac:dyDescent="0.3">
      <c r="A2875" s="6">
        <f>+'[1]VENTAS(RESUMEN GLOBAL)'!L2875</f>
        <v>0</v>
      </c>
      <c r="B2875" s="6">
        <f>+'[1]VENTAS(RESUMEN GLOBAL)'!M2875</f>
        <v>0</v>
      </c>
      <c r="C2875">
        <f>+'[1]VENTAS(RESUMEN GLOBAL)'!B2875</f>
        <v>0</v>
      </c>
      <c r="D2875" t="e">
        <f>INDEX('[1]CÓDIGOS DE PRODUCTO'!$D$3:$D$1000,MATCH(C2875,'[1]CÓDIGOS DE PRODUCTO'!$A$3:$A$1000,0))</f>
        <v>#N/A</v>
      </c>
      <c r="E2875">
        <f>VLOOKUP(C2875,'[1]CÓDIGOS DE PRODUCTO'!$A$4:$B$156,2,FALSE)</f>
        <v>0</v>
      </c>
      <c r="F2875">
        <f>INDEX('[1]CÓDIGOS DE PRODUCTO'!$C$3:$C$1000,MATCH(C2875,'[1]CÓDIGOS DE PRODUCTO'!$A$3:$A$1000,0))</f>
        <v>0</v>
      </c>
      <c r="G2875">
        <f>+'[1]VENTAS(RESUMEN GLOBAL)'!D2875-'[1]VENTAS(RESUMEN GLOBAL)'!E2875</f>
        <v>0</v>
      </c>
      <c r="H2875" s="9">
        <f>+'[1]VENTAS(RESUMEN GLOBAL)'!K2875</f>
        <v>0</v>
      </c>
      <c r="I2875" s="8">
        <f>+G2875*'[1]VENTAS(RESUMEN GLOBAL)'!F2875</f>
        <v>0</v>
      </c>
      <c r="J2875" s="8">
        <f>'[1]VENTAS(RESUMEN GLOBAL)'!G2875*(1-'[1]VENTAS(RESUMEN GLOBAL)'!H2875)</f>
        <v>0</v>
      </c>
      <c r="K2875" s="8">
        <f t="shared" si="44"/>
        <v>0</v>
      </c>
      <c r="L2875" s="8">
        <f>+'[1]VENTAS(RESUMEN GLOBAL)'!J2875</f>
        <v>0</v>
      </c>
      <c r="M2875" s="8">
        <f>+Tabla1[[#This Row],[utilidad x dia]]*7</f>
        <v>0</v>
      </c>
    </row>
    <row r="2876" spans="1:13" x14ac:dyDescent="0.3">
      <c r="A2876" s="6">
        <f>+'[1]VENTAS(RESUMEN GLOBAL)'!L2876</f>
        <v>0</v>
      </c>
      <c r="B2876" s="6">
        <f>+'[1]VENTAS(RESUMEN GLOBAL)'!M2876</f>
        <v>0</v>
      </c>
      <c r="C2876">
        <f>+'[1]VENTAS(RESUMEN GLOBAL)'!B2876</f>
        <v>0</v>
      </c>
      <c r="D2876" t="e">
        <f>INDEX('[1]CÓDIGOS DE PRODUCTO'!$D$3:$D$1000,MATCH(C2876,'[1]CÓDIGOS DE PRODUCTO'!$A$3:$A$1000,0))</f>
        <v>#N/A</v>
      </c>
      <c r="E2876">
        <f>VLOOKUP(C2876,'[1]CÓDIGOS DE PRODUCTO'!$A$4:$B$156,2,FALSE)</f>
        <v>0</v>
      </c>
      <c r="F2876">
        <f>INDEX('[1]CÓDIGOS DE PRODUCTO'!$C$3:$C$1000,MATCH(C2876,'[1]CÓDIGOS DE PRODUCTO'!$A$3:$A$1000,0))</f>
        <v>0</v>
      </c>
      <c r="G2876">
        <f>+'[1]VENTAS(RESUMEN GLOBAL)'!D2876-'[1]VENTAS(RESUMEN GLOBAL)'!E2876</f>
        <v>0</v>
      </c>
      <c r="H2876" s="9">
        <f>+'[1]VENTAS(RESUMEN GLOBAL)'!K2876</f>
        <v>0</v>
      </c>
      <c r="I2876" s="8">
        <f>+G2876*'[1]VENTAS(RESUMEN GLOBAL)'!F2876</f>
        <v>0</v>
      </c>
      <c r="J2876" s="8">
        <f>'[1]VENTAS(RESUMEN GLOBAL)'!G2876*(1-'[1]VENTAS(RESUMEN GLOBAL)'!H2876)</f>
        <v>0</v>
      </c>
      <c r="K2876" s="8">
        <f t="shared" si="44"/>
        <v>0</v>
      </c>
      <c r="L2876" s="8">
        <f>+'[1]VENTAS(RESUMEN GLOBAL)'!J2876</f>
        <v>0</v>
      </c>
      <c r="M2876" s="8">
        <f>+Tabla1[[#This Row],[utilidad x dia]]*7</f>
        <v>0</v>
      </c>
    </row>
    <row r="2877" spans="1:13" x14ac:dyDescent="0.3">
      <c r="A2877" s="6">
        <f>+'[1]VENTAS(RESUMEN GLOBAL)'!L2877</f>
        <v>0</v>
      </c>
      <c r="B2877" s="6">
        <f>+'[1]VENTAS(RESUMEN GLOBAL)'!M2877</f>
        <v>0</v>
      </c>
      <c r="C2877">
        <f>+'[1]VENTAS(RESUMEN GLOBAL)'!B2877</f>
        <v>0</v>
      </c>
      <c r="D2877" t="e">
        <f>INDEX('[1]CÓDIGOS DE PRODUCTO'!$D$3:$D$1000,MATCH(C2877,'[1]CÓDIGOS DE PRODUCTO'!$A$3:$A$1000,0))</f>
        <v>#N/A</v>
      </c>
      <c r="E2877">
        <f>VLOOKUP(C2877,'[1]CÓDIGOS DE PRODUCTO'!$A$4:$B$156,2,FALSE)</f>
        <v>0</v>
      </c>
      <c r="F2877">
        <f>INDEX('[1]CÓDIGOS DE PRODUCTO'!$C$3:$C$1000,MATCH(C2877,'[1]CÓDIGOS DE PRODUCTO'!$A$3:$A$1000,0))</f>
        <v>0</v>
      </c>
      <c r="G2877">
        <f>+'[1]VENTAS(RESUMEN GLOBAL)'!D2877-'[1]VENTAS(RESUMEN GLOBAL)'!E2877</f>
        <v>0</v>
      </c>
      <c r="H2877" s="9">
        <f>+'[1]VENTAS(RESUMEN GLOBAL)'!K2877</f>
        <v>0</v>
      </c>
      <c r="I2877" s="8">
        <f>+G2877*'[1]VENTAS(RESUMEN GLOBAL)'!F2877</f>
        <v>0</v>
      </c>
      <c r="J2877" s="8">
        <f>'[1]VENTAS(RESUMEN GLOBAL)'!G2877*(1-'[1]VENTAS(RESUMEN GLOBAL)'!H2877)</f>
        <v>0</v>
      </c>
      <c r="K2877" s="8">
        <f t="shared" si="44"/>
        <v>0</v>
      </c>
      <c r="L2877" s="8">
        <f>+'[1]VENTAS(RESUMEN GLOBAL)'!J2877</f>
        <v>0</v>
      </c>
      <c r="M2877" s="8">
        <f>+Tabla1[[#This Row],[utilidad x dia]]*7</f>
        <v>0</v>
      </c>
    </row>
    <row r="2878" spans="1:13" x14ac:dyDescent="0.3">
      <c r="A2878" s="6">
        <f>+'[1]VENTAS(RESUMEN GLOBAL)'!L2878</f>
        <v>0</v>
      </c>
      <c r="B2878" s="6">
        <f>+'[1]VENTAS(RESUMEN GLOBAL)'!M2878</f>
        <v>0</v>
      </c>
      <c r="C2878">
        <f>+'[1]VENTAS(RESUMEN GLOBAL)'!B2878</f>
        <v>0</v>
      </c>
      <c r="D2878" t="e">
        <f>INDEX('[1]CÓDIGOS DE PRODUCTO'!$D$3:$D$1000,MATCH(C2878,'[1]CÓDIGOS DE PRODUCTO'!$A$3:$A$1000,0))</f>
        <v>#N/A</v>
      </c>
      <c r="E2878">
        <f>VLOOKUP(C2878,'[1]CÓDIGOS DE PRODUCTO'!$A$4:$B$156,2,FALSE)</f>
        <v>0</v>
      </c>
      <c r="F2878">
        <f>INDEX('[1]CÓDIGOS DE PRODUCTO'!$C$3:$C$1000,MATCH(C2878,'[1]CÓDIGOS DE PRODUCTO'!$A$3:$A$1000,0))</f>
        <v>0</v>
      </c>
      <c r="G2878">
        <f>+'[1]VENTAS(RESUMEN GLOBAL)'!D2878-'[1]VENTAS(RESUMEN GLOBAL)'!E2878</f>
        <v>0</v>
      </c>
      <c r="H2878" s="9">
        <f>+'[1]VENTAS(RESUMEN GLOBAL)'!K2878</f>
        <v>0</v>
      </c>
      <c r="I2878" s="8">
        <f>+G2878*'[1]VENTAS(RESUMEN GLOBAL)'!F2878</f>
        <v>0</v>
      </c>
      <c r="J2878" s="8">
        <f>'[1]VENTAS(RESUMEN GLOBAL)'!G2878*(1-'[1]VENTAS(RESUMEN GLOBAL)'!H2878)</f>
        <v>0</v>
      </c>
      <c r="K2878" s="8">
        <f t="shared" si="44"/>
        <v>0</v>
      </c>
      <c r="L2878" s="8">
        <f>+'[1]VENTAS(RESUMEN GLOBAL)'!J2878</f>
        <v>0</v>
      </c>
      <c r="M2878" s="8">
        <f>+Tabla1[[#This Row],[utilidad x dia]]*7</f>
        <v>0</v>
      </c>
    </row>
    <row r="2879" spans="1:13" x14ac:dyDescent="0.3">
      <c r="A2879" s="6">
        <f>+'[1]VENTAS(RESUMEN GLOBAL)'!L2879</f>
        <v>0</v>
      </c>
      <c r="B2879" s="6">
        <f>+'[1]VENTAS(RESUMEN GLOBAL)'!M2879</f>
        <v>0</v>
      </c>
      <c r="C2879">
        <f>+'[1]VENTAS(RESUMEN GLOBAL)'!B2879</f>
        <v>0</v>
      </c>
      <c r="D2879" t="e">
        <f>INDEX('[1]CÓDIGOS DE PRODUCTO'!$D$3:$D$1000,MATCH(C2879,'[1]CÓDIGOS DE PRODUCTO'!$A$3:$A$1000,0))</f>
        <v>#N/A</v>
      </c>
      <c r="E2879">
        <f>VLOOKUP(C2879,'[1]CÓDIGOS DE PRODUCTO'!$A$4:$B$156,2,FALSE)</f>
        <v>0</v>
      </c>
      <c r="F2879">
        <f>INDEX('[1]CÓDIGOS DE PRODUCTO'!$C$3:$C$1000,MATCH(C2879,'[1]CÓDIGOS DE PRODUCTO'!$A$3:$A$1000,0))</f>
        <v>0</v>
      </c>
      <c r="G2879">
        <f>+'[1]VENTAS(RESUMEN GLOBAL)'!D2879-'[1]VENTAS(RESUMEN GLOBAL)'!E2879</f>
        <v>0</v>
      </c>
      <c r="H2879" s="9">
        <f>+'[1]VENTAS(RESUMEN GLOBAL)'!K2879</f>
        <v>0</v>
      </c>
      <c r="I2879" s="8">
        <f>+G2879*'[1]VENTAS(RESUMEN GLOBAL)'!F2879</f>
        <v>0</v>
      </c>
      <c r="J2879" s="8">
        <f>'[1]VENTAS(RESUMEN GLOBAL)'!G2879*(1-'[1]VENTAS(RESUMEN GLOBAL)'!H2879)</f>
        <v>0</v>
      </c>
      <c r="K2879" s="8">
        <f t="shared" si="44"/>
        <v>0</v>
      </c>
      <c r="L2879" s="8">
        <f>+'[1]VENTAS(RESUMEN GLOBAL)'!J2879</f>
        <v>0</v>
      </c>
      <c r="M2879" s="8">
        <f>+Tabla1[[#This Row],[utilidad x dia]]*7</f>
        <v>0</v>
      </c>
    </row>
    <row r="2880" spans="1:13" x14ac:dyDescent="0.3">
      <c r="A2880" s="6">
        <f>+'[1]VENTAS(RESUMEN GLOBAL)'!L2880</f>
        <v>0</v>
      </c>
      <c r="B2880" s="6">
        <f>+'[1]VENTAS(RESUMEN GLOBAL)'!M2880</f>
        <v>0</v>
      </c>
      <c r="C2880">
        <f>+'[1]VENTAS(RESUMEN GLOBAL)'!B2880</f>
        <v>0</v>
      </c>
      <c r="D2880" t="e">
        <f>INDEX('[1]CÓDIGOS DE PRODUCTO'!$D$3:$D$1000,MATCH(C2880,'[1]CÓDIGOS DE PRODUCTO'!$A$3:$A$1000,0))</f>
        <v>#N/A</v>
      </c>
      <c r="E2880">
        <f>VLOOKUP(C2880,'[1]CÓDIGOS DE PRODUCTO'!$A$4:$B$156,2,FALSE)</f>
        <v>0</v>
      </c>
      <c r="F2880">
        <f>INDEX('[1]CÓDIGOS DE PRODUCTO'!$C$3:$C$1000,MATCH(C2880,'[1]CÓDIGOS DE PRODUCTO'!$A$3:$A$1000,0))</f>
        <v>0</v>
      </c>
      <c r="G2880">
        <f>+'[1]VENTAS(RESUMEN GLOBAL)'!D2880-'[1]VENTAS(RESUMEN GLOBAL)'!E2880</f>
        <v>0</v>
      </c>
      <c r="H2880" s="9">
        <f>+'[1]VENTAS(RESUMEN GLOBAL)'!K2880</f>
        <v>0</v>
      </c>
      <c r="I2880" s="8">
        <f>+G2880*'[1]VENTAS(RESUMEN GLOBAL)'!F2880</f>
        <v>0</v>
      </c>
      <c r="J2880" s="8">
        <f>'[1]VENTAS(RESUMEN GLOBAL)'!G2880*(1-'[1]VENTAS(RESUMEN GLOBAL)'!H2880)</f>
        <v>0</v>
      </c>
      <c r="K2880" s="8">
        <f t="shared" si="44"/>
        <v>0</v>
      </c>
      <c r="L2880" s="8">
        <f>+'[1]VENTAS(RESUMEN GLOBAL)'!J2880</f>
        <v>0</v>
      </c>
      <c r="M2880" s="8">
        <f>+Tabla1[[#This Row],[utilidad x dia]]*7</f>
        <v>0</v>
      </c>
    </row>
    <row r="2881" spans="1:13" x14ac:dyDescent="0.3">
      <c r="A2881" s="6">
        <f>+'[1]VENTAS(RESUMEN GLOBAL)'!L2881</f>
        <v>0</v>
      </c>
      <c r="B2881" s="6">
        <f>+'[1]VENTAS(RESUMEN GLOBAL)'!M2881</f>
        <v>0</v>
      </c>
      <c r="C2881">
        <f>+'[1]VENTAS(RESUMEN GLOBAL)'!B2881</f>
        <v>0</v>
      </c>
      <c r="D2881" t="e">
        <f>INDEX('[1]CÓDIGOS DE PRODUCTO'!$D$3:$D$1000,MATCH(C2881,'[1]CÓDIGOS DE PRODUCTO'!$A$3:$A$1000,0))</f>
        <v>#N/A</v>
      </c>
      <c r="E2881">
        <f>VLOOKUP(C2881,'[1]CÓDIGOS DE PRODUCTO'!$A$4:$B$156,2,FALSE)</f>
        <v>0</v>
      </c>
      <c r="F2881">
        <f>INDEX('[1]CÓDIGOS DE PRODUCTO'!$C$3:$C$1000,MATCH(C2881,'[1]CÓDIGOS DE PRODUCTO'!$A$3:$A$1000,0))</f>
        <v>0</v>
      </c>
      <c r="G2881">
        <f>+'[1]VENTAS(RESUMEN GLOBAL)'!D2881-'[1]VENTAS(RESUMEN GLOBAL)'!E2881</f>
        <v>0</v>
      </c>
      <c r="H2881" s="9">
        <f>+'[1]VENTAS(RESUMEN GLOBAL)'!K2881</f>
        <v>0</v>
      </c>
      <c r="I2881" s="8">
        <f>+G2881*'[1]VENTAS(RESUMEN GLOBAL)'!F2881</f>
        <v>0</v>
      </c>
      <c r="J2881" s="8">
        <f>'[1]VENTAS(RESUMEN GLOBAL)'!G2881*(1-'[1]VENTAS(RESUMEN GLOBAL)'!H2881)</f>
        <v>0</v>
      </c>
      <c r="K2881" s="8">
        <f t="shared" si="44"/>
        <v>0</v>
      </c>
      <c r="L2881" s="8">
        <f>+'[1]VENTAS(RESUMEN GLOBAL)'!J2881</f>
        <v>0</v>
      </c>
      <c r="M2881" s="8">
        <f>+Tabla1[[#This Row],[utilidad x dia]]*7</f>
        <v>0</v>
      </c>
    </row>
    <row r="2882" spans="1:13" x14ac:dyDescent="0.3">
      <c r="A2882" s="6">
        <f>+'[1]VENTAS(RESUMEN GLOBAL)'!L2882</f>
        <v>0</v>
      </c>
      <c r="B2882" s="6">
        <f>+'[1]VENTAS(RESUMEN GLOBAL)'!M2882</f>
        <v>0</v>
      </c>
      <c r="C2882">
        <f>+'[1]VENTAS(RESUMEN GLOBAL)'!B2882</f>
        <v>0</v>
      </c>
      <c r="D2882" t="e">
        <f>INDEX('[1]CÓDIGOS DE PRODUCTO'!$D$3:$D$1000,MATCH(C2882,'[1]CÓDIGOS DE PRODUCTO'!$A$3:$A$1000,0))</f>
        <v>#N/A</v>
      </c>
      <c r="E2882">
        <f>VLOOKUP(C2882,'[1]CÓDIGOS DE PRODUCTO'!$A$4:$B$156,2,FALSE)</f>
        <v>0</v>
      </c>
      <c r="F2882">
        <f>INDEX('[1]CÓDIGOS DE PRODUCTO'!$C$3:$C$1000,MATCH(C2882,'[1]CÓDIGOS DE PRODUCTO'!$A$3:$A$1000,0))</f>
        <v>0</v>
      </c>
      <c r="G2882">
        <f>+'[1]VENTAS(RESUMEN GLOBAL)'!D2882-'[1]VENTAS(RESUMEN GLOBAL)'!E2882</f>
        <v>0</v>
      </c>
      <c r="H2882" s="9">
        <f>+'[1]VENTAS(RESUMEN GLOBAL)'!K2882</f>
        <v>0</v>
      </c>
      <c r="I2882" s="8">
        <f>+G2882*'[1]VENTAS(RESUMEN GLOBAL)'!F2882</f>
        <v>0</v>
      </c>
      <c r="J2882" s="8">
        <f>'[1]VENTAS(RESUMEN GLOBAL)'!G2882*(1-'[1]VENTAS(RESUMEN GLOBAL)'!H2882)</f>
        <v>0</v>
      </c>
      <c r="K2882" s="8">
        <f t="shared" si="44"/>
        <v>0</v>
      </c>
      <c r="L2882" s="8">
        <f>+'[1]VENTAS(RESUMEN GLOBAL)'!J2882</f>
        <v>0</v>
      </c>
      <c r="M2882" s="8">
        <f>+Tabla1[[#This Row],[utilidad x dia]]*7</f>
        <v>0</v>
      </c>
    </row>
    <row r="2883" spans="1:13" x14ac:dyDescent="0.3">
      <c r="A2883" s="6">
        <f>+'[1]VENTAS(RESUMEN GLOBAL)'!L2883</f>
        <v>0</v>
      </c>
      <c r="B2883" s="6">
        <f>+'[1]VENTAS(RESUMEN GLOBAL)'!M2883</f>
        <v>0</v>
      </c>
      <c r="C2883">
        <f>+'[1]VENTAS(RESUMEN GLOBAL)'!B2883</f>
        <v>0</v>
      </c>
      <c r="D2883" t="e">
        <f>INDEX('[1]CÓDIGOS DE PRODUCTO'!$D$3:$D$1000,MATCH(C2883,'[1]CÓDIGOS DE PRODUCTO'!$A$3:$A$1000,0))</f>
        <v>#N/A</v>
      </c>
      <c r="E2883">
        <f>VLOOKUP(C2883,'[1]CÓDIGOS DE PRODUCTO'!$A$4:$B$156,2,FALSE)</f>
        <v>0</v>
      </c>
      <c r="F2883">
        <f>INDEX('[1]CÓDIGOS DE PRODUCTO'!$C$3:$C$1000,MATCH(C2883,'[1]CÓDIGOS DE PRODUCTO'!$A$3:$A$1000,0))</f>
        <v>0</v>
      </c>
      <c r="G2883">
        <f>+'[1]VENTAS(RESUMEN GLOBAL)'!D2883-'[1]VENTAS(RESUMEN GLOBAL)'!E2883</f>
        <v>0</v>
      </c>
      <c r="H2883" s="9">
        <f>+'[1]VENTAS(RESUMEN GLOBAL)'!K2883</f>
        <v>0</v>
      </c>
      <c r="I2883" s="8">
        <f>+G2883*'[1]VENTAS(RESUMEN GLOBAL)'!F2883</f>
        <v>0</v>
      </c>
      <c r="J2883" s="8">
        <f>'[1]VENTAS(RESUMEN GLOBAL)'!G2883*(1-'[1]VENTAS(RESUMEN GLOBAL)'!H2883)</f>
        <v>0</v>
      </c>
      <c r="K2883" s="8">
        <f t="shared" ref="K2883:K2946" si="45">+I2883-J2883</f>
        <v>0</v>
      </c>
      <c r="L2883" s="8">
        <f>+'[1]VENTAS(RESUMEN GLOBAL)'!J2883</f>
        <v>0</v>
      </c>
      <c r="M2883" s="8">
        <f>+Tabla1[[#This Row],[utilidad x dia]]*7</f>
        <v>0</v>
      </c>
    </row>
    <row r="2884" spans="1:13" x14ac:dyDescent="0.3">
      <c r="A2884" s="6">
        <f>+'[1]VENTAS(RESUMEN GLOBAL)'!L2884</f>
        <v>0</v>
      </c>
      <c r="B2884" s="6">
        <f>+'[1]VENTAS(RESUMEN GLOBAL)'!M2884</f>
        <v>0</v>
      </c>
      <c r="C2884">
        <f>+'[1]VENTAS(RESUMEN GLOBAL)'!B2884</f>
        <v>0</v>
      </c>
      <c r="D2884" t="e">
        <f>INDEX('[1]CÓDIGOS DE PRODUCTO'!$D$3:$D$1000,MATCH(C2884,'[1]CÓDIGOS DE PRODUCTO'!$A$3:$A$1000,0))</f>
        <v>#N/A</v>
      </c>
      <c r="E2884">
        <f>VLOOKUP(C2884,'[1]CÓDIGOS DE PRODUCTO'!$A$4:$B$156,2,FALSE)</f>
        <v>0</v>
      </c>
      <c r="F2884">
        <f>INDEX('[1]CÓDIGOS DE PRODUCTO'!$C$3:$C$1000,MATCH(C2884,'[1]CÓDIGOS DE PRODUCTO'!$A$3:$A$1000,0))</f>
        <v>0</v>
      </c>
      <c r="G2884">
        <f>+'[1]VENTAS(RESUMEN GLOBAL)'!D2884-'[1]VENTAS(RESUMEN GLOBAL)'!E2884</f>
        <v>0</v>
      </c>
      <c r="H2884" s="9">
        <f>+'[1]VENTAS(RESUMEN GLOBAL)'!K2884</f>
        <v>0</v>
      </c>
      <c r="I2884" s="8">
        <f>+G2884*'[1]VENTAS(RESUMEN GLOBAL)'!F2884</f>
        <v>0</v>
      </c>
      <c r="J2884" s="8">
        <f>'[1]VENTAS(RESUMEN GLOBAL)'!G2884*(1-'[1]VENTAS(RESUMEN GLOBAL)'!H2884)</f>
        <v>0</v>
      </c>
      <c r="K2884" s="8">
        <f t="shared" si="45"/>
        <v>0</v>
      </c>
      <c r="L2884" s="8">
        <f>+'[1]VENTAS(RESUMEN GLOBAL)'!J2884</f>
        <v>0</v>
      </c>
      <c r="M2884" s="8">
        <f>+Tabla1[[#This Row],[utilidad x dia]]*7</f>
        <v>0</v>
      </c>
    </row>
    <row r="2885" spans="1:13" x14ac:dyDescent="0.3">
      <c r="A2885" s="6">
        <f>+'[1]VENTAS(RESUMEN GLOBAL)'!L2885</f>
        <v>0</v>
      </c>
      <c r="B2885" s="6">
        <f>+'[1]VENTAS(RESUMEN GLOBAL)'!M2885</f>
        <v>0</v>
      </c>
      <c r="C2885">
        <f>+'[1]VENTAS(RESUMEN GLOBAL)'!B2885</f>
        <v>0</v>
      </c>
      <c r="D2885" t="e">
        <f>INDEX('[1]CÓDIGOS DE PRODUCTO'!$D$3:$D$1000,MATCH(C2885,'[1]CÓDIGOS DE PRODUCTO'!$A$3:$A$1000,0))</f>
        <v>#N/A</v>
      </c>
      <c r="E2885">
        <f>VLOOKUP(C2885,'[1]CÓDIGOS DE PRODUCTO'!$A$4:$B$156,2,FALSE)</f>
        <v>0</v>
      </c>
      <c r="F2885">
        <f>INDEX('[1]CÓDIGOS DE PRODUCTO'!$C$3:$C$1000,MATCH(C2885,'[1]CÓDIGOS DE PRODUCTO'!$A$3:$A$1000,0))</f>
        <v>0</v>
      </c>
      <c r="G2885">
        <f>+'[1]VENTAS(RESUMEN GLOBAL)'!D2885-'[1]VENTAS(RESUMEN GLOBAL)'!E2885</f>
        <v>0</v>
      </c>
      <c r="H2885" s="9">
        <f>+'[1]VENTAS(RESUMEN GLOBAL)'!K2885</f>
        <v>0</v>
      </c>
      <c r="I2885" s="8">
        <f>+G2885*'[1]VENTAS(RESUMEN GLOBAL)'!F2885</f>
        <v>0</v>
      </c>
      <c r="J2885" s="8">
        <f>'[1]VENTAS(RESUMEN GLOBAL)'!G2885*(1-'[1]VENTAS(RESUMEN GLOBAL)'!H2885)</f>
        <v>0</v>
      </c>
      <c r="K2885" s="8">
        <f t="shared" si="45"/>
        <v>0</v>
      </c>
      <c r="L2885" s="8">
        <f>+'[1]VENTAS(RESUMEN GLOBAL)'!J2885</f>
        <v>0</v>
      </c>
      <c r="M2885" s="8">
        <f>+Tabla1[[#This Row],[utilidad x dia]]*7</f>
        <v>0</v>
      </c>
    </row>
    <row r="2886" spans="1:13" x14ac:dyDescent="0.3">
      <c r="A2886" s="6">
        <f>+'[1]VENTAS(RESUMEN GLOBAL)'!L2886</f>
        <v>0</v>
      </c>
      <c r="B2886" s="6">
        <f>+'[1]VENTAS(RESUMEN GLOBAL)'!M2886</f>
        <v>0</v>
      </c>
      <c r="C2886">
        <f>+'[1]VENTAS(RESUMEN GLOBAL)'!B2886</f>
        <v>0</v>
      </c>
      <c r="D2886" t="e">
        <f>INDEX('[1]CÓDIGOS DE PRODUCTO'!$D$3:$D$1000,MATCH(C2886,'[1]CÓDIGOS DE PRODUCTO'!$A$3:$A$1000,0))</f>
        <v>#N/A</v>
      </c>
      <c r="E2886">
        <f>VLOOKUP(C2886,'[1]CÓDIGOS DE PRODUCTO'!$A$4:$B$156,2,FALSE)</f>
        <v>0</v>
      </c>
      <c r="F2886">
        <f>INDEX('[1]CÓDIGOS DE PRODUCTO'!$C$3:$C$1000,MATCH(C2886,'[1]CÓDIGOS DE PRODUCTO'!$A$3:$A$1000,0))</f>
        <v>0</v>
      </c>
      <c r="G2886">
        <f>+'[1]VENTAS(RESUMEN GLOBAL)'!D2886-'[1]VENTAS(RESUMEN GLOBAL)'!E2886</f>
        <v>0</v>
      </c>
      <c r="H2886" s="9">
        <f>+'[1]VENTAS(RESUMEN GLOBAL)'!K2886</f>
        <v>0</v>
      </c>
      <c r="I2886" s="8">
        <f>+G2886*'[1]VENTAS(RESUMEN GLOBAL)'!F2886</f>
        <v>0</v>
      </c>
      <c r="J2886" s="8">
        <f>'[1]VENTAS(RESUMEN GLOBAL)'!G2886*(1-'[1]VENTAS(RESUMEN GLOBAL)'!H2886)</f>
        <v>0</v>
      </c>
      <c r="K2886" s="8">
        <f t="shared" si="45"/>
        <v>0</v>
      </c>
      <c r="L2886" s="8">
        <f>+'[1]VENTAS(RESUMEN GLOBAL)'!J2886</f>
        <v>0</v>
      </c>
      <c r="M2886" s="8">
        <f>+Tabla1[[#This Row],[utilidad x dia]]*7</f>
        <v>0</v>
      </c>
    </row>
    <row r="2887" spans="1:13" x14ac:dyDescent="0.3">
      <c r="A2887" s="6">
        <f>+'[1]VENTAS(RESUMEN GLOBAL)'!L2887</f>
        <v>0</v>
      </c>
      <c r="B2887" s="6">
        <f>+'[1]VENTAS(RESUMEN GLOBAL)'!M2887</f>
        <v>0</v>
      </c>
      <c r="C2887">
        <f>+'[1]VENTAS(RESUMEN GLOBAL)'!B2887</f>
        <v>0</v>
      </c>
      <c r="D2887" t="e">
        <f>INDEX('[1]CÓDIGOS DE PRODUCTO'!$D$3:$D$1000,MATCH(C2887,'[1]CÓDIGOS DE PRODUCTO'!$A$3:$A$1000,0))</f>
        <v>#N/A</v>
      </c>
      <c r="E2887">
        <f>VLOOKUP(C2887,'[1]CÓDIGOS DE PRODUCTO'!$A$4:$B$156,2,FALSE)</f>
        <v>0</v>
      </c>
      <c r="F2887">
        <f>INDEX('[1]CÓDIGOS DE PRODUCTO'!$C$3:$C$1000,MATCH(C2887,'[1]CÓDIGOS DE PRODUCTO'!$A$3:$A$1000,0))</f>
        <v>0</v>
      </c>
      <c r="G2887">
        <f>+'[1]VENTAS(RESUMEN GLOBAL)'!D2887-'[1]VENTAS(RESUMEN GLOBAL)'!E2887</f>
        <v>0</v>
      </c>
      <c r="H2887" s="9">
        <f>+'[1]VENTAS(RESUMEN GLOBAL)'!K2887</f>
        <v>0</v>
      </c>
      <c r="I2887" s="8">
        <f>+G2887*'[1]VENTAS(RESUMEN GLOBAL)'!F2887</f>
        <v>0</v>
      </c>
      <c r="J2887" s="8">
        <f>'[1]VENTAS(RESUMEN GLOBAL)'!G2887*(1-'[1]VENTAS(RESUMEN GLOBAL)'!H2887)</f>
        <v>0</v>
      </c>
      <c r="K2887" s="8">
        <f t="shared" si="45"/>
        <v>0</v>
      </c>
      <c r="L2887" s="8">
        <f>+'[1]VENTAS(RESUMEN GLOBAL)'!J2887</f>
        <v>0</v>
      </c>
      <c r="M2887" s="8">
        <f>+Tabla1[[#This Row],[utilidad x dia]]*7</f>
        <v>0</v>
      </c>
    </row>
    <row r="2888" spans="1:13" x14ac:dyDescent="0.3">
      <c r="A2888" s="6">
        <f>+'[1]VENTAS(RESUMEN GLOBAL)'!L2888</f>
        <v>0</v>
      </c>
      <c r="B2888" s="6">
        <f>+'[1]VENTAS(RESUMEN GLOBAL)'!M2888</f>
        <v>0</v>
      </c>
      <c r="C2888">
        <f>+'[1]VENTAS(RESUMEN GLOBAL)'!B2888</f>
        <v>0</v>
      </c>
      <c r="D2888" t="e">
        <f>INDEX('[1]CÓDIGOS DE PRODUCTO'!$D$3:$D$1000,MATCH(C2888,'[1]CÓDIGOS DE PRODUCTO'!$A$3:$A$1000,0))</f>
        <v>#N/A</v>
      </c>
      <c r="E2888">
        <f>VLOOKUP(C2888,'[1]CÓDIGOS DE PRODUCTO'!$A$4:$B$156,2,FALSE)</f>
        <v>0</v>
      </c>
      <c r="F2888">
        <f>INDEX('[1]CÓDIGOS DE PRODUCTO'!$C$3:$C$1000,MATCH(C2888,'[1]CÓDIGOS DE PRODUCTO'!$A$3:$A$1000,0))</f>
        <v>0</v>
      </c>
      <c r="G2888">
        <f>+'[1]VENTAS(RESUMEN GLOBAL)'!D2888-'[1]VENTAS(RESUMEN GLOBAL)'!E2888</f>
        <v>0</v>
      </c>
      <c r="H2888" s="9">
        <f>+'[1]VENTAS(RESUMEN GLOBAL)'!K2888</f>
        <v>0</v>
      </c>
      <c r="I2888" s="8">
        <f>+G2888*'[1]VENTAS(RESUMEN GLOBAL)'!F2888</f>
        <v>0</v>
      </c>
      <c r="J2888" s="8">
        <f>'[1]VENTAS(RESUMEN GLOBAL)'!G2888*(1-'[1]VENTAS(RESUMEN GLOBAL)'!H2888)</f>
        <v>0</v>
      </c>
      <c r="K2888" s="8">
        <f t="shared" si="45"/>
        <v>0</v>
      </c>
      <c r="L2888" s="8">
        <f>+'[1]VENTAS(RESUMEN GLOBAL)'!J2888</f>
        <v>0</v>
      </c>
      <c r="M2888" s="8">
        <f>+Tabla1[[#This Row],[utilidad x dia]]*7</f>
        <v>0</v>
      </c>
    </row>
    <row r="2889" spans="1:13" x14ac:dyDescent="0.3">
      <c r="A2889" s="6">
        <f>+'[1]VENTAS(RESUMEN GLOBAL)'!L2889</f>
        <v>0</v>
      </c>
      <c r="B2889" s="6">
        <f>+'[1]VENTAS(RESUMEN GLOBAL)'!M2889</f>
        <v>0</v>
      </c>
      <c r="C2889">
        <f>+'[1]VENTAS(RESUMEN GLOBAL)'!B2889</f>
        <v>0</v>
      </c>
      <c r="D2889" t="e">
        <f>INDEX('[1]CÓDIGOS DE PRODUCTO'!$D$3:$D$1000,MATCH(C2889,'[1]CÓDIGOS DE PRODUCTO'!$A$3:$A$1000,0))</f>
        <v>#N/A</v>
      </c>
      <c r="E2889">
        <f>VLOOKUP(C2889,'[1]CÓDIGOS DE PRODUCTO'!$A$4:$B$156,2,FALSE)</f>
        <v>0</v>
      </c>
      <c r="F2889">
        <f>INDEX('[1]CÓDIGOS DE PRODUCTO'!$C$3:$C$1000,MATCH(C2889,'[1]CÓDIGOS DE PRODUCTO'!$A$3:$A$1000,0))</f>
        <v>0</v>
      </c>
      <c r="G2889">
        <f>+'[1]VENTAS(RESUMEN GLOBAL)'!D2889-'[1]VENTAS(RESUMEN GLOBAL)'!E2889</f>
        <v>0</v>
      </c>
      <c r="H2889" s="9">
        <f>+'[1]VENTAS(RESUMEN GLOBAL)'!K2889</f>
        <v>0</v>
      </c>
      <c r="I2889" s="8">
        <f>+G2889*'[1]VENTAS(RESUMEN GLOBAL)'!F2889</f>
        <v>0</v>
      </c>
      <c r="J2889" s="8">
        <f>'[1]VENTAS(RESUMEN GLOBAL)'!G2889*(1-'[1]VENTAS(RESUMEN GLOBAL)'!H2889)</f>
        <v>0</v>
      </c>
      <c r="K2889" s="8">
        <f t="shared" si="45"/>
        <v>0</v>
      </c>
      <c r="L2889" s="8">
        <f>+'[1]VENTAS(RESUMEN GLOBAL)'!J2889</f>
        <v>0</v>
      </c>
      <c r="M2889" s="8">
        <f>+Tabla1[[#This Row],[utilidad x dia]]*7</f>
        <v>0</v>
      </c>
    </row>
    <row r="2890" spans="1:13" x14ac:dyDescent="0.3">
      <c r="A2890" s="6">
        <f>+'[1]VENTAS(RESUMEN GLOBAL)'!L2890</f>
        <v>0</v>
      </c>
      <c r="B2890" s="6">
        <f>+'[1]VENTAS(RESUMEN GLOBAL)'!M2890</f>
        <v>0</v>
      </c>
      <c r="C2890">
        <f>+'[1]VENTAS(RESUMEN GLOBAL)'!B2890</f>
        <v>0</v>
      </c>
      <c r="D2890" t="e">
        <f>INDEX('[1]CÓDIGOS DE PRODUCTO'!$D$3:$D$1000,MATCH(C2890,'[1]CÓDIGOS DE PRODUCTO'!$A$3:$A$1000,0))</f>
        <v>#N/A</v>
      </c>
      <c r="E2890">
        <f>VLOOKUP(C2890,'[1]CÓDIGOS DE PRODUCTO'!$A$4:$B$156,2,FALSE)</f>
        <v>0</v>
      </c>
      <c r="F2890">
        <f>INDEX('[1]CÓDIGOS DE PRODUCTO'!$C$3:$C$1000,MATCH(C2890,'[1]CÓDIGOS DE PRODUCTO'!$A$3:$A$1000,0))</f>
        <v>0</v>
      </c>
      <c r="G2890">
        <f>+'[1]VENTAS(RESUMEN GLOBAL)'!D2890-'[1]VENTAS(RESUMEN GLOBAL)'!E2890</f>
        <v>0</v>
      </c>
      <c r="H2890" s="9">
        <f>+'[1]VENTAS(RESUMEN GLOBAL)'!K2890</f>
        <v>0</v>
      </c>
      <c r="I2890" s="8">
        <f>+G2890*'[1]VENTAS(RESUMEN GLOBAL)'!F2890</f>
        <v>0</v>
      </c>
      <c r="J2890" s="8">
        <f>'[1]VENTAS(RESUMEN GLOBAL)'!G2890*(1-'[1]VENTAS(RESUMEN GLOBAL)'!H2890)</f>
        <v>0</v>
      </c>
      <c r="K2890" s="8">
        <f t="shared" si="45"/>
        <v>0</v>
      </c>
      <c r="L2890" s="8">
        <f>+'[1]VENTAS(RESUMEN GLOBAL)'!J2890</f>
        <v>0</v>
      </c>
      <c r="M2890" s="8">
        <f>+Tabla1[[#This Row],[utilidad x dia]]*7</f>
        <v>0</v>
      </c>
    </row>
    <row r="2891" spans="1:13" x14ac:dyDescent="0.3">
      <c r="A2891" s="6">
        <f>+'[1]VENTAS(RESUMEN GLOBAL)'!L2891</f>
        <v>0</v>
      </c>
      <c r="B2891" s="6">
        <f>+'[1]VENTAS(RESUMEN GLOBAL)'!M2891</f>
        <v>0</v>
      </c>
      <c r="C2891">
        <f>+'[1]VENTAS(RESUMEN GLOBAL)'!B2891</f>
        <v>0</v>
      </c>
      <c r="D2891" t="e">
        <f>INDEX('[1]CÓDIGOS DE PRODUCTO'!$D$3:$D$1000,MATCH(C2891,'[1]CÓDIGOS DE PRODUCTO'!$A$3:$A$1000,0))</f>
        <v>#N/A</v>
      </c>
      <c r="E2891">
        <f>VLOOKUP(C2891,'[1]CÓDIGOS DE PRODUCTO'!$A$4:$B$156,2,FALSE)</f>
        <v>0</v>
      </c>
      <c r="F2891">
        <f>INDEX('[1]CÓDIGOS DE PRODUCTO'!$C$3:$C$1000,MATCH(C2891,'[1]CÓDIGOS DE PRODUCTO'!$A$3:$A$1000,0))</f>
        <v>0</v>
      </c>
      <c r="G2891">
        <f>+'[1]VENTAS(RESUMEN GLOBAL)'!D2891-'[1]VENTAS(RESUMEN GLOBAL)'!E2891</f>
        <v>0</v>
      </c>
      <c r="H2891" s="9">
        <f>+'[1]VENTAS(RESUMEN GLOBAL)'!K2891</f>
        <v>0</v>
      </c>
      <c r="I2891" s="8">
        <f>+G2891*'[1]VENTAS(RESUMEN GLOBAL)'!F2891</f>
        <v>0</v>
      </c>
      <c r="J2891" s="8">
        <f>'[1]VENTAS(RESUMEN GLOBAL)'!G2891*(1-'[1]VENTAS(RESUMEN GLOBAL)'!H2891)</f>
        <v>0</v>
      </c>
      <c r="K2891" s="8">
        <f t="shared" si="45"/>
        <v>0</v>
      </c>
      <c r="L2891" s="8">
        <f>+'[1]VENTAS(RESUMEN GLOBAL)'!J2891</f>
        <v>0</v>
      </c>
      <c r="M2891" s="8">
        <f>+Tabla1[[#This Row],[utilidad x dia]]*7</f>
        <v>0</v>
      </c>
    </row>
    <row r="2892" spans="1:13" x14ac:dyDescent="0.3">
      <c r="A2892" s="6">
        <f>+'[1]VENTAS(RESUMEN GLOBAL)'!L2892</f>
        <v>0</v>
      </c>
      <c r="B2892" s="6">
        <f>+'[1]VENTAS(RESUMEN GLOBAL)'!M2892</f>
        <v>0</v>
      </c>
      <c r="C2892">
        <f>+'[1]VENTAS(RESUMEN GLOBAL)'!B2892</f>
        <v>0</v>
      </c>
      <c r="D2892" t="e">
        <f>INDEX('[1]CÓDIGOS DE PRODUCTO'!$D$3:$D$1000,MATCH(C2892,'[1]CÓDIGOS DE PRODUCTO'!$A$3:$A$1000,0))</f>
        <v>#N/A</v>
      </c>
      <c r="E2892">
        <f>VLOOKUP(C2892,'[1]CÓDIGOS DE PRODUCTO'!$A$4:$B$156,2,FALSE)</f>
        <v>0</v>
      </c>
      <c r="F2892">
        <f>INDEX('[1]CÓDIGOS DE PRODUCTO'!$C$3:$C$1000,MATCH(C2892,'[1]CÓDIGOS DE PRODUCTO'!$A$3:$A$1000,0))</f>
        <v>0</v>
      </c>
      <c r="G2892">
        <f>+'[1]VENTAS(RESUMEN GLOBAL)'!D2892-'[1]VENTAS(RESUMEN GLOBAL)'!E2892</f>
        <v>0</v>
      </c>
      <c r="H2892" s="9">
        <f>+'[1]VENTAS(RESUMEN GLOBAL)'!K2892</f>
        <v>0</v>
      </c>
      <c r="I2892" s="8">
        <f>+G2892*'[1]VENTAS(RESUMEN GLOBAL)'!F2892</f>
        <v>0</v>
      </c>
      <c r="J2892" s="8">
        <f>'[1]VENTAS(RESUMEN GLOBAL)'!G2892*(1-'[1]VENTAS(RESUMEN GLOBAL)'!H2892)</f>
        <v>0</v>
      </c>
      <c r="K2892" s="8">
        <f t="shared" si="45"/>
        <v>0</v>
      </c>
      <c r="L2892" s="8">
        <f>+'[1]VENTAS(RESUMEN GLOBAL)'!J2892</f>
        <v>0</v>
      </c>
      <c r="M2892" s="8">
        <f>+Tabla1[[#This Row],[utilidad x dia]]*7</f>
        <v>0</v>
      </c>
    </row>
    <row r="2893" spans="1:13" x14ac:dyDescent="0.3">
      <c r="A2893" s="6">
        <f>+'[1]VENTAS(RESUMEN GLOBAL)'!L2893</f>
        <v>0</v>
      </c>
      <c r="B2893" s="6">
        <f>+'[1]VENTAS(RESUMEN GLOBAL)'!M2893</f>
        <v>0</v>
      </c>
      <c r="C2893">
        <f>+'[1]VENTAS(RESUMEN GLOBAL)'!B2893</f>
        <v>0</v>
      </c>
      <c r="D2893" t="e">
        <f>INDEX('[1]CÓDIGOS DE PRODUCTO'!$D$3:$D$1000,MATCH(C2893,'[1]CÓDIGOS DE PRODUCTO'!$A$3:$A$1000,0))</f>
        <v>#N/A</v>
      </c>
      <c r="E2893">
        <f>VLOOKUP(C2893,'[1]CÓDIGOS DE PRODUCTO'!$A$4:$B$156,2,FALSE)</f>
        <v>0</v>
      </c>
      <c r="F2893">
        <f>INDEX('[1]CÓDIGOS DE PRODUCTO'!$C$3:$C$1000,MATCH(C2893,'[1]CÓDIGOS DE PRODUCTO'!$A$3:$A$1000,0))</f>
        <v>0</v>
      </c>
      <c r="G2893">
        <f>+'[1]VENTAS(RESUMEN GLOBAL)'!D2893-'[1]VENTAS(RESUMEN GLOBAL)'!E2893</f>
        <v>0</v>
      </c>
      <c r="H2893" s="9">
        <f>+'[1]VENTAS(RESUMEN GLOBAL)'!K2893</f>
        <v>0</v>
      </c>
      <c r="I2893" s="8">
        <f>+G2893*'[1]VENTAS(RESUMEN GLOBAL)'!F2893</f>
        <v>0</v>
      </c>
      <c r="J2893" s="8">
        <f>'[1]VENTAS(RESUMEN GLOBAL)'!G2893*(1-'[1]VENTAS(RESUMEN GLOBAL)'!H2893)</f>
        <v>0</v>
      </c>
      <c r="K2893" s="8">
        <f t="shared" si="45"/>
        <v>0</v>
      </c>
      <c r="L2893" s="8">
        <f>+'[1]VENTAS(RESUMEN GLOBAL)'!J2893</f>
        <v>0</v>
      </c>
      <c r="M2893" s="8">
        <f>+Tabla1[[#This Row],[utilidad x dia]]*7</f>
        <v>0</v>
      </c>
    </row>
    <row r="2894" spans="1:13" x14ac:dyDescent="0.3">
      <c r="A2894" s="6">
        <f>+'[1]VENTAS(RESUMEN GLOBAL)'!L2894</f>
        <v>0</v>
      </c>
      <c r="B2894" s="6">
        <f>+'[1]VENTAS(RESUMEN GLOBAL)'!M2894</f>
        <v>0</v>
      </c>
      <c r="C2894">
        <f>+'[1]VENTAS(RESUMEN GLOBAL)'!B2894</f>
        <v>0</v>
      </c>
      <c r="D2894" t="e">
        <f>INDEX('[1]CÓDIGOS DE PRODUCTO'!$D$3:$D$1000,MATCH(C2894,'[1]CÓDIGOS DE PRODUCTO'!$A$3:$A$1000,0))</f>
        <v>#N/A</v>
      </c>
      <c r="E2894">
        <f>VLOOKUP(C2894,'[1]CÓDIGOS DE PRODUCTO'!$A$4:$B$156,2,FALSE)</f>
        <v>0</v>
      </c>
      <c r="F2894">
        <f>INDEX('[1]CÓDIGOS DE PRODUCTO'!$C$3:$C$1000,MATCH(C2894,'[1]CÓDIGOS DE PRODUCTO'!$A$3:$A$1000,0))</f>
        <v>0</v>
      </c>
      <c r="G2894">
        <f>+'[1]VENTAS(RESUMEN GLOBAL)'!D2894-'[1]VENTAS(RESUMEN GLOBAL)'!E2894</f>
        <v>0</v>
      </c>
      <c r="H2894" s="9">
        <f>+'[1]VENTAS(RESUMEN GLOBAL)'!K2894</f>
        <v>0</v>
      </c>
      <c r="I2894" s="8">
        <f>+G2894*'[1]VENTAS(RESUMEN GLOBAL)'!F2894</f>
        <v>0</v>
      </c>
      <c r="J2894" s="8">
        <f>'[1]VENTAS(RESUMEN GLOBAL)'!G2894*(1-'[1]VENTAS(RESUMEN GLOBAL)'!H2894)</f>
        <v>0</v>
      </c>
      <c r="K2894" s="8">
        <f t="shared" si="45"/>
        <v>0</v>
      </c>
      <c r="L2894" s="8">
        <f>+'[1]VENTAS(RESUMEN GLOBAL)'!J2894</f>
        <v>0</v>
      </c>
      <c r="M2894" s="8">
        <f>+Tabla1[[#This Row],[utilidad x dia]]*7</f>
        <v>0</v>
      </c>
    </row>
    <row r="2895" spans="1:13" x14ac:dyDescent="0.3">
      <c r="A2895" s="6">
        <f>+'[1]VENTAS(RESUMEN GLOBAL)'!L2895</f>
        <v>0</v>
      </c>
      <c r="B2895" s="6">
        <f>+'[1]VENTAS(RESUMEN GLOBAL)'!M2895</f>
        <v>0</v>
      </c>
      <c r="C2895">
        <f>+'[1]VENTAS(RESUMEN GLOBAL)'!B2895</f>
        <v>0</v>
      </c>
      <c r="D2895" t="e">
        <f>INDEX('[1]CÓDIGOS DE PRODUCTO'!$D$3:$D$1000,MATCH(C2895,'[1]CÓDIGOS DE PRODUCTO'!$A$3:$A$1000,0))</f>
        <v>#N/A</v>
      </c>
      <c r="E2895">
        <f>VLOOKUP(C2895,'[1]CÓDIGOS DE PRODUCTO'!$A$4:$B$156,2,FALSE)</f>
        <v>0</v>
      </c>
      <c r="F2895">
        <f>INDEX('[1]CÓDIGOS DE PRODUCTO'!$C$3:$C$1000,MATCH(C2895,'[1]CÓDIGOS DE PRODUCTO'!$A$3:$A$1000,0))</f>
        <v>0</v>
      </c>
      <c r="G2895">
        <f>+'[1]VENTAS(RESUMEN GLOBAL)'!D2895-'[1]VENTAS(RESUMEN GLOBAL)'!E2895</f>
        <v>0</v>
      </c>
      <c r="H2895" s="9">
        <f>+'[1]VENTAS(RESUMEN GLOBAL)'!K2895</f>
        <v>0</v>
      </c>
      <c r="I2895" s="8">
        <f>+G2895*'[1]VENTAS(RESUMEN GLOBAL)'!F2895</f>
        <v>0</v>
      </c>
      <c r="J2895" s="8">
        <f>'[1]VENTAS(RESUMEN GLOBAL)'!G2895*(1-'[1]VENTAS(RESUMEN GLOBAL)'!H2895)</f>
        <v>0</v>
      </c>
      <c r="K2895" s="8">
        <f t="shared" si="45"/>
        <v>0</v>
      </c>
      <c r="L2895" s="8">
        <f>+'[1]VENTAS(RESUMEN GLOBAL)'!J2895</f>
        <v>0</v>
      </c>
      <c r="M2895" s="8">
        <f>+Tabla1[[#This Row],[utilidad x dia]]*7</f>
        <v>0</v>
      </c>
    </row>
    <row r="2896" spans="1:13" x14ac:dyDescent="0.3">
      <c r="A2896" s="6">
        <f>+'[1]VENTAS(RESUMEN GLOBAL)'!L2896</f>
        <v>0</v>
      </c>
      <c r="B2896" s="6">
        <f>+'[1]VENTAS(RESUMEN GLOBAL)'!M2896</f>
        <v>0</v>
      </c>
      <c r="C2896">
        <f>+'[1]VENTAS(RESUMEN GLOBAL)'!B2896</f>
        <v>0</v>
      </c>
      <c r="D2896" t="e">
        <f>INDEX('[1]CÓDIGOS DE PRODUCTO'!$D$3:$D$1000,MATCH(C2896,'[1]CÓDIGOS DE PRODUCTO'!$A$3:$A$1000,0))</f>
        <v>#N/A</v>
      </c>
      <c r="E2896">
        <f>VLOOKUP(C2896,'[1]CÓDIGOS DE PRODUCTO'!$A$4:$B$156,2,FALSE)</f>
        <v>0</v>
      </c>
      <c r="F2896">
        <f>INDEX('[1]CÓDIGOS DE PRODUCTO'!$C$3:$C$1000,MATCH(C2896,'[1]CÓDIGOS DE PRODUCTO'!$A$3:$A$1000,0))</f>
        <v>0</v>
      </c>
      <c r="G2896">
        <f>+'[1]VENTAS(RESUMEN GLOBAL)'!D2896-'[1]VENTAS(RESUMEN GLOBAL)'!E2896</f>
        <v>0</v>
      </c>
      <c r="H2896" s="9">
        <f>+'[1]VENTAS(RESUMEN GLOBAL)'!K2896</f>
        <v>0</v>
      </c>
      <c r="I2896" s="8">
        <f>+G2896*'[1]VENTAS(RESUMEN GLOBAL)'!F2896</f>
        <v>0</v>
      </c>
      <c r="J2896" s="8">
        <f>'[1]VENTAS(RESUMEN GLOBAL)'!G2896*(1-'[1]VENTAS(RESUMEN GLOBAL)'!H2896)</f>
        <v>0</v>
      </c>
      <c r="K2896" s="8">
        <f t="shared" si="45"/>
        <v>0</v>
      </c>
      <c r="L2896" s="8">
        <f>+'[1]VENTAS(RESUMEN GLOBAL)'!J2896</f>
        <v>0</v>
      </c>
      <c r="M2896" s="8">
        <f>+Tabla1[[#This Row],[utilidad x dia]]*7</f>
        <v>0</v>
      </c>
    </row>
    <row r="2897" spans="1:13" x14ac:dyDescent="0.3">
      <c r="A2897" s="6">
        <f>+'[1]VENTAS(RESUMEN GLOBAL)'!L2897</f>
        <v>0</v>
      </c>
      <c r="B2897" s="6">
        <f>+'[1]VENTAS(RESUMEN GLOBAL)'!M2897</f>
        <v>0</v>
      </c>
      <c r="C2897">
        <f>+'[1]VENTAS(RESUMEN GLOBAL)'!B2897</f>
        <v>0</v>
      </c>
      <c r="D2897" t="e">
        <f>INDEX('[1]CÓDIGOS DE PRODUCTO'!$D$3:$D$1000,MATCH(C2897,'[1]CÓDIGOS DE PRODUCTO'!$A$3:$A$1000,0))</f>
        <v>#N/A</v>
      </c>
      <c r="E2897">
        <f>VLOOKUP(C2897,'[1]CÓDIGOS DE PRODUCTO'!$A$4:$B$156,2,FALSE)</f>
        <v>0</v>
      </c>
      <c r="F2897">
        <f>INDEX('[1]CÓDIGOS DE PRODUCTO'!$C$3:$C$1000,MATCH(C2897,'[1]CÓDIGOS DE PRODUCTO'!$A$3:$A$1000,0))</f>
        <v>0</v>
      </c>
      <c r="G2897">
        <f>+'[1]VENTAS(RESUMEN GLOBAL)'!D2897-'[1]VENTAS(RESUMEN GLOBAL)'!E2897</f>
        <v>0</v>
      </c>
      <c r="H2897" s="9">
        <f>+'[1]VENTAS(RESUMEN GLOBAL)'!K2897</f>
        <v>0</v>
      </c>
      <c r="I2897" s="8">
        <f>+G2897*'[1]VENTAS(RESUMEN GLOBAL)'!F2897</f>
        <v>0</v>
      </c>
      <c r="J2897" s="8">
        <f>'[1]VENTAS(RESUMEN GLOBAL)'!G2897*(1-'[1]VENTAS(RESUMEN GLOBAL)'!H2897)</f>
        <v>0</v>
      </c>
      <c r="K2897" s="8">
        <f t="shared" si="45"/>
        <v>0</v>
      </c>
      <c r="L2897" s="8">
        <f>+'[1]VENTAS(RESUMEN GLOBAL)'!J2897</f>
        <v>0</v>
      </c>
      <c r="M2897" s="8">
        <f>+Tabla1[[#This Row],[utilidad x dia]]*7</f>
        <v>0</v>
      </c>
    </row>
    <row r="2898" spans="1:13" x14ac:dyDescent="0.3">
      <c r="A2898" s="6">
        <f>+'[1]VENTAS(RESUMEN GLOBAL)'!L2898</f>
        <v>0</v>
      </c>
      <c r="B2898" s="6">
        <f>+'[1]VENTAS(RESUMEN GLOBAL)'!M2898</f>
        <v>0</v>
      </c>
      <c r="C2898">
        <f>+'[1]VENTAS(RESUMEN GLOBAL)'!B2898</f>
        <v>0</v>
      </c>
      <c r="D2898" t="e">
        <f>INDEX('[1]CÓDIGOS DE PRODUCTO'!$D$3:$D$1000,MATCH(C2898,'[1]CÓDIGOS DE PRODUCTO'!$A$3:$A$1000,0))</f>
        <v>#N/A</v>
      </c>
      <c r="E2898">
        <f>VLOOKUP(C2898,'[1]CÓDIGOS DE PRODUCTO'!$A$4:$B$156,2,FALSE)</f>
        <v>0</v>
      </c>
      <c r="F2898">
        <f>INDEX('[1]CÓDIGOS DE PRODUCTO'!$C$3:$C$1000,MATCH(C2898,'[1]CÓDIGOS DE PRODUCTO'!$A$3:$A$1000,0))</f>
        <v>0</v>
      </c>
      <c r="G2898">
        <f>+'[1]VENTAS(RESUMEN GLOBAL)'!D2898-'[1]VENTAS(RESUMEN GLOBAL)'!E2898</f>
        <v>0</v>
      </c>
      <c r="H2898" s="9">
        <f>+'[1]VENTAS(RESUMEN GLOBAL)'!K2898</f>
        <v>0</v>
      </c>
      <c r="I2898" s="8">
        <f>+G2898*'[1]VENTAS(RESUMEN GLOBAL)'!F2898</f>
        <v>0</v>
      </c>
      <c r="J2898" s="8">
        <f>'[1]VENTAS(RESUMEN GLOBAL)'!G2898*(1-'[1]VENTAS(RESUMEN GLOBAL)'!H2898)</f>
        <v>0</v>
      </c>
      <c r="K2898" s="8">
        <f t="shared" si="45"/>
        <v>0</v>
      </c>
      <c r="L2898" s="8">
        <f>+'[1]VENTAS(RESUMEN GLOBAL)'!J2898</f>
        <v>0</v>
      </c>
      <c r="M2898" s="8">
        <f>+Tabla1[[#This Row],[utilidad x dia]]*7</f>
        <v>0</v>
      </c>
    </row>
    <row r="2899" spans="1:13" x14ac:dyDescent="0.3">
      <c r="A2899" s="6">
        <f>+'[1]VENTAS(RESUMEN GLOBAL)'!L2899</f>
        <v>0</v>
      </c>
      <c r="B2899" s="6">
        <f>+'[1]VENTAS(RESUMEN GLOBAL)'!M2899</f>
        <v>0</v>
      </c>
      <c r="C2899">
        <f>+'[1]VENTAS(RESUMEN GLOBAL)'!B2899</f>
        <v>0</v>
      </c>
      <c r="D2899" t="e">
        <f>INDEX('[1]CÓDIGOS DE PRODUCTO'!$D$3:$D$1000,MATCH(C2899,'[1]CÓDIGOS DE PRODUCTO'!$A$3:$A$1000,0))</f>
        <v>#N/A</v>
      </c>
      <c r="E2899">
        <f>VLOOKUP(C2899,'[1]CÓDIGOS DE PRODUCTO'!$A$4:$B$156,2,FALSE)</f>
        <v>0</v>
      </c>
      <c r="F2899">
        <f>INDEX('[1]CÓDIGOS DE PRODUCTO'!$C$3:$C$1000,MATCH(C2899,'[1]CÓDIGOS DE PRODUCTO'!$A$3:$A$1000,0))</f>
        <v>0</v>
      </c>
      <c r="G2899">
        <f>+'[1]VENTAS(RESUMEN GLOBAL)'!D2899-'[1]VENTAS(RESUMEN GLOBAL)'!E2899</f>
        <v>0</v>
      </c>
      <c r="H2899" s="9">
        <f>+'[1]VENTAS(RESUMEN GLOBAL)'!K2899</f>
        <v>0</v>
      </c>
      <c r="I2899" s="8">
        <f>+G2899*'[1]VENTAS(RESUMEN GLOBAL)'!F2899</f>
        <v>0</v>
      </c>
      <c r="J2899" s="8">
        <f>'[1]VENTAS(RESUMEN GLOBAL)'!G2899*(1-'[1]VENTAS(RESUMEN GLOBAL)'!H2899)</f>
        <v>0</v>
      </c>
      <c r="K2899" s="8">
        <f t="shared" si="45"/>
        <v>0</v>
      </c>
      <c r="L2899" s="8">
        <f>+'[1]VENTAS(RESUMEN GLOBAL)'!J2899</f>
        <v>0</v>
      </c>
      <c r="M2899" s="8">
        <f>+Tabla1[[#This Row],[utilidad x dia]]*7</f>
        <v>0</v>
      </c>
    </row>
    <row r="2900" spans="1:13" x14ac:dyDescent="0.3">
      <c r="A2900" s="6">
        <f>+'[1]VENTAS(RESUMEN GLOBAL)'!L2900</f>
        <v>0</v>
      </c>
      <c r="B2900" s="6">
        <f>+'[1]VENTAS(RESUMEN GLOBAL)'!M2900</f>
        <v>0</v>
      </c>
      <c r="C2900">
        <f>+'[1]VENTAS(RESUMEN GLOBAL)'!B2900</f>
        <v>0</v>
      </c>
      <c r="D2900" t="e">
        <f>INDEX('[1]CÓDIGOS DE PRODUCTO'!$D$3:$D$1000,MATCH(C2900,'[1]CÓDIGOS DE PRODUCTO'!$A$3:$A$1000,0))</f>
        <v>#N/A</v>
      </c>
      <c r="E2900">
        <f>VLOOKUP(C2900,'[1]CÓDIGOS DE PRODUCTO'!$A$4:$B$156,2,FALSE)</f>
        <v>0</v>
      </c>
      <c r="F2900">
        <f>INDEX('[1]CÓDIGOS DE PRODUCTO'!$C$3:$C$1000,MATCH(C2900,'[1]CÓDIGOS DE PRODUCTO'!$A$3:$A$1000,0))</f>
        <v>0</v>
      </c>
      <c r="G2900">
        <f>+'[1]VENTAS(RESUMEN GLOBAL)'!D2900-'[1]VENTAS(RESUMEN GLOBAL)'!E2900</f>
        <v>0</v>
      </c>
      <c r="H2900" s="9">
        <f>+'[1]VENTAS(RESUMEN GLOBAL)'!K2900</f>
        <v>0</v>
      </c>
      <c r="I2900" s="8">
        <f>+G2900*'[1]VENTAS(RESUMEN GLOBAL)'!F2900</f>
        <v>0</v>
      </c>
      <c r="J2900" s="8">
        <f>'[1]VENTAS(RESUMEN GLOBAL)'!G2900*(1-'[1]VENTAS(RESUMEN GLOBAL)'!H2900)</f>
        <v>0</v>
      </c>
      <c r="K2900" s="8">
        <f t="shared" si="45"/>
        <v>0</v>
      </c>
      <c r="L2900" s="8">
        <f>+'[1]VENTAS(RESUMEN GLOBAL)'!J2900</f>
        <v>0</v>
      </c>
      <c r="M2900" s="8">
        <f>+Tabla1[[#This Row],[utilidad x dia]]*7</f>
        <v>0</v>
      </c>
    </row>
    <row r="2901" spans="1:13" x14ac:dyDescent="0.3">
      <c r="A2901" s="6">
        <f>+'[1]VENTAS(RESUMEN GLOBAL)'!L2901</f>
        <v>0</v>
      </c>
      <c r="B2901" s="6">
        <f>+'[1]VENTAS(RESUMEN GLOBAL)'!M2901</f>
        <v>0</v>
      </c>
      <c r="C2901">
        <f>+'[1]VENTAS(RESUMEN GLOBAL)'!B2901</f>
        <v>0</v>
      </c>
      <c r="D2901" t="e">
        <f>INDEX('[1]CÓDIGOS DE PRODUCTO'!$D$3:$D$1000,MATCH(C2901,'[1]CÓDIGOS DE PRODUCTO'!$A$3:$A$1000,0))</f>
        <v>#N/A</v>
      </c>
      <c r="E2901">
        <f>VLOOKUP(C2901,'[1]CÓDIGOS DE PRODUCTO'!$A$4:$B$156,2,FALSE)</f>
        <v>0</v>
      </c>
      <c r="F2901">
        <f>INDEX('[1]CÓDIGOS DE PRODUCTO'!$C$3:$C$1000,MATCH(C2901,'[1]CÓDIGOS DE PRODUCTO'!$A$3:$A$1000,0))</f>
        <v>0</v>
      </c>
      <c r="G2901">
        <f>+'[1]VENTAS(RESUMEN GLOBAL)'!D2901-'[1]VENTAS(RESUMEN GLOBAL)'!E2901</f>
        <v>0</v>
      </c>
      <c r="H2901" s="9">
        <f>+'[1]VENTAS(RESUMEN GLOBAL)'!K2901</f>
        <v>0</v>
      </c>
      <c r="I2901" s="8">
        <f>+G2901*'[1]VENTAS(RESUMEN GLOBAL)'!F2901</f>
        <v>0</v>
      </c>
      <c r="J2901" s="8">
        <f>'[1]VENTAS(RESUMEN GLOBAL)'!G2901*(1-'[1]VENTAS(RESUMEN GLOBAL)'!H2901)</f>
        <v>0</v>
      </c>
      <c r="K2901" s="8">
        <f t="shared" si="45"/>
        <v>0</v>
      </c>
      <c r="L2901" s="8">
        <f>+'[1]VENTAS(RESUMEN GLOBAL)'!J2901</f>
        <v>0</v>
      </c>
      <c r="M2901" s="8">
        <f>+Tabla1[[#This Row],[utilidad x dia]]*7</f>
        <v>0</v>
      </c>
    </row>
    <row r="2902" spans="1:13" x14ac:dyDescent="0.3">
      <c r="A2902" s="6">
        <f>+'[1]VENTAS(RESUMEN GLOBAL)'!L2902</f>
        <v>0</v>
      </c>
      <c r="B2902" s="6">
        <f>+'[1]VENTAS(RESUMEN GLOBAL)'!M2902</f>
        <v>0</v>
      </c>
      <c r="C2902">
        <f>+'[1]VENTAS(RESUMEN GLOBAL)'!B2902</f>
        <v>0</v>
      </c>
      <c r="D2902" t="e">
        <f>INDEX('[1]CÓDIGOS DE PRODUCTO'!$D$3:$D$1000,MATCH(C2902,'[1]CÓDIGOS DE PRODUCTO'!$A$3:$A$1000,0))</f>
        <v>#N/A</v>
      </c>
      <c r="E2902">
        <f>VLOOKUP(C2902,'[1]CÓDIGOS DE PRODUCTO'!$A$4:$B$156,2,FALSE)</f>
        <v>0</v>
      </c>
      <c r="F2902">
        <f>INDEX('[1]CÓDIGOS DE PRODUCTO'!$C$3:$C$1000,MATCH(C2902,'[1]CÓDIGOS DE PRODUCTO'!$A$3:$A$1000,0))</f>
        <v>0</v>
      </c>
      <c r="G2902">
        <f>+'[1]VENTAS(RESUMEN GLOBAL)'!D2902-'[1]VENTAS(RESUMEN GLOBAL)'!E2902</f>
        <v>0</v>
      </c>
      <c r="H2902" s="9">
        <f>+'[1]VENTAS(RESUMEN GLOBAL)'!K2902</f>
        <v>0</v>
      </c>
      <c r="I2902" s="8">
        <f>+G2902*'[1]VENTAS(RESUMEN GLOBAL)'!F2902</f>
        <v>0</v>
      </c>
      <c r="J2902" s="8">
        <f>'[1]VENTAS(RESUMEN GLOBAL)'!G2902*(1-'[1]VENTAS(RESUMEN GLOBAL)'!H2902)</f>
        <v>0</v>
      </c>
      <c r="K2902" s="8">
        <f t="shared" si="45"/>
        <v>0</v>
      </c>
      <c r="L2902" s="8">
        <f>+'[1]VENTAS(RESUMEN GLOBAL)'!J2902</f>
        <v>0</v>
      </c>
      <c r="M2902" s="8">
        <f>+Tabla1[[#This Row],[utilidad x dia]]*7</f>
        <v>0</v>
      </c>
    </row>
    <row r="2903" spans="1:13" x14ac:dyDescent="0.3">
      <c r="A2903" s="6">
        <f>+'[1]VENTAS(RESUMEN GLOBAL)'!L2903</f>
        <v>0</v>
      </c>
      <c r="B2903" s="6">
        <f>+'[1]VENTAS(RESUMEN GLOBAL)'!M2903</f>
        <v>0</v>
      </c>
      <c r="C2903">
        <f>+'[1]VENTAS(RESUMEN GLOBAL)'!B2903</f>
        <v>0</v>
      </c>
      <c r="D2903" t="e">
        <f>INDEX('[1]CÓDIGOS DE PRODUCTO'!$D$3:$D$1000,MATCH(C2903,'[1]CÓDIGOS DE PRODUCTO'!$A$3:$A$1000,0))</f>
        <v>#N/A</v>
      </c>
      <c r="E2903">
        <f>VLOOKUP(C2903,'[1]CÓDIGOS DE PRODUCTO'!$A$4:$B$156,2,FALSE)</f>
        <v>0</v>
      </c>
      <c r="F2903">
        <f>INDEX('[1]CÓDIGOS DE PRODUCTO'!$C$3:$C$1000,MATCH(C2903,'[1]CÓDIGOS DE PRODUCTO'!$A$3:$A$1000,0))</f>
        <v>0</v>
      </c>
      <c r="G2903">
        <f>+'[1]VENTAS(RESUMEN GLOBAL)'!D2903-'[1]VENTAS(RESUMEN GLOBAL)'!E2903</f>
        <v>0</v>
      </c>
      <c r="H2903" s="9">
        <f>+'[1]VENTAS(RESUMEN GLOBAL)'!K2903</f>
        <v>0</v>
      </c>
      <c r="I2903" s="8">
        <f>+G2903*'[1]VENTAS(RESUMEN GLOBAL)'!F2903</f>
        <v>0</v>
      </c>
      <c r="J2903" s="8">
        <f>'[1]VENTAS(RESUMEN GLOBAL)'!G2903*(1-'[1]VENTAS(RESUMEN GLOBAL)'!H2903)</f>
        <v>0</v>
      </c>
      <c r="K2903" s="8">
        <f t="shared" si="45"/>
        <v>0</v>
      </c>
      <c r="L2903" s="8">
        <f>+'[1]VENTAS(RESUMEN GLOBAL)'!J2903</f>
        <v>0</v>
      </c>
      <c r="M2903" s="8">
        <f>+Tabla1[[#This Row],[utilidad x dia]]*7</f>
        <v>0</v>
      </c>
    </row>
    <row r="2904" spans="1:13" x14ac:dyDescent="0.3">
      <c r="A2904" s="6">
        <f>+'[1]VENTAS(RESUMEN GLOBAL)'!L2904</f>
        <v>0</v>
      </c>
      <c r="B2904" s="6">
        <f>+'[1]VENTAS(RESUMEN GLOBAL)'!M2904</f>
        <v>0</v>
      </c>
      <c r="C2904">
        <f>+'[1]VENTAS(RESUMEN GLOBAL)'!B2904</f>
        <v>0</v>
      </c>
      <c r="D2904" t="e">
        <f>INDEX('[1]CÓDIGOS DE PRODUCTO'!$D$3:$D$1000,MATCH(C2904,'[1]CÓDIGOS DE PRODUCTO'!$A$3:$A$1000,0))</f>
        <v>#N/A</v>
      </c>
      <c r="E2904">
        <f>VLOOKUP(C2904,'[1]CÓDIGOS DE PRODUCTO'!$A$4:$B$156,2,FALSE)</f>
        <v>0</v>
      </c>
      <c r="F2904">
        <f>INDEX('[1]CÓDIGOS DE PRODUCTO'!$C$3:$C$1000,MATCH(C2904,'[1]CÓDIGOS DE PRODUCTO'!$A$3:$A$1000,0))</f>
        <v>0</v>
      </c>
      <c r="G2904">
        <f>+'[1]VENTAS(RESUMEN GLOBAL)'!D2904-'[1]VENTAS(RESUMEN GLOBAL)'!E2904</f>
        <v>0</v>
      </c>
      <c r="H2904" s="9">
        <f>+'[1]VENTAS(RESUMEN GLOBAL)'!K2904</f>
        <v>0</v>
      </c>
      <c r="I2904" s="8">
        <f>+G2904*'[1]VENTAS(RESUMEN GLOBAL)'!F2904</f>
        <v>0</v>
      </c>
      <c r="J2904" s="8">
        <f>'[1]VENTAS(RESUMEN GLOBAL)'!G2904*(1-'[1]VENTAS(RESUMEN GLOBAL)'!H2904)</f>
        <v>0</v>
      </c>
      <c r="K2904" s="8">
        <f t="shared" si="45"/>
        <v>0</v>
      </c>
      <c r="L2904" s="8">
        <f>+'[1]VENTAS(RESUMEN GLOBAL)'!J2904</f>
        <v>0</v>
      </c>
      <c r="M2904" s="8">
        <f>+Tabla1[[#This Row],[utilidad x dia]]*7</f>
        <v>0</v>
      </c>
    </row>
    <row r="2905" spans="1:13" x14ac:dyDescent="0.3">
      <c r="A2905" s="6">
        <f>+'[1]VENTAS(RESUMEN GLOBAL)'!L2905</f>
        <v>0</v>
      </c>
      <c r="B2905" s="6">
        <f>+'[1]VENTAS(RESUMEN GLOBAL)'!M2905</f>
        <v>0</v>
      </c>
      <c r="C2905">
        <f>+'[1]VENTAS(RESUMEN GLOBAL)'!B2905</f>
        <v>0</v>
      </c>
      <c r="D2905" t="e">
        <f>INDEX('[1]CÓDIGOS DE PRODUCTO'!$D$3:$D$1000,MATCH(C2905,'[1]CÓDIGOS DE PRODUCTO'!$A$3:$A$1000,0))</f>
        <v>#N/A</v>
      </c>
      <c r="E2905">
        <f>VLOOKUP(C2905,'[1]CÓDIGOS DE PRODUCTO'!$A$4:$B$156,2,FALSE)</f>
        <v>0</v>
      </c>
      <c r="F2905">
        <f>INDEX('[1]CÓDIGOS DE PRODUCTO'!$C$3:$C$1000,MATCH(C2905,'[1]CÓDIGOS DE PRODUCTO'!$A$3:$A$1000,0))</f>
        <v>0</v>
      </c>
      <c r="G2905">
        <f>+'[1]VENTAS(RESUMEN GLOBAL)'!D2905-'[1]VENTAS(RESUMEN GLOBAL)'!E2905</f>
        <v>0</v>
      </c>
      <c r="H2905" s="9">
        <f>+'[1]VENTAS(RESUMEN GLOBAL)'!K2905</f>
        <v>0</v>
      </c>
      <c r="I2905" s="8">
        <f>+G2905*'[1]VENTAS(RESUMEN GLOBAL)'!F2905</f>
        <v>0</v>
      </c>
      <c r="J2905" s="8">
        <f>'[1]VENTAS(RESUMEN GLOBAL)'!G2905*(1-'[1]VENTAS(RESUMEN GLOBAL)'!H2905)</f>
        <v>0</v>
      </c>
      <c r="K2905" s="8">
        <f t="shared" si="45"/>
        <v>0</v>
      </c>
      <c r="L2905" s="8">
        <f>+'[1]VENTAS(RESUMEN GLOBAL)'!J2905</f>
        <v>0</v>
      </c>
      <c r="M2905" s="8">
        <f>+Tabla1[[#This Row],[utilidad x dia]]*7</f>
        <v>0</v>
      </c>
    </row>
    <row r="2906" spans="1:13" x14ac:dyDescent="0.3">
      <c r="A2906" s="6">
        <f>+'[1]VENTAS(RESUMEN GLOBAL)'!L2906</f>
        <v>0</v>
      </c>
      <c r="B2906" s="6">
        <f>+'[1]VENTAS(RESUMEN GLOBAL)'!M2906</f>
        <v>0</v>
      </c>
      <c r="C2906">
        <f>+'[1]VENTAS(RESUMEN GLOBAL)'!B2906</f>
        <v>0</v>
      </c>
      <c r="D2906" t="e">
        <f>INDEX('[1]CÓDIGOS DE PRODUCTO'!$D$3:$D$1000,MATCH(C2906,'[1]CÓDIGOS DE PRODUCTO'!$A$3:$A$1000,0))</f>
        <v>#N/A</v>
      </c>
      <c r="E2906">
        <f>VLOOKUP(C2906,'[1]CÓDIGOS DE PRODUCTO'!$A$4:$B$156,2,FALSE)</f>
        <v>0</v>
      </c>
      <c r="F2906">
        <f>INDEX('[1]CÓDIGOS DE PRODUCTO'!$C$3:$C$1000,MATCH(C2906,'[1]CÓDIGOS DE PRODUCTO'!$A$3:$A$1000,0))</f>
        <v>0</v>
      </c>
      <c r="G2906">
        <f>+'[1]VENTAS(RESUMEN GLOBAL)'!D2906-'[1]VENTAS(RESUMEN GLOBAL)'!E2906</f>
        <v>0</v>
      </c>
      <c r="H2906" s="9">
        <f>+'[1]VENTAS(RESUMEN GLOBAL)'!K2906</f>
        <v>0</v>
      </c>
      <c r="I2906" s="8">
        <f>+G2906*'[1]VENTAS(RESUMEN GLOBAL)'!F2906</f>
        <v>0</v>
      </c>
      <c r="J2906" s="8">
        <f>'[1]VENTAS(RESUMEN GLOBAL)'!G2906*(1-'[1]VENTAS(RESUMEN GLOBAL)'!H2906)</f>
        <v>0</v>
      </c>
      <c r="K2906" s="8">
        <f t="shared" si="45"/>
        <v>0</v>
      </c>
      <c r="L2906" s="8">
        <f>+'[1]VENTAS(RESUMEN GLOBAL)'!J2906</f>
        <v>0</v>
      </c>
      <c r="M2906" s="8">
        <f>+Tabla1[[#This Row],[utilidad x dia]]*7</f>
        <v>0</v>
      </c>
    </row>
    <row r="2907" spans="1:13" x14ac:dyDescent="0.3">
      <c r="A2907" s="6">
        <f>+'[1]VENTAS(RESUMEN GLOBAL)'!L2907</f>
        <v>0</v>
      </c>
      <c r="B2907" s="6">
        <f>+'[1]VENTAS(RESUMEN GLOBAL)'!M2907</f>
        <v>0</v>
      </c>
      <c r="C2907">
        <f>+'[1]VENTAS(RESUMEN GLOBAL)'!B2907</f>
        <v>0</v>
      </c>
      <c r="D2907" t="e">
        <f>INDEX('[1]CÓDIGOS DE PRODUCTO'!$D$3:$D$1000,MATCH(C2907,'[1]CÓDIGOS DE PRODUCTO'!$A$3:$A$1000,0))</f>
        <v>#N/A</v>
      </c>
      <c r="E2907">
        <f>VLOOKUP(C2907,'[1]CÓDIGOS DE PRODUCTO'!$A$4:$B$156,2,FALSE)</f>
        <v>0</v>
      </c>
      <c r="F2907">
        <f>INDEX('[1]CÓDIGOS DE PRODUCTO'!$C$3:$C$1000,MATCH(C2907,'[1]CÓDIGOS DE PRODUCTO'!$A$3:$A$1000,0))</f>
        <v>0</v>
      </c>
      <c r="G2907">
        <f>+'[1]VENTAS(RESUMEN GLOBAL)'!D2907-'[1]VENTAS(RESUMEN GLOBAL)'!E2907</f>
        <v>0</v>
      </c>
      <c r="H2907" s="9">
        <f>+'[1]VENTAS(RESUMEN GLOBAL)'!K2907</f>
        <v>0</v>
      </c>
      <c r="I2907" s="8">
        <f>+G2907*'[1]VENTAS(RESUMEN GLOBAL)'!F2907</f>
        <v>0</v>
      </c>
      <c r="J2907" s="8">
        <f>'[1]VENTAS(RESUMEN GLOBAL)'!G2907*(1-'[1]VENTAS(RESUMEN GLOBAL)'!H2907)</f>
        <v>0</v>
      </c>
      <c r="K2907" s="8">
        <f t="shared" si="45"/>
        <v>0</v>
      </c>
      <c r="L2907" s="8">
        <f>+'[1]VENTAS(RESUMEN GLOBAL)'!J2907</f>
        <v>0</v>
      </c>
      <c r="M2907" s="8">
        <f>+Tabla1[[#This Row],[utilidad x dia]]*7</f>
        <v>0</v>
      </c>
    </row>
    <row r="2908" spans="1:13" x14ac:dyDescent="0.3">
      <c r="A2908" s="6">
        <f>+'[1]VENTAS(RESUMEN GLOBAL)'!L2908</f>
        <v>0</v>
      </c>
      <c r="B2908" s="6">
        <f>+'[1]VENTAS(RESUMEN GLOBAL)'!M2908</f>
        <v>0</v>
      </c>
      <c r="C2908">
        <f>+'[1]VENTAS(RESUMEN GLOBAL)'!B2908</f>
        <v>0</v>
      </c>
      <c r="D2908" t="e">
        <f>INDEX('[1]CÓDIGOS DE PRODUCTO'!$D$3:$D$1000,MATCH(C2908,'[1]CÓDIGOS DE PRODUCTO'!$A$3:$A$1000,0))</f>
        <v>#N/A</v>
      </c>
      <c r="E2908">
        <f>VLOOKUP(C2908,'[1]CÓDIGOS DE PRODUCTO'!$A$4:$B$156,2,FALSE)</f>
        <v>0</v>
      </c>
      <c r="F2908">
        <f>INDEX('[1]CÓDIGOS DE PRODUCTO'!$C$3:$C$1000,MATCH(C2908,'[1]CÓDIGOS DE PRODUCTO'!$A$3:$A$1000,0))</f>
        <v>0</v>
      </c>
      <c r="G2908">
        <f>+'[1]VENTAS(RESUMEN GLOBAL)'!D2908-'[1]VENTAS(RESUMEN GLOBAL)'!E2908</f>
        <v>0</v>
      </c>
      <c r="H2908" s="9">
        <f>+'[1]VENTAS(RESUMEN GLOBAL)'!K2908</f>
        <v>0</v>
      </c>
      <c r="I2908" s="8">
        <f>+G2908*'[1]VENTAS(RESUMEN GLOBAL)'!F2908</f>
        <v>0</v>
      </c>
      <c r="J2908" s="8">
        <f>'[1]VENTAS(RESUMEN GLOBAL)'!G2908*(1-'[1]VENTAS(RESUMEN GLOBAL)'!H2908)</f>
        <v>0</v>
      </c>
      <c r="K2908" s="8">
        <f t="shared" si="45"/>
        <v>0</v>
      </c>
      <c r="L2908" s="8">
        <f>+'[1]VENTAS(RESUMEN GLOBAL)'!J2908</f>
        <v>0</v>
      </c>
      <c r="M2908" s="8">
        <f>+Tabla1[[#This Row],[utilidad x dia]]*7</f>
        <v>0</v>
      </c>
    </row>
    <row r="2909" spans="1:13" x14ac:dyDescent="0.3">
      <c r="A2909" s="6">
        <f>+'[1]VENTAS(RESUMEN GLOBAL)'!L2909</f>
        <v>0</v>
      </c>
      <c r="B2909" s="6">
        <f>+'[1]VENTAS(RESUMEN GLOBAL)'!M2909</f>
        <v>0</v>
      </c>
      <c r="C2909">
        <f>+'[1]VENTAS(RESUMEN GLOBAL)'!B2909</f>
        <v>0</v>
      </c>
      <c r="D2909" t="e">
        <f>INDEX('[1]CÓDIGOS DE PRODUCTO'!$D$3:$D$1000,MATCH(C2909,'[1]CÓDIGOS DE PRODUCTO'!$A$3:$A$1000,0))</f>
        <v>#N/A</v>
      </c>
      <c r="E2909">
        <f>VLOOKUP(C2909,'[1]CÓDIGOS DE PRODUCTO'!$A$4:$B$156,2,FALSE)</f>
        <v>0</v>
      </c>
      <c r="F2909">
        <f>INDEX('[1]CÓDIGOS DE PRODUCTO'!$C$3:$C$1000,MATCH(C2909,'[1]CÓDIGOS DE PRODUCTO'!$A$3:$A$1000,0))</f>
        <v>0</v>
      </c>
      <c r="G2909">
        <f>+'[1]VENTAS(RESUMEN GLOBAL)'!D2909-'[1]VENTAS(RESUMEN GLOBAL)'!E2909</f>
        <v>0</v>
      </c>
      <c r="H2909" s="9">
        <f>+'[1]VENTAS(RESUMEN GLOBAL)'!K2909</f>
        <v>0</v>
      </c>
      <c r="I2909" s="8">
        <f>+G2909*'[1]VENTAS(RESUMEN GLOBAL)'!F2909</f>
        <v>0</v>
      </c>
      <c r="J2909" s="8">
        <f>'[1]VENTAS(RESUMEN GLOBAL)'!G2909*(1-'[1]VENTAS(RESUMEN GLOBAL)'!H2909)</f>
        <v>0</v>
      </c>
      <c r="K2909" s="8">
        <f t="shared" si="45"/>
        <v>0</v>
      </c>
      <c r="L2909" s="8">
        <f>+'[1]VENTAS(RESUMEN GLOBAL)'!J2909</f>
        <v>0</v>
      </c>
      <c r="M2909" s="8">
        <f>+Tabla1[[#This Row],[utilidad x dia]]*7</f>
        <v>0</v>
      </c>
    </row>
    <row r="2910" spans="1:13" x14ac:dyDescent="0.3">
      <c r="A2910" s="6">
        <f>+'[1]VENTAS(RESUMEN GLOBAL)'!L2910</f>
        <v>0</v>
      </c>
      <c r="B2910" s="6">
        <f>+'[1]VENTAS(RESUMEN GLOBAL)'!M2910</f>
        <v>0</v>
      </c>
      <c r="C2910">
        <f>+'[1]VENTAS(RESUMEN GLOBAL)'!B2910</f>
        <v>0</v>
      </c>
      <c r="D2910" t="e">
        <f>INDEX('[1]CÓDIGOS DE PRODUCTO'!$D$3:$D$1000,MATCH(C2910,'[1]CÓDIGOS DE PRODUCTO'!$A$3:$A$1000,0))</f>
        <v>#N/A</v>
      </c>
      <c r="E2910">
        <f>VLOOKUP(C2910,'[1]CÓDIGOS DE PRODUCTO'!$A$4:$B$156,2,FALSE)</f>
        <v>0</v>
      </c>
      <c r="F2910">
        <f>INDEX('[1]CÓDIGOS DE PRODUCTO'!$C$3:$C$1000,MATCH(C2910,'[1]CÓDIGOS DE PRODUCTO'!$A$3:$A$1000,0))</f>
        <v>0</v>
      </c>
      <c r="G2910">
        <f>+'[1]VENTAS(RESUMEN GLOBAL)'!D2910-'[1]VENTAS(RESUMEN GLOBAL)'!E2910</f>
        <v>0</v>
      </c>
      <c r="H2910" s="9">
        <f>+'[1]VENTAS(RESUMEN GLOBAL)'!K2910</f>
        <v>0</v>
      </c>
      <c r="I2910" s="8">
        <f>+G2910*'[1]VENTAS(RESUMEN GLOBAL)'!F2910</f>
        <v>0</v>
      </c>
      <c r="J2910" s="8">
        <f>'[1]VENTAS(RESUMEN GLOBAL)'!G2910*(1-'[1]VENTAS(RESUMEN GLOBAL)'!H2910)</f>
        <v>0</v>
      </c>
      <c r="K2910" s="8">
        <f t="shared" si="45"/>
        <v>0</v>
      </c>
      <c r="L2910" s="8">
        <f>+'[1]VENTAS(RESUMEN GLOBAL)'!J2910</f>
        <v>0</v>
      </c>
      <c r="M2910" s="8">
        <f>+Tabla1[[#This Row],[utilidad x dia]]*7</f>
        <v>0</v>
      </c>
    </row>
    <row r="2911" spans="1:13" x14ac:dyDescent="0.3">
      <c r="A2911" s="6">
        <f>+'[1]VENTAS(RESUMEN GLOBAL)'!L2911</f>
        <v>0</v>
      </c>
      <c r="B2911" s="6">
        <f>+'[1]VENTAS(RESUMEN GLOBAL)'!M2911</f>
        <v>0</v>
      </c>
      <c r="C2911">
        <f>+'[1]VENTAS(RESUMEN GLOBAL)'!B2911</f>
        <v>0</v>
      </c>
      <c r="D2911" t="e">
        <f>INDEX('[1]CÓDIGOS DE PRODUCTO'!$D$3:$D$1000,MATCH(C2911,'[1]CÓDIGOS DE PRODUCTO'!$A$3:$A$1000,0))</f>
        <v>#N/A</v>
      </c>
      <c r="E2911">
        <f>VLOOKUP(C2911,'[1]CÓDIGOS DE PRODUCTO'!$A$4:$B$156,2,FALSE)</f>
        <v>0</v>
      </c>
      <c r="F2911">
        <f>INDEX('[1]CÓDIGOS DE PRODUCTO'!$C$3:$C$1000,MATCH(C2911,'[1]CÓDIGOS DE PRODUCTO'!$A$3:$A$1000,0))</f>
        <v>0</v>
      </c>
      <c r="G2911">
        <f>+'[1]VENTAS(RESUMEN GLOBAL)'!D2911-'[1]VENTAS(RESUMEN GLOBAL)'!E2911</f>
        <v>0</v>
      </c>
      <c r="H2911" s="9">
        <f>+'[1]VENTAS(RESUMEN GLOBAL)'!K2911</f>
        <v>0</v>
      </c>
      <c r="I2911" s="8">
        <f>+G2911*'[1]VENTAS(RESUMEN GLOBAL)'!F2911</f>
        <v>0</v>
      </c>
      <c r="J2911" s="8">
        <f>'[1]VENTAS(RESUMEN GLOBAL)'!G2911*(1-'[1]VENTAS(RESUMEN GLOBAL)'!H2911)</f>
        <v>0</v>
      </c>
      <c r="K2911" s="8">
        <f t="shared" si="45"/>
        <v>0</v>
      </c>
      <c r="L2911" s="8">
        <f>+'[1]VENTAS(RESUMEN GLOBAL)'!J2911</f>
        <v>0</v>
      </c>
      <c r="M2911" s="8">
        <f>+Tabla1[[#This Row],[utilidad x dia]]*7</f>
        <v>0</v>
      </c>
    </row>
    <row r="2912" spans="1:13" x14ac:dyDescent="0.3">
      <c r="A2912" s="6">
        <f>+'[1]VENTAS(RESUMEN GLOBAL)'!L2912</f>
        <v>0</v>
      </c>
      <c r="B2912" s="6">
        <f>+'[1]VENTAS(RESUMEN GLOBAL)'!M2912</f>
        <v>0</v>
      </c>
      <c r="C2912">
        <f>+'[1]VENTAS(RESUMEN GLOBAL)'!B2912</f>
        <v>0</v>
      </c>
      <c r="D2912" t="e">
        <f>INDEX('[1]CÓDIGOS DE PRODUCTO'!$D$3:$D$1000,MATCH(C2912,'[1]CÓDIGOS DE PRODUCTO'!$A$3:$A$1000,0))</f>
        <v>#N/A</v>
      </c>
      <c r="E2912">
        <f>VLOOKUP(C2912,'[1]CÓDIGOS DE PRODUCTO'!$A$4:$B$156,2,FALSE)</f>
        <v>0</v>
      </c>
      <c r="F2912">
        <f>INDEX('[1]CÓDIGOS DE PRODUCTO'!$C$3:$C$1000,MATCH(C2912,'[1]CÓDIGOS DE PRODUCTO'!$A$3:$A$1000,0))</f>
        <v>0</v>
      </c>
      <c r="G2912">
        <f>+'[1]VENTAS(RESUMEN GLOBAL)'!D2912-'[1]VENTAS(RESUMEN GLOBAL)'!E2912</f>
        <v>0</v>
      </c>
      <c r="H2912" s="9">
        <f>+'[1]VENTAS(RESUMEN GLOBAL)'!K2912</f>
        <v>0</v>
      </c>
      <c r="I2912" s="8">
        <f>+G2912*'[1]VENTAS(RESUMEN GLOBAL)'!F2912</f>
        <v>0</v>
      </c>
      <c r="J2912" s="8">
        <f>'[1]VENTAS(RESUMEN GLOBAL)'!G2912*(1-'[1]VENTAS(RESUMEN GLOBAL)'!H2912)</f>
        <v>0</v>
      </c>
      <c r="K2912" s="8">
        <f t="shared" si="45"/>
        <v>0</v>
      </c>
      <c r="L2912" s="8">
        <f>+'[1]VENTAS(RESUMEN GLOBAL)'!J2912</f>
        <v>0</v>
      </c>
      <c r="M2912" s="8">
        <f>+Tabla1[[#This Row],[utilidad x dia]]*7</f>
        <v>0</v>
      </c>
    </row>
    <row r="2913" spans="1:13" x14ac:dyDescent="0.3">
      <c r="A2913" s="6">
        <f>+'[1]VENTAS(RESUMEN GLOBAL)'!L2913</f>
        <v>0</v>
      </c>
      <c r="B2913" s="6">
        <f>+'[1]VENTAS(RESUMEN GLOBAL)'!M2913</f>
        <v>0</v>
      </c>
      <c r="C2913">
        <f>+'[1]VENTAS(RESUMEN GLOBAL)'!B2913</f>
        <v>0</v>
      </c>
      <c r="D2913" t="e">
        <f>INDEX('[1]CÓDIGOS DE PRODUCTO'!$D$3:$D$1000,MATCH(C2913,'[1]CÓDIGOS DE PRODUCTO'!$A$3:$A$1000,0))</f>
        <v>#N/A</v>
      </c>
      <c r="E2913">
        <f>VLOOKUP(C2913,'[1]CÓDIGOS DE PRODUCTO'!$A$4:$B$156,2,FALSE)</f>
        <v>0</v>
      </c>
      <c r="F2913">
        <f>INDEX('[1]CÓDIGOS DE PRODUCTO'!$C$3:$C$1000,MATCH(C2913,'[1]CÓDIGOS DE PRODUCTO'!$A$3:$A$1000,0))</f>
        <v>0</v>
      </c>
      <c r="G2913">
        <f>+'[1]VENTAS(RESUMEN GLOBAL)'!D2913-'[1]VENTAS(RESUMEN GLOBAL)'!E2913</f>
        <v>0</v>
      </c>
      <c r="H2913" s="9">
        <f>+'[1]VENTAS(RESUMEN GLOBAL)'!K2913</f>
        <v>0</v>
      </c>
      <c r="I2913" s="8">
        <f>+G2913*'[1]VENTAS(RESUMEN GLOBAL)'!F2913</f>
        <v>0</v>
      </c>
      <c r="J2913" s="8">
        <f>'[1]VENTAS(RESUMEN GLOBAL)'!G2913*(1-'[1]VENTAS(RESUMEN GLOBAL)'!H2913)</f>
        <v>0</v>
      </c>
      <c r="K2913" s="8">
        <f t="shared" si="45"/>
        <v>0</v>
      </c>
      <c r="L2913" s="8">
        <f>+'[1]VENTAS(RESUMEN GLOBAL)'!J2913</f>
        <v>0</v>
      </c>
      <c r="M2913" s="8">
        <f>+Tabla1[[#This Row],[utilidad x dia]]*7</f>
        <v>0</v>
      </c>
    </row>
    <row r="2914" spans="1:13" x14ac:dyDescent="0.3">
      <c r="A2914" s="6">
        <f>+'[1]VENTAS(RESUMEN GLOBAL)'!L2914</f>
        <v>0</v>
      </c>
      <c r="B2914" s="6">
        <f>+'[1]VENTAS(RESUMEN GLOBAL)'!M2914</f>
        <v>0</v>
      </c>
      <c r="C2914">
        <f>+'[1]VENTAS(RESUMEN GLOBAL)'!B2914</f>
        <v>0</v>
      </c>
      <c r="D2914" t="e">
        <f>INDEX('[1]CÓDIGOS DE PRODUCTO'!$D$3:$D$1000,MATCH(C2914,'[1]CÓDIGOS DE PRODUCTO'!$A$3:$A$1000,0))</f>
        <v>#N/A</v>
      </c>
      <c r="E2914">
        <f>VLOOKUP(C2914,'[1]CÓDIGOS DE PRODUCTO'!$A$4:$B$156,2,FALSE)</f>
        <v>0</v>
      </c>
      <c r="F2914">
        <f>INDEX('[1]CÓDIGOS DE PRODUCTO'!$C$3:$C$1000,MATCH(C2914,'[1]CÓDIGOS DE PRODUCTO'!$A$3:$A$1000,0))</f>
        <v>0</v>
      </c>
      <c r="G2914">
        <f>+'[1]VENTAS(RESUMEN GLOBAL)'!D2914-'[1]VENTAS(RESUMEN GLOBAL)'!E2914</f>
        <v>0</v>
      </c>
      <c r="H2914" s="9">
        <f>+'[1]VENTAS(RESUMEN GLOBAL)'!K2914</f>
        <v>0</v>
      </c>
      <c r="I2914" s="8">
        <f>+G2914*'[1]VENTAS(RESUMEN GLOBAL)'!F2914</f>
        <v>0</v>
      </c>
      <c r="J2914" s="8">
        <f>'[1]VENTAS(RESUMEN GLOBAL)'!G2914*(1-'[1]VENTAS(RESUMEN GLOBAL)'!H2914)</f>
        <v>0</v>
      </c>
      <c r="K2914" s="8">
        <f t="shared" si="45"/>
        <v>0</v>
      </c>
      <c r="L2914" s="8">
        <f>+'[1]VENTAS(RESUMEN GLOBAL)'!J2914</f>
        <v>0</v>
      </c>
      <c r="M2914" s="8">
        <f>+Tabla1[[#This Row],[utilidad x dia]]*7</f>
        <v>0</v>
      </c>
    </row>
    <row r="2915" spans="1:13" x14ac:dyDescent="0.3">
      <c r="A2915" s="6">
        <f>+'[1]VENTAS(RESUMEN GLOBAL)'!L2915</f>
        <v>0</v>
      </c>
      <c r="B2915" s="6">
        <f>+'[1]VENTAS(RESUMEN GLOBAL)'!M2915</f>
        <v>0</v>
      </c>
      <c r="C2915">
        <f>+'[1]VENTAS(RESUMEN GLOBAL)'!B2915</f>
        <v>0</v>
      </c>
      <c r="D2915" t="e">
        <f>INDEX('[1]CÓDIGOS DE PRODUCTO'!$D$3:$D$1000,MATCH(C2915,'[1]CÓDIGOS DE PRODUCTO'!$A$3:$A$1000,0))</f>
        <v>#N/A</v>
      </c>
      <c r="E2915">
        <f>VLOOKUP(C2915,'[1]CÓDIGOS DE PRODUCTO'!$A$4:$B$156,2,FALSE)</f>
        <v>0</v>
      </c>
      <c r="F2915">
        <f>INDEX('[1]CÓDIGOS DE PRODUCTO'!$C$3:$C$1000,MATCH(C2915,'[1]CÓDIGOS DE PRODUCTO'!$A$3:$A$1000,0))</f>
        <v>0</v>
      </c>
      <c r="G2915">
        <f>+'[1]VENTAS(RESUMEN GLOBAL)'!D2915-'[1]VENTAS(RESUMEN GLOBAL)'!E2915</f>
        <v>0</v>
      </c>
      <c r="H2915" s="9">
        <f>+'[1]VENTAS(RESUMEN GLOBAL)'!K2915</f>
        <v>0</v>
      </c>
      <c r="I2915" s="8">
        <f>+G2915*'[1]VENTAS(RESUMEN GLOBAL)'!F2915</f>
        <v>0</v>
      </c>
      <c r="J2915" s="8">
        <f>'[1]VENTAS(RESUMEN GLOBAL)'!G2915*(1-'[1]VENTAS(RESUMEN GLOBAL)'!H2915)</f>
        <v>0</v>
      </c>
      <c r="K2915" s="8">
        <f t="shared" si="45"/>
        <v>0</v>
      </c>
      <c r="L2915" s="8">
        <f>+'[1]VENTAS(RESUMEN GLOBAL)'!J2915</f>
        <v>0</v>
      </c>
      <c r="M2915" s="8">
        <f>+Tabla1[[#This Row],[utilidad x dia]]*7</f>
        <v>0</v>
      </c>
    </row>
    <row r="2916" spans="1:13" x14ac:dyDescent="0.3">
      <c r="A2916" s="6">
        <f>+'[1]VENTAS(RESUMEN GLOBAL)'!L2916</f>
        <v>0</v>
      </c>
      <c r="B2916" s="6">
        <f>+'[1]VENTAS(RESUMEN GLOBAL)'!M2916</f>
        <v>0</v>
      </c>
      <c r="C2916">
        <f>+'[1]VENTAS(RESUMEN GLOBAL)'!B2916</f>
        <v>0</v>
      </c>
      <c r="D2916" t="e">
        <f>INDEX('[1]CÓDIGOS DE PRODUCTO'!$D$3:$D$1000,MATCH(C2916,'[1]CÓDIGOS DE PRODUCTO'!$A$3:$A$1000,0))</f>
        <v>#N/A</v>
      </c>
      <c r="E2916">
        <f>VLOOKUP(C2916,'[1]CÓDIGOS DE PRODUCTO'!$A$4:$B$156,2,FALSE)</f>
        <v>0</v>
      </c>
      <c r="F2916">
        <f>INDEX('[1]CÓDIGOS DE PRODUCTO'!$C$3:$C$1000,MATCH(C2916,'[1]CÓDIGOS DE PRODUCTO'!$A$3:$A$1000,0))</f>
        <v>0</v>
      </c>
      <c r="G2916">
        <f>+'[1]VENTAS(RESUMEN GLOBAL)'!D2916-'[1]VENTAS(RESUMEN GLOBAL)'!E2916</f>
        <v>0</v>
      </c>
      <c r="H2916" s="9">
        <f>+'[1]VENTAS(RESUMEN GLOBAL)'!K2916</f>
        <v>0</v>
      </c>
      <c r="I2916" s="8">
        <f>+G2916*'[1]VENTAS(RESUMEN GLOBAL)'!F2916</f>
        <v>0</v>
      </c>
      <c r="J2916" s="8">
        <f>'[1]VENTAS(RESUMEN GLOBAL)'!G2916*(1-'[1]VENTAS(RESUMEN GLOBAL)'!H2916)</f>
        <v>0</v>
      </c>
      <c r="K2916" s="8">
        <f t="shared" si="45"/>
        <v>0</v>
      </c>
      <c r="L2916" s="8">
        <f>+'[1]VENTAS(RESUMEN GLOBAL)'!J2916</f>
        <v>0</v>
      </c>
      <c r="M2916" s="8">
        <f>+Tabla1[[#This Row],[utilidad x dia]]*7</f>
        <v>0</v>
      </c>
    </row>
    <row r="2917" spans="1:13" x14ac:dyDescent="0.3">
      <c r="A2917" s="6">
        <f>+'[1]VENTAS(RESUMEN GLOBAL)'!L2917</f>
        <v>0</v>
      </c>
      <c r="B2917" s="6">
        <f>+'[1]VENTAS(RESUMEN GLOBAL)'!M2917</f>
        <v>0</v>
      </c>
      <c r="C2917">
        <f>+'[1]VENTAS(RESUMEN GLOBAL)'!B2917</f>
        <v>0</v>
      </c>
      <c r="D2917" t="e">
        <f>INDEX('[1]CÓDIGOS DE PRODUCTO'!$D$3:$D$1000,MATCH(C2917,'[1]CÓDIGOS DE PRODUCTO'!$A$3:$A$1000,0))</f>
        <v>#N/A</v>
      </c>
      <c r="E2917">
        <f>VLOOKUP(C2917,'[1]CÓDIGOS DE PRODUCTO'!$A$4:$B$156,2,FALSE)</f>
        <v>0</v>
      </c>
      <c r="F2917">
        <f>INDEX('[1]CÓDIGOS DE PRODUCTO'!$C$3:$C$1000,MATCH(C2917,'[1]CÓDIGOS DE PRODUCTO'!$A$3:$A$1000,0))</f>
        <v>0</v>
      </c>
      <c r="G2917">
        <f>+'[1]VENTAS(RESUMEN GLOBAL)'!D2917-'[1]VENTAS(RESUMEN GLOBAL)'!E2917</f>
        <v>0</v>
      </c>
      <c r="H2917" s="9">
        <f>+'[1]VENTAS(RESUMEN GLOBAL)'!K2917</f>
        <v>0</v>
      </c>
      <c r="I2917" s="8">
        <f>+G2917*'[1]VENTAS(RESUMEN GLOBAL)'!F2917</f>
        <v>0</v>
      </c>
      <c r="J2917" s="8">
        <f>'[1]VENTAS(RESUMEN GLOBAL)'!G2917*(1-'[1]VENTAS(RESUMEN GLOBAL)'!H2917)</f>
        <v>0</v>
      </c>
      <c r="K2917" s="8">
        <f t="shared" si="45"/>
        <v>0</v>
      </c>
      <c r="L2917" s="8">
        <f>+'[1]VENTAS(RESUMEN GLOBAL)'!J2917</f>
        <v>0</v>
      </c>
      <c r="M2917" s="8">
        <f>+Tabla1[[#This Row],[utilidad x dia]]*7</f>
        <v>0</v>
      </c>
    </row>
    <row r="2918" spans="1:13" x14ac:dyDescent="0.3">
      <c r="A2918" s="6">
        <f>+'[1]VENTAS(RESUMEN GLOBAL)'!L2918</f>
        <v>0</v>
      </c>
      <c r="B2918" s="6">
        <f>+'[1]VENTAS(RESUMEN GLOBAL)'!M2918</f>
        <v>0</v>
      </c>
      <c r="C2918">
        <f>+'[1]VENTAS(RESUMEN GLOBAL)'!B2918</f>
        <v>0</v>
      </c>
      <c r="D2918" t="e">
        <f>INDEX('[1]CÓDIGOS DE PRODUCTO'!$D$3:$D$1000,MATCH(C2918,'[1]CÓDIGOS DE PRODUCTO'!$A$3:$A$1000,0))</f>
        <v>#N/A</v>
      </c>
      <c r="E2918">
        <f>VLOOKUP(C2918,'[1]CÓDIGOS DE PRODUCTO'!$A$4:$B$156,2,FALSE)</f>
        <v>0</v>
      </c>
      <c r="F2918">
        <f>INDEX('[1]CÓDIGOS DE PRODUCTO'!$C$3:$C$1000,MATCH(C2918,'[1]CÓDIGOS DE PRODUCTO'!$A$3:$A$1000,0))</f>
        <v>0</v>
      </c>
      <c r="G2918">
        <f>+'[1]VENTAS(RESUMEN GLOBAL)'!D2918-'[1]VENTAS(RESUMEN GLOBAL)'!E2918</f>
        <v>0</v>
      </c>
      <c r="H2918" s="9">
        <f>+'[1]VENTAS(RESUMEN GLOBAL)'!K2918</f>
        <v>0</v>
      </c>
      <c r="I2918" s="8">
        <f>+G2918*'[1]VENTAS(RESUMEN GLOBAL)'!F2918</f>
        <v>0</v>
      </c>
      <c r="J2918" s="8">
        <f>'[1]VENTAS(RESUMEN GLOBAL)'!G2918*(1-'[1]VENTAS(RESUMEN GLOBAL)'!H2918)</f>
        <v>0</v>
      </c>
      <c r="K2918" s="8">
        <f t="shared" si="45"/>
        <v>0</v>
      </c>
      <c r="L2918" s="8">
        <f>+'[1]VENTAS(RESUMEN GLOBAL)'!J2918</f>
        <v>0</v>
      </c>
      <c r="M2918" s="8">
        <f>+Tabla1[[#This Row],[utilidad x dia]]*7</f>
        <v>0</v>
      </c>
    </row>
    <row r="2919" spans="1:13" x14ac:dyDescent="0.3">
      <c r="A2919" s="6">
        <f>+'[1]VENTAS(RESUMEN GLOBAL)'!L2919</f>
        <v>0</v>
      </c>
      <c r="B2919" s="6">
        <f>+'[1]VENTAS(RESUMEN GLOBAL)'!M2919</f>
        <v>0</v>
      </c>
      <c r="C2919">
        <f>+'[1]VENTAS(RESUMEN GLOBAL)'!B2919</f>
        <v>0</v>
      </c>
      <c r="D2919" t="e">
        <f>INDEX('[1]CÓDIGOS DE PRODUCTO'!$D$3:$D$1000,MATCH(C2919,'[1]CÓDIGOS DE PRODUCTO'!$A$3:$A$1000,0))</f>
        <v>#N/A</v>
      </c>
      <c r="E2919">
        <f>VLOOKUP(C2919,'[1]CÓDIGOS DE PRODUCTO'!$A$4:$B$156,2,FALSE)</f>
        <v>0</v>
      </c>
      <c r="F2919">
        <f>INDEX('[1]CÓDIGOS DE PRODUCTO'!$C$3:$C$1000,MATCH(C2919,'[1]CÓDIGOS DE PRODUCTO'!$A$3:$A$1000,0))</f>
        <v>0</v>
      </c>
      <c r="G2919">
        <f>+'[1]VENTAS(RESUMEN GLOBAL)'!D2919-'[1]VENTAS(RESUMEN GLOBAL)'!E2919</f>
        <v>0</v>
      </c>
      <c r="H2919" s="9">
        <f>+'[1]VENTAS(RESUMEN GLOBAL)'!K2919</f>
        <v>0</v>
      </c>
      <c r="I2919" s="8">
        <f>+G2919*'[1]VENTAS(RESUMEN GLOBAL)'!F2919</f>
        <v>0</v>
      </c>
      <c r="J2919" s="8">
        <f>'[1]VENTAS(RESUMEN GLOBAL)'!G2919*(1-'[1]VENTAS(RESUMEN GLOBAL)'!H2919)</f>
        <v>0</v>
      </c>
      <c r="K2919" s="8">
        <f t="shared" si="45"/>
        <v>0</v>
      </c>
      <c r="L2919" s="8">
        <f>+'[1]VENTAS(RESUMEN GLOBAL)'!J2919</f>
        <v>0</v>
      </c>
      <c r="M2919" s="8">
        <f>+Tabla1[[#This Row],[utilidad x dia]]*7</f>
        <v>0</v>
      </c>
    </row>
    <row r="2920" spans="1:13" x14ac:dyDescent="0.3">
      <c r="A2920" s="6">
        <f>+'[1]VENTAS(RESUMEN GLOBAL)'!L2920</f>
        <v>0</v>
      </c>
      <c r="B2920" s="6">
        <f>+'[1]VENTAS(RESUMEN GLOBAL)'!M2920</f>
        <v>0</v>
      </c>
      <c r="C2920">
        <f>+'[1]VENTAS(RESUMEN GLOBAL)'!B2920</f>
        <v>0</v>
      </c>
      <c r="D2920" t="e">
        <f>INDEX('[1]CÓDIGOS DE PRODUCTO'!$D$3:$D$1000,MATCH(C2920,'[1]CÓDIGOS DE PRODUCTO'!$A$3:$A$1000,0))</f>
        <v>#N/A</v>
      </c>
      <c r="E2920">
        <f>VLOOKUP(C2920,'[1]CÓDIGOS DE PRODUCTO'!$A$4:$B$156,2,FALSE)</f>
        <v>0</v>
      </c>
      <c r="F2920">
        <f>INDEX('[1]CÓDIGOS DE PRODUCTO'!$C$3:$C$1000,MATCH(C2920,'[1]CÓDIGOS DE PRODUCTO'!$A$3:$A$1000,0))</f>
        <v>0</v>
      </c>
      <c r="G2920">
        <f>+'[1]VENTAS(RESUMEN GLOBAL)'!D2920-'[1]VENTAS(RESUMEN GLOBAL)'!E2920</f>
        <v>0</v>
      </c>
      <c r="H2920" s="9">
        <f>+'[1]VENTAS(RESUMEN GLOBAL)'!K2920</f>
        <v>0</v>
      </c>
      <c r="I2920" s="8">
        <f>+G2920*'[1]VENTAS(RESUMEN GLOBAL)'!F2920</f>
        <v>0</v>
      </c>
      <c r="J2920" s="8">
        <f>'[1]VENTAS(RESUMEN GLOBAL)'!G2920*(1-'[1]VENTAS(RESUMEN GLOBAL)'!H2920)</f>
        <v>0</v>
      </c>
      <c r="K2920" s="8">
        <f t="shared" si="45"/>
        <v>0</v>
      </c>
      <c r="L2920" s="8">
        <f>+'[1]VENTAS(RESUMEN GLOBAL)'!J2920</f>
        <v>0</v>
      </c>
      <c r="M2920" s="8">
        <f>+Tabla1[[#This Row],[utilidad x dia]]*7</f>
        <v>0</v>
      </c>
    </row>
    <row r="2921" spans="1:13" x14ac:dyDescent="0.3">
      <c r="A2921" s="6">
        <f>+'[1]VENTAS(RESUMEN GLOBAL)'!L2921</f>
        <v>0</v>
      </c>
      <c r="B2921" s="6">
        <f>+'[1]VENTAS(RESUMEN GLOBAL)'!M2921</f>
        <v>0</v>
      </c>
      <c r="C2921">
        <f>+'[1]VENTAS(RESUMEN GLOBAL)'!B2921</f>
        <v>0</v>
      </c>
      <c r="D2921" t="e">
        <f>INDEX('[1]CÓDIGOS DE PRODUCTO'!$D$3:$D$1000,MATCH(C2921,'[1]CÓDIGOS DE PRODUCTO'!$A$3:$A$1000,0))</f>
        <v>#N/A</v>
      </c>
      <c r="E2921">
        <f>VLOOKUP(C2921,'[1]CÓDIGOS DE PRODUCTO'!$A$4:$B$156,2,FALSE)</f>
        <v>0</v>
      </c>
      <c r="F2921">
        <f>INDEX('[1]CÓDIGOS DE PRODUCTO'!$C$3:$C$1000,MATCH(C2921,'[1]CÓDIGOS DE PRODUCTO'!$A$3:$A$1000,0))</f>
        <v>0</v>
      </c>
      <c r="G2921">
        <f>+'[1]VENTAS(RESUMEN GLOBAL)'!D2921-'[1]VENTAS(RESUMEN GLOBAL)'!E2921</f>
        <v>0</v>
      </c>
      <c r="H2921" s="9">
        <f>+'[1]VENTAS(RESUMEN GLOBAL)'!K2921</f>
        <v>0</v>
      </c>
      <c r="I2921" s="8">
        <f>+G2921*'[1]VENTAS(RESUMEN GLOBAL)'!F2921</f>
        <v>0</v>
      </c>
      <c r="J2921" s="8">
        <f>'[1]VENTAS(RESUMEN GLOBAL)'!G2921*(1-'[1]VENTAS(RESUMEN GLOBAL)'!H2921)</f>
        <v>0</v>
      </c>
      <c r="K2921" s="8">
        <f t="shared" si="45"/>
        <v>0</v>
      </c>
      <c r="L2921" s="8">
        <f>+'[1]VENTAS(RESUMEN GLOBAL)'!J2921</f>
        <v>0</v>
      </c>
      <c r="M2921" s="8">
        <f>+Tabla1[[#This Row],[utilidad x dia]]*7</f>
        <v>0</v>
      </c>
    </row>
    <row r="2922" spans="1:13" x14ac:dyDescent="0.3">
      <c r="A2922" s="6">
        <f>+'[1]VENTAS(RESUMEN GLOBAL)'!L2922</f>
        <v>0</v>
      </c>
      <c r="B2922" s="6">
        <f>+'[1]VENTAS(RESUMEN GLOBAL)'!M2922</f>
        <v>0</v>
      </c>
      <c r="C2922">
        <f>+'[1]VENTAS(RESUMEN GLOBAL)'!B2922</f>
        <v>0</v>
      </c>
      <c r="D2922" t="e">
        <f>INDEX('[1]CÓDIGOS DE PRODUCTO'!$D$3:$D$1000,MATCH(C2922,'[1]CÓDIGOS DE PRODUCTO'!$A$3:$A$1000,0))</f>
        <v>#N/A</v>
      </c>
      <c r="E2922">
        <f>VLOOKUP(C2922,'[1]CÓDIGOS DE PRODUCTO'!$A$4:$B$156,2,FALSE)</f>
        <v>0</v>
      </c>
      <c r="F2922">
        <f>INDEX('[1]CÓDIGOS DE PRODUCTO'!$C$3:$C$1000,MATCH(C2922,'[1]CÓDIGOS DE PRODUCTO'!$A$3:$A$1000,0))</f>
        <v>0</v>
      </c>
      <c r="G2922">
        <f>+'[1]VENTAS(RESUMEN GLOBAL)'!D2922-'[1]VENTAS(RESUMEN GLOBAL)'!E2922</f>
        <v>0</v>
      </c>
      <c r="H2922" s="9">
        <f>+'[1]VENTAS(RESUMEN GLOBAL)'!K2922</f>
        <v>0</v>
      </c>
      <c r="I2922" s="8">
        <f>+G2922*'[1]VENTAS(RESUMEN GLOBAL)'!F2922</f>
        <v>0</v>
      </c>
      <c r="J2922" s="8">
        <f>'[1]VENTAS(RESUMEN GLOBAL)'!G2922*(1-'[1]VENTAS(RESUMEN GLOBAL)'!H2922)</f>
        <v>0</v>
      </c>
      <c r="K2922" s="8">
        <f t="shared" si="45"/>
        <v>0</v>
      </c>
      <c r="L2922" s="8">
        <f>+'[1]VENTAS(RESUMEN GLOBAL)'!J2922</f>
        <v>0</v>
      </c>
      <c r="M2922" s="8">
        <f>+Tabla1[[#This Row],[utilidad x dia]]*7</f>
        <v>0</v>
      </c>
    </row>
    <row r="2923" spans="1:13" x14ac:dyDescent="0.3">
      <c r="A2923" s="6">
        <f>+'[1]VENTAS(RESUMEN GLOBAL)'!L2923</f>
        <v>0</v>
      </c>
      <c r="B2923" s="6">
        <f>+'[1]VENTAS(RESUMEN GLOBAL)'!M2923</f>
        <v>0</v>
      </c>
      <c r="C2923">
        <f>+'[1]VENTAS(RESUMEN GLOBAL)'!B2923</f>
        <v>0</v>
      </c>
      <c r="D2923" t="e">
        <f>INDEX('[1]CÓDIGOS DE PRODUCTO'!$D$3:$D$1000,MATCH(C2923,'[1]CÓDIGOS DE PRODUCTO'!$A$3:$A$1000,0))</f>
        <v>#N/A</v>
      </c>
      <c r="E2923">
        <f>VLOOKUP(C2923,'[1]CÓDIGOS DE PRODUCTO'!$A$4:$B$156,2,FALSE)</f>
        <v>0</v>
      </c>
      <c r="F2923">
        <f>INDEX('[1]CÓDIGOS DE PRODUCTO'!$C$3:$C$1000,MATCH(C2923,'[1]CÓDIGOS DE PRODUCTO'!$A$3:$A$1000,0))</f>
        <v>0</v>
      </c>
      <c r="G2923">
        <f>+'[1]VENTAS(RESUMEN GLOBAL)'!D2923-'[1]VENTAS(RESUMEN GLOBAL)'!E2923</f>
        <v>0</v>
      </c>
      <c r="H2923" s="9">
        <f>+'[1]VENTAS(RESUMEN GLOBAL)'!K2923</f>
        <v>0</v>
      </c>
      <c r="I2923" s="8">
        <f>+G2923*'[1]VENTAS(RESUMEN GLOBAL)'!F2923</f>
        <v>0</v>
      </c>
      <c r="J2923" s="8">
        <f>'[1]VENTAS(RESUMEN GLOBAL)'!G2923*(1-'[1]VENTAS(RESUMEN GLOBAL)'!H2923)</f>
        <v>0</v>
      </c>
      <c r="K2923" s="8">
        <f t="shared" si="45"/>
        <v>0</v>
      </c>
      <c r="L2923" s="8">
        <f>+'[1]VENTAS(RESUMEN GLOBAL)'!J2923</f>
        <v>0</v>
      </c>
      <c r="M2923" s="8">
        <f>+Tabla1[[#This Row],[utilidad x dia]]*7</f>
        <v>0</v>
      </c>
    </row>
    <row r="2924" spans="1:13" x14ac:dyDescent="0.3">
      <c r="A2924" s="6">
        <f>+'[1]VENTAS(RESUMEN GLOBAL)'!L2924</f>
        <v>0</v>
      </c>
      <c r="B2924" s="6">
        <f>+'[1]VENTAS(RESUMEN GLOBAL)'!M2924</f>
        <v>0</v>
      </c>
      <c r="C2924">
        <f>+'[1]VENTAS(RESUMEN GLOBAL)'!B2924</f>
        <v>0</v>
      </c>
      <c r="D2924" t="e">
        <f>INDEX('[1]CÓDIGOS DE PRODUCTO'!$D$3:$D$1000,MATCH(C2924,'[1]CÓDIGOS DE PRODUCTO'!$A$3:$A$1000,0))</f>
        <v>#N/A</v>
      </c>
      <c r="E2924">
        <f>VLOOKUP(C2924,'[1]CÓDIGOS DE PRODUCTO'!$A$4:$B$156,2,FALSE)</f>
        <v>0</v>
      </c>
      <c r="F2924">
        <f>INDEX('[1]CÓDIGOS DE PRODUCTO'!$C$3:$C$1000,MATCH(C2924,'[1]CÓDIGOS DE PRODUCTO'!$A$3:$A$1000,0))</f>
        <v>0</v>
      </c>
      <c r="G2924">
        <f>+'[1]VENTAS(RESUMEN GLOBAL)'!D2924-'[1]VENTAS(RESUMEN GLOBAL)'!E2924</f>
        <v>0</v>
      </c>
      <c r="H2924" s="9">
        <f>+'[1]VENTAS(RESUMEN GLOBAL)'!K2924</f>
        <v>0</v>
      </c>
      <c r="I2924" s="8">
        <f>+G2924*'[1]VENTAS(RESUMEN GLOBAL)'!F2924</f>
        <v>0</v>
      </c>
      <c r="J2924" s="8">
        <f>'[1]VENTAS(RESUMEN GLOBAL)'!G2924*(1-'[1]VENTAS(RESUMEN GLOBAL)'!H2924)</f>
        <v>0</v>
      </c>
      <c r="K2924" s="8">
        <f t="shared" si="45"/>
        <v>0</v>
      </c>
      <c r="L2924" s="8">
        <f>+'[1]VENTAS(RESUMEN GLOBAL)'!J2924</f>
        <v>0</v>
      </c>
      <c r="M2924" s="8">
        <f>+Tabla1[[#This Row],[utilidad x dia]]*7</f>
        <v>0</v>
      </c>
    </row>
    <row r="2925" spans="1:13" x14ac:dyDescent="0.3">
      <c r="A2925" s="6">
        <f>+'[1]VENTAS(RESUMEN GLOBAL)'!L2925</f>
        <v>0</v>
      </c>
      <c r="B2925" s="6">
        <f>+'[1]VENTAS(RESUMEN GLOBAL)'!M2925</f>
        <v>0</v>
      </c>
      <c r="C2925">
        <f>+'[1]VENTAS(RESUMEN GLOBAL)'!B2925</f>
        <v>0</v>
      </c>
      <c r="D2925" t="e">
        <f>INDEX('[1]CÓDIGOS DE PRODUCTO'!$D$3:$D$1000,MATCH(C2925,'[1]CÓDIGOS DE PRODUCTO'!$A$3:$A$1000,0))</f>
        <v>#N/A</v>
      </c>
      <c r="E2925">
        <f>VLOOKUP(C2925,'[1]CÓDIGOS DE PRODUCTO'!$A$4:$B$156,2,FALSE)</f>
        <v>0</v>
      </c>
      <c r="F2925">
        <f>INDEX('[1]CÓDIGOS DE PRODUCTO'!$C$3:$C$1000,MATCH(C2925,'[1]CÓDIGOS DE PRODUCTO'!$A$3:$A$1000,0))</f>
        <v>0</v>
      </c>
      <c r="G2925">
        <f>+'[1]VENTAS(RESUMEN GLOBAL)'!D2925-'[1]VENTAS(RESUMEN GLOBAL)'!E2925</f>
        <v>0</v>
      </c>
      <c r="H2925" s="9">
        <f>+'[1]VENTAS(RESUMEN GLOBAL)'!K2925</f>
        <v>0</v>
      </c>
      <c r="I2925" s="8">
        <f>+G2925*'[1]VENTAS(RESUMEN GLOBAL)'!F2925</f>
        <v>0</v>
      </c>
      <c r="J2925" s="8">
        <f>'[1]VENTAS(RESUMEN GLOBAL)'!G2925*(1-'[1]VENTAS(RESUMEN GLOBAL)'!H2925)</f>
        <v>0</v>
      </c>
      <c r="K2925" s="8">
        <f t="shared" si="45"/>
        <v>0</v>
      </c>
      <c r="L2925" s="8">
        <f>+'[1]VENTAS(RESUMEN GLOBAL)'!J2925</f>
        <v>0</v>
      </c>
      <c r="M2925" s="8">
        <f>+Tabla1[[#This Row],[utilidad x dia]]*7</f>
        <v>0</v>
      </c>
    </row>
    <row r="2926" spans="1:13" x14ac:dyDescent="0.3">
      <c r="A2926" s="6">
        <f>+'[1]VENTAS(RESUMEN GLOBAL)'!L2926</f>
        <v>0</v>
      </c>
      <c r="B2926" s="6">
        <f>+'[1]VENTAS(RESUMEN GLOBAL)'!M2926</f>
        <v>0</v>
      </c>
      <c r="C2926">
        <f>+'[1]VENTAS(RESUMEN GLOBAL)'!B2926</f>
        <v>0</v>
      </c>
      <c r="D2926" t="e">
        <f>INDEX('[1]CÓDIGOS DE PRODUCTO'!$D$3:$D$1000,MATCH(C2926,'[1]CÓDIGOS DE PRODUCTO'!$A$3:$A$1000,0))</f>
        <v>#N/A</v>
      </c>
      <c r="E2926">
        <f>VLOOKUP(C2926,'[1]CÓDIGOS DE PRODUCTO'!$A$4:$B$156,2,FALSE)</f>
        <v>0</v>
      </c>
      <c r="F2926">
        <f>INDEX('[1]CÓDIGOS DE PRODUCTO'!$C$3:$C$1000,MATCH(C2926,'[1]CÓDIGOS DE PRODUCTO'!$A$3:$A$1000,0))</f>
        <v>0</v>
      </c>
      <c r="G2926">
        <f>+'[1]VENTAS(RESUMEN GLOBAL)'!D2926-'[1]VENTAS(RESUMEN GLOBAL)'!E2926</f>
        <v>0</v>
      </c>
      <c r="H2926" s="9">
        <f>+'[1]VENTAS(RESUMEN GLOBAL)'!K2926</f>
        <v>0</v>
      </c>
      <c r="I2926" s="8">
        <f>+G2926*'[1]VENTAS(RESUMEN GLOBAL)'!F2926</f>
        <v>0</v>
      </c>
      <c r="J2926" s="8">
        <f>'[1]VENTAS(RESUMEN GLOBAL)'!G2926*(1-'[1]VENTAS(RESUMEN GLOBAL)'!H2926)</f>
        <v>0</v>
      </c>
      <c r="K2926" s="8">
        <f t="shared" si="45"/>
        <v>0</v>
      </c>
      <c r="L2926" s="8">
        <f>+'[1]VENTAS(RESUMEN GLOBAL)'!J2926</f>
        <v>0</v>
      </c>
      <c r="M2926" s="8">
        <f>+Tabla1[[#This Row],[utilidad x dia]]*7</f>
        <v>0</v>
      </c>
    </row>
    <row r="2927" spans="1:13" x14ac:dyDescent="0.3">
      <c r="A2927" s="6">
        <f>+'[1]VENTAS(RESUMEN GLOBAL)'!L2927</f>
        <v>0</v>
      </c>
      <c r="B2927" s="6">
        <f>+'[1]VENTAS(RESUMEN GLOBAL)'!M2927</f>
        <v>0</v>
      </c>
      <c r="C2927">
        <f>+'[1]VENTAS(RESUMEN GLOBAL)'!B2927</f>
        <v>0</v>
      </c>
      <c r="D2927" t="e">
        <f>INDEX('[1]CÓDIGOS DE PRODUCTO'!$D$3:$D$1000,MATCH(C2927,'[1]CÓDIGOS DE PRODUCTO'!$A$3:$A$1000,0))</f>
        <v>#N/A</v>
      </c>
      <c r="E2927">
        <f>VLOOKUP(C2927,'[1]CÓDIGOS DE PRODUCTO'!$A$4:$B$156,2,FALSE)</f>
        <v>0</v>
      </c>
      <c r="F2927">
        <f>INDEX('[1]CÓDIGOS DE PRODUCTO'!$C$3:$C$1000,MATCH(C2927,'[1]CÓDIGOS DE PRODUCTO'!$A$3:$A$1000,0))</f>
        <v>0</v>
      </c>
      <c r="G2927">
        <f>+'[1]VENTAS(RESUMEN GLOBAL)'!D2927-'[1]VENTAS(RESUMEN GLOBAL)'!E2927</f>
        <v>0</v>
      </c>
      <c r="H2927" s="9">
        <f>+'[1]VENTAS(RESUMEN GLOBAL)'!K2927</f>
        <v>0</v>
      </c>
      <c r="I2927" s="8">
        <f>+G2927*'[1]VENTAS(RESUMEN GLOBAL)'!F2927</f>
        <v>0</v>
      </c>
      <c r="J2927" s="8">
        <f>'[1]VENTAS(RESUMEN GLOBAL)'!G2927*(1-'[1]VENTAS(RESUMEN GLOBAL)'!H2927)</f>
        <v>0</v>
      </c>
      <c r="K2927" s="8">
        <f t="shared" si="45"/>
        <v>0</v>
      </c>
      <c r="L2927" s="8">
        <f>+'[1]VENTAS(RESUMEN GLOBAL)'!J2927</f>
        <v>0</v>
      </c>
      <c r="M2927" s="8">
        <f>+Tabla1[[#This Row],[utilidad x dia]]*7</f>
        <v>0</v>
      </c>
    </row>
    <row r="2928" spans="1:13" x14ac:dyDescent="0.3">
      <c r="A2928" s="6">
        <f>+'[1]VENTAS(RESUMEN GLOBAL)'!L2928</f>
        <v>0</v>
      </c>
      <c r="B2928" s="6">
        <f>+'[1]VENTAS(RESUMEN GLOBAL)'!M2928</f>
        <v>0</v>
      </c>
      <c r="C2928">
        <f>+'[1]VENTAS(RESUMEN GLOBAL)'!B2928</f>
        <v>0</v>
      </c>
      <c r="D2928" t="e">
        <f>INDEX('[1]CÓDIGOS DE PRODUCTO'!$D$3:$D$1000,MATCH(C2928,'[1]CÓDIGOS DE PRODUCTO'!$A$3:$A$1000,0))</f>
        <v>#N/A</v>
      </c>
      <c r="E2928">
        <f>VLOOKUP(C2928,'[1]CÓDIGOS DE PRODUCTO'!$A$4:$B$156,2,FALSE)</f>
        <v>0</v>
      </c>
      <c r="F2928">
        <f>INDEX('[1]CÓDIGOS DE PRODUCTO'!$C$3:$C$1000,MATCH(C2928,'[1]CÓDIGOS DE PRODUCTO'!$A$3:$A$1000,0))</f>
        <v>0</v>
      </c>
      <c r="G2928">
        <f>+'[1]VENTAS(RESUMEN GLOBAL)'!D2928-'[1]VENTAS(RESUMEN GLOBAL)'!E2928</f>
        <v>0</v>
      </c>
      <c r="H2928" s="9">
        <f>+'[1]VENTAS(RESUMEN GLOBAL)'!K2928</f>
        <v>0</v>
      </c>
      <c r="I2928" s="8">
        <f>+G2928*'[1]VENTAS(RESUMEN GLOBAL)'!F2928</f>
        <v>0</v>
      </c>
      <c r="J2928" s="8">
        <f>'[1]VENTAS(RESUMEN GLOBAL)'!G2928*(1-'[1]VENTAS(RESUMEN GLOBAL)'!H2928)</f>
        <v>0</v>
      </c>
      <c r="K2928" s="8">
        <f t="shared" si="45"/>
        <v>0</v>
      </c>
      <c r="L2928" s="8">
        <f>+'[1]VENTAS(RESUMEN GLOBAL)'!J2928</f>
        <v>0</v>
      </c>
      <c r="M2928" s="8">
        <f>+Tabla1[[#This Row],[utilidad x dia]]*7</f>
        <v>0</v>
      </c>
    </row>
    <row r="2929" spans="1:13" x14ac:dyDescent="0.3">
      <c r="A2929" s="6">
        <f>+'[1]VENTAS(RESUMEN GLOBAL)'!L2929</f>
        <v>0</v>
      </c>
      <c r="B2929" s="6">
        <f>+'[1]VENTAS(RESUMEN GLOBAL)'!M2929</f>
        <v>0</v>
      </c>
      <c r="C2929">
        <f>+'[1]VENTAS(RESUMEN GLOBAL)'!B2929</f>
        <v>0</v>
      </c>
      <c r="D2929" t="e">
        <f>INDEX('[1]CÓDIGOS DE PRODUCTO'!$D$3:$D$1000,MATCH(C2929,'[1]CÓDIGOS DE PRODUCTO'!$A$3:$A$1000,0))</f>
        <v>#N/A</v>
      </c>
      <c r="E2929">
        <f>VLOOKUP(C2929,'[1]CÓDIGOS DE PRODUCTO'!$A$4:$B$156,2,FALSE)</f>
        <v>0</v>
      </c>
      <c r="F2929">
        <f>INDEX('[1]CÓDIGOS DE PRODUCTO'!$C$3:$C$1000,MATCH(C2929,'[1]CÓDIGOS DE PRODUCTO'!$A$3:$A$1000,0))</f>
        <v>0</v>
      </c>
      <c r="G2929">
        <f>+'[1]VENTAS(RESUMEN GLOBAL)'!D2929-'[1]VENTAS(RESUMEN GLOBAL)'!E2929</f>
        <v>0</v>
      </c>
      <c r="H2929" s="9">
        <f>+'[1]VENTAS(RESUMEN GLOBAL)'!K2929</f>
        <v>0</v>
      </c>
      <c r="I2929" s="8">
        <f>+G2929*'[1]VENTAS(RESUMEN GLOBAL)'!F2929</f>
        <v>0</v>
      </c>
      <c r="J2929" s="8">
        <f>'[1]VENTAS(RESUMEN GLOBAL)'!G2929*(1-'[1]VENTAS(RESUMEN GLOBAL)'!H2929)</f>
        <v>0</v>
      </c>
      <c r="K2929" s="8">
        <f t="shared" si="45"/>
        <v>0</v>
      </c>
      <c r="L2929" s="8">
        <f>+'[1]VENTAS(RESUMEN GLOBAL)'!J2929</f>
        <v>0</v>
      </c>
      <c r="M2929" s="8">
        <f>+Tabla1[[#This Row],[utilidad x dia]]*7</f>
        <v>0</v>
      </c>
    </row>
    <row r="2930" spans="1:13" x14ac:dyDescent="0.3">
      <c r="A2930" s="6">
        <f>+'[1]VENTAS(RESUMEN GLOBAL)'!L2930</f>
        <v>0</v>
      </c>
      <c r="B2930" s="6">
        <f>+'[1]VENTAS(RESUMEN GLOBAL)'!M2930</f>
        <v>0</v>
      </c>
      <c r="C2930">
        <f>+'[1]VENTAS(RESUMEN GLOBAL)'!B2930</f>
        <v>0</v>
      </c>
      <c r="D2930" t="e">
        <f>INDEX('[1]CÓDIGOS DE PRODUCTO'!$D$3:$D$1000,MATCH(C2930,'[1]CÓDIGOS DE PRODUCTO'!$A$3:$A$1000,0))</f>
        <v>#N/A</v>
      </c>
      <c r="E2930">
        <f>VLOOKUP(C2930,'[1]CÓDIGOS DE PRODUCTO'!$A$4:$B$156,2,FALSE)</f>
        <v>0</v>
      </c>
      <c r="F2930">
        <f>INDEX('[1]CÓDIGOS DE PRODUCTO'!$C$3:$C$1000,MATCH(C2930,'[1]CÓDIGOS DE PRODUCTO'!$A$3:$A$1000,0))</f>
        <v>0</v>
      </c>
      <c r="G2930">
        <f>+'[1]VENTAS(RESUMEN GLOBAL)'!D2930-'[1]VENTAS(RESUMEN GLOBAL)'!E2930</f>
        <v>0</v>
      </c>
      <c r="H2930" s="9">
        <f>+'[1]VENTAS(RESUMEN GLOBAL)'!K2930</f>
        <v>0</v>
      </c>
      <c r="I2930" s="8">
        <f>+G2930*'[1]VENTAS(RESUMEN GLOBAL)'!F2930</f>
        <v>0</v>
      </c>
      <c r="J2930" s="8">
        <f>'[1]VENTAS(RESUMEN GLOBAL)'!G2930*(1-'[1]VENTAS(RESUMEN GLOBAL)'!H2930)</f>
        <v>0</v>
      </c>
      <c r="K2930" s="8">
        <f t="shared" si="45"/>
        <v>0</v>
      </c>
      <c r="L2930" s="8">
        <f>+'[1]VENTAS(RESUMEN GLOBAL)'!J2930</f>
        <v>0</v>
      </c>
      <c r="M2930" s="8">
        <f>+Tabla1[[#This Row],[utilidad x dia]]*7</f>
        <v>0</v>
      </c>
    </row>
    <row r="2931" spans="1:13" x14ac:dyDescent="0.3">
      <c r="A2931" s="6">
        <f>+'[1]VENTAS(RESUMEN GLOBAL)'!L2931</f>
        <v>0</v>
      </c>
      <c r="B2931" s="6">
        <f>+'[1]VENTAS(RESUMEN GLOBAL)'!M2931</f>
        <v>0</v>
      </c>
      <c r="C2931">
        <f>+'[1]VENTAS(RESUMEN GLOBAL)'!B2931</f>
        <v>0</v>
      </c>
      <c r="D2931" t="e">
        <f>INDEX('[1]CÓDIGOS DE PRODUCTO'!$D$3:$D$1000,MATCH(C2931,'[1]CÓDIGOS DE PRODUCTO'!$A$3:$A$1000,0))</f>
        <v>#N/A</v>
      </c>
      <c r="E2931">
        <f>VLOOKUP(C2931,'[1]CÓDIGOS DE PRODUCTO'!$A$4:$B$156,2,FALSE)</f>
        <v>0</v>
      </c>
      <c r="F2931">
        <f>INDEX('[1]CÓDIGOS DE PRODUCTO'!$C$3:$C$1000,MATCH(C2931,'[1]CÓDIGOS DE PRODUCTO'!$A$3:$A$1000,0))</f>
        <v>0</v>
      </c>
      <c r="G2931">
        <f>+'[1]VENTAS(RESUMEN GLOBAL)'!D2931-'[1]VENTAS(RESUMEN GLOBAL)'!E2931</f>
        <v>0</v>
      </c>
      <c r="H2931" s="9">
        <f>+'[1]VENTAS(RESUMEN GLOBAL)'!K2931</f>
        <v>0</v>
      </c>
      <c r="I2931" s="8">
        <f>+G2931*'[1]VENTAS(RESUMEN GLOBAL)'!F2931</f>
        <v>0</v>
      </c>
      <c r="J2931" s="8">
        <f>'[1]VENTAS(RESUMEN GLOBAL)'!G2931*(1-'[1]VENTAS(RESUMEN GLOBAL)'!H2931)</f>
        <v>0</v>
      </c>
      <c r="K2931" s="8">
        <f t="shared" si="45"/>
        <v>0</v>
      </c>
      <c r="L2931" s="8">
        <f>+'[1]VENTAS(RESUMEN GLOBAL)'!J2931</f>
        <v>0</v>
      </c>
      <c r="M2931" s="8">
        <f>+Tabla1[[#This Row],[utilidad x dia]]*7</f>
        <v>0</v>
      </c>
    </row>
    <row r="2932" spans="1:13" x14ac:dyDescent="0.3">
      <c r="A2932" s="6">
        <f>+'[1]VENTAS(RESUMEN GLOBAL)'!L2932</f>
        <v>0</v>
      </c>
      <c r="B2932" s="6">
        <f>+'[1]VENTAS(RESUMEN GLOBAL)'!M2932</f>
        <v>0</v>
      </c>
      <c r="C2932">
        <f>+'[1]VENTAS(RESUMEN GLOBAL)'!B2932</f>
        <v>0</v>
      </c>
      <c r="D2932" t="e">
        <f>INDEX('[1]CÓDIGOS DE PRODUCTO'!$D$3:$D$1000,MATCH(C2932,'[1]CÓDIGOS DE PRODUCTO'!$A$3:$A$1000,0))</f>
        <v>#N/A</v>
      </c>
      <c r="E2932">
        <f>VLOOKUP(C2932,'[1]CÓDIGOS DE PRODUCTO'!$A$4:$B$156,2,FALSE)</f>
        <v>0</v>
      </c>
      <c r="F2932">
        <f>INDEX('[1]CÓDIGOS DE PRODUCTO'!$C$3:$C$1000,MATCH(C2932,'[1]CÓDIGOS DE PRODUCTO'!$A$3:$A$1000,0))</f>
        <v>0</v>
      </c>
      <c r="G2932">
        <f>+'[1]VENTAS(RESUMEN GLOBAL)'!D2932-'[1]VENTAS(RESUMEN GLOBAL)'!E2932</f>
        <v>0</v>
      </c>
      <c r="H2932" s="9">
        <f>+'[1]VENTAS(RESUMEN GLOBAL)'!K2932</f>
        <v>0</v>
      </c>
      <c r="I2932" s="8">
        <f>+G2932*'[1]VENTAS(RESUMEN GLOBAL)'!F2932</f>
        <v>0</v>
      </c>
      <c r="J2932" s="8">
        <f>'[1]VENTAS(RESUMEN GLOBAL)'!G2932*(1-'[1]VENTAS(RESUMEN GLOBAL)'!H2932)</f>
        <v>0</v>
      </c>
      <c r="K2932" s="8">
        <f t="shared" si="45"/>
        <v>0</v>
      </c>
      <c r="L2932" s="8">
        <f>+'[1]VENTAS(RESUMEN GLOBAL)'!J2932</f>
        <v>0</v>
      </c>
      <c r="M2932" s="8">
        <f>+Tabla1[[#This Row],[utilidad x dia]]*7</f>
        <v>0</v>
      </c>
    </row>
    <row r="2933" spans="1:13" x14ac:dyDescent="0.3">
      <c r="A2933" s="6">
        <f>+'[1]VENTAS(RESUMEN GLOBAL)'!L2933</f>
        <v>0</v>
      </c>
      <c r="B2933" s="6">
        <f>+'[1]VENTAS(RESUMEN GLOBAL)'!M2933</f>
        <v>0</v>
      </c>
      <c r="C2933">
        <f>+'[1]VENTAS(RESUMEN GLOBAL)'!B2933</f>
        <v>0</v>
      </c>
      <c r="D2933" t="e">
        <f>INDEX('[1]CÓDIGOS DE PRODUCTO'!$D$3:$D$1000,MATCH(C2933,'[1]CÓDIGOS DE PRODUCTO'!$A$3:$A$1000,0))</f>
        <v>#N/A</v>
      </c>
      <c r="E2933">
        <f>VLOOKUP(C2933,'[1]CÓDIGOS DE PRODUCTO'!$A$4:$B$156,2,FALSE)</f>
        <v>0</v>
      </c>
      <c r="F2933">
        <f>INDEX('[1]CÓDIGOS DE PRODUCTO'!$C$3:$C$1000,MATCH(C2933,'[1]CÓDIGOS DE PRODUCTO'!$A$3:$A$1000,0))</f>
        <v>0</v>
      </c>
      <c r="G2933">
        <f>+'[1]VENTAS(RESUMEN GLOBAL)'!D2933-'[1]VENTAS(RESUMEN GLOBAL)'!E2933</f>
        <v>0</v>
      </c>
      <c r="H2933" s="9">
        <f>+'[1]VENTAS(RESUMEN GLOBAL)'!K2933</f>
        <v>0</v>
      </c>
      <c r="I2933" s="8">
        <f>+G2933*'[1]VENTAS(RESUMEN GLOBAL)'!F2933</f>
        <v>0</v>
      </c>
      <c r="J2933" s="8">
        <f>'[1]VENTAS(RESUMEN GLOBAL)'!G2933*(1-'[1]VENTAS(RESUMEN GLOBAL)'!H2933)</f>
        <v>0</v>
      </c>
      <c r="K2933" s="8">
        <f t="shared" si="45"/>
        <v>0</v>
      </c>
      <c r="L2933" s="8">
        <f>+'[1]VENTAS(RESUMEN GLOBAL)'!J2933</f>
        <v>0</v>
      </c>
      <c r="M2933" s="8">
        <f>+Tabla1[[#This Row],[utilidad x dia]]*7</f>
        <v>0</v>
      </c>
    </row>
    <row r="2934" spans="1:13" x14ac:dyDescent="0.3">
      <c r="A2934" s="6">
        <f>+'[1]VENTAS(RESUMEN GLOBAL)'!L2934</f>
        <v>0</v>
      </c>
      <c r="B2934" s="6">
        <f>+'[1]VENTAS(RESUMEN GLOBAL)'!M2934</f>
        <v>0</v>
      </c>
      <c r="C2934">
        <f>+'[1]VENTAS(RESUMEN GLOBAL)'!B2934</f>
        <v>0</v>
      </c>
      <c r="D2934" t="e">
        <f>INDEX('[1]CÓDIGOS DE PRODUCTO'!$D$3:$D$1000,MATCH(C2934,'[1]CÓDIGOS DE PRODUCTO'!$A$3:$A$1000,0))</f>
        <v>#N/A</v>
      </c>
      <c r="E2934">
        <f>VLOOKUP(C2934,'[1]CÓDIGOS DE PRODUCTO'!$A$4:$B$156,2,FALSE)</f>
        <v>0</v>
      </c>
      <c r="F2934">
        <f>INDEX('[1]CÓDIGOS DE PRODUCTO'!$C$3:$C$1000,MATCH(C2934,'[1]CÓDIGOS DE PRODUCTO'!$A$3:$A$1000,0))</f>
        <v>0</v>
      </c>
      <c r="G2934">
        <f>+'[1]VENTAS(RESUMEN GLOBAL)'!D2934-'[1]VENTAS(RESUMEN GLOBAL)'!E2934</f>
        <v>0</v>
      </c>
      <c r="H2934" s="9">
        <f>+'[1]VENTAS(RESUMEN GLOBAL)'!K2934</f>
        <v>0</v>
      </c>
      <c r="I2934" s="8">
        <f>+G2934*'[1]VENTAS(RESUMEN GLOBAL)'!F2934</f>
        <v>0</v>
      </c>
      <c r="J2934" s="8">
        <f>'[1]VENTAS(RESUMEN GLOBAL)'!G2934*(1-'[1]VENTAS(RESUMEN GLOBAL)'!H2934)</f>
        <v>0</v>
      </c>
      <c r="K2934" s="8">
        <f t="shared" si="45"/>
        <v>0</v>
      </c>
      <c r="L2934" s="8">
        <f>+'[1]VENTAS(RESUMEN GLOBAL)'!J2934</f>
        <v>0</v>
      </c>
      <c r="M2934" s="8">
        <f>+Tabla1[[#This Row],[utilidad x dia]]*7</f>
        <v>0</v>
      </c>
    </row>
    <row r="2935" spans="1:13" x14ac:dyDescent="0.3">
      <c r="A2935" s="6">
        <f>+'[1]VENTAS(RESUMEN GLOBAL)'!L2935</f>
        <v>0</v>
      </c>
      <c r="B2935" s="6">
        <f>+'[1]VENTAS(RESUMEN GLOBAL)'!M2935</f>
        <v>0</v>
      </c>
      <c r="C2935">
        <f>+'[1]VENTAS(RESUMEN GLOBAL)'!B2935</f>
        <v>0</v>
      </c>
      <c r="D2935" t="e">
        <f>INDEX('[1]CÓDIGOS DE PRODUCTO'!$D$3:$D$1000,MATCH(C2935,'[1]CÓDIGOS DE PRODUCTO'!$A$3:$A$1000,0))</f>
        <v>#N/A</v>
      </c>
      <c r="E2935">
        <f>VLOOKUP(C2935,'[1]CÓDIGOS DE PRODUCTO'!$A$4:$B$156,2,FALSE)</f>
        <v>0</v>
      </c>
      <c r="F2935">
        <f>INDEX('[1]CÓDIGOS DE PRODUCTO'!$C$3:$C$1000,MATCH(C2935,'[1]CÓDIGOS DE PRODUCTO'!$A$3:$A$1000,0))</f>
        <v>0</v>
      </c>
      <c r="G2935">
        <f>+'[1]VENTAS(RESUMEN GLOBAL)'!D2935-'[1]VENTAS(RESUMEN GLOBAL)'!E2935</f>
        <v>0</v>
      </c>
      <c r="H2935" s="9">
        <f>+'[1]VENTAS(RESUMEN GLOBAL)'!K2935</f>
        <v>0</v>
      </c>
      <c r="I2935" s="8">
        <f>+G2935*'[1]VENTAS(RESUMEN GLOBAL)'!F2935</f>
        <v>0</v>
      </c>
      <c r="J2935" s="8">
        <f>'[1]VENTAS(RESUMEN GLOBAL)'!G2935*(1-'[1]VENTAS(RESUMEN GLOBAL)'!H2935)</f>
        <v>0</v>
      </c>
      <c r="K2935" s="8">
        <f t="shared" si="45"/>
        <v>0</v>
      </c>
      <c r="L2935" s="8">
        <f>+'[1]VENTAS(RESUMEN GLOBAL)'!J2935</f>
        <v>0</v>
      </c>
      <c r="M2935" s="8">
        <f>+Tabla1[[#This Row],[utilidad x dia]]*7</f>
        <v>0</v>
      </c>
    </row>
    <row r="2936" spans="1:13" x14ac:dyDescent="0.3">
      <c r="A2936" s="6">
        <f>+'[1]VENTAS(RESUMEN GLOBAL)'!L2936</f>
        <v>0</v>
      </c>
      <c r="B2936" s="6">
        <f>+'[1]VENTAS(RESUMEN GLOBAL)'!M2936</f>
        <v>0</v>
      </c>
      <c r="C2936">
        <f>+'[1]VENTAS(RESUMEN GLOBAL)'!B2936</f>
        <v>0</v>
      </c>
      <c r="D2936" t="e">
        <f>INDEX('[1]CÓDIGOS DE PRODUCTO'!$D$3:$D$1000,MATCH(C2936,'[1]CÓDIGOS DE PRODUCTO'!$A$3:$A$1000,0))</f>
        <v>#N/A</v>
      </c>
      <c r="E2936">
        <f>VLOOKUP(C2936,'[1]CÓDIGOS DE PRODUCTO'!$A$4:$B$156,2,FALSE)</f>
        <v>0</v>
      </c>
      <c r="F2936">
        <f>INDEX('[1]CÓDIGOS DE PRODUCTO'!$C$3:$C$1000,MATCH(C2936,'[1]CÓDIGOS DE PRODUCTO'!$A$3:$A$1000,0))</f>
        <v>0</v>
      </c>
      <c r="G2936">
        <f>+'[1]VENTAS(RESUMEN GLOBAL)'!D2936-'[1]VENTAS(RESUMEN GLOBAL)'!E2936</f>
        <v>0</v>
      </c>
      <c r="H2936" s="9">
        <f>+'[1]VENTAS(RESUMEN GLOBAL)'!K2936</f>
        <v>0</v>
      </c>
      <c r="I2936" s="8">
        <f>+G2936*'[1]VENTAS(RESUMEN GLOBAL)'!F2936</f>
        <v>0</v>
      </c>
      <c r="J2936" s="8">
        <f>'[1]VENTAS(RESUMEN GLOBAL)'!G2936*(1-'[1]VENTAS(RESUMEN GLOBAL)'!H2936)</f>
        <v>0</v>
      </c>
      <c r="K2936" s="8">
        <f t="shared" si="45"/>
        <v>0</v>
      </c>
      <c r="L2936" s="8">
        <f>+'[1]VENTAS(RESUMEN GLOBAL)'!J2936</f>
        <v>0</v>
      </c>
      <c r="M2936" s="8">
        <f>+Tabla1[[#This Row],[utilidad x dia]]*7</f>
        <v>0</v>
      </c>
    </row>
    <row r="2937" spans="1:13" x14ac:dyDescent="0.3">
      <c r="A2937" s="6">
        <f>+'[1]VENTAS(RESUMEN GLOBAL)'!L2937</f>
        <v>0</v>
      </c>
      <c r="B2937" s="6">
        <f>+'[1]VENTAS(RESUMEN GLOBAL)'!M2937</f>
        <v>0</v>
      </c>
      <c r="C2937">
        <f>+'[1]VENTAS(RESUMEN GLOBAL)'!B2937</f>
        <v>0</v>
      </c>
      <c r="D2937" t="e">
        <f>INDEX('[1]CÓDIGOS DE PRODUCTO'!$D$3:$D$1000,MATCH(C2937,'[1]CÓDIGOS DE PRODUCTO'!$A$3:$A$1000,0))</f>
        <v>#N/A</v>
      </c>
      <c r="E2937">
        <f>VLOOKUP(C2937,'[1]CÓDIGOS DE PRODUCTO'!$A$4:$B$156,2,FALSE)</f>
        <v>0</v>
      </c>
      <c r="F2937">
        <f>INDEX('[1]CÓDIGOS DE PRODUCTO'!$C$3:$C$1000,MATCH(C2937,'[1]CÓDIGOS DE PRODUCTO'!$A$3:$A$1000,0))</f>
        <v>0</v>
      </c>
      <c r="G2937">
        <f>+'[1]VENTAS(RESUMEN GLOBAL)'!D2937-'[1]VENTAS(RESUMEN GLOBAL)'!E2937</f>
        <v>0</v>
      </c>
      <c r="H2937" s="9">
        <f>+'[1]VENTAS(RESUMEN GLOBAL)'!K2937</f>
        <v>0</v>
      </c>
      <c r="I2937" s="8">
        <f>+G2937*'[1]VENTAS(RESUMEN GLOBAL)'!F2937</f>
        <v>0</v>
      </c>
      <c r="J2937" s="8">
        <f>'[1]VENTAS(RESUMEN GLOBAL)'!G2937*(1-'[1]VENTAS(RESUMEN GLOBAL)'!H2937)</f>
        <v>0</v>
      </c>
      <c r="K2937" s="8">
        <f t="shared" si="45"/>
        <v>0</v>
      </c>
      <c r="L2937" s="8">
        <f>+'[1]VENTAS(RESUMEN GLOBAL)'!J2937</f>
        <v>0</v>
      </c>
      <c r="M2937" s="8">
        <f>+Tabla1[[#This Row],[utilidad x dia]]*7</f>
        <v>0</v>
      </c>
    </row>
    <row r="2938" spans="1:13" x14ac:dyDescent="0.3">
      <c r="A2938" s="6">
        <f>+'[1]VENTAS(RESUMEN GLOBAL)'!L2938</f>
        <v>0</v>
      </c>
      <c r="B2938" s="6">
        <f>+'[1]VENTAS(RESUMEN GLOBAL)'!M2938</f>
        <v>0</v>
      </c>
      <c r="C2938">
        <f>+'[1]VENTAS(RESUMEN GLOBAL)'!B2938</f>
        <v>0</v>
      </c>
      <c r="D2938" t="e">
        <f>INDEX('[1]CÓDIGOS DE PRODUCTO'!$D$3:$D$1000,MATCH(C2938,'[1]CÓDIGOS DE PRODUCTO'!$A$3:$A$1000,0))</f>
        <v>#N/A</v>
      </c>
      <c r="E2938">
        <f>VLOOKUP(C2938,'[1]CÓDIGOS DE PRODUCTO'!$A$4:$B$156,2,FALSE)</f>
        <v>0</v>
      </c>
      <c r="F2938">
        <f>INDEX('[1]CÓDIGOS DE PRODUCTO'!$C$3:$C$1000,MATCH(C2938,'[1]CÓDIGOS DE PRODUCTO'!$A$3:$A$1000,0))</f>
        <v>0</v>
      </c>
      <c r="G2938">
        <f>+'[1]VENTAS(RESUMEN GLOBAL)'!D2938-'[1]VENTAS(RESUMEN GLOBAL)'!E2938</f>
        <v>0</v>
      </c>
      <c r="H2938" s="9">
        <f>+'[1]VENTAS(RESUMEN GLOBAL)'!K2938</f>
        <v>0</v>
      </c>
      <c r="I2938" s="8">
        <f>+G2938*'[1]VENTAS(RESUMEN GLOBAL)'!F2938</f>
        <v>0</v>
      </c>
      <c r="J2938" s="8">
        <f>'[1]VENTAS(RESUMEN GLOBAL)'!G2938*(1-'[1]VENTAS(RESUMEN GLOBAL)'!H2938)</f>
        <v>0</v>
      </c>
      <c r="K2938" s="8">
        <f t="shared" si="45"/>
        <v>0</v>
      </c>
      <c r="L2938" s="8">
        <f>+'[1]VENTAS(RESUMEN GLOBAL)'!J2938</f>
        <v>0</v>
      </c>
      <c r="M2938" s="8">
        <f>+Tabla1[[#This Row],[utilidad x dia]]*7</f>
        <v>0</v>
      </c>
    </row>
    <row r="2939" spans="1:13" x14ac:dyDescent="0.3">
      <c r="A2939" s="6">
        <f>+'[1]VENTAS(RESUMEN GLOBAL)'!L2939</f>
        <v>0</v>
      </c>
      <c r="B2939" s="6">
        <f>+'[1]VENTAS(RESUMEN GLOBAL)'!M2939</f>
        <v>0</v>
      </c>
      <c r="C2939">
        <f>+'[1]VENTAS(RESUMEN GLOBAL)'!B2939</f>
        <v>0</v>
      </c>
      <c r="D2939" t="e">
        <f>INDEX('[1]CÓDIGOS DE PRODUCTO'!$D$3:$D$1000,MATCH(C2939,'[1]CÓDIGOS DE PRODUCTO'!$A$3:$A$1000,0))</f>
        <v>#N/A</v>
      </c>
      <c r="E2939">
        <f>VLOOKUP(C2939,'[1]CÓDIGOS DE PRODUCTO'!$A$4:$B$156,2,FALSE)</f>
        <v>0</v>
      </c>
      <c r="F2939">
        <f>INDEX('[1]CÓDIGOS DE PRODUCTO'!$C$3:$C$1000,MATCH(C2939,'[1]CÓDIGOS DE PRODUCTO'!$A$3:$A$1000,0))</f>
        <v>0</v>
      </c>
      <c r="G2939">
        <f>+'[1]VENTAS(RESUMEN GLOBAL)'!D2939-'[1]VENTAS(RESUMEN GLOBAL)'!E2939</f>
        <v>0</v>
      </c>
      <c r="H2939" s="9">
        <f>+'[1]VENTAS(RESUMEN GLOBAL)'!K2939</f>
        <v>0</v>
      </c>
      <c r="I2939" s="8">
        <f>+G2939*'[1]VENTAS(RESUMEN GLOBAL)'!F2939</f>
        <v>0</v>
      </c>
      <c r="J2939" s="8">
        <f>'[1]VENTAS(RESUMEN GLOBAL)'!G2939*(1-'[1]VENTAS(RESUMEN GLOBAL)'!H2939)</f>
        <v>0</v>
      </c>
      <c r="K2939" s="8">
        <f t="shared" si="45"/>
        <v>0</v>
      </c>
      <c r="L2939" s="8">
        <f>+'[1]VENTAS(RESUMEN GLOBAL)'!J2939</f>
        <v>0</v>
      </c>
      <c r="M2939" s="8">
        <f>+Tabla1[[#This Row],[utilidad x dia]]*7</f>
        <v>0</v>
      </c>
    </row>
    <row r="2940" spans="1:13" x14ac:dyDescent="0.3">
      <c r="A2940" s="6">
        <f>+'[1]VENTAS(RESUMEN GLOBAL)'!L2940</f>
        <v>0</v>
      </c>
      <c r="B2940" s="6">
        <f>+'[1]VENTAS(RESUMEN GLOBAL)'!M2940</f>
        <v>0</v>
      </c>
      <c r="C2940">
        <f>+'[1]VENTAS(RESUMEN GLOBAL)'!B2940</f>
        <v>0</v>
      </c>
      <c r="D2940" t="e">
        <f>INDEX('[1]CÓDIGOS DE PRODUCTO'!$D$3:$D$1000,MATCH(C2940,'[1]CÓDIGOS DE PRODUCTO'!$A$3:$A$1000,0))</f>
        <v>#N/A</v>
      </c>
      <c r="E2940">
        <f>VLOOKUP(C2940,'[1]CÓDIGOS DE PRODUCTO'!$A$4:$B$156,2,FALSE)</f>
        <v>0</v>
      </c>
      <c r="F2940">
        <f>INDEX('[1]CÓDIGOS DE PRODUCTO'!$C$3:$C$1000,MATCH(C2940,'[1]CÓDIGOS DE PRODUCTO'!$A$3:$A$1000,0))</f>
        <v>0</v>
      </c>
      <c r="G2940">
        <f>+'[1]VENTAS(RESUMEN GLOBAL)'!D2940-'[1]VENTAS(RESUMEN GLOBAL)'!E2940</f>
        <v>0</v>
      </c>
      <c r="H2940" s="9">
        <f>+'[1]VENTAS(RESUMEN GLOBAL)'!K2940</f>
        <v>0</v>
      </c>
      <c r="I2940" s="8">
        <f>+G2940*'[1]VENTAS(RESUMEN GLOBAL)'!F2940</f>
        <v>0</v>
      </c>
      <c r="J2940" s="8">
        <f>'[1]VENTAS(RESUMEN GLOBAL)'!G2940*(1-'[1]VENTAS(RESUMEN GLOBAL)'!H2940)</f>
        <v>0</v>
      </c>
      <c r="K2940" s="8">
        <f t="shared" si="45"/>
        <v>0</v>
      </c>
      <c r="L2940" s="8">
        <f>+'[1]VENTAS(RESUMEN GLOBAL)'!J2940</f>
        <v>0</v>
      </c>
      <c r="M2940" s="8">
        <f>+Tabla1[[#This Row],[utilidad x dia]]*7</f>
        <v>0</v>
      </c>
    </row>
    <row r="2941" spans="1:13" x14ac:dyDescent="0.3">
      <c r="A2941" s="6">
        <f>+'[1]VENTAS(RESUMEN GLOBAL)'!L2941</f>
        <v>0</v>
      </c>
      <c r="B2941" s="6">
        <f>+'[1]VENTAS(RESUMEN GLOBAL)'!M2941</f>
        <v>0</v>
      </c>
      <c r="C2941">
        <f>+'[1]VENTAS(RESUMEN GLOBAL)'!B2941</f>
        <v>0</v>
      </c>
      <c r="D2941" t="e">
        <f>INDEX('[1]CÓDIGOS DE PRODUCTO'!$D$3:$D$1000,MATCH(C2941,'[1]CÓDIGOS DE PRODUCTO'!$A$3:$A$1000,0))</f>
        <v>#N/A</v>
      </c>
      <c r="E2941">
        <f>VLOOKUP(C2941,'[1]CÓDIGOS DE PRODUCTO'!$A$4:$B$156,2,FALSE)</f>
        <v>0</v>
      </c>
      <c r="F2941">
        <f>INDEX('[1]CÓDIGOS DE PRODUCTO'!$C$3:$C$1000,MATCH(C2941,'[1]CÓDIGOS DE PRODUCTO'!$A$3:$A$1000,0))</f>
        <v>0</v>
      </c>
      <c r="G2941">
        <f>+'[1]VENTAS(RESUMEN GLOBAL)'!D2941-'[1]VENTAS(RESUMEN GLOBAL)'!E2941</f>
        <v>0</v>
      </c>
      <c r="H2941" s="9">
        <f>+'[1]VENTAS(RESUMEN GLOBAL)'!K2941</f>
        <v>0</v>
      </c>
      <c r="I2941" s="8">
        <f>+G2941*'[1]VENTAS(RESUMEN GLOBAL)'!F2941</f>
        <v>0</v>
      </c>
      <c r="J2941" s="8">
        <f>'[1]VENTAS(RESUMEN GLOBAL)'!G2941*(1-'[1]VENTAS(RESUMEN GLOBAL)'!H2941)</f>
        <v>0</v>
      </c>
      <c r="K2941" s="8">
        <f t="shared" si="45"/>
        <v>0</v>
      </c>
      <c r="L2941" s="8">
        <f>+'[1]VENTAS(RESUMEN GLOBAL)'!J2941</f>
        <v>0</v>
      </c>
      <c r="M2941" s="8">
        <f>+Tabla1[[#This Row],[utilidad x dia]]*7</f>
        <v>0</v>
      </c>
    </row>
    <row r="2942" spans="1:13" x14ac:dyDescent="0.3">
      <c r="A2942" s="6">
        <f>+'[1]VENTAS(RESUMEN GLOBAL)'!L2942</f>
        <v>0</v>
      </c>
      <c r="B2942" s="6">
        <f>+'[1]VENTAS(RESUMEN GLOBAL)'!M2942</f>
        <v>0</v>
      </c>
      <c r="C2942">
        <f>+'[1]VENTAS(RESUMEN GLOBAL)'!B2942</f>
        <v>0</v>
      </c>
      <c r="D2942" t="e">
        <f>INDEX('[1]CÓDIGOS DE PRODUCTO'!$D$3:$D$1000,MATCH(C2942,'[1]CÓDIGOS DE PRODUCTO'!$A$3:$A$1000,0))</f>
        <v>#N/A</v>
      </c>
      <c r="E2942">
        <f>VLOOKUP(C2942,'[1]CÓDIGOS DE PRODUCTO'!$A$4:$B$156,2,FALSE)</f>
        <v>0</v>
      </c>
      <c r="F2942">
        <f>INDEX('[1]CÓDIGOS DE PRODUCTO'!$C$3:$C$1000,MATCH(C2942,'[1]CÓDIGOS DE PRODUCTO'!$A$3:$A$1000,0))</f>
        <v>0</v>
      </c>
      <c r="G2942">
        <f>+'[1]VENTAS(RESUMEN GLOBAL)'!D2942-'[1]VENTAS(RESUMEN GLOBAL)'!E2942</f>
        <v>0</v>
      </c>
      <c r="H2942" s="9">
        <f>+'[1]VENTAS(RESUMEN GLOBAL)'!K2942</f>
        <v>0</v>
      </c>
      <c r="I2942" s="8">
        <f>+G2942*'[1]VENTAS(RESUMEN GLOBAL)'!F2942</f>
        <v>0</v>
      </c>
      <c r="J2942" s="8">
        <f>'[1]VENTAS(RESUMEN GLOBAL)'!G2942*(1-'[1]VENTAS(RESUMEN GLOBAL)'!H2942)</f>
        <v>0</v>
      </c>
      <c r="K2942" s="8">
        <f t="shared" si="45"/>
        <v>0</v>
      </c>
      <c r="L2942" s="8">
        <f>+'[1]VENTAS(RESUMEN GLOBAL)'!J2942</f>
        <v>0</v>
      </c>
      <c r="M2942" s="8">
        <f>+Tabla1[[#This Row],[utilidad x dia]]*7</f>
        <v>0</v>
      </c>
    </row>
    <row r="2943" spans="1:13" x14ac:dyDescent="0.3">
      <c r="A2943" s="6">
        <f>+'[1]VENTAS(RESUMEN GLOBAL)'!L2943</f>
        <v>0</v>
      </c>
      <c r="B2943" s="6">
        <f>+'[1]VENTAS(RESUMEN GLOBAL)'!M2943</f>
        <v>0</v>
      </c>
      <c r="C2943">
        <f>+'[1]VENTAS(RESUMEN GLOBAL)'!B2943</f>
        <v>0</v>
      </c>
      <c r="D2943" t="e">
        <f>INDEX('[1]CÓDIGOS DE PRODUCTO'!$D$3:$D$1000,MATCH(C2943,'[1]CÓDIGOS DE PRODUCTO'!$A$3:$A$1000,0))</f>
        <v>#N/A</v>
      </c>
      <c r="E2943">
        <f>VLOOKUP(C2943,'[1]CÓDIGOS DE PRODUCTO'!$A$4:$B$156,2,FALSE)</f>
        <v>0</v>
      </c>
      <c r="F2943">
        <f>INDEX('[1]CÓDIGOS DE PRODUCTO'!$C$3:$C$1000,MATCH(C2943,'[1]CÓDIGOS DE PRODUCTO'!$A$3:$A$1000,0))</f>
        <v>0</v>
      </c>
      <c r="G2943">
        <f>+'[1]VENTAS(RESUMEN GLOBAL)'!D2943-'[1]VENTAS(RESUMEN GLOBAL)'!E2943</f>
        <v>0</v>
      </c>
      <c r="H2943" s="9">
        <f>+'[1]VENTAS(RESUMEN GLOBAL)'!K2943</f>
        <v>0</v>
      </c>
      <c r="I2943" s="8">
        <f>+G2943*'[1]VENTAS(RESUMEN GLOBAL)'!F2943</f>
        <v>0</v>
      </c>
      <c r="J2943" s="8">
        <f>'[1]VENTAS(RESUMEN GLOBAL)'!G2943*(1-'[1]VENTAS(RESUMEN GLOBAL)'!H2943)</f>
        <v>0</v>
      </c>
      <c r="K2943" s="8">
        <f t="shared" si="45"/>
        <v>0</v>
      </c>
      <c r="L2943" s="8">
        <f>+'[1]VENTAS(RESUMEN GLOBAL)'!J2943</f>
        <v>0</v>
      </c>
      <c r="M2943" s="8">
        <f>+Tabla1[[#This Row],[utilidad x dia]]*7</f>
        <v>0</v>
      </c>
    </row>
    <row r="2944" spans="1:13" x14ac:dyDescent="0.3">
      <c r="A2944" s="6">
        <f>+'[1]VENTAS(RESUMEN GLOBAL)'!L2944</f>
        <v>0</v>
      </c>
      <c r="B2944" s="6">
        <f>+'[1]VENTAS(RESUMEN GLOBAL)'!M2944</f>
        <v>0</v>
      </c>
      <c r="C2944">
        <f>+'[1]VENTAS(RESUMEN GLOBAL)'!B2944</f>
        <v>0</v>
      </c>
      <c r="D2944" t="e">
        <f>INDEX('[1]CÓDIGOS DE PRODUCTO'!$D$3:$D$1000,MATCH(C2944,'[1]CÓDIGOS DE PRODUCTO'!$A$3:$A$1000,0))</f>
        <v>#N/A</v>
      </c>
      <c r="E2944">
        <f>VLOOKUP(C2944,'[1]CÓDIGOS DE PRODUCTO'!$A$4:$B$156,2,FALSE)</f>
        <v>0</v>
      </c>
      <c r="F2944">
        <f>INDEX('[1]CÓDIGOS DE PRODUCTO'!$C$3:$C$1000,MATCH(C2944,'[1]CÓDIGOS DE PRODUCTO'!$A$3:$A$1000,0))</f>
        <v>0</v>
      </c>
      <c r="G2944">
        <f>+'[1]VENTAS(RESUMEN GLOBAL)'!D2944-'[1]VENTAS(RESUMEN GLOBAL)'!E2944</f>
        <v>0</v>
      </c>
      <c r="H2944" s="9">
        <f>+'[1]VENTAS(RESUMEN GLOBAL)'!K2944</f>
        <v>0</v>
      </c>
      <c r="I2944" s="8">
        <f>+G2944*'[1]VENTAS(RESUMEN GLOBAL)'!F2944</f>
        <v>0</v>
      </c>
      <c r="J2944" s="8">
        <f>'[1]VENTAS(RESUMEN GLOBAL)'!G2944*(1-'[1]VENTAS(RESUMEN GLOBAL)'!H2944)</f>
        <v>0</v>
      </c>
      <c r="K2944" s="8">
        <f t="shared" si="45"/>
        <v>0</v>
      </c>
      <c r="L2944" s="8">
        <f>+'[1]VENTAS(RESUMEN GLOBAL)'!J2944</f>
        <v>0</v>
      </c>
      <c r="M2944" s="8">
        <f>+Tabla1[[#This Row],[utilidad x dia]]*7</f>
        <v>0</v>
      </c>
    </row>
    <row r="2945" spans="1:13" x14ac:dyDescent="0.3">
      <c r="A2945" s="6">
        <f>+'[1]VENTAS(RESUMEN GLOBAL)'!L2945</f>
        <v>0</v>
      </c>
      <c r="B2945" s="6">
        <f>+'[1]VENTAS(RESUMEN GLOBAL)'!M2945</f>
        <v>0</v>
      </c>
      <c r="C2945">
        <f>+'[1]VENTAS(RESUMEN GLOBAL)'!B2945</f>
        <v>0</v>
      </c>
      <c r="D2945" t="e">
        <f>INDEX('[1]CÓDIGOS DE PRODUCTO'!$D$3:$D$1000,MATCH(C2945,'[1]CÓDIGOS DE PRODUCTO'!$A$3:$A$1000,0))</f>
        <v>#N/A</v>
      </c>
      <c r="E2945">
        <f>VLOOKUP(C2945,'[1]CÓDIGOS DE PRODUCTO'!$A$4:$B$156,2,FALSE)</f>
        <v>0</v>
      </c>
      <c r="F2945">
        <f>INDEX('[1]CÓDIGOS DE PRODUCTO'!$C$3:$C$1000,MATCH(C2945,'[1]CÓDIGOS DE PRODUCTO'!$A$3:$A$1000,0))</f>
        <v>0</v>
      </c>
      <c r="G2945">
        <f>+'[1]VENTAS(RESUMEN GLOBAL)'!D2945-'[1]VENTAS(RESUMEN GLOBAL)'!E2945</f>
        <v>0</v>
      </c>
      <c r="H2945" s="9">
        <f>+'[1]VENTAS(RESUMEN GLOBAL)'!K2945</f>
        <v>0</v>
      </c>
      <c r="I2945" s="8">
        <f>+G2945*'[1]VENTAS(RESUMEN GLOBAL)'!F2945</f>
        <v>0</v>
      </c>
      <c r="J2945" s="8">
        <f>'[1]VENTAS(RESUMEN GLOBAL)'!G2945*(1-'[1]VENTAS(RESUMEN GLOBAL)'!H2945)</f>
        <v>0</v>
      </c>
      <c r="K2945" s="8">
        <f t="shared" si="45"/>
        <v>0</v>
      </c>
      <c r="L2945" s="8">
        <f>+'[1]VENTAS(RESUMEN GLOBAL)'!J2945</f>
        <v>0</v>
      </c>
      <c r="M2945" s="8">
        <f>+Tabla1[[#This Row],[utilidad x dia]]*7</f>
        <v>0</v>
      </c>
    </row>
    <row r="2946" spans="1:13" x14ac:dyDescent="0.3">
      <c r="A2946" s="6">
        <f>+'[1]VENTAS(RESUMEN GLOBAL)'!L2946</f>
        <v>0</v>
      </c>
      <c r="B2946" s="6">
        <f>+'[1]VENTAS(RESUMEN GLOBAL)'!M2946</f>
        <v>0</v>
      </c>
      <c r="C2946">
        <f>+'[1]VENTAS(RESUMEN GLOBAL)'!B2946</f>
        <v>0</v>
      </c>
      <c r="D2946" t="e">
        <f>INDEX('[1]CÓDIGOS DE PRODUCTO'!$D$3:$D$1000,MATCH(C2946,'[1]CÓDIGOS DE PRODUCTO'!$A$3:$A$1000,0))</f>
        <v>#N/A</v>
      </c>
      <c r="E2946">
        <f>VLOOKUP(C2946,'[1]CÓDIGOS DE PRODUCTO'!$A$4:$B$156,2,FALSE)</f>
        <v>0</v>
      </c>
      <c r="F2946">
        <f>INDEX('[1]CÓDIGOS DE PRODUCTO'!$C$3:$C$1000,MATCH(C2946,'[1]CÓDIGOS DE PRODUCTO'!$A$3:$A$1000,0))</f>
        <v>0</v>
      </c>
      <c r="G2946">
        <f>+'[1]VENTAS(RESUMEN GLOBAL)'!D2946-'[1]VENTAS(RESUMEN GLOBAL)'!E2946</f>
        <v>0</v>
      </c>
      <c r="H2946" s="9">
        <f>+'[1]VENTAS(RESUMEN GLOBAL)'!K2946</f>
        <v>0</v>
      </c>
      <c r="I2946" s="8">
        <f>+G2946*'[1]VENTAS(RESUMEN GLOBAL)'!F2946</f>
        <v>0</v>
      </c>
      <c r="J2946" s="8">
        <f>'[1]VENTAS(RESUMEN GLOBAL)'!G2946*(1-'[1]VENTAS(RESUMEN GLOBAL)'!H2946)</f>
        <v>0</v>
      </c>
      <c r="K2946" s="8">
        <f t="shared" si="45"/>
        <v>0</v>
      </c>
      <c r="L2946" s="8">
        <f>+'[1]VENTAS(RESUMEN GLOBAL)'!J2946</f>
        <v>0</v>
      </c>
      <c r="M2946" s="8">
        <f>+Tabla1[[#This Row],[utilidad x dia]]*7</f>
        <v>0</v>
      </c>
    </row>
    <row r="2947" spans="1:13" x14ac:dyDescent="0.3">
      <c r="A2947" s="6">
        <f>+'[1]VENTAS(RESUMEN GLOBAL)'!L2947</f>
        <v>0</v>
      </c>
      <c r="B2947" s="6">
        <f>+'[1]VENTAS(RESUMEN GLOBAL)'!M2947</f>
        <v>0</v>
      </c>
      <c r="C2947">
        <f>+'[1]VENTAS(RESUMEN GLOBAL)'!B2947</f>
        <v>0</v>
      </c>
      <c r="D2947" t="e">
        <f>INDEX('[1]CÓDIGOS DE PRODUCTO'!$D$3:$D$1000,MATCH(C2947,'[1]CÓDIGOS DE PRODUCTO'!$A$3:$A$1000,0))</f>
        <v>#N/A</v>
      </c>
      <c r="E2947">
        <f>VLOOKUP(C2947,'[1]CÓDIGOS DE PRODUCTO'!$A$4:$B$156,2,FALSE)</f>
        <v>0</v>
      </c>
      <c r="F2947">
        <f>INDEX('[1]CÓDIGOS DE PRODUCTO'!$C$3:$C$1000,MATCH(C2947,'[1]CÓDIGOS DE PRODUCTO'!$A$3:$A$1000,0))</f>
        <v>0</v>
      </c>
      <c r="G2947">
        <f>+'[1]VENTAS(RESUMEN GLOBAL)'!D2947-'[1]VENTAS(RESUMEN GLOBAL)'!E2947</f>
        <v>0</v>
      </c>
      <c r="H2947" s="9">
        <f>+'[1]VENTAS(RESUMEN GLOBAL)'!K2947</f>
        <v>0</v>
      </c>
      <c r="I2947" s="8">
        <f>+G2947*'[1]VENTAS(RESUMEN GLOBAL)'!F2947</f>
        <v>0</v>
      </c>
      <c r="J2947" s="8">
        <f>'[1]VENTAS(RESUMEN GLOBAL)'!G2947*(1-'[1]VENTAS(RESUMEN GLOBAL)'!H2947)</f>
        <v>0</v>
      </c>
      <c r="K2947" s="8">
        <f t="shared" ref="K2947:K3010" si="46">+I2947-J2947</f>
        <v>0</v>
      </c>
      <c r="L2947" s="8">
        <f>+'[1]VENTAS(RESUMEN GLOBAL)'!J2947</f>
        <v>0</v>
      </c>
      <c r="M2947" s="8">
        <f>+Tabla1[[#This Row],[utilidad x dia]]*7</f>
        <v>0</v>
      </c>
    </row>
    <row r="2948" spans="1:13" x14ac:dyDescent="0.3">
      <c r="A2948" s="6">
        <f>+'[1]VENTAS(RESUMEN GLOBAL)'!L2948</f>
        <v>0</v>
      </c>
      <c r="B2948" s="6">
        <f>+'[1]VENTAS(RESUMEN GLOBAL)'!M2948</f>
        <v>0</v>
      </c>
      <c r="C2948">
        <f>+'[1]VENTAS(RESUMEN GLOBAL)'!B2948</f>
        <v>0</v>
      </c>
      <c r="D2948" t="e">
        <f>INDEX('[1]CÓDIGOS DE PRODUCTO'!$D$3:$D$1000,MATCH(C2948,'[1]CÓDIGOS DE PRODUCTO'!$A$3:$A$1000,0))</f>
        <v>#N/A</v>
      </c>
      <c r="E2948">
        <f>VLOOKUP(C2948,'[1]CÓDIGOS DE PRODUCTO'!$A$4:$B$156,2,FALSE)</f>
        <v>0</v>
      </c>
      <c r="F2948">
        <f>INDEX('[1]CÓDIGOS DE PRODUCTO'!$C$3:$C$1000,MATCH(C2948,'[1]CÓDIGOS DE PRODUCTO'!$A$3:$A$1000,0))</f>
        <v>0</v>
      </c>
      <c r="G2948">
        <f>+'[1]VENTAS(RESUMEN GLOBAL)'!D2948-'[1]VENTAS(RESUMEN GLOBAL)'!E2948</f>
        <v>0</v>
      </c>
      <c r="H2948" s="9">
        <f>+'[1]VENTAS(RESUMEN GLOBAL)'!K2948</f>
        <v>0</v>
      </c>
      <c r="I2948" s="8">
        <f>+G2948*'[1]VENTAS(RESUMEN GLOBAL)'!F2948</f>
        <v>0</v>
      </c>
      <c r="J2948" s="8">
        <f>'[1]VENTAS(RESUMEN GLOBAL)'!G2948*(1-'[1]VENTAS(RESUMEN GLOBAL)'!H2948)</f>
        <v>0</v>
      </c>
      <c r="K2948" s="8">
        <f t="shared" si="46"/>
        <v>0</v>
      </c>
      <c r="L2948" s="8">
        <f>+'[1]VENTAS(RESUMEN GLOBAL)'!J2948</f>
        <v>0</v>
      </c>
      <c r="M2948" s="8">
        <f>+Tabla1[[#This Row],[utilidad x dia]]*7</f>
        <v>0</v>
      </c>
    </row>
    <row r="2949" spans="1:13" x14ac:dyDescent="0.3">
      <c r="A2949" s="6">
        <f>+'[1]VENTAS(RESUMEN GLOBAL)'!L2949</f>
        <v>0</v>
      </c>
      <c r="B2949" s="6">
        <f>+'[1]VENTAS(RESUMEN GLOBAL)'!M2949</f>
        <v>0</v>
      </c>
      <c r="C2949">
        <f>+'[1]VENTAS(RESUMEN GLOBAL)'!B2949</f>
        <v>0</v>
      </c>
      <c r="D2949" t="e">
        <f>INDEX('[1]CÓDIGOS DE PRODUCTO'!$D$3:$D$1000,MATCH(C2949,'[1]CÓDIGOS DE PRODUCTO'!$A$3:$A$1000,0))</f>
        <v>#N/A</v>
      </c>
      <c r="E2949">
        <f>VLOOKUP(C2949,'[1]CÓDIGOS DE PRODUCTO'!$A$4:$B$156,2,FALSE)</f>
        <v>0</v>
      </c>
      <c r="F2949">
        <f>INDEX('[1]CÓDIGOS DE PRODUCTO'!$C$3:$C$1000,MATCH(C2949,'[1]CÓDIGOS DE PRODUCTO'!$A$3:$A$1000,0))</f>
        <v>0</v>
      </c>
      <c r="G2949">
        <f>+'[1]VENTAS(RESUMEN GLOBAL)'!D2949-'[1]VENTAS(RESUMEN GLOBAL)'!E2949</f>
        <v>0</v>
      </c>
      <c r="H2949" s="9">
        <f>+'[1]VENTAS(RESUMEN GLOBAL)'!K2949</f>
        <v>0</v>
      </c>
      <c r="I2949" s="8">
        <f>+G2949*'[1]VENTAS(RESUMEN GLOBAL)'!F2949</f>
        <v>0</v>
      </c>
      <c r="J2949" s="8">
        <f>'[1]VENTAS(RESUMEN GLOBAL)'!G2949*(1-'[1]VENTAS(RESUMEN GLOBAL)'!H2949)</f>
        <v>0</v>
      </c>
      <c r="K2949" s="8">
        <f t="shared" si="46"/>
        <v>0</v>
      </c>
      <c r="L2949" s="8">
        <f>+'[1]VENTAS(RESUMEN GLOBAL)'!J2949</f>
        <v>0</v>
      </c>
      <c r="M2949" s="8">
        <f>+Tabla1[[#This Row],[utilidad x dia]]*7</f>
        <v>0</v>
      </c>
    </row>
    <row r="2950" spans="1:13" x14ac:dyDescent="0.3">
      <c r="A2950" s="6">
        <f>+'[1]VENTAS(RESUMEN GLOBAL)'!L2950</f>
        <v>0</v>
      </c>
      <c r="B2950" s="6">
        <f>+'[1]VENTAS(RESUMEN GLOBAL)'!M2950</f>
        <v>0</v>
      </c>
      <c r="C2950">
        <f>+'[1]VENTAS(RESUMEN GLOBAL)'!B2950</f>
        <v>0</v>
      </c>
      <c r="D2950" t="e">
        <f>INDEX('[1]CÓDIGOS DE PRODUCTO'!$D$3:$D$1000,MATCH(C2950,'[1]CÓDIGOS DE PRODUCTO'!$A$3:$A$1000,0))</f>
        <v>#N/A</v>
      </c>
      <c r="E2950">
        <f>VLOOKUP(C2950,'[1]CÓDIGOS DE PRODUCTO'!$A$4:$B$156,2,FALSE)</f>
        <v>0</v>
      </c>
      <c r="F2950">
        <f>INDEX('[1]CÓDIGOS DE PRODUCTO'!$C$3:$C$1000,MATCH(C2950,'[1]CÓDIGOS DE PRODUCTO'!$A$3:$A$1000,0))</f>
        <v>0</v>
      </c>
      <c r="G2950">
        <f>+'[1]VENTAS(RESUMEN GLOBAL)'!D2950-'[1]VENTAS(RESUMEN GLOBAL)'!E2950</f>
        <v>0</v>
      </c>
      <c r="H2950" s="9">
        <f>+'[1]VENTAS(RESUMEN GLOBAL)'!K2950</f>
        <v>0</v>
      </c>
      <c r="I2950" s="8">
        <f>+G2950*'[1]VENTAS(RESUMEN GLOBAL)'!F2950</f>
        <v>0</v>
      </c>
      <c r="J2950" s="8">
        <f>'[1]VENTAS(RESUMEN GLOBAL)'!G2950*(1-'[1]VENTAS(RESUMEN GLOBAL)'!H2950)</f>
        <v>0</v>
      </c>
      <c r="K2950" s="8">
        <f t="shared" si="46"/>
        <v>0</v>
      </c>
      <c r="L2950" s="8">
        <f>+'[1]VENTAS(RESUMEN GLOBAL)'!J2950</f>
        <v>0</v>
      </c>
      <c r="M2950" s="8">
        <f>+Tabla1[[#This Row],[utilidad x dia]]*7</f>
        <v>0</v>
      </c>
    </row>
    <row r="2951" spans="1:13" x14ac:dyDescent="0.3">
      <c r="A2951" s="6">
        <f>+'[1]VENTAS(RESUMEN GLOBAL)'!L2951</f>
        <v>0</v>
      </c>
      <c r="B2951" s="6">
        <f>+'[1]VENTAS(RESUMEN GLOBAL)'!M2951</f>
        <v>0</v>
      </c>
      <c r="C2951">
        <f>+'[1]VENTAS(RESUMEN GLOBAL)'!B2951</f>
        <v>0</v>
      </c>
      <c r="D2951" t="e">
        <f>INDEX('[1]CÓDIGOS DE PRODUCTO'!$D$3:$D$1000,MATCH(C2951,'[1]CÓDIGOS DE PRODUCTO'!$A$3:$A$1000,0))</f>
        <v>#N/A</v>
      </c>
      <c r="E2951">
        <f>VLOOKUP(C2951,'[1]CÓDIGOS DE PRODUCTO'!$A$4:$B$156,2,FALSE)</f>
        <v>0</v>
      </c>
      <c r="F2951">
        <f>INDEX('[1]CÓDIGOS DE PRODUCTO'!$C$3:$C$1000,MATCH(C2951,'[1]CÓDIGOS DE PRODUCTO'!$A$3:$A$1000,0))</f>
        <v>0</v>
      </c>
      <c r="G2951">
        <f>+'[1]VENTAS(RESUMEN GLOBAL)'!D2951-'[1]VENTAS(RESUMEN GLOBAL)'!E2951</f>
        <v>0</v>
      </c>
      <c r="H2951" s="9">
        <f>+'[1]VENTAS(RESUMEN GLOBAL)'!K2951</f>
        <v>0</v>
      </c>
      <c r="I2951" s="8">
        <f>+G2951*'[1]VENTAS(RESUMEN GLOBAL)'!F2951</f>
        <v>0</v>
      </c>
      <c r="J2951" s="8">
        <f>'[1]VENTAS(RESUMEN GLOBAL)'!G2951*(1-'[1]VENTAS(RESUMEN GLOBAL)'!H2951)</f>
        <v>0</v>
      </c>
      <c r="K2951" s="8">
        <f t="shared" si="46"/>
        <v>0</v>
      </c>
      <c r="L2951" s="8">
        <f>+'[1]VENTAS(RESUMEN GLOBAL)'!J2951</f>
        <v>0</v>
      </c>
      <c r="M2951" s="8">
        <f>+Tabla1[[#This Row],[utilidad x dia]]*7</f>
        <v>0</v>
      </c>
    </row>
    <row r="2952" spans="1:13" x14ac:dyDescent="0.3">
      <c r="A2952" s="6">
        <f>+'[1]VENTAS(RESUMEN GLOBAL)'!L2952</f>
        <v>0</v>
      </c>
      <c r="B2952" s="6">
        <f>+'[1]VENTAS(RESUMEN GLOBAL)'!M2952</f>
        <v>0</v>
      </c>
      <c r="C2952">
        <f>+'[1]VENTAS(RESUMEN GLOBAL)'!B2952</f>
        <v>0</v>
      </c>
      <c r="D2952" t="e">
        <f>INDEX('[1]CÓDIGOS DE PRODUCTO'!$D$3:$D$1000,MATCH(C2952,'[1]CÓDIGOS DE PRODUCTO'!$A$3:$A$1000,0))</f>
        <v>#N/A</v>
      </c>
      <c r="E2952">
        <f>VLOOKUP(C2952,'[1]CÓDIGOS DE PRODUCTO'!$A$4:$B$156,2,FALSE)</f>
        <v>0</v>
      </c>
      <c r="F2952">
        <f>INDEX('[1]CÓDIGOS DE PRODUCTO'!$C$3:$C$1000,MATCH(C2952,'[1]CÓDIGOS DE PRODUCTO'!$A$3:$A$1000,0))</f>
        <v>0</v>
      </c>
      <c r="G2952">
        <f>+'[1]VENTAS(RESUMEN GLOBAL)'!D2952-'[1]VENTAS(RESUMEN GLOBAL)'!E2952</f>
        <v>0</v>
      </c>
      <c r="H2952" s="9">
        <f>+'[1]VENTAS(RESUMEN GLOBAL)'!K2952</f>
        <v>0</v>
      </c>
      <c r="I2952" s="8">
        <f>+G2952*'[1]VENTAS(RESUMEN GLOBAL)'!F2952</f>
        <v>0</v>
      </c>
      <c r="J2952" s="8">
        <f>'[1]VENTAS(RESUMEN GLOBAL)'!G2952*(1-'[1]VENTAS(RESUMEN GLOBAL)'!H2952)</f>
        <v>0</v>
      </c>
      <c r="K2952" s="8">
        <f t="shared" si="46"/>
        <v>0</v>
      </c>
      <c r="L2952" s="8">
        <f>+'[1]VENTAS(RESUMEN GLOBAL)'!J2952</f>
        <v>0</v>
      </c>
      <c r="M2952" s="8">
        <f>+Tabla1[[#This Row],[utilidad x dia]]*7</f>
        <v>0</v>
      </c>
    </row>
    <row r="2953" spans="1:13" x14ac:dyDescent="0.3">
      <c r="A2953" s="6">
        <f>+'[1]VENTAS(RESUMEN GLOBAL)'!L2953</f>
        <v>0</v>
      </c>
      <c r="B2953" s="6">
        <f>+'[1]VENTAS(RESUMEN GLOBAL)'!M2953</f>
        <v>0</v>
      </c>
      <c r="C2953">
        <f>+'[1]VENTAS(RESUMEN GLOBAL)'!B2953</f>
        <v>0</v>
      </c>
      <c r="D2953" t="e">
        <f>INDEX('[1]CÓDIGOS DE PRODUCTO'!$D$3:$D$1000,MATCH(C2953,'[1]CÓDIGOS DE PRODUCTO'!$A$3:$A$1000,0))</f>
        <v>#N/A</v>
      </c>
      <c r="E2953">
        <f>VLOOKUP(C2953,'[1]CÓDIGOS DE PRODUCTO'!$A$4:$B$156,2,FALSE)</f>
        <v>0</v>
      </c>
      <c r="F2953">
        <f>INDEX('[1]CÓDIGOS DE PRODUCTO'!$C$3:$C$1000,MATCH(C2953,'[1]CÓDIGOS DE PRODUCTO'!$A$3:$A$1000,0))</f>
        <v>0</v>
      </c>
      <c r="G2953">
        <f>+'[1]VENTAS(RESUMEN GLOBAL)'!D2953-'[1]VENTAS(RESUMEN GLOBAL)'!E2953</f>
        <v>0</v>
      </c>
      <c r="H2953" s="9">
        <f>+'[1]VENTAS(RESUMEN GLOBAL)'!K2953</f>
        <v>0</v>
      </c>
      <c r="I2953" s="8">
        <f>+G2953*'[1]VENTAS(RESUMEN GLOBAL)'!F2953</f>
        <v>0</v>
      </c>
      <c r="J2953" s="8">
        <f>'[1]VENTAS(RESUMEN GLOBAL)'!G2953*(1-'[1]VENTAS(RESUMEN GLOBAL)'!H2953)</f>
        <v>0</v>
      </c>
      <c r="K2953" s="8">
        <f t="shared" si="46"/>
        <v>0</v>
      </c>
      <c r="L2953" s="8">
        <f>+'[1]VENTAS(RESUMEN GLOBAL)'!J2953</f>
        <v>0</v>
      </c>
      <c r="M2953" s="8">
        <f>+Tabla1[[#This Row],[utilidad x dia]]*7</f>
        <v>0</v>
      </c>
    </row>
    <row r="2954" spans="1:13" x14ac:dyDescent="0.3">
      <c r="A2954" s="6">
        <f>+'[1]VENTAS(RESUMEN GLOBAL)'!L2954</f>
        <v>0</v>
      </c>
      <c r="B2954" s="6">
        <f>+'[1]VENTAS(RESUMEN GLOBAL)'!M2954</f>
        <v>0</v>
      </c>
      <c r="C2954">
        <f>+'[1]VENTAS(RESUMEN GLOBAL)'!B2954</f>
        <v>0</v>
      </c>
      <c r="D2954" t="e">
        <f>INDEX('[1]CÓDIGOS DE PRODUCTO'!$D$3:$D$1000,MATCH(C2954,'[1]CÓDIGOS DE PRODUCTO'!$A$3:$A$1000,0))</f>
        <v>#N/A</v>
      </c>
      <c r="E2954">
        <f>VLOOKUP(C2954,'[1]CÓDIGOS DE PRODUCTO'!$A$4:$B$156,2,FALSE)</f>
        <v>0</v>
      </c>
      <c r="F2954">
        <f>INDEX('[1]CÓDIGOS DE PRODUCTO'!$C$3:$C$1000,MATCH(C2954,'[1]CÓDIGOS DE PRODUCTO'!$A$3:$A$1000,0))</f>
        <v>0</v>
      </c>
      <c r="G2954">
        <f>+'[1]VENTAS(RESUMEN GLOBAL)'!D2954-'[1]VENTAS(RESUMEN GLOBAL)'!E2954</f>
        <v>0</v>
      </c>
      <c r="H2954" s="9">
        <f>+'[1]VENTAS(RESUMEN GLOBAL)'!K2954</f>
        <v>0</v>
      </c>
      <c r="I2954" s="8">
        <f>+G2954*'[1]VENTAS(RESUMEN GLOBAL)'!F2954</f>
        <v>0</v>
      </c>
      <c r="J2954" s="8">
        <f>'[1]VENTAS(RESUMEN GLOBAL)'!G2954*(1-'[1]VENTAS(RESUMEN GLOBAL)'!H2954)</f>
        <v>0</v>
      </c>
      <c r="K2954" s="8">
        <f t="shared" si="46"/>
        <v>0</v>
      </c>
      <c r="L2954" s="8">
        <f>+'[1]VENTAS(RESUMEN GLOBAL)'!J2954</f>
        <v>0</v>
      </c>
      <c r="M2954" s="8">
        <f>+Tabla1[[#This Row],[utilidad x dia]]*7</f>
        <v>0</v>
      </c>
    </row>
    <row r="2955" spans="1:13" x14ac:dyDescent="0.3">
      <c r="A2955" s="6">
        <f>+'[1]VENTAS(RESUMEN GLOBAL)'!L2955</f>
        <v>0</v>
      </c>
      <c r="B2955" s="6">
        <f>+'[1]VENTAS(RESUMEN GLOBAL)'!M2955</f>
        <v>0</v>
      </c>
      <c r="C2955">
        <f>+'[1]VENTAS(RESUMEN GLOBAL)'!B2955</f>
        <v>0</v>
      </c>
      <c r="D2955" t="e">
        <f>INDEX('[1]CÓDIGOS DE PRODUCTO'!$D$3:$D$1000,MATCH(C2955,'[1]CÓDIGOS DE PRODUCTO'!$A$3:$A$1000,0))</f>
        <v>#N/A</v>
      </c>
      <c r="E2955">
        <f>VLOOKUP(C2955,'[1]CÓDIGOS DE PRODUCTO'!$A$4:$B$156,2,FALSE)</f>
        <v>0</v>
      </c>
      <c r="F2955">
        <f>INDEX('[1]CÓDIGOS DE PRODUCTO'!$C$3:$C$1000,MATCH(C2955,'[1]CÓDIGOS DE PRODUCTO'!$A$3:$A$1000,0))</f>
        <v>0</v>
      </c>
      <c r="G2955">
        <f>+'[1]VENTAS(RESUMEN GLOBAL)'!D2955-'[1]VENTAS(RESUMEN GLOBAL)'!E2955</f>
        <v>0</v>
      </c>
      <c r="H2955" s="9">
        <f>+'[1]VENTAS(RESUMEN GLOBAL)'!K2955</f>
        <v>0</v>
      </c>
      <c r="I2955" s="8">
        <f>+G2955*'[1]VENTAS(RESUMEN GLOBAL)'!F2955</f>
        <v>0</v>
      </c>
      <c r="J2955" s="8">
        <f>'[1]VENTAS(RESUMEN GLOBAL)'!G2955*(1-'[1]VENTAS(RESUMEN GLOBAL)'!H2955)</f>
        <v>0</v>
      </c>
      <c r="K2955" s="8">
        <f t="shared" si="46"/>
        <v>0</v>
      </c>
      <c r="L2955" s="8">
        <f>+'[1]VENTAS(RESUMEN GLOBAL)'!J2955</f>
        <v>0</v>
      </c>
      <c r="M2955" s="8">
        <f>+Tabla1[[#This Row],[utilidad x dia]]*7</f>
        <v>0</v>
      </c>
    </row>
    <row r="2956" spans="1:13" x14ac:dyDescent="0.3">
      <c r="A2956" s="6">
        <f>+'[1]VENTAS(RESUMEN GLOBAL)'!L2956</f>
        <v>0</v>
      </c>
      <c r="B2956" s="6">
        <f>+'[1]VENTAS(RESUMEN GLOBAL)'!M2956</f>
        <v>0</v>
      </c>
      <c r="C2956">
        <f>+'[1]VENTAS(RESUMEN GLOBAL)'!B2956</f>
        <v>0</v>
      </c>
      <c r="D2956" t="e">
        <f>INDEX('[1]CÓDIGOS DE PRODUCTO'!$D$3:$D$1000,MATCH(C2956,'[1]CÓDIGOS DE PRODUCTO'!$A$3:$A$1000,0))</f>
        <v>#N/A</v>
      </c>
      <c r="E2956">
        <f>VLOOKUP(C2956,'[1]CÓDIGOS DE PRODUCTO'!$A$4:$B$156,2,FALSE)</f>
        <v>0</v>
      </c>
      <c r="F2956">
        <f>INDEX('[1]CÓDIGOS DE PRODUCTO'!$C$3:$C$1000,MATCH(C2956,'[1]CÓDIGOS DE PRODUCTO'!$A$3:$A$1000,0))</f>
        <v>0</v>
      </c>
      <c r="G2956">
        <f>+'[1]VENTAS(RESUMEN GLOBAL)'!D2956-'[1]VENTAS(RESUMEN GLOBAL)'!E2956</f>
        <v>0</v>
      </c>
      <c r="H2956" s="9">
        <f>+'[1]VENTAS(RESUMEN GLOBAL)'!K2956</f>
        <v>0</v>
      </c>
      <c r="I2956" s="8">
        <f>+G2956*'[1]VENTAS(RESUMEN GLOBAL)'!F2956</f>
        <v>0</v>
      </c>
      <c r="J2956" s="8">
        <f>'[1]VENTAS(RESUMEN GLOBAL)'!G2956*(1-'[1]VENTAS(RESUMEN GLOBAL)'!H2956)</f>
        <v>0</v>
      </c>
      <c r="K2956" s="8">
        <f t="shared" si="46"/>
        <v>0</v>
      </c>
      <c r="L2956" s="8">
        <f>+'[1]VENTAS(RESUMEN GLOBAL)'!J2956</f>
        <v>0</v>
      </c>
      <c r="M2956" s="8">
        <f>+Tabla1[[#This Row],[utilidad x dia]]*7</f>
        <v>0</v>
      </c>
    </row>
    <row r="2957" spans="1:13" x14ac:dyDescent="0.3">
      <c r="A2957" s="6">
        <f>+'[1]VENTAS(RESUMEN GLOBAL)'!L2957</f>
        <v>0</v>
      </c>
      <c r="B2957" s="6">
        <f>+'[1]VENTAS(RESUMEN GLOBAL)'!M2957</f>
        <v>0</v>
      </c>
      <c r="C2957">
        <f>+'[1]VENTAS(RESUMEN GLOBAL)'!B2957</f>
        <v>0</v>
      </c>
      <c r="D2957" t="e">
        <f>INDEX('[1]CÓDIGOS DE PRODUCTO'!$D$3:$D$1000,MATCH(C2957,'[1]CÓDIGOS DE PRODUCTO'!$A$3:$A$1000,0))</f>
        <v>#N/A</v>
      </c>
      <c r="E2957">
        <f>VLOOKUP(C2957,'[1]CÓDIGOS DE PRODUCTO'!$A$4:$B$156,2,FALSE)</f>
        <v>0</v>
      </c>
      <c r="F2957">
        <f>INDEX('[1]CÓDIGOS DE PRODUCTO'!$C$3:$C$1000,MATCH(C2957,'[1]CÓDIGOS DE PRODUCTO'!$A$3:$A$1000,0))</f>
        <v>0</v>
      </c>
      <c r="G2957">
        <f>+'[1]VENTAS(RESUMEN GLOBAL)'!D2957-'[1]VENTAS(RESUMEN GLOBAL)'!E2957</f>
        <v>0</v>
      </c>
      <c r="H2957" s="9">
        <f>+'[1]VENTAS(RESUMEN GLOBAL)'!K2957</f>
        <v>0</v>
      </c>
      <c r="I2957" s="8">
        <f>+G2957*'[1]VENTAS(RESUMEN GLOBAL)'!F2957</f>
        <v>0</v>
      </c>
      <c r="J2957" s="8">
        <f>'[1]VENTAS(RESUMEN GLOBAL)'!G2957*(1-'[1]VENTAS(RESUMEN GLOBAL)'!H2957)</f>
        <v>0</v>
      </c>
      <c r="K2957" s="8">
        <f t="shared" si="46"/>
        <v>0</v>
      </c>
      <c r="L2957" s="8">
        <f>+'[1]VENTAS(RESUMEN GLOBAL)'!J2957</f>
        <v>0</v>
      </c>
      <c r="M2957" s="8">
        <f>+Tabla1[[#This Row],[utilidad x dia]]*7</f>
        <v>0</v>
      </c>
    </row>
    <row r="2958" spans="1:13" x14ac:dyDescent="0.3">
      <c r="A2958" s="6">
        <f>+'[1]VENTAS(RESUMEN GLOBAL)'!L2958</f>
        <v>0</v>
      </c>
      <c r="B2958" s="6">
        <f>+'[1]VENTAS(RESUMEN GLOBAL)'!M2958</f>
        <v>0</v>
      </c>
      <c r="C2958">
        <f>+'[1]VENTAS(RESUMEN GLOBAL)'!B2958</f>
        <v>0</v>
      </c>
      <c r="D2958" t="e">
        <f>INDEX('[1]CÓDIGOS DE PRODUCTO'!$D$3:$D$1000,MATCH(C2958,'[1]CÓDIGOS DE PRODUCTO'!$A$3:$A$1000,0))</f>
        <v>#N/A</v>
      </c>
      <c r="E2958">
        <f>VLOOKUP(C2958,'[1]CÓDIGOS DE PRODUCTO'!$A$4:$B$156,2,FALSE)</f>
        <v>0</v>
      </c>
      <c r="F2958">
        <f>INDEX('[1]CÓDIGOS DE PRODUCTO'!$C$3:$C$1000,MATCH(C2958,'[1]CÓDIGOS DE PRODUCTO'!$A$3:$A$1000,0))</f>
        <v>0</v>
      </c>
      <c r="G2958">
        <f>+'[1]VENTAS(RESUMEN GLOBAL)'!D2958-'[1]VENTAS(RESUMEN GLOBAL)'!E2958</f>
        <v>0</v>
      </c>
      <c r="H2958" s="9">
        <f>+'[1]VENTAS(RESUMEN GLOBAL)'!K2958</f>
        <v>0</v>
      </c>
      <c r="I2958" s="8">
        <f>+G2958*'[1]VENTAS(RESUMEN GLOBAL)'!F2958</f>
        <v>0</v>
      </c>
      <c r="J2958" s="8">
        <f>'[1]VENTAS(RESUMEN GLOBAL)'!G2958*(1-'[1]VENTAS(RESUMEN GLOBAL)'!H2958)</f>
        <v>0</v>
      </c>
      <c r="K2958" s="8">
        <f t="shared" si="46"/>
        <v>0</v>
      </c>
      <c r="L2958" s="8">
        <f>+'[1]VENTAS(RESUMEN GLOBAL)'!J2958</f>
        <v>0</v>
      </c>
      <c r="M2958" s="8">
        <f>+Tabla1[[#This Row],[utilidad x dia]]*7</f>
        <v>0</v>
      </c>
    </row>
    <row r="2959" spans="1:13" x14ac:dyDescent="0.3">
      <c r="A2959" s="6">
        <f>+'[1]VENTAS(RESUMEN GLOBAL)'!L2959</f>
        <v>0</v>
      </c>
      <c r="B2959" s="6">
        <f>+'[1]VENTAS(RESUMEN GLOBAL)'!M2959</f>
        <v>0</v>
      </c>
      <c r="C2959">
        <f>+'[1]VENTAS(RESUMEN GLOBAL)'!B2959</f>
        <v>0</v>
      </c>
      <c r="D2959" t="e">
        <f>INDEX('[1]CÓDIGOS DE PRODUCTO'!$D$3:$D$1000,MATCH(C2959,'[1]CÓDIGOS DE PRODUCTO'!$A$3:$A$1000,0))</f>
        <v>#N/A</v>
      </c>
      <c r="E2959">
        <f>VLOOKUP(C2959,'[1]CÓDIGOS DE PRODUCTO'!$A$4:$B$156,2,FALSE)</f>
        <v>0</v>
      </c>
      <c r="F2959">
        <f>INDEX('[1]CÓDIGOS DE PRODUCTO'!$C$3:$C$1000,MATCH(C2959,'[1]CÓDIGOS DE PRODUCTO'!$A$3:$A$1000,0))</f>
        <v>0</v>
      </c>
      <c r="G2959">
        <f>+'[1]VENTAS(RESUMEN GLOBAL)'!D2959-'[1]VENTAS(RESUMEN GLOBAL)'!E2959</f>
        <v>0</v>
      </c>
      <c r="H2959" s="9">
        <f>+'[1]VENTAS(RESUMEN GLOBAL)'!K2959</f>
        <v>0</v>
      </c>
      <c r="I2959" s="8">
        <f>+G2959*'[1]VENTAS(RESUMEN GLOBAL)'!F2959</f>
        <v>0</v>
      </c>
      <c r="J2959" s="8">
        <f>'[1]VENTAS(RESUMEN GLOBAL)'!G2959*(1-'[1]VENTAS(RESUMEN GLOBAL)'!H2959)</f>
        <v>0</v>
      </c>
      <c r="K2959" s="8">
        <f t="shared" si="46"/>
        <v>0</v>
      </c>
      <c r="L2959" s="8">
        <f>+'[1]VENTAS(RESUMEN GLOBAL)'!J2959</f>
        <v>0</v>
      </c>
      <c r="M2959" s="8">
        <f>+Tabla1[[#This Row],[utilidad x dia]]*7</f>
        <v>0</v>
      </c>
    </row>
    <row r="2960" spans="1:13" x14ac:dyDescent="0.3">
      <c r="A2960" s="6">
        <f>+'[1]VENTAS(RESUMEN GLOBAL)'!L2960</f>
        <v>0</v>
      </c>
      <c r="B2960" s="6">
        <f>+'[1]VENTAS(RESUMEN GLOBAL)'!M2960</f>
        <v>0</v>
      </c>
      <c r="C2960">
        <f>+'[1]VENTAS(RESUMEN GLOBAL)'!B2960</f>
        <v>0</v>
      </c>
      <c r="D2960" t="e">
        <f>INDEX('[1]CÓDIGOS DE PRODUCTO'!$D$3:$D$1000,MATCH(C2960,'[1]CÓDIGOS DE PRODUCTO'!$A$3:$A$1000,0))</f>
        <v>#N/A</v>
      </c>
      <c r="E2960">
        <f>VLOOKUP(C2960,'[1]CÓDIGOS DE PRODUCTO'!$A$4:$B$156,2,FALSE)</f>
        <v>0</v>
      </c>
      <c r="F2960">
        <f>INDEX('[1]CÓDIGOS DE PRODUCTO'!$C$3:$C$1000,MATCH(C2960,'[1]CÓDIGOS DE PRODUCTO'!$A$3:$A$1000,0))</f>
        <v>0</v>
      </c>
      <c r="G2960">
        <f>+'[1]VENTAS(RESUMEN GLOBAL)'!D2960-'[1]VENTAS(RESUMEN GLOBAL)'!E2960</f>
        <v>0</v>
      </c>
      <c r="H2960" s="9">
        <f>+'[1]VENTAS(RESUMEN GLOBAL)'!K2960</f>
        <v>0</v>
      </c>
      <c r="I2960" s="8">
        <f>+G2960*'[1]VENTAS(RESUMEN GLOBAL)'!F2960</f>
        <v>0</v>
      </c>
      <c r="J2960" s="8">
        <f>'[1]VENTAS(RESUMEN GLOBAL)'!G2960*(1-'[1]VENTAS(RESUMEN GLOBAL)'!H2960)</f>
        <v>0</v>
      </c>
      <c r="K2960" s="8">
        <f t="shared" si="46"/>
        <v>0</v>
      </c>
      <c r="L2960" s="8">
        <f>+'[1]VENTAS(RESUMEN GLOBAL)'!J2960</f>
        <v>0</v>
      </c>
      <c r="M2960" s="8">
        <f>+Tabla1[[#This Row],[utilidad x dia]]*7</f>
        <v>0</v>
      </c>
    </row>
    <row r="2961" spans="1:13" x14ac:dyDescent="0.3">
      <c r="A2961" s="6">
        <f>+'[1]VENTAS(RESUMEN GLOBAL)'!L2961</f>
        <v>0</v>
      </c>
      <c r="B2961" s="6">
        <f>+'[1]VENTAS(RESUMEN GLOBAL)'!M2961</f>
        <v>0</v>
      </c>
      <c r="C2961">
        <f>+'[1]VENTAS(RESUMEN GLOBAL)'!B2961</f>
        <v>0</v>
      </c>
      <c r="D2961" t="e">
        <f>INDEX('[1]CÓDIGOS DE PRODUCTO'!$D$3:$D$1000,MATCH(C2961,'[1]CÓDIGOS DE PRODUCTO'!$A$3:$A$1000,0))</f>
        <v>#N/A</v>
      </c>
      <c r="E2961">
        <f>VLOOKUP(C2961,'[1]CÓDIGOS DE PRODUCTO'!$A$4:$B$156,2,FALSE)</f>
        <v>0</v>
      </c>
      <c r="F2961">
        <f>INDEX('[1]CÓDIGOS DE PRODUCTO'!$C$3:$C$1000,MATCH(C2961,'[1]CÓDIGOS DE PRODUCTO'!$A$3:$A$1000,0))</f>
        <v>0</v>
      </c>
      <c r="G2961">
        <f>+'[1]VENTAS(RESUMEN GLOBAL)'!D2961-'[1]VENTAS(RESUMEN GLOBAL)'!E2961</f>
        <v>0</v>
      </c>
      <c r="H2961" s="9">
        <f>+'[1]VENTAS(RESUMEN GLOBAL)'!K2961</f>
        <v>0</v>
      </c>
      <c r="I2961" s="8">
        <f>+G2961*'[1]VENTAS(RESUMEN GLOBAL)'!F2961</f>
        <v>0</v>
      </c>
      <c r="J2961" s="8">
        <f>'[1]VENTAS(RESUMEN GLOBAL)'!G2961*(1-'[1]VENTAS(RESUMEN GLOBAL)'!H2961)</f>
        <v>0</v>
      </c>
      <c r="K2961" s="8">
        <f t="shared" si="46"/>
        <v>0</v>
      </c>
      <c r="L2961" s="8">
        <f>+'[1]VENTAS(RESUMEN GLOBAL)'!J2961</f>
        <v>0</v>
      </c>
      <c r="M2961" s="8">
        <f>+Tabla1[[#This Row],[utilidad x dia]]*7</f>
        <v>0</v>
      </c>
    </row>
    <row r="2962" spans="1:13" x14ac:dyDescent="0.3">
      <c r="A2962" s="6">
        <f>+'[1]VENTAS(RESUMEN GLOBAL)'!L2962</f>
        <v>0</v>
      </c>
      <c r="B2962" s="6">
        <f>+'[1]VENTAS(RESUMEN GLOBAL)'!M2962</f>
        <v>0</v>
      </c>
      <c r="C2962">
        <f>+'[1]VENTAS(RESUMEN GLOBAL)'!B2962</f>
        <v>0</v>
      </c>
      <c r="D2962" t="e">
        <f>INDEX('[1]CÓDIGOS DE PRODUCTO'!$D$3:$D$1000,MATCH(C2962,'[1]CÓDIGOS DE PRODUCTO'!$A$3:$A$1000,0))</f>
        <v>#N/A</v>
      </c>
      <c r="E2962">
        <f>VLOOKUP(C2962,'[1]CÓDIGOS DE PRODUCTO'!$A$4:$B$156,2,FALSE)</f>
        <v>0</v>
      </c>
      <c r="F2962">
        <f>INDEX('[1]CÓDIGOS DE PRODUCTO'!$C$3:$C$1000,MATCH(C2962,'[1]CÓDIGOS DE PRODUCTO'!$A$3:$A$1000,0))</f>
        <v>0</v>
      </c>
      <c r="G2962">
        <f>+'[1]VENTAS(RESUMEN GLOBAL)'!D2962-'[1]VENTAS(RESUMEN GLOBAL)'!E2962</f>
        <v>0</v>
      </c>
      <c r="H2962" s="9">
        <f>+'[1]VENTAS(RESUMEN GLOBAL)'!K2962</f>
        <v>0</v>
      </c>
      <c r="I2962" s="8">
        <f>+G2962*'[1]VENTAS(RESUMEN GLOBAL)'!F2962</f>
        <v>0</v>
      </c>
      <c r="J2962" s="8">
        <f>'[1]VENTAS(RESUMEN GLOBAL)'!G2962*(1-'[1]VENTAS(RESUMEN GLOBAL)'!H2962)</f>
        <v>0</v>
      </c>
      <c r="K2962" s="8">
        <f t="shared" si="46"/>
        <v>0</v>
      </c>
      <c r="L2962" s="8">
        <f>+'[1]VENTAS(RESUMEN GLOBAL)'!J2962</f>
        <v>0</v>
      </c>
      <c r="M2962" s="8">
        <f>+Tabla1[[#This Row],[utilidad x dia]]*7</f>
        <v>0</v>
      </c>
    </row>
    <row r="2963" spans="1:13" x14ac:dyDescent="0.3">
      <c r="A2963" s="6">
        <f>+'[1]VENTAS(RESUMEN GLOBAL)'!L2963</f>
        <v>0</v>
      </c>
      <c r="B2963" s="6">
        <f>+'[1]VENTAS(RESUMEN GLOBAL)'!M2963</f>
        <v>0</v>
      </c>
      <c r="C2963">
        <f>+'[1]VENTAS(RESUMEN GLOBAL)'!B2963</f>
        <v>0</v>
      </c>
      <c r="D2963" t="e">
        <f>INDEX('[1]CÓDIGOS DE PRODUCTO'!$D$3:$D$1000,MATCH(C2963,'[1]CÓDIGOS DE PRODUCTO'!$A$3:$A$1000,0))</f>
        <v>#N/A</v>
      </c>
      <c r="E2963">
        <f>VLOOKUP(C2963,'[1]CÓDIGOS DE PRODUCTO'!$A$4:$B$156,2,FALSE)</f>
        <v>0</v>
      </c>
      <c r="F2963">
        <f>INDEX('[1]CÓDIGOS DE PRODUCTO'!$C$3:$C$1000,MATCH(C2963,'[1]CÓDIGOS DE PRODUCTO'!$A$3:$A$1000,0))</f>
        <v>0</v>
      </c>
      <c r="G2963">
        <f>+'[1]VENTAS(RESUMEN GLOBAL)'!D2963-'[1]VENTAS(RESUMEN GLOBAL)'!E2963</f>
        <v>0</v>
      </c>
      <c r="H2963" s="9">
        <f>+'[1]VENTAS(RESUMEN GLOBAL)'!K2963</f>
        <v>0</v>
      </c>
      <c r="I2963" s="8">
        <f>+G2963*'[1]VENTAS(RESUMEN GLOBAL)'!F2963</f>
        <v>0</v>
      </c>
      <c r="J2963" s="8">
        <f>'[1]VENTAS(RESUMEN GLOBAL)'!G2963*(1-'[1]VENTAS(RESUMEN GLOBAL)'!H2963)</f>
        <v>0</v>
      </c>
      <c r="K2963" s="8">
        <f t="shared" si="46"/>
        <v>0</v>
      </c>
      <c r="L2963" s="8">
        <f>+'[1]VENTAS(RESUMEN GLOBAL)'!J2963</f>
        <v>0</v>
      </c>
      <c r="M2963" s="8">
        <f>+Tabla1[[#This Row],[utilidad x dia]]*7</f>
        <v>0</v>
      </c>
    </row>
    <row r="2964" spans="1:13" x14ac:dyDescent="0.3">
      <c r="A2964" s="6">
        <f>+'[1]VENTAS(RESUMEN GLOBAL)'!L2964</f>
        <v>0</v>
      </c>
      <c r="B2964" s="6">
        <f>+'[1]VENTAS(RESUMEN GLOBAL)'!M2964</f>
        <v>0</v>
      </c>
      <c r="C2964">
        <f>+'[1]VENTAS(RESUMEN GLOBAL)'!B2964</f>
        <v>0</v>
      </c>
      <c r="D2964" t="e">
        <f>INDEX('[1]CÓDIGOS DE PRODUCTO'!$D$3:$D$1000,MATCH(C2964,'[1]CÓDIGOS DE PRODUCTO'!$A$3:$A$1000,0))</f>
        <v>#N/A</v>
      </c>
      <c r="E2964">
        <f>VLOOKUP(C2964,'[1]CÓDIGOS DE PRODUCTO'!$A$4:$B$156,2,FALSE)</f>
        <v>0</v>
      </c>
      <c r="F2964">
        <f>INDEX('[1]CÓDIGOS DE PRODUCTO'!$C$3:$C$1000,MATCH(C2964,'[1]CÓDIGOS DE PRODUCTO'!$A$3:$A$1000,0))</f>
        <v>0</v>
      </c>
      <c r="G2964">
        <f>+'[1]VENTAS(RESUMEN GLOBAL)'!D2964-'[1]VENTAS(RESUMEN GLOBAL)'!E2964</f>
        <v>0</v>
      </c>
      <c r="H2964" s="9">
        <f>+'[1]VENTAS(RESUMEN GLOBAL)'!K2964</f>
        <v>0</v>
      </c>
      <c r="I2964" s="8">
        <f>+G2964*'[1]VENTAS(RESUMEN GLOBAL)'!F2964</f>
        <v>0</v>
      </c>
      <c r="J2964" s="8">
        <f>'[1]VENTAS(RESUMEN GLOBAL)'!G2964*(1-'[1]VENTAS(RESUMEN GLOBAL)'!H2964)</f>
        <v>0</v>
      </c>
      <c r="K2964" s="8">
        <f t="shared" si="46"/>
        <v>0</v>
      </c>
      <c r="L2964" s="8">
        <f>+'[1]VENTAS(RESUMEN GLOBAL)'!J2964</f>
        <v>0</v>
      </c>
      <c r="M2964" s="8">
        <f>+Tabla1[[#This Row],[utilidad x dia]]*7</f>
        <v>0</v>
      </c>
    </row>
    <row r="2965" spans="1:13" x14ac:dyDescent="0.3">
      <c r="A2965" s="6">
        <f>+'[1]VENTAS(RESUMEN GLOBAL)'!L2965</f>
        <v>0</v>
      </c>
      <c r="B2965" s="6">
        <f>+'[1]VENTAS(RESUMEN GLOBAL)'!M2965</f>
        <v>0</v>
      </c>
      <c r="C2965">
        <f>+'[1]VENTAS(RESUMEN GLOBAL)'!B2965</f>
        <v>0</v>
      </c>
      <c r="D2965" t="e">
        <f>INDEX('[1]CÓDIGOS DE PRODUCTO'!$D$3:$D$1000,MATCH(C2965,'[1]CÓDIGOS DE PRODUCTO'!$A$3:$A$1000,0))</f>
        <v>#N/A</v>
      </c>
      <c r="E2965">
        <f>VLOOKUP(C2965,'[1]CÓDIGOS DE PRODUCTO'!$A$4:$B$156,2,FALSE)</f>
        <v>0</v>
      </c>
      <c r="F2965">
        <f>INDEX('[1]CÓDIGOS DE PRODUCTO'!$C$3:$C$1000,MATCH(C2965,'[1]CÓDIGOS DE PRODUCTO'!$A$3:$A$1000,0))</f>
        <v>0</v>
      </c>
      <c r="G2965">
        <f>+'[1]VENTAS(RESUMEN GLOBAL)'!D2965-'[1]VENTAS(RESUMEN GLOBAL)'!E2965</f>
        <v>0</v>
      </c>
      <c r="H2965" s="9">
        <f>+'[1]VENTAS(RESUMEN GLOBAL)'!K2965</f>
        <v>0</v>
      </c>
      <c r="I2965" s="8">
        <f>+G2965*'[1]VENTAS(RESUMEN GLOBAL)'!F2965</f>
        <v>0</v>
      </c>
      <c r="J2965" s="8">
        <f>'[1]VENTAS(RESUMEN GLOBAL)'!G2965*(1-'[1]VENTAS(RESUMEN GLOBAL)'!H2965)</f>
        <v>0</v>
      </c>
      <c r="K2965" s="8">
        <f t="shared" si="46"/>
        <v>0</v>
      </c>
      <c r="L2965" s="8">
        <f>+'[1]VENTAS(RESUMEN GLOBAL)'!J2965</f>
        <v>0</v>
      </c>
      <c r="M2965" s="8">
        <f>+Tabla1[[#This Row],[utilidad x dia]]*7</f>
        <v>0</v>
      </c>
    </row>
    <row r="2966" spans="1:13" x14ac:dyDescent="0.3">
      <c r="A2966" s="6">
        <f>+'[1]VENTAS(RESUMEN GLOBAL)'!L2966</f>
        <v>0</v>
      </c>
      <c r="B2966" s="6">
        <f>+'[1]VENTAS(RESUMEN GLOBAL)'!M2966</f>
        <v>0</v>
      </c>
      <c r="C2966">
        <f>+'[1]VENTAS(RESUMEN GLOBAL)'!B2966</f>
        <v>0</v>
      </c>
      <c r="D2966" t="e">
        <f>INDEX('[1]CÓDIGOS DE PRODUCTO'!$D$3:$D$1000,MATCH(C2966,'[1]CÓDIGOS DE PRODUCTO'!$A$3:$A$1000,0))</f>
        <v>#N/A</v>
      </c>
      <c r="E2966">
        <f>VLOOKUP(C2966,'[1]CÓDIGOS DE PRODUCTO'!$A$4:$B$156,2,FALSE)</f>
        <v>0</v>
      </c>
      <c r="F2966">
        <f>INDEX('[1]CÓDIGOS DE PRODUCTO'!$C$3:$C$1000,MATCH(C2966,'[1]CÓDIGOS DE PRODUCTO'!$A$3:$A$1000,0))</f>
        <v>0</v>
      </c>
      <c r="G2966">
        <f>+'[1]VENTAS(RESUMEN GLOBAL)'!D2966-'[1]VENTAS(RESUMEN GLOBAL)'!E2966</f>
        <v>0</v>
      </c>
      <c r="H2966" s="9">
        <f>+'[1]VENTAS(RESUMEN GLOBAL)'!K2966</f>
        <v>0</v>
      </c>
      <c r="I2966" s="8">
        <f>+G2966*'[1]VENTAS(RESUMEN GLOBAL)'!F2966</f>
        <v>0</v>
      </c>
      <c r="J2966" s="8">
        <f>'[1]VENTAS(RESUMEN GLOBAL)'!G2966*(1-'[1]VENTAS(RESUMEN GLOBAL)'!H2966)</f>
        <v>0</v>
      </c>
      <c r="K2966" s="8">
        <f t="shared" si="46"/>
        <v>0</v>
      </c>
      <c r="L2966" s="8">
        <f>+'[1]VENTAS(RESUMEN GLOBAL)'!J2966</f>
        <v>0</v>
      </c>
      <c r="M2966" s="8">
        <f>+Tabla1[[#This Row],[utilidad x dia]]*7</f>
        <v>0</v>
      </c>
    </row>
    <row r="2967" spans="1:13" x14ac:dyDescent="0.3">
      <c r="A2967" s="6">
        <f>+'[1]VENTAS(RESUMEN GLOBAL)'!L2967</f>
        <v>0</v>
      </c>
      <c r="B2967" s="6">
        <f>+'[1]VENTAS(RESUMEN GLOBAL)'!M2967</f>
        <v>0</v>
      </c>
      <c r="C2967">
        <f>+'[1]VENTAS(RESUMEN GLOBAL)'!B2967</f>
        <v>0</v>
      </c>
      <c r="D2967" t="e">
        <f>INDEX('[1]CÓDIGOS DE PRODUCTO'!$D$3:$D$1000,MATCH(C2967,'[1]CÓDIGOS DE PRODUCTO'!$A$3:$A$1000,0))</f>
        <v>#N/A</v>
      </c>
      <c r="E2967">
        <f>VLOOKUP(C2967,'[1]CÓDIGOS DE PRODUCTO'!$A$4:$B$156,2,FALSE)</f>
        <v>0</v>
      </c>
      <c r="F2967">
        <f>INDEX('[1]CÓDIGOS DE PRODUCTO'!$C$3:$C$1000,MATCH(C2967,'[1]CÓDIGOS DE PRODUCTO'!$A$3:$A$1000,0))</f>
        <v>0</v>
      </c>
      <c r="G2967">
        <f>+'[1]VENTAS(RESUMEN GLOBAL)'!D2967-'[1]VENTAS(RESUMEN GLOBAL)'!E2967</f>
        <v>0</v>
      </c>
      <c r="H2967" s="9">
        <f>+'[1]VENTAS(RESUMEN GLOBAL)'!K2967</f>
        <v>0</v>
      </c>
      <c r="I2967" s="8">
        <f>+G2967*'[1]VENTAS(RESUMEN GLOBAL)'!F2967</f>
        <v>0</v>
      </c>
      <c r="J2967" s="8">
        <f>'[1]VENTAS(RESUMEN GLOBAL)'!G2967*(1-'[1]VENTAS(RESUMEN GLOBAL)'!H2967)</f>
        <v>0</v>
      </c>
      <c r="K2967" s="8">
        <f t="shared" si="46"/>
        <v>0</v>
      </c>
      <c r="L2967" s="8">
        <f>+'[1]VENTAS(RESUMEN GLOBAL)'!J2967</f>
        <v>0</v>
      </c>
      <c r="M2967" s="8">
        <f>+Tabla1[[#This Row],[utilidad x dia]]*7</f>
        <v>0</v>
      </c>
    </row>
    <row r="2968" spans="1:13" x14ac:dyDescent="0.3">
      <c r="A2968" s="6">
        <f>+'[1]VENTAS(RESUMEN GLOBAL)'!L2968</f>
        <v>0</v>
      </c>
      <c r="B2968" s="6">
        <f>+'[1]VENTAS(RESUMEN GLOBAL)'!M2968</f>
        <v>0</v>
      </c>
      <c r="C2968">
        <f>+'[1]VENTAS(RESUMEN GLOBAL)'!B2968</f>
        <v>0</v>
      </c>
      <c r="D2968" t="e">
        <f>INDEX('[1]CÓDIGOS DE PRODUCTO'!$D$3:$D$1000,MATCH(C2968,'[1]CÓDIGOS DE PRODUCTO'!$A$3:$A$1000,0))</f>
        <v>#N/A</v>
      </c>
      <c r="E2968">
        <f>VLOOKUP(C2968,'[1]CÓDIGOS DE PRODUCTO'!$A$4:$B$156,2,FALSE)</f>
        <v>0</v>
      </c>
      <c r="F2968">
        <f>INDEX('[1]CÓDIGOS DE PRODUCTO'!$C$3:$C$1000,MATCH(C2968,'[1]CÓDIGOS DE PRODUCTO'!$A$3:$A$1000,0))</f>
        <v>0</v>
      </c>
      <c r="G2968">
        <f>+'[1]VENTAS(RESUMEN GLOBAL)'!D2968-'[1]VENTAS(RESUMEN GLOBAL)'!E2968</f>
        <v>0</v>
      </c>
      <c r="H2968" s="9">
        <f>+'[1]VENTAS(RESUMEN GLOBAL)'!K2968</f>
        <v>0</v>
      </c>
      <c r="I2968" s="8">
        <f>+G2968*'[1]VENTAS(RESUMEN GLOBAL)'!F2968</f>
        <v>0</v>
      </c>
      <c r="J2968" s="8">
        <f>'[1]VENTAS(RESUMEN GLOBAL)'!G2968*(1-'[1]VENTAS(RESUMEN GLOBAL)'!H2968)</f>
        <v>0</v>
      </c>
      <c r="K2968" s="8">
        <f t="shared" si="46"/>
        <v>0</v>
      </c>
      <c r="L2968" s="8">
        <f>+'[1]VENTAS(RESUMEN GLOBAL)'!J2968</f>
        <v>0</v>
      </c>
      <c r="M2968" s="8">
        <f>+Tabla1[[#This Row],[utilidad x dia]]*7</f>
        <v>0</v>
      </c>
    </row>
    <row r="2969" spans="1:13" x14ac:dyDescent="0.3">
      <c r="A2969" s="6">
        <f>+'[1]VENTAS(RESUMEN GLOBAL)'!L2969</f>
        <v>0</v>
      </c>
      <c r="B2969" s="6">
        <f>+'[1]VENTAS(RESUMEN GLOBAL)'!M2969</f>
        <v>0</v>
      </c>
      <c r="C2969">
        <f>+'[1]VENTAS(RESUMEN GLOBAL)'!B2969</f>
        <v>0</v>
      </c>
      <c r="D2969" t="e">
        <f>INDEX('[1]CÓDIGOS DE PRODUCTO'!$D$3:$D$1000,MATCH(C2969,'[1]CÓDIGOS DE PRODUCTO'!$A$3:$A$1000,0))</f>
        <v>#N/A</v>
      </c>
      <c r="E2969">
        <f>VLOOKUP(C2969,'[1]CÓDIGOS DE PRODUCTO'!$A$4:$B$156,2,FALSE)</f>
        <v>0</v>
      </c>
      <c r="F2969">
        <f>INDEX('[1]CÓDIGOS DE PRODUCTO'!$C$3:$C$1000,MATCH(C2969,'[1]CÓDIGOS DE PRODUCTO'!$A$3:$A$1000,0))</f>
        <v>0</v>
      </c>
      <c r="G2969">
        <f>+'[1]VENTAS(RESUMEN GLOBAL)'!D2969-'[1]VENTAS(RESUMEN GLOBAL)'!E2969</f>
        <v>0</v>
      </c>
      <c r="H2969" s="9">
        <f>+'[1]VENTAS(RESUMEN GLOBAL)'!K2969</f>
        <v>0</v>
      </c>
      <c r="I2969" s="8">
        <f>+G2969*'[1]VENTAS(RESUMEN GLOBAL)'!F2969</f>
        <v>0</v>
      </c>
      <c r="J2969" s="8">
        <f>'[1]VENTAS(RESUMEN GLOBAL)'!G2969*(1-'[1]VENTAS(RESUMEN GLOBAL)'!H2969)</f>
        <v>0</v>
      </c>
      <c r="K2969" s="8">
        <f t="shared" si="46"/>
        <v>0</v>
      </c>
      <c r="L2969" s="8">
        <f>+'[1]VENTAS(RESUMEN GLOBAL)'!J2969</f>
        <v>0</v>
      </c>
      <c r="M2969" s="8">
        <f>+Tabla1[[#This Row],[utilidad x dia]]*7</f>
        <v>0</v>
      </c>
    </row>
    <row r="2970" spans="1:13" x14ac:dyDescent="0.3">
      <c r="A2970" s="6">
        <f>+'[1]VENTAS(RESUMEN GLOBAL)'!L2970</f>
        <v>0</v>
      </c>
      <c r="B2970" s="6">
        <f>+'[1]VENTAS(RESUMEN GLOBAL)'!M2970</f>
        <v>0</v>
      </c>
      <c r="C2970">
        <f>+'[1]VENTAS(RESUMEN GLOBAL)'!B2970</f>
        <v>0</v>
      </c>
      <c r="D2970" t="e">
        <f>INDEX('[1]CÓDIGOS DE PRODUCTO'!$D$3:$D$1000,MATCH(C2970,'[1]CÓDIGOS DE PRODUCTO'!$A$3:$A$1000,0))</f>
        <v>#N/A</v>
      </c>
      <c r="E2970">
        <f>VLOOKUP(C2970,'[1]CÓDIGOS DE PRODUCTO'!$A$4:$B$156,2,FALSE)</f>
        <v>0</v>
      </c>
      <c r="F2970">
        <f>INDEX('[1]CÓDIGOS DE PRODUCTO'!$C$3:$C$1000,MATCH(C2970,'[1]CÓDIGOS DE PRODUCTO'!$A$3:$A$1000,0))</f>
        <v>0</v>
      </c>
      <c r="G2970">
        <f>+'[1]VENTAS(RESUMEN GLOBAL)'!D2970-'[1]VENTAS(RESUMEN GLOBAL)'!E2970</f>
        <v>0</v>
      </c>
      <c r="H2970" s="9">
        <f>+'[1]VENTAS(RESUMEN GLOBAL)'!K2970</f>
        <v>0</v>
      </c>
      <c r="I2970" s="8">
        <f>+G2970*'[1]VENTAS(RESUMEN GLOBAL)'!F2970</f>
        <v>0</v>
      </c>
      <c r="J2970" s="8">
        <f>'[1]VENTAS(RESUMEN GLOBAL)'!G2970*(1-'[1]VENTAS(RESUMEN GLOBAL)'!H2970)</f>
        <v>0</v>
      </c>
      <c r="K2970" s="8">
        <f t="shared" si="46"/>
        <v>0</v>
      </c>
      <c r="L2970" s="8">
        <f>+'[1]VENTAS(RESUMEN GLOBAL)'!J2970</f>
        <v>0</v>
      </c>
      <c r="M2970" s="8">
        <f>+Tabla1[[#This Row],[utilidad x dia]]*7</f>
        <v>0</v>
      </c>
    </row>
    <row r="2971" spans="1:13" x14ac:dyDescent="0.3">
      <c r="A2971" s="6">
        <f>+'[1]VENTAS(RESUMEN GLOBAL)'!L2971</f>
        <v>0</v>
      </c>
      <c r="B2971" s="6">
        <f>+'[1]VENTAS(RESUMEN GLOBAL)'!M2971</f>
        <v>0</v>
      </c>
      <c r="C2971">
        <f>+'[1]VENTAS(RESUMEN GLOBAL)'!B2971</f>
        <v>0</v>
      </c>
      <c r="D2971" t="e">
        <f>INDEX('[1]CÓDIGOS DE PRODUCTO'!$D$3:$D$1000,MATCH(C2971,'[1]CÓDIGOS DE PRODUCTO'!$A$3:$A$1000,0))</f>
        <v>#N/A</v>
      </c>
      <c r="E2971">
        <f>VLOOKUP(C2971,'[1]CÓDIGOS DE PRODUCTO'!$A$4:$B$156,2,FALSE)</f>
        <v>0</v>
      </c>
      <c r="F2971">
        <f>INDEX('[1]CÓDIGOS DE PRODUCTO'!$C$3:$C$1000,MATCH(C2971,'[1]CÓDIGOS DE PRODUCTO'!$A$3:$A$1000,0))</f>
        <v>0</v>
      </c>
      <c r="G2971">
        <f>+'[1]VENTAS(RESUMEN GLOBAL)'!D2971-'[1]VENTAS(RESUMEN GLOBAL)'!E2971</f>
        <v>0</v>
      </c>
      <c r="H2971" s="9">
        <f>+'[1]VENTAS(RESUMEN GLOBAL)'!K2971</f>
        <v>0</v>
      </c>
      <c r="I2971" s="8">
        <f>+G2971*'[1]VENTAS(RESUMEN GLOBAL)'!F2971</f>
        <v>0</v>
      </c>
      <c r="J2971" s="8">
        <f>'[1]VENTAS(RESUMEN GLOBAL)'!G2971*(1-'[1]VENTAS(RESUMEN GLOBAL)'!H2971)</f>
        <v>0</v>
      </c>
      <c r="K2971" s="8">
        <f t="shared" si="46"/>
        <v>0</v>
      </c>
      <c r="L2971" s="8">
        <f>+'[1]VENTAS(RESUMEN GLOBAL)'!J2971</f>
        <v>0</v>
      </c>
      <c r="M2971" s="8">
        <f>+Tabla1[[#This Row],[utilidad x dia]]*7</f>
        <v>0</v>
      </c>
    </row>
    <row r="2972" spans="1:13" x14ac:dyDescent="0.3">
      <c r="A2972" s="6">
        <f>+'[1]VENTAS(RESUMEN GLOBAL)'!L2972</f>
        <v>0</v>
      </c>
      <c r="B2972" s="6">
        <f>+'[1]VENTAS(RESUMEN GLOBAL)'!M2972</f>
        <v>0</v>
      </c>
      <c r="C2972">
        <f>+'[1]VENTAS(RESUMEN GLOBAL)'!B2972</f>
        <v>0</v>
      </c>
      <c r="D2972" t="e">
        <f>INDEX('[1]CÓDIGOS DE PRODUCTO'!$D$3:$D$1000,MATCH(C2972,'[1]CÓDIGOS DE PRODUCTO'!$A$3:$A$1000,0))</f>
        <v>#N/A</v>
      </c>
      <c r="E2972">
        <f>VLOOKUP(C2972,'[1]CÓDIGOS DE PRODUCTO'!$A$4:$B$156,2,FALSE)</f>
        <v>0</v>
      </c>
      <c r="F2972">
        <f>INDEX('[1]CÓDIGOS DE PRODUCTO'!$C$3:$C$1000,MATCH(C2972,'[1]CÓDIGOS DE PRODUCTO'!$A$3:$A$1000,0))</f>
        <v>0</v>
      </c>
      <c r="G2972">
        <f>+'[1]VENTAS(RESUMEN GLOBAL)'!D2972-'[1]VENTAS(RESUMEN GLOBAL)'!E2972</f>
        <v>0</v>
      </c>
      <c r="H2972" s="9">
        <f>+'[1]VENTAS(RESUMEN GLOBAL)'!K2972</f>
        <v>0</v>
      </c>
      <c r="I2972" s="8">
        <f>+G2972*'[1]VENTAS(RESUMEN GLOBAL)'!F2972</f>
        <v>0</v>
      </c>
      <c r="J2972" s="8">
        <f>'[1]VENTAS(RESUMEN GLOBAL)'!G2972*(1-'[1]VENTAS(RESUMEN GLOBAL)'!H2972)</f>
        <v>0</v>
      </c>
      <c r="K2972" s="8">
        <f t="shared" si="46"/>
        <v>0</v>
      </c>
      <c r="L2972" s="8">
        <f>+'[1]VENTAS(RESUMEN GLOBAL)'!J2972</f>
        <v>0</v>
      </c>
      <c r="M2972" s="8">
        <f>+Tabla1[[#This Row],[utilidad x dia]]*7</f>
        <v>0</v>
      </c>
    </row>
    <row r="2973" spans="1:13" x14ac:dyDescent="0.3">
      <c r="A2973" s="6">
        <f>+'[1]VENTAS(RESUMEN GLOBAL)'!L2973</f>
        <v>0</v>
      </c>
      <c r="B2973" s="6">
        <f>+'[1]VENTAS(RESUMEN GLOBAL)'!M2973</f>
        <v>0</v>
      </c>
      <c r="C2973">
        <f>+'[1]VENTAS(RESUMEN GLOBAL)'!B2973</f>
        <v>0</v>
      </c>
      <c r="D2973" t="e">
        <f>INDEX('[1]CÓDIGOS DE PRODUCTO'!$D$3:$D$1000,MATCH(C2973,'[1]CÓDIGOS DE PRODUCTO'!$A$3:$A$1000,0))</f>
        <v>#N/A</v>
      </c>
      <c r="E2973">
        <f>VLOOKUP(C2973,'[1]CÓDIGOS DE PRODUCTO'!$A$4:$B$156,2,FALSE)</f>
        <v>0</v>
      </c>
      <c r="F2973">
        <f>INDEX('[1]CÓDIGOS DE PRODUCTO'!$C$3:$C$1000,MATCH(C2973,'[1]CÓDIGOS DE PRODUCTO'!$A$3:$A$1000,0))</f>
        <v>0</v>
      </c>
      <c r="G2973">
        <f>+'[1]VENTAS(RESUMEN GLOBAL)'!D2973-'[1]VENTAS(RESUMEN GLOBAL)'!E2973</f>
        <v>0</v>
      </c>
      <c r="H2973" s="9">
        <f>+'[1]VENTAS(RESUMEN GLOBAL)'!K2973</f>
        <v>0</v>
      </c>
      <c r="I2973" s="8">
        <f>+G2973*'[1]VENTAS(RESUMEN GLOBAL)'!F2973</f>
        <v>0</v>
      </c>
      <c r="J2973" s="8">
        <f>'[1]VENTAS(RESUMEN GLOBAL)'!G2973*(1-'[1]VENTAS(RESUMEN GLOBAL)'!H2973)</f>
        <v>0</v>
      </c>
      <c r="K2973" s="8">
        <f t="shared" si="46"/>
        <v>0</v>
      </c>
      <c r="L2973" s="8">
        <f>+'[1]VENTAS(RESUMEN GLOBAL)'!J2973</f>
        <v>0</v>
      </c>
      <c r="M2973" s="8">
        <f>+Tabla1[[#This Row],[utilidad x dia]]*7</f>
        <v>0</v>
      </c>
    </row>
    <row r="2974" spans="1:13" x14ac:dyDescent="0.3">
      <c r="A2974" s="6">
        <f>+'[1]VENTAS(RESUMEN GLOBAL)'!L2974</f>
        <v>0</v>
      </c>
      <c r="B2974" s="6">
        <f>+'[1]VENTAS(RESUMEN GLOBAL)'!M2974</f>
        <v>0</v>
      </c>
      <c r="C2974">
        <f>+'[1]VENTAS(RESUMEN GLOBAL)'!B2974</f>
        <v>0</v>
      </c>
      <c r="D2974" t="e">
        <f>INDEX('[1]CÓDIGOS DE PRODUCTO'!$D$3:$D$1000,MATCH(C2974,'[1]CÓDIGOS DE PRODUCTO'!$A$3:$A$1000,0))</f>
        <v>#N/A</v>
      </c>
      <c r="E2974">
        <f>VLOOKUP(C2974,'[1]CÓDIGOS DE PRODUCTO'!$A$4:$B$156,2,FALSE)</f>
        <v>0</v>
      </c>
      <c r="F2974">
        <f>INDEX('[1]CÓDIGOS DE PRODUCTO'!$C$3:$C$1000,MATCH(C2974,'[1]CÓDIGOS DE PRODUCTO'!$A$3:$A$1000,0))</f>
        <v>0</v>
      </c>
      <c r="G2974">
        <f>+'[1]VENTAS(RESUMEN GLOBAL)'!D2974-'[1]VENTAS(RESUMEN GLOBAL)'!E2974</f>
        <v>0</v>
      </c>
      <c r="H2974" s="9">
        <f>+'[1]VENTAS(RESUMEN GLOBAL)'!K2974</f>
        <v>0</v>
      </c>
      <c r="I2974" s="8">
        <f>+G2974*'[1]VENTAS(RESUMEN GLOBAL)'!F2974</f>
        <v>0</v>
      </c>
      <c r="J2974" s="8">
        <f>'[1]VENTAS(RESUMEN GLOBAL)'!G2974*(1-'[1]VENTAS(RESUMEN GLOBAL)'!H2974)</f>
        <v>0</v>
      </c>
      <c r="K2974" s="8">
        <f t="shared" si="46"/>
        <v>0</v>
      </c>
      <c r="L2974" s="8">
        <f>+'[1]VENTAS(RESUMEN GLOBAL)'!J2974</f>
        <v>0</v>
      </c>
      <c r="M2974" s="8">
        <f>+Tabla1[[#This Row],[utilidad x dia]]*7</f>
        <v>0</v>
      </c>
    </row>
    <row r="2975" spans="1:13" x14ac:dyDescent="0.3">
      <c r="A2975" s="6">
        <f>+'[1]VENTAS(RESUMEN GLOBAL)'!L2975</f>
        <v>0</v>
      </c>
      <c r="B2975" s="6">
        <f>+'[1]VENTAS(RESUMEN GLOBAL)'!M2975</f>
        <v>0</v>
      </c>
      <c r="C2975">
        <f>+'[1]VENTAS(RESUMEN GLOBAL)'!B2975</f>
        <v>0</v>
      </c>
      <c r="D2975" t="e">
        <f>INDEX('[1]CÓDIGOS DE PRODUCTO'!$D$3:$D$1000,MATCH(C2975,'[1]CÓDIGOS DE PRODUCTO'!$A$3:$A$1000,0))</f>
        <v>#N/A</v>
      </c>
      <c r="E2975">
        <f>VLOOKUP(C2975,'[1]CÓDIGOS DE PRODUCTO'!$A$4:$B$156,2,FALSE)</f>
        <v>0</v>
      </c>
      <c r="F2975">
        <f>INDEX('[1]CÓDIGOS DE PRODUCTO'!$C$3:$C$1000,MATCH(C2975,'[1]CÓDIGOS DE PRODUCTO'!$A$3:$A$1000,0))</f>
        <v>0</v>
      </c>
      <c r="G2975">
        <f>+'[1]VENTAS(RESUMEN GLOBAL)'!D2975-'[1]VENTAS(RESUMEN GLOBAL)'!E2975</f>
        <v>0</v>
      </c>
      <c r="H2975" s="9">
        <f>+'[1]VENTAS(RESUMEN GLOBAL)'!K2975</f>
        <v>0</v>
      </c>
      <c r="I2975" s="8">
        <f>+G2975*'[1]VENTAS(RESUMEN GLOBAL)'!F2975</f>
        <v>0</v>
      </c>
      <c r="J2975" s="8">
        <f>'[1]VENTAS(RESUMEN GLOBAL)'!G2975*(1-'[1]VENTAS(RESUMEN GLOBAL)'!H2975)</f>
        <v>0</v>
      </c>
      <c r="K2975" s="8">
        <f t="shared" si="46"/>
        <v>0</v>
      </c>
      <c r="L2975" s="8">
        <f>+'[1]VENTAS(RESUMEN GLOBAL)'!J2975</f>
        <v>0</v>
      </c>
      <c r="M2975" s="8">
        <f>+Tabla1[[#This Row],[utilidad x dia]]*7</f>
        <v>0</v>
      </c>
    </row>
    <row r="2976" spans="1:13" x14ac:dyDescent="0.3">
      <c r="A2976" s="6">
        <f>+'[1]VENTAS(RESUMEN GLOBAL)'!L2976</f>
        <v>0</v>
      </c>
      <c r="B2976" s="6">
        <f>+'[1]VENTAS(RESUMEN GLOBAL)'!M2976</f>
        <v>0</v>
      </c>
      <c r="C2976">
        <f>+'[1]VENTAS(RESUMEN GLOBAL)'!B2976</f>
        <v>0</v>
      </c>
      <c r="D2976" t="e">
        <f>INDEX('[1]CÓDIGOS DE PRODUCTO'!$D$3:$D$1000,MATCH(C2976,'[1]CÓDIGOS DE PRODUCTO'!$A$3:$A$1000,0))</f>
        <v>#N/A</v>
      </c>
      <c r="E2976">
        <f>VLOOKUP(C2976,'[1]CÓDIGOS DE PRODUCTO'!$A$4:$B$156,2,FALSE)</f>
        <v>0</v>
      </c>
      <c r="F2976">
        <f>INDEX('[1]CÓDIGOS DE PRODUCTO'!$C$3:$C$1000,MATCH(C2976,'[1]CÓDIGOS DE PRODUCTO'!$A$3:$A$1000,0))</f>
        <v>0</v>
      </c>
      <c r="G2976">
        <f>+'[1]VENTAS(RESUMEN GLOBAL)'!D2976-'[1]VENTAS(RESUMEN GLOBAL)'!E2976</f>
        <v>0</v>
      </c>
      <c r="H2976" s="9">
        <f>+'[1]VENTAS(RESUMEN GLOBAL)'!K2976</f>
        <v>0</v>
      </c>
      <c r="I2976" s="8">
        <f>+G2976*'[1]VENTAS(RESUMEN GLOBAL)'!F2976</f>
        <v>0</v>
      </c>
      <c r="J2976" s="8">
        <f>'[1]VENTAS(RESUMEN GLOBAL)'!G2976*(1-'[1]VENTAS(RESUMEN GLOBAL)'!H2976)</f>
        <v>0</v>
      </c>
      <c r="K2976" s="8">
        <f t="shared" si="46"/>
        <v>0</v>
      </c>
      <c r="L2976" s="8">
        <f>+'[1]VENTAS(RESUMEN GLOBAL)'!J2976</f>
        <v>0</v>
      </c>
      <c r="M2976" s="8">
        <f>+Tabla1[[#This Row],[utilidad x dia]]*7</f>
        <v>0</v>
      </c>
    </row>
    <row r="2977" spans="1:13" x14ac:dyDescent="0.3">
      <c r="A2977" s="6">
        <f>+'[1]VENTAS(RESUMEN GLOBAL)'!L2977</f>
        <v>0</v>
      </c>
      <c r="B2977" s="6">
        <f>+'[1]VENTAS(RESUMEN GLOBAL)'!M2977</f>
        <v>0</v>
      </c>
      <c r="C2977">
        <f>+'[1]VENTAS(RESUMEN GLOBAL)'!B2977</f>
        <v>0</v>
      </c>
      <c r="D2977" t="e">
        <f>INDEX('[1]CÓDIGOS DE PRODUCTO'!$D$3:$D$1000,MATCH(C2977,'[1]CÓDIGOS DE PRODUCTO'!$A$3:$A$1000,0))</f>
        <v>#N/A</v>
      </c>
      <c r="E2977">
        <f>VLOOKUP(C2977,'[1]CÓDIGOS DE PRODUCTO'!$A$4:$B$156,2,FALSE)</f>
        <v>0</v>
      </c>
      <c r="F2977">
        <f>INDEX('[1]CÓDIGOS DE PRODUCTO'!$C$3:$C$1000,MATCH(C2977,'[1]CÓDIGOS DE PRODUCTO'!$A$3:$A$1000,0))</f>
        <v>0</v>
      </c>
      <c r="G2977">
        <f>+'[1]VENTAS(RESUMEN GLOBAL)'!D2977-'[1]VENTAS(RESUMEN GLOBAL)'!E2977</f>
        <v>0</v>
      </c>
      <c r="H2977" s="9">
        <f>+'[1]VENTAS(RESUMEN GLOBAL)'!K2977</f>
        <v>0</v>
      </c>
      <c r="I2977" s="8">
        <f>+G2977*'[1]VENTAS(RESUMEN GLOBAL)'!F2977</f>
        <v>0</v>
      </c>
      <c r="J2977" s="8">
        <f>'[1]VENTAS(RESUMEN GLOBAL)'!G2977*(1-'[1]VENTAS(RESUMEN GLOBAL)'!H2977)</f>
        <v>0</v>
      </c>
      <c r="K2977" s="8">
        <f t="shared" si="46"/>
        <v>0</v>
      </c>
      <c r="L2977" s="8">
        <f>+'[1]VENTAS(RESUMEN GLOBAL)'!J2977</f>
        <v>0</v>
      </c>
      <c r="M2977" s="8">
        <f>+Tabla1[[#This Row],[utilidad x dia]]*7</f>
        <v>0</v>
      </c>
    </row>
    <row r="2978" spans="1:13" x14ac:dyDescent="0.3">
      <c r="A2978" s="6">
        <f>+'[1]VENTAS(RESUMEN GLOBAL)'!L2978</f>
        <v>0</v>
      </c>
      <c r="B2978" s="6">
        <f>+'[1]VENTAS(RESUMEN GLOBAL)'!M2978</f>
        <v>0</v>
      </c>
      <c r="C2978">
        <f>+'[1]VENTAS(RESUMEN GLOBAL)'!B2978</f>
        <v>0</v>
      </c>
      <c r="D2978" t="e">
        <f>INDEX('[1]CÓDIGOS DE PRODUCTO'!$D$3:$D$1000,MATCH(C2978,'[1]CÓDIGOS DE PRODUCTO'!$A$3:$A$1000,0))</f>
        <v>#N/A</v>
      </c>
      <c r="E2978">
        <f>VLOOKUP(C2978,'[1]CÓDIGOS DE PRODUCTO'!$A$4:$B$156,2,FALSE)</f>
        <v>0</v>
      </c>
      <c r="F2978">
        <f>INDEX('[1]CÓDIGOS DE PRODUCTO'!$C$3:$C$1000,MATCH(C2978,'[1]CÓDIGOS DE PRODUCTO'!$A$3:$A$1000,0))</f>
        <v>0</v>
      </c>
      <c r="G2978">
        <f>+'[1]VENTAS(RESUMEN GLOBAL)'!D2978-'[1]VENTAS(RESUMEN GLOBAL)'!E2978</f>
        <v>0</v>
      </c>
      <c r="H2978" s="9">
        <f>+'[1]VENTAS(RESUMEN GLOBAL)'!K2978</f>
        <v>0</v>
      </c>
      <c r="I2978" s="8">
        <f>+G2978*'[1]VENTAS(RESUMEN GLOBAL)'!F2978</f>
        <v>0</v>
      </c>
      <c r="J2978" s="8">
        <f>'[1]VENTAS(RESUMEN GLOBAL)'!G2978*(1-'[1]VENTAS(RESUMEN GLOBAL)'!H2978)</f>
        <v>0</v>
      </c>
      <c r="K2978" s="8">
        <f t="shared" si="46"/>
        <v>0</v>
      </c>
      <c r="L2978" s="8">
        <f>+'[1]VENTAS(RESUMEN GLOBAL)'!J2978</f>
        <v>0</v>
      </c>
      <c r="M2978" s="8">
        <f>+Tabla1[[#This Row],[utilidad x dia]]*7</f>
        <v>0</v>
      </c>
    </row>
    <row r="2979" spans="1:13" x14ac:dyDescent="0.3">
      <c r="A2979" s="6">
        <f>+'[1]VENTAS(RESUMEN GLOBAL)'!L2979</f>
        <v>0</v>
      </c>
      <c r="B2979" s="6">
        <f>+'[1]VENTAS(RESUMEN GLOBAL)'!M2979</f>
        <v>0</v>
      </c>
      <c r="C2979">
        <f>+'[1]VENTAS(RESUMEN GLOBAL)'!B2979</f>
        <v>0</v>
      </c>
      <c r="D2979" t="e">
        <f>INDEX('[1]CÓDIGOS DE PRODUCTO'!$D$3:$D$1000,MATCH(C2979,'[1]CÓDIGOS DE PRODUCTO'!$A$3:$A$1000,0))</f>
        <v>#N/A</v>
      </c>
      <c r="E2979">
        <f>VLOOKUP(C2979,'[1]CÓDIGOS DE PRODUCTO'!$A$4:$B$156,2,FALSE)</f>
        <v>0</v>
      </c>
      <c r="F2979">
        <f>INDEX('[1]CÓDIGOS DE PRODUCTO'!$C$3:$C$1000,MATCH(C2979,'[1]CÓDIGOS DE PRODUCTO'!$A$3:$A$1000,0))</f>
        <v>0</v>
      </c>
      <c r="G2979">
        <f>+'[1]VENTAS(RESUMEN GLOBAL)'!D2979-'[1]VENTAS(RESUMEN GLOBAL)'!E2979</f>
        <v>0</v>
      </c>
      <c r="H2979" s="9">
        <f>+'[1]VENTAS(RESUMEN GLOBAL)'!K2979</f>
        <v>0</v>
      </c>
      <c r="I2979" s="8">
        <f>+G2979*'[1]VENTAS(RESUMEN GLOBAL)'!F2979</f>
        <v>0</v>
      </c>
      <c r="J2979" s="8">
        <f>'[1]VENTAS(RESUMEN GLOBAL)'!G2979*(1-'[1]VENTAS(RESUMEN GLOBAL)'!H2979)</f>
        <v>0</v>
      </c>
      <c r="K2979" s="8">
        <f t="shared" si="46"/>
        <v>0</v>
      </c>
      <c r="L2979" s="8">
        <f>+'[1]VENTAS(RESUMEN GLOBAL)'!J2979</f>
        <v>0</v>
      </c>
      <c r="M2979" s="8">
        <f>+Tabla1[[#This Row],[utilidad x dia]]*7</f>
        <v>0</v>
      </c>
    </row>
    <row r="2980" spans="1:13" x14ac:dyDescent="0.3">
      <c r="A2980" s="6">
        <f>+'[1]VENTAS(RESUMEN GLOBAL)'!L2980</f>
        <v>0</v>
      </c>
      <c r="B2980" s="6">
        <f>+'[1]VENTAS(RESUMEN GLOBAL)'!M2980</f>
        <v>0</v>
      </c>
      <c r="C2980">
        <f>+'[1]VENTAS(RESUMEN GLOBAL)'!B2980</f>
        <v>0</v>
      </c>
      <c r="D2980" t="e">
        <f>INDEX('[1]CÓDIGOS DE PRODUCTO'!$D$3:$D$1000,MATCH(C2980,'[1]CÓDIGOS DE PRODUCTO'!$A$3:$A$1000,0))</f>
        <v>#N/A</v>
      </c>
      <c r="E2980">
        <f>VLOOKUP(C2980,'[1]CÓDIGOS DE PRODUCTO'!$A$4:$B$156,2,FALSE)</f>
        <v>0</v>
      </c>
      <c r="F2980">
        <f>INDEX('[1]CÓDIGOS DE PRODUCTO'!$C$3:$C$1000,MATCH(C2980,'[1]CÓDIGOS DE PRODUCTO'!$A$3:$A$1000,0))</f>
        <v>0</v>
      </c>
      <c r="G2980">
        <f>+'[1]VENTAS(RESUMEN GLOBAL)'!D2980-'[1]VENTAS(RESUMEN GLOBAL)'!E2980</f>
        <v>0</v>
      </c>
      <c r="H2980" s="9">
        <f>+'[1]VENTAS(RESUMEN GLOBAL)'!K2980</f>
        <v>0</v>
      </c>
      <c r="I2980" s="8">
        <f>+G2980*'[1]VENTAS(RESUMEN GLOBAL)'!F2980</f>
        <v>0</v>
      </c>
      <c r="J2980" s="8">
        <f>'[1]VENTAS(RESUMEN GLOBAL)'!G2980*(1-'[1]VENTAS(RESUMEN GLOBAL)'!H2980)</f>
        <v>0</v>
      </c>
      <c r="K2980" s="8">
        <f t="shared" si="46"/>
        <v>0</v>
      </c>
      <c r="L2980" s="8">
        <f>+'[1]VENTAS(RESUMEN GLOBAL)'!J2980</f>
        <v>0</v>
      </c>
      <c r="M2980" s="8">
        <f>+Tabla1[[#This Row],[utilidad x dia]]*7</f>
        <v>0</v>
      </c>
    </row>
    <row r="2981" spans="1:13" x14ac:dyDescent="0.3">
      <c r="A2981" s="6">
        <f>+'[1]VENTAS(RESUMEN GLOBAL)'!L2981</f>
        <v>0</v>
      </c>
      <c r="B2981" s="6">
        <f>+'[1]VENTAS(RESUMEN GLOBAL)'!M2981</f>
        <v>0</v>
      </c>
      <c r="C2981">
        <f>+'[1]VENTAS(RESUMEN GLOBAL)'!B2981</f>
        <v>0</v>
      </c>
      <c r="D2981" t="e">
        <f>INDEX('[1]CÓDIGOS DE PRODUCTO'!$D$3:$D$1000,MATCH(C2981,'[1]CÓDIGOS DE PRODUCTO'!$A$3:$A$1000,0))</f>
        <v>#N/A</v>
      </c>
      <c r="E2981">
        <f>VLOOKUP(C2981,'[1]CÓDIGOS DE PRODUCTO'!$A$4:$B$156,2,FALSE)</f>
        <v>0</v>
      </c>
      <c r="F2981">
        <f>INDEX('[1]CÓDIGOS DE PRODUCTO'!$C$3:$C$1000,MATCH(C2981,'[1]CÓDIGOS DE PRODUCTO'!$A$3:$A$1000,0))</f>
        <v>0</v>
      </c>
      <c r="G2981">
        <f>+'[1]VENTAS(RESUMEN GLOBAL)'!D2981-'[1]VENTAS(RESUMEN GLOBAL)'!E2981</f>
        <v>0</v>
      </c>
      <c r="H2981" s="9">
        <f>+'[1]VENTAS(RESUMEN GLOBAL)'!K2981</f>
        <v>0</v>
      </c>
      <c r="I2981" s="8">
        <f>+G2981*'[1]VENTAS(RESUMEN GLOBAL)'!F2981</f>
        <v>0</v>
      </c>
      <c r="J2981" s="8">
        <f>'[1]VENTAS(RESUMEN GLOBAL)'!G2981*(1-'[1]VENTAS(RESUMEN GLOBAL)'!H2981)</f>
        <v>0</v>
      </c>
      <c r="K2981" s="8">
        <f t="shared" si="46"/>
        <v>0</v>
      </c>
      <c r="L2981" s="8">
        <f>+'[1]VENTAS(RESUMEN GLOBAL)'!J2981</f>
        <v>0</v>
      </c>
      <c r="M2981" s="8">
        <f>+Tabla1[[#This Row],[utilidad x dia]]*7</f>
        <v>0</v>
      </c>
    </row>
    <row r="2982" spans="1:13" x14ac:dyDescent="0.3">
      <c r="A2982" s="6">
        <f>+'[1]VENTAS(RESUMEN GLOBAL)'!L2982</f>
        <v>0</v>
      </c>
      <c r="B2982" s="6">
        <f>+'[1]VENTAS(RESUMEN GLOBAL)'!M2982</f>
        <v>0</v>
      </c>
      <c r="C2982">
        <f>+'[1]VENTAS(RESUMEN GLOBAL)'!B2982</f>
        <v>0</v>
      </c>
      <c r="D2982" t="e">
        <f>INDEX('[1]CÓDIGOS DE PRODUCTO'!$D$3:$D$1000,MATCH(C2982,'[1]CÓDIGOS DE PRODUCTO'!$A$3:$A$1000,0))</f>
        <v>#N/A</v>
      </c>
      <c r="E2982">
        <f>VLOOKUP(C2982,'[1]CÓDIGOS DE PRODUCTO'!$A$4:$B$156,2,FALSE)</f>
        <v>0</v>
      </c>
      <c r="F2982">
        <f>INDEX('[1]CÓDIGOS DE PRODUCTO'!$C$3:$C$1000,MATCH(C2982,'[1]CÓDIGOS DE PRODUCTO'!$A$3:$A$1000,0))</f>
        <v>0</v>
      </c>
      <c r="G2982">
        <f>+'[1]VENTAS(RESUMEN GLOBAL)'!D2982-'[1]VENTAS(RESUMEN GLOBAL)'!E2982</f>
        <v>0</v>
      </c>
      <c r="H2982" s="9">
        <f>+'[1]VENTAS(RESUMEN GLOBAL)'!K2982</f>
        <v>0</v>
      </c>
      <c r="I2982" s="8">
        <f>+G2982*'[1]VENTAS(RESUMEN GLOBAL)'!F2982</f>
        <v>0</v>
      </c>
      <c r="J2982" s="8">
        <f>'[1]VENTAS(RESUMEN GLOBAL)'!G2982*(1-'[1]VENTAS(RESUMEN GLOBAL)'!H2982)</f>
        <v>0</v>
      </c>
      <c r="K2982" s="8">
        <f t="shared" si="46"/>
        <v>0</v>
      </c>
      <c r="L2982" s="8">
        <f>+'[1]VENTAS(RESUMEN GLOBAL)'!J2982</f>
        <v>0</v>
      </c>
      <c r="M2982" s="8">
        <f>+Tabla1[[#This Row],[utilidad x dia]]*7</f>
        <v>0</v>
      </c>
    </row>
    <row r="2983" spans="1:13" x14ac:dyDescent="0.3">
      <c r="A2983" s="6">
        <f>+'[1]VENTAS(RESUMEN GLOBAL)'!L2983</f>
        <v>0</v>
      </c>
      <c r="B2983" s="6">
        <f>+'[1]VENTAS(RESUMEN GLOBAL)'!M2983</f>
        <v>0</v>
      </c>
      <c r="C2983">
        <f>+'[1]VENTAS(RESUMEN GLOBAL)'!B2983</f>
        <v>0</v>
      </c>
      <c r="D2983" t="e">
        <f>INDEX('[1]CÓDIGOS DE PRODUCTO'!$D$3:$D$1000,MATCH(C2983,'[1]CÓDIGOS DE PRODUCTO'!$A$3:$A$1000,0))</f>
        <v>#N/A</v>
      </c>
      <c r="E2983">
        <f>VLOOKUP(C2983,'[1]CÓDIGOS DE PRODUCTO'!$A$4:$B$156,2,FALSE)</f>
        <v>0</v>
      </c>
      <c r="F2983">
        <f>INDEX('[1]CÓDIGOS DE PRODUCTO'!$C$3:$C$1000,MATCH(C2983,'[1]CÓDIGOS DE PRODUCTO'!$A$3:$A$1000,0))</f>
        <v>0</v>
      </c>
      <c r="G2983">
        <f>+'[1]VENTAS(RESUMEN GLOBAL)'!D2983-'[1]VENTAS(RESUMEN GLOBAL)'!E2983</f>
        <v>0</v>
      </c>
      <c r="H2983" s="9">
        <f>+'[1]VENTAS(RESUMEN GLOBAL)'!K2983</f>
        <v>0</v>
      </c>
      <c r="I2983" s="8">
        <f>+G2983*'[1]VENTAS(RESUMEN GLOBAL)'!F2983</f>
        <v>0</v>
      </c>
      <c r="J2983" s="8">
        <f>'[1]VENTAS(RESUMEN GLOBAL)'!G2983*(1-'[1]VENTAS(RESUMEN GLOBAL)'!H2983)</f>
        <v>0</v>
      </c>
      <c r="K2983" s="8">
        <f t="shared" si="46"/>
        <v>0</v>
      </c>
      <c r="L2983" s="8">
        <f>+'[1]VENTAS(RESUMEN GLOBAL)'!J2983</f>
        <v>0</v>
      </c>
      <c r="M2983" s="8">
        <f>+Tabla1[[#This Row],[utilidad x dia]]*7</f>
        <v>0</v>
      </c>
    </row>
    <row r="2984" spans="1:13" x14ac:dyDescent="0.3">
      <c r="A2984" s="6">
        <f>+'[1]VENTAS(RESUMEN GLOBAL)'!L2984</f>
        <v>0</v>
      </c>
      <c r="B2984" s="6">
        <f>+'[1]VENTAS(RESUMEN GLOBAL)'!M2984</f>
        <v>0</v>
      </c>
      <c r="C2984">
        <f>+'[1]VENTAS(RESUMEN GLOBAL)'!B2984</f>
        <v>0</v>
      </c>
      <c r="D2984" t="e">
        <f>INDEX('[1]CÓDIGOS DE PRODUCTO'!$D$3:$D$1000,MATCH(C2984,'[1]CÓDIGOS DE PRODUCTO'!$A$3:$A$1000,0))</f>
        <v>#N/A</v>
      </c>
      <c r="E2984">
        <f>VLOOKUP(C2984,'[1]CÓDIGOS DE PRODUCTO'!$A$4:$B$156,2,FALSE)</f>
        <v>0</v>
      </c>
      <c r="F2984">
        <f>INDEX('[1]CÓDIGOS DE PRODUCTO'!$C$3:$C$1000,MATCH(C2984,'[1]CÓDIGOS DE PRODUCTO'!$A$3:$A$1000,0))</f>
        <v>0</v>
      </c>
      <c r="G2984">
        <f>+'[1]VENTAS(RESUMEN GLOBAL)'!D2984-'[1]VENTAS(RESUMEN GLOBAL)'!E2984</f>
        <v>0</v>
      </c>
      <c r="H2984" s="9">
        <f>+'[1]VENTAS(RESUMEN GLOBAL)'!K2984</f>
        <v>0</v>
      </c>
      <c r="I2984" s="8">
        <f>+G2984*'[1]VENTAS(RESUMEN GLOBAL)'!F2984</f>
        <v>0</v>
      </c>
      <c r="J2984" s="8">
        <f>'[1]VENTAS(RESUMEN GLOBAL)'!G2984*(1-'[1]VENTAS(RESUMEN GLOBAL)'!H2984)</f>
        <v>0</v>
      </c>
      <c r="K2984" s="8">
        <f t="shared" si="46"/>
        <v>0</v>
      </c>
      <c r="L2984" s="8">
        <f>+'[1]VENTAS(RESUMEN GLOBAL)'!J2984</f>
        <v>0</v>
      </c>
      <c r="M2984" s="8">
        <f>+Tabla1[[#This Row],[utilidad x dia]]*7</f>
        <v>0</v>
      </c>
    </row>
    <row r="2985" spans="1:13" x14ac:dyDescent="0.3">
      <c r="A2985" s="6">
        <f>+'[1]VENTAS(RESUMEN GLOBAL)'!L2985</f>
        <v>0</v>
      </c>
      <c r="B2985" s="6">
        <f>+'[1]VENTAS(RESUMEN GLOBAL)'!M2985</f>
        <v>0</v>
      </c>
      <c r="C2985">
        <f>+'[1]VENTAS(RESUMEN GLOBAL)'!B2985</f>
        <v>0</v>
      </c>
      <c r="D2985" t="e">
        <f>INDEX('[1]CÓDIGOS DE PRODUCTO'!$D$3:$D$1000,MATCH(C2985,'[1]CÓDIGOS DE PRODUCTO'!$A$3:$A$1000,0))</f>
        <v>#N/A</v>
      </c>
      <c r="E2985">
        <f>VLOOKUP(C2985,'[1]CÓDIGOS DE PRODUCTO'!$A$4:$B$156,2,FALSE)</f>
        <v>0</v>
      </c>
      <c r="F2985">
        <f>INDEX('[1]CÓDIGOS DE PRODUCTO'!$C$3:$C$1000,MATCH(C2985,'[1]CÓDIGOS DE PRODUCTO'!$A$3:$A$1000,0))</f>
        <v>0</v>
      </c>
      <c r="G2985">
        <f>+'[1]VENTAS(RESUMEN GLOBAL)'!D2985-'[1]VENTAS(RESUMEN GLOBAL)'!E2985</f>
        <v>0</v>
      </c>
      <c r="H2985" s="9">
        <f>+'[1]VENTAS(RESUMEN GLOBAL)'!K2985</f>
        <v>0</v>
      </c>
      <c r="I2985" s="8">
        <f>+G2985*'[1]VENTAS(RESUMEN GLOBAL)'!F2985</f>
        <v>0</v>
      </c>
      <c r="J2985" s="8">
        <f>'[1]VENTAS(RESUMEN GLOBAL)'!G2985*(1-'[1]VENTAS(RESUMEN GLOBAL)'!H2985)</f>
        <v>0</v>
      </c>
      <c r="K2985" s="8">
        <f t="shared" si="46"/>
        <v>0</v>
      </c>
      <c r="L2985" s="8">
        <f>+'[1]VENTAS(RESUMEN GLOBAL)'!J2985</f>
        <v>0</v>
      </c>
      <c r="M2985" s="8">
        <f>+Tabla1[[#This Row],[utilidad x dia]]*7</f>
        <v>0</v>
      </c>
    </row>
    <row r="2986" spans="1:13" x14ac:dyDescent="0.3">
      <c r="A2986" s="6">
        <f>+'[1]VENTAS(RESUMEN GLOBAL)'!L2986</f>
        <v>0</v>
      </c>
      <c r="B2986" s="6">
        <f>+'[1]VENTAS(RESUMEN GLOBAL)'!M2986</f>
        <v>0</v>
      </c>
      <c r="C2986">
        <f>+'[1]VENTAS(RESUMEN GLOBAL)'!B2986</f>
        <v>0</v>
      </c>
      <c r="D2986" t="e">
        <f>INDEX('[1]CÓDIGOS DE PRODUCTO'!$D$3:$D$1000,MATCH(C2986,'[1]CÓDIGOS DE PRODUCTO'!$A$3:$A$1000,0))</f>
        <v>#N/A</v>
      </c>
      <c r="E2986">
        <f>VLOOKUP(C2986,'[1]CÓDIGOS DE PRODUCTO'!$A$4:$B$156,2,FALSE)</f>
        <v>0</v>
      </c>
      <c r="F2986">
        <f>INDEX('[1]CÓDIGOS DE PRODUCTO'!$C$3:$C$1000,MATCH(C2986,'[1]CÓDIGOS DE PRODUCTO'!$A$3:$A$1000,0))</f>
        <v>0</v>
      </c>
      <c r="G2986">
        <f>+'[1]VENTAS(RESUMEN GLOBAL)'!D2986-'[1]VENTAS(RESUMEN GLOBAL)'!E2986</f>
        <v>0</v>
      </c>
      <c r="H2986" s="9">
        <f>+'[1]VENTAS(RESUMEN GLOBAL)'!K2986</f>
        <v>0</v>
      </c>
      <c r="I2986" s="8">
        <f>+G2986*'[1]VENTAS(RESUMEN GLOBAL)'!F2986</f>
        <v>0</v>
      </c>
      <c r="J2986" s="8">
        <f>'[1]VENTAS(RESUMEN GLOBAL)'!G2986*(1-'[1]VENTAS(RESUMEN GLOBAL)'!H2986)</f>
        <v>0</v>
      </c>
      <c r="K2986" s="8">
        <f t="shared" si="46"/>
        <v>0</v>
      </c>
      <c r="L2986" s="8">
        <f>+'[1]VENTAS(RESUMEN GLOBAL)'!J2986</f>
        <v>0</v>
      </c>
      <c r="M2986" s="8">
        <f>+Tabla1[[#This Row],[utilidad x dia]]*7</f>
        <v>0</v>
      </c>
    </row>
    <row r="2987" spans="1:13" x14ac:dyDescent="0.3">
      <c r="A2987" s="6">
        <f>+'[1]VENTAS(RESUMEN GLOBAL)'!L2987</f>
        <v>0</v>
      </c>
      <c r="B2987" s="6">
        <f>+'[1]VENTAS(RESUMEN GLOBAL)'!M2987</f>
        <v>0</v>
      </c>
      <c r="C2987">
        <f>+'[1]VENTAS(RESUMEN GLOBAL)'!B2987</f>
        <v>0</v>
      </c>
      <c r="D2987" t="e">
        <f>INDEX('[1]CÓDIGOS DE PRODUCTO'!$D$3:$D$1000,MATCH(C2987,'[1]CÓDIGOS DE PRODUCTO'!$A$3:$A$1000,0))</f>
        <v>#N/A</v>
      </c>
      <c r="E2987">
        <f>VLOOKUP(C2987,'[1]CÓDIGOS DE PRODUCTO'!$A$4:$B$156,2,FALSE)</f>
        <v>0</v>
      </c>
      <c r="F2987">
        <f>INDEX('[1]CÓDIGOS DE PRODUCTO'!$C$3:$C$1000,MATCH(C2987,'[1]CÓDIGOS DE PRODUCTO'!$A$3:$A$1000,0))</f>
        <v>0</v>
      </c>
      <c r="G2987">
        <f>+'[1]VENTAS(RESUMEN GLOBAL)'!D2987-'[1]VENTAS(RESUMEN GLOBAL)'!E2987</f>
        <v>0</v>
      </c>
      <c r="H2987" s="9">
        <f>+'[1]VENTAS(RESUMEN GLOBAL)'!K2987</f>
        <v>0</v>
      </c>
      <c r="I2987" s="8">
        <f>+G2987*'[1]VENTAS(RESUMEN GLOBAL)'!F2987</f>
        <v>0</v>
      </c>
      <c r="J2987" s="8">
        <f>'[1]VENTAS(RESUMEN GLOBAL)'!G2987*(1-'[1]VENTAS(RESUMEN GLOBAL)'!H2987)</f>
        <v>0</v>
      </c>
      <c r="K2987" s="8">
        <f t="shared" si="46"/>
        <v>0</v>
      </c>
      <c r="L2987" s="8">
        <f>+'[1]VENTAS(RESUMEN GLOBAL)'!J2987</f>
        <v>0</v>
      </c>
      <c r="M2987" s="8">
        <f>+Tabla1[[#This Row],[utilidad x dia]]*7</f>
        <v>0</v>
      </c>
    </row>
    <row r="2988" spans="1:13" x14ac:dyDescent="0.3">
      <c r="A2988" s="6">
        <f>+'[1]VENTAS(RESUMEN GLOBAL)'!L2988</f>
        <v>0</v>
      </c>
      <c r="B2988" s="6">
        <f>+'[1]VENTAS(RESUMEN GLOBAL)'!M2988</f>
        <v>0</v>
      </c>
      <c r="C2988">
        <f>+'[1]VENTAS(RESUMEN GLOBAL)'!B2988</f>
        <v>0</v>
      </c>
      <c r="D2988" t="e">
        <f>INDEX('[1]CÓDIGOS DE PRODUCTO'!$D$3:$D$1000,MATCH(C2988,'[1]CÓDIGOS DE PRODUCTO'!$A$3:$A$1000,0))</f>
        <v>#N/A</v>
      </c>
      <c r="E2988">
        <f>VLOOKUP(C2988,'[1]CÓDIGOS DE PRODUCTO'!$A$4:$B$156,2,FALSE)</f>
        <v>0</v>
      </c>
      <c r="F2988">
        <f>INDEX('[1]CÓDIGOS DE PRODUCTO'!$C$3:$C$1000,MATCH(C2988,'[1]CÓDIGOS DE PRODUCTO'!$A$3:$A$1000,0))</f>
        <v>0</v>
      </c>
      <c r="G2988">
        <f>+'[1]VENTAS(RESUMEN GLOBAL)'!D2988-'[1]VENTAS(RESUMEN GLOBAL)'!E2988</f>
        <v>0</v>
      </c>
      <c r="H2988" s="9">
        <f>+'[1]VENTAS(RESUMEN GLOBAL)'!K2988</f>
        <v>0</v>
      </c>
      <c r="I2988" s="8">
        <f>+G2988*'[1]VENTAS(RESUMEN GLOBAL)'!F2988</f>
        <v>0</v>
      </c>
      <c r="J2988" s="8">
        <f>'[1]VENTAS(RESUMEN GLOBAL)'!G2988*(1-'[1]VENTAS(RESUMEN GLOBAL)'!H2988)</f>
        <v>0</v>
      </c>
      <c r="K2988" s="8">
        <f t="shared" si="46"/>
        <v>0</v>
      </c>
      <c r="L2988" s="8">
        <f>+'[1]VENTAS(RESUMEN GLOBAL)'!J2988</f>
        <v>0</v>
      </c>
      <c r="M2988" s="8">
        <f>+Tabla1[[#This Row],[utilidad x dia]]*7</f>
        <v>0</v>
      </c>
    </row>
    <row r="2989" spans="1:13" x14ac:dyDescent="0.3">
      <c r="A2989" s="6">
        <f>+'[1]VENTAS(RESUMEN GLOBAL)'!L2989</f>
        <v>0</v>
      </c>
      <c r="B2989" s="6">
        <f>+'[1]VENTAS(RESUMEN GLOBAL)'!M2989</f>
        <v>0</v>
      </c>
      <c r="C2989">
        <f>+'[1]VENTAS(RESUMEN GLOBAL)'!B2989</f>
        <v>0</v>
      </c>
      <c r="D2989" t="e">
        <f>INDEX('[1]CÓDIGOS DE PRODUCTO'!$D$3:$D$1000,MATCH(C2989,'[1]CÓDIGOS DE PRODUCTO'!$A$3:$A$1000,0))</f>
        <v>#N/A</v>
      </c>
      <c r="E2989">
        <f>VLOOKUP(C2989,'[1]CÓDIGOS DE PRODUCTO'!$A$4:$B$156,2,FALSE)</f>
        <v>0</v>
      </c>
      <c r="F2989">
        <f>INDEX('[1]CÓDIGOS DE PRODUCTO'!$C$3:$C$1000,MATCH(C2989,'[1]CÓDIGOS DE PRODUCTO'!$A$3:$A$1000,0))</f>
        <v>0</v>
      </c>
      <c r="G2989">
        <f>+'[1]VENTAS(RESUMEN GLOBAL)'!D2989-'[1]VENTAS(RESUMEN GLOBAL)'!E2989</f>
        <v>0</v>
      </c>
      <c r="H2989" s="9">
        <f>+'[1]VENTAS(RESUMEN GLOBAL)'!K2989</f>
        <v>0</v>
      </c>
      <c r="I2989" s="8">
        <f>+G2989*'[1]VENTAS(RESUMEN GLOBAL)'!F2989</f>
        <v>0</v>
      </c>
      <c r="J2989" s="8">
        <f>'[1]VENTAS(RESUMEN GLOBAL)'!G2989*(1-'[1]VENTAS(RESUMEN GLOBAL)'!H2989)</f>
        <v>0</v>
      </c>
      <c r="K2989" s="8">
        <f t="shared" si="46"/>
        <v>0</v>
      </c>
      <c r="L2989" s="8">
        <f>+'[1]VENTAS(RESUMEN GLOBAL)'!J2989</f>
        <v>0</v>
      </c>
      <c r="M2989" s="8">
        <f>+Tabla1[[#This Row],[utilidad x dia]]*7</f>
        <v>0</v>
      </c>
    </row>
    <row r="2990" spans="1:13" x14ac:dyDescent="0.3">
      <c r="A2990" s="6">
        <f>+'[1]VENTAS(RESUMEN GLOBAL)'!L2990</f>
        <v>0</v>
      </c>
      <c r="B2990" s="6">
        <f>+'[1]VENTAS(RESUMEN GLOBAL)'!M2990</f>
        <v>0</v>
      </c>
      <c r="C2990">
        <f>+'[1]VENTAS(RESUMEN GLOBAL)'!B2990</f>
        <v>0</v>
      </c>
      <c r="D2990" t="e">
        <f>INDEX('[1]CÓDIGOS DE PRODUCTO'!$D$3:$D$1000,MATCH(C2990,'[1]CÓDIGOS DE PRODUCTO'!$A$3:$A$1000,0))</f>
        <v>#N/A</v>
      </c>
      <c r="E2990">
        <f>VLOOKUP(C2990,'[1]CÓDIGOS DE PRODUCTO'!$A$4:$B$156,2,FALSE)</f>
        <v>0</v>
      </c>
      <c r="F2990">
        <f>INDEX('[1]CÓDIGOS DE PRODUCTO'!$C$3:$C$1000,MATCH(C2990,'[1]CÓDIGOS DE PRODUCTO'!$A$3:$A$1000,0))</f>
        <v>0</v>
      </c>
      <c r="G2990">
        <f>+'[1]VENTAS(RESUMEN GLOBAL)'!D2990-'[1]VENTAS(RESUMEN GLOBAL)'!E2990</f>
        <v>0</v>
      </c>
      <c r="H2990" s="9">
        <f>+'[1]VENTAS(RESUMEN GLOBAL)'!K2990</f>
        <v>0</v>
      </c>
      <c r="I2990" s="8">
        <f>+G2990*'[1]VENTAS(RESUMEN GLOBAL)'!F2990</f>
        <v>0</v>
      </c>
      <c r="J2990" s="8">
        <f>'[1]VENTAS(RESUMEN GLOBAL)'!G2990*(1-'[1]VENTAS(RESUMEN GLOBAL)'!H2990)</f>
        <v>0</v>
      </c>
      <c r="K2990" s="8">
        <f t="shared" si="46"/>
        <v>0</v>
      </c>
      <c r="L2990" s="8">
        <f>+'[1]VENTAS(RESUMEN GLOBAL)'!J2990</f>
        <v>0</v>
      </c>
      <c r="M2990" s="8">
        <f>+Tabla1[[#This Row],[utilidad x dia]]*7</f>
        <v>0</v>
      </c>
    </row>
    <row r="2991" spans="1:13" x14ac:dyDescent="0.3">
      <c r="A2991" s="6">
        <f>+'[1]VENTAS(RESUMEN GLOBAL)'!L2991</f>
        <v>0</v>
      </c>
      <c r="B2991" s="6">
        <f>+'[1]VENTAS(RESUMEN GLOBAL)'!M2991</f>
        <v>0</v>
      </c>
      <c r="C2991">
        <f>+'[1]VENTAS(RESUMEN GLOBAL)'!B2991</f>
        <v>0</v>
      </c>
      <c r="D2991" t="e">
        <f>INDEX('[1]CÓDIGOS DE PRODUCTO'!$D$3:$D$1000,MATCH(C2991,'[1]CÓDIGOS DE PRODUCTO'!$A$3:$A$1000,0))</f>
        <v>#N/A</v>
      </c>
      <c r="E2991">
        <f>VLOOKUP(C2991,'[1]CÓDIGOS DE PRODUCTO'!$A$4:$B$156,2,FALSE)</f>
        <v>0</v>
      </c>
      <c r="F2991">
        <f>INDEX('[1]CÓDIGOS DE PRODUCTO'!$C$3:$C$1000,MATCH(C2991,'[1]CÓDIGOS DE PRODUCTO'!$A$3:$A$1000,0))</f>
        <v>0</v>
      </c>
      <c r="G2991">
        <f>+'[1]VENTAS(RESUMEN GLOBAL)'!D2991-'[1]VENTAS(RESUMEN GLOBAL)'!E2991</f>
        <v>0</v>
      </c>
      <c r="H2991" s="9">
        <f>+'[1]VENTAS(RESUMEN GLOBAL)'!K2991</f>
        <v>0</v>
      </c>
      <c r="I2991" s="8">
        <f>+G2991*'[1]VENTAS(RESUMEN GLOBAL)'!F2991</f>
        <v>0</v>
      </c>
      <c r="J2991" s="8">
        <f>'[1]VENTAS(RESUMEN GLOBAL)'!G2991*(1-'[1]VENTAS(RESUMEN GLOBAL)'!H2991)</f>
        <v>0</v>
      </c>
      <c r="K2991" s="8">
        <f t="shared" si="46"/>
        <v>0</v>
      </c>
      <c r="L2991" s="8">
        <f>+'[1]VENTAS(RESUMEN GLOBAL)'!J2991</f>
        <v>0</v>
      </c>
      <c r="M2991" s="8">
        <f>+Tabla1[[#This Row],[utilidad x dia]]*7</f>
        <v>0</v>
      </c>
    </row>
    <row r="2992" spans="1:13" x14ac:dyDescent="0.3">
      <c r="A2992" s="6">
        <f>+'[1]VENTAS(RESUMEN GLOBAL)'!L2992</f>
        <v>0</v>
      </c>
      <c r="B2992" s="6">
        <f>+'[1]VENTAS(RESUMEN GLOBAL)'!M2992</f>
        <v>0</v>
      </c>
      <c r="C2992">
        <f>+'[1]VENTAS(RESUMEN GLOBAL)'!B2992</f>
        <v>0</v>
      </c>
      <c r="D2992" t="e">
        <f>INDEX('[1]CÓDIGOS DE PRODUCTO'!$D$3:$D$1000,MATCH(C2992,'[1]CÓDIGOS DE PRODUCTO'!$A$3:$A$1000,0))</f>
        <v>#N/A</v>
      </c>
      <c r="E2992">
        <f>VLOOKUP(C2992,'[1]CÓDIGOS DE PRODUCTO'!$A$4:$B$156,2,FALSE)</f>
        <v>0</v>
      </c>
      <c r="F2992">
        <f>INDEX('[1]CÓDIGOS DE PRODUCTO'!$C$3:$C$1000,MATCH(C2992,'[1]CÓDIGOS DE PRODUCTO'!$A$3:$A$1000,0))</f>
        <v>0</v>
      </c>
      <c r="G2992">
        <f>+'[1]VENTAS(RESUMEN GLOBAL)'!D2992-'[1]VENTAS(RESUMEN GLOBAL)'!E2992</f>
        <v>0</v>
      </c>
      <c r="H2992" s="9">
        <f>+'[1]VENTAS(RESUMEN GLOBAL)'!K2992</f>
        <v>0</v>
      </c>
      <c r="I2992" s="8">
        <f>+G2992*'[1]VENTAS(RESUMEN GLOBAL)'!F2992</f>
        <v>0</v>
      </c>
      <c r="J2992" s="8">
        <f>'[1]VENTAS(RESUMEN GLOBAL)'!G2992*(1-'[1]VENTAS(RESUMEN GLOBAL)'!H2992)</f>
        <v>0</v>
      </c>
      <c r="K2992" s="8">
        <f t="shared" si="46"/>
        <v>0</v>
      </c>
      <c r="L2992" s="8">
        <f>+'[1]VENTAS(RESUMEN GLOBAL)'!J2992</f>
        <v>0</v>
      </c>
      <c r="M2992" s="8">
        <f>+Tabla1[[#This Row],[utilidad x dia]]*7</f>
        <v>0</v>
      </c>
    </row>
    <row r="2993" spans="1:13" x14ac:dyDescent="0.3">
      <c r="A2993" s="6">
        <f>+'[1]VENTAS(RESUMEN GLOBAL)'!L2993</f>
        <v>0</v>
      </c>
      <c r="B2993" s="6">
        <f>+'[1]VENTAS(RESUMEN GLOBAL)'!M2993</f>
        <v>0</v>
      </c>
      <c r="C2993">
        <f>+'[1]VENTAS(RESUMEN GLOBAL)'!B2993</f>
        <v>0</v>
      </c>
      <c r="D2993" t="e">
        <f>INDEX('[1]CÓDIGOS DE PRODUCTO'!$D$3:$D$1000,MATCH(C2993,'[1]CÓDIGOS DE PRODUCTO'!$A$3:$A$1000,0))</f>
        <v>#N/A</v>
      </c>
      <c r="E2993">
        <f>VLOOKUP(C2993,'[1]CÓDIGOS DE PRODUCTO'!$A$4:$B$156,2,FALSE)</f>
        <v>0</v>
      </c>
      <c r="F2993">
        <f>INDEX('[1]CÓDIGOS DE PRODUCTO'!$C$3:$C$1000,MATCH(C2993,'[1]CÓDIGOS DE PRODUCTO'!$A$3:$A$1000,0))</f>
        <v>0</v>
      </c>
      <c r="G2993">
        <f>+'[1]VENTAS(RESUMEN GLOBAL)'!D2993-'[1]VENTAS(RESUMEN GLOBAL)'!E2993</f>
        <v>0</v>
      </c>
      <c r="H2993" s="9">
        <f>+'[1]VENTAS(RESUMEN GLOBAL)'!K2993</f>
        <v>0</v>
      </c>
      <c r="I2993" s="8">
        <f>+G2993*'[1]VENTAS(RESUMEN GLOBAL)'!F2993</f>
        <v>0</v>
      </c>
      <c r="J2993" s="8">
        <f>'[1]VENTAS(RESUMEN GLOBAL)'!G2993*(1-'[1]VENTAS(RESUMEN GLOBAL)'!H2993)</f>
        <v>0</v>
      </c>
      <c r="K2993" s="8">
        <f t="shared" si="46"/>
        <v>0</v>
      </c>
      <c r="L2993" s="8">
        <f>+'[1]VENTAS(RESUMEN GLOBAL)'!J2993</f>
        <v>0</v>
      </c>
      <c r="M2993" s="8">
        <f>+Tabla1[[#This Row],[utilidad x dia]]*7</f>
        <v>0</v>
      </c>
    </row>
    <row r="2994" spans="1:13" x14ac:dyDescent="0.3">
      <c r="A2994" s="6">
        <f>+'[1]VENTAS(RESUMEN GLOBAL)'!L2994</f>
        <v>0</v>
      </c>
      <c r="B2994" s="6">
        <f>+'[1]VENTAS(RESUMEN GLOBAL)'!M2994</f>
        <v>0</v>
      </c>
      <c r="C2994">
        <f>+'[1]VENTAS(RESUMEN GLOBAL)'!B2994</f>
        <v>0</v>
      </c>
      <c r="D2994" t="e">
        <f>INDEX('[1]CÓDIGOS DE PRODUCTO'!$D$3:$D$1000,MATCH(C2994,'[1]CÓDIGOS DE PRODUCTO'!$A$3:$A$1000,0))</f>
        <v>#N/A</v>
      </c>
      <c r="E2994">
        <f>VLOOKUP(C2994,'[1]CÓDIGOS DE PRODUCTO'!$A$4:$B$156,2,FALSE)</f>
        <v>0</v>
      </c>
      <c r="F2994">
        <f>INDEX('[1]CÓDIGOS DE PRODUCTO'!$C$3:$C$1000,MATCH(C2994,'[1]CÓDIGOS DE PRODUCTO'!$A$3:$A$1000,0))</f>
        <v>0</v>
      </c>
      <c r="G2994">
        <f>+'[1]VENTAS(RESUMEN GLOBAL)'!D2994-'[1]VENTAS(RESUMEN GLOBAL)'!E2994</f>
        <v>0</v>
      </c>
      <c r="H2994" s="9">
        <f>+'[1]VENTAS(RESUMEN GLOBAL)'!K2994</f>
        <v>0</v>
      </c>
      <c r="I2994" s="8">
        <f>+G2994*'[1]VENTAS(RESUMEN GLOBAL)'!F2994</f>
        <v>0</v>
      </c>
      <c r="J2994" s="8">
        <f>'[1]VENTAS(RESUMEN GLOBAL)'!G2994*(1-'[1]VENTAS(RESUMEN GLOBAL)'!H2994)</f>
        <v>0</v>
      </c>
      <c r="K2994" s="8">
        <f t="shared" si="46"/>
        <v>0</v>
      </c>
      <c r="L2994" s="8">
        <f>+'[1]VENTAS(RESUMEN GLOBAL)'!J2994</f>
        <v>0</v>
      </c>
      <c r="M2994" s="8">
        <f>+Tabla1[[#This Row],[utilidad x dia]]*7</f>
        <v>0</v>
      </c>
    </row>
    <row r="2995" spans="1:13" x14ac:dyDescent="0.3">
      <c r="A2995" s="6">
        <f>+'[1]VENTAS(RESUMEN GLOBAL)'!L2995</f>
        <v>0</v>
      </c>
      <c r="B2995" s="6">
        <f>+'[1]VENTAS(RESUMEN GLOBAL)'!M2995</f>
        <v>0</v>
      </c>
      <c r="C2995">
        <f>+'[1]VENTAS(RESUMEN GLOBAL)'!B2995</f>
        <v>0</v>
      </c>
      <c r="D2995" t="e">
        <f>INDEX('[1]CÓDIGOS DE PRODUCTO'!$D$3:$D$1000,MATCH(C2995,'[1]CÓDIGOS DE PRODUCTO'!$A$3:$A$1000,0))</f>
        <v>#N/A</v>
      </c>
      <c r="E2995">
        <f>VLOOKUP(C2995,'[1]CÓDIGOS DE PRODUCTO'!$A$4:$B$156,2,FALSE)</f>
        <v>0</v>
      </c>
      <c r="F2995">
        <f>INDEX('[1]CÓDIGOS DE PRODUCTO'!$C$3:$C$1000,MATCH(C2995,'[1]CÓDIGOS DE PRODUCTO'!$A$3:$A$1000,0))</f>
        <v>0</v>
      </c>
      <c r="G2995">
        <f>+'[1]VENTAS(RESUMEN GLOBAL)'!D2995-'[1]VENTAS(RESUMEN GLOBAL)'!E2995</f>
        <v>0</v>
      </c>
      <c r="H2995" s="9">
        <f>+'[1]VENTAS(RESUMEN GLOBAL)'!K2995</f>
        <v>0</v>
      </c>
      <c r="I2995" s="8">
        <f>+G2995*'[1]VENTAS(RESUMEN GLOBAL)'!F2995</f>
        <v>0</v>
      </c>
      <c r="J2995" s="8">
        <f>'[1]VENTAS(RESUMEN GLOBAL)'!G2995*(1-'[1]VENTAS(RESUMEN GLOBAL)'!H2995)</f>
        <v>0</v>
      </c>
      <c r="K2995" s="8">
        <f t="shared" si="46"/>
        <v>0</v>
      </c>
      <c r="L2995" s="8">
        <f>+'[1]VENTAS(RESUMEN GLOBAL)'!J2995</f>
        <v>0</v>
      </c>
      <c r="M2995" s="8">
        <f>+Tabla1[[#This Row],[utilidad x dia]]*7</f>
        <v>0</v>
      </c>
    </row>
    <row r="2996" spans="1:13" x14ac:dyDescent="0.3">
      <c r="A2996" s="6">
        <f>+'[1]VENTAS(RESUMEN GLOBAL)'!L2996</f>
        <v>0</v>
      </c>
      <c r="B2996" s="6">
        <f>+'[1]VENTAS(RESUMEN GLOBAL)'!M2996</f>
        <v>0</v>
      </c>
      <c r="C2996">
        <f>+'[1]VENTAS(RESUMEN GLOBAL)'!B2996</f>
        <v>0</v>
      </c>
      <c r="D2996" t="e">
        <f>INDEX('[1]CÓDIGOS DE PRODUCTO'!$D$3:$D$1000,MATCH(C2996,'[1]CÓDIGOS DE PRODUCTO'!$A$3:$A$1000,0))</f>
        <v>#N/A</v>
      </c>
      <c r="E2996">
        <f>VLOOKUP(C2996,'[1]CÓDIGOS DE PRODUCTO'!$A$4:$B$156,2,FALSE)</f>
        <v>0</v>
      </c>
      <c r="F2996">
        <f>INDEX('[1]CÓDIGOS DE PRODUCTO'!$C$3:$C$1000,MATCH(C2996,'[1]CÓDIGOS DE PRODUCTO'!$A$3:$A$1000,0))</f>
        <v>0</v>
      </c>
      <c r="G2996">
        <f>+'[1]VENTAS(RESUMEN GLOBAL)'!D2996-'[1]VENTAS(RESUMEN GLOBAL)'!E2996</f>
        <v>0</v>
      </c>
      <c r="H2996" s="9">
        <f>+'[1]VENTAS(RESUMEN GLOBAL)'!K2996</f>
        <v>0</v>
      </c>
      <c r="I2996" s="8">
        <f>+G2996*'[1]VENTAS(RESUMEN GLOBAL)'!F2996</f>
        <v>0</v>
      </c>
      <c r="J2996" s="8">
        <f>'[1]VENTAS(RESUMEN GLOBAL)'!G2996*(1-'[1]VENTAS(RESUMEN GLOBAL)'!H2996)</f>
        <v>0</v>
      </c>
      <c r="K2996" s="8">
        <f t="shared" si="46"/>
        <v>0</v>
      </c>
      <c r="L2996" s="8">
        <f>+'[1]VENTAS(RESUMEN GLOBAL)'!J2996</f>
        <v>0</v>
      </c>
      <c r="M2996" s="8">
        <f>+Tabla1[[#This Row],[utilidad x dia]]*7</f>
        <v>0</v>
      </c>
    </row>
    <row r="2997" spans="1:13" x14ac:dyDescent="0.3">
      <c r="A2997" s="6">
        <f>+'[1]VENTAS(RESUMEN GLOBAL)'!L2997</f>
        <v>0</v>
      </c>
      <c r="B2997" s="6">
        <f>+'[1]VENTAS(RESUMEN GLOBAL)'!M2997</f>
        <v>0</v>
      </c>
      <c r="C2997">
        <f>+'[1]VENTAS(RESUMEN GLOBAL)'!B2997</f>
        <v>0</v>
      </c>
      <c r="D2997" t="e">
        <f>INDEX('[1]CÓDIGOS DE PRODUCTO'!$D$3:$D$1000,MATCH(C2997,'[1]CÓDIGOS DE PRODUCTO'!$A$3:$A$1000,0))</f>
        <v>#N/A</v>
      </c>
      <c r="E2997">
        <f>VLOOKUP(C2997,'[1]CÓDIGOS DE PRODUCTO'!$A$4:$B$156,2,FALSE)</f>
        <v>0</v>
      </c>
      <c r="F2997">
        <f>INDEX('[1]CÓDIGOS DE PRODUCTO'!$C$3:$C$1000,MATCH(C2997,'[1]CÓDIGOS DE PRODUCTO'!$A$3:$A$1000,0))</f>
        <v>0</v>
      </c>
      <c r="G2997">
        <f>+'[1]VENTAS(RESUMEN GLOBAL)'!D2997-'[1]VENTAS(RESUMEN GLOBAL)'!E2997</f>
        <v>0</v>
      </c>
      <c r="H2997" s="9">
        <f>+'[1]VENTAS(RESUMEN GLOBAL)'!K2997</f>
        <v>0</v>
      </c>
      <c r="I2997" s="8">
        <f>+G2997*'[1]VENTAS(RESUMEN GLOBAL)'!F2997</f>
        <v>0</v>
      </c>
      <c r="J2997" s="8">
        <f>'[1]VENTAS(RESUMEN GLOBAL)'!G2997*(1-'[1]VENTAS(RESUMEN GLOBAL)'!H2997)</f>
        <v>0</v>
      </c>
      <c r="K2997" s="8">
        <f t="shared" si="46"/>
        <v>0</v>
      </c>
      <c r="L2997" s="8">
        <f>+'[1]VENTAS(RESUMEN GLOBAL)'!J2997</f>
        <v>0</v>
      </c>
      <c r="M2997" s="8">
        <f>+Tabla1[[#This Row],[utilidad x dia]]*7</f>
        <v>0</v>
      </c>
    </row>
    <row r="2998" spans="1:13" x14ac:dyDescent="0.3">
      <c r="A2998" s="6">
        <f>+'[1]VENTAS(RESUMEN GLOBAL)'!L2998</f>
        <v>0</v>
      </c>
      <c r="B2998" s="6">
        <f>+'[1]VENTAS(RESUMEN GLOBAL)'!M2998</f>
        <v>0</v>
      </c>
      <c r="C2998">
        <f>+'[1]VENTAS(RESUMEN GLOBAL)'!B2998</f>
        <v>0</v>
      </c>
      <c r="D2998" t="e">
        <f>INDEX('[1]CÓDIGOS DE PRODUCTO'!$D$3:$D$1000,MATCH(C2998,'[1]CÓDIGOS DE PRODUCTO'!$A$3:$A$1000,0))</f>
        <v>#N/A</v>
      </c>
      <c r="E2998">
        <f>VLOOKUP(C2998,'[1]CÓDIGOS DE PRODUCTO'!$A$4:$B$156,2,FALSE)</f>
        <v>0</v>
      </c>
      <c r="F2998">
        <f>INDEX('[1]CÓDIGOS DE PRODUCTO'!$C$3:$C$1000,MATCH(C2998,'[1]CÓDIGOS DE PRODUCTO'!$A$3:$A$1000,0))</f>
        <v>0</v>
      </c>
      <c r="G2998">
        <f>+'[1]VENTAS(RESUMEN GLOBAL)'!D2998-'[1]VENTAS(RESUMEN GLOBAL)'!E2998</f>
        <v>0</v>
      </c>
      <c r="H2998" s="9">
        <f>+'[1]VENTAS(RESUMEN GLOBAL)'!K2998</f>
        <v>0</v>
      </c>
      <c r="I2998" s="8">
        <f>+G2998*'[1]VENTAS(RESUMEN GLOBAL)'!F2998</f>
        <v>0</v>
      </c>
      <c r="J2998" s="8">
        <f>'[1]VENTAS(RESUMEN GLOBAL)'!G2998*(1-'[1]VENTAS(RESUMEN GLOBAL)'!H2998)</f>
        <v>0</v>
      </c>
      <c r="K2998" s="8">
        <f t="shared" si="46"/>
        <v>0</v>
      </c>
      <c r="L2998" s="8">
        <f>+'[1]VENTAS(RESUMEN GLOBAL)'!J2998</f>
        <v>0</v>
      </c>
      <c r="M2998" s="8">
        <f>+Tabla1[[#This Row],[utilidad x dia]]*7</f>
        <v>0</v>
      </c>
    </row>
    <row r="2999" spans="1:13" x14ac:dyDescent="0.3">
      <c r="A2999" s="6">
        <f>+'[1]VENTAS(RESUMEN GLOBAL)'!L2999</f>
        <v>0</v>
      </c>
      <c r="B2999" s="6">
        <f>+'[1]VENTAS(RESUMEN GLOBAL)'!M2999</f>
        <v>0</v>
      </c>
      <c r="C2999">
        <f>+'[1]VENTAS(RESUMEN GLOBAL)'!B2999</f>
        <v>0</v>
      </c>
      <c r="D2999" t="e">
        <f>INDEX('[1]CÓDIGOS DE PRODUCTO'!$D$3:$D$1000,MATCH(C2999,'[1]CÓDIGOS DE PRODUCTO'!$A$3:$A$1000,0))</f>
        <v>#N/A</v>
      </c>
      <c r="E2999">
        <f>VLOOKUP(C2999,'[1]CÓDIGOS DE PRODUCTO'!$A$4:$B$156,2,FALSE)</f>
        <v>0</v>
      </c>
      <c r="F2999">
        <f>INDEX('[1]CÓDIGOS DE PRODUCTO'!$C$3:$C$1000,MATCH(C2999,'[1]CÓDIGOS DE PRODUCTO'!$A$3:$A$1000,0))</f>
        <v>0</v>
      </c>
      <c r="G2999">
        <f>+'[1]VENTAS(RESUMEN GLOBAL)'!D2999-'[1]VENTAS(RESUMEN GLOBAL)'!E2999</f>
        <v>0</v>
      </c>
      <c r="H2999" s="9">
        <f>+'[1]VENTAS(RESUMEN GLOBAL)'!K2999</f>
        <v>0</v>
      </c>
      <c r="I2999" s="8">
        <f>+G2999*'[1]VENTAS(RESUMEN GLOBAL)'!F2999</f>
        <v>0</v>
      </c>
      <c r="J2999" s="8">
        <f>'[1]VENTAS(RESUMEN GLOBAL)'!G2999*(1-'[1]VENTAS(RESUMEN GLOBAL)'!H2999)</f>
        <v>0</v>
      </c>
      <c r="K2999" s="8">
        <f t="shared" si="46"/>
        <v>0</v>
      </c>
      <c r="L2999" s="8">
        <f>+'[1]VENTAS(RESUMEN GLOBAL)'!J2999</f>
        <v>0</v>
      </c>
      <c r="M2999" s="8">
        <f>+Tabla1[[#This Row],[utilidad x dia]]*7</f>
        <v>0</v>
      </c>
    </row>
    <row r="3000" spans="1:13" x14ac:dyDescent="0.3">
      <c r="A3000" s="6">
        <f>+'[1]VENTAS(RESUMEN GLOBAL)'!L3000</f>
        <v>0</v>
      </c>
      <c r="B3000" s="6">
        <f>+'[1]VENTAS(RESUMEN GLOBAL)'!M3000</f>
        <v>0</v>
      </c>
      <c r="C3000">
        <f>+'[1]VENTAS(RESUMEN GLOBAL)'!B3000</f>
        <v>0</v>
      </c>
      <c r="D3000" t="e">
        <f>INDEX('[1]CÓDIGOS DE PRODUCTO'!$D$3:$D$1000,MATCH(C3000,'[1]CÓDIGOS DE PRODUCTO'!$A$3:$A$1000,0))</f>
        <v>#N/A</v>
      </c>
      <c r="E3000">
        <f>VLOOKUP(C3000,'[1]CÓDIGOS DE PRODUCTO'!$A$4:$B$156,2,FALSE)</f>
        <v>0</v>
      </c>
      <c r="F3000">
        <f>INDEX('[1]CÓDIGOS DE PRODUCTO'!$C$3:$C$1000,MATCH(C3000,'[1]CÓDIGOS DE PRODUCTO'!$A$3:$A$1000,0))</f>
        <v>0</v>
      </c>
      <c r="G3000">
        <f>+'[1]VENTAS(RESUMEN GLOBAL)'!D3000-'[1]VENTAS(RESUMEN GLOBAL)'!E3000</f>
        <v>0</v>
      </c>
      <c r="H3000" s="9">
        <f>+'[1]VENTAS(RESUMEN GLOBAL)'!K3000</f>
        <v>0</v>
      </c>
      <c r="I3000" s="8">
        <f>+G3000*'[1]VENTAS(RESUMEN GLOBAL)'!F3000</f>
        <v>0</v>
      </c>
      <c r="J3000" s="8">
        <f>'[1]VENTAS(RESUMEN GLOBAL)'!G3000*(1-'[1]VENTAS(RESUMEN GLOBAL)'!H3000)</f>
        <v>0</v>
      </c>
      <c r="K3000" s="8">
        <f t="shared" si="46"/>
        <v>0</v>
      </c>
      <c r="L3000" s="8">
        <f>+'[1]VENTAS(RESUMEN GLOBAL)'!J3000</f>
        <v>0</v>
      </c>
      <c r="M3000" s="8">
        <f>+Tabla1[[#This Row],[utilidad x dia]]*7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PARA TABLA DINÁMICA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munoz</dc:creator>
  <cp:lastModifiedBy>felipe munoz</cp:lastModifiedBy>
  <dcterms:created xsi:type="dcterms:W3CDTF">2026-03-02T18:24:45Z</dcterms:created>
  <dcterms:modified xsi:type="dcterms:W3CDTF">2026-03-02T18:25:18Z</dcterms:modified>
</cp:coreProperties>
</file>